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yilm\OneDrive\Masaüstü\Tez\"/>
    </mc:Choice>
  </mc:AlternateContent>
  <xr:revisionPtr revIDLastSave="0" documentId="13_ncr:1_{8F809DB6-1C3E-4FB0-B2F5-536C437B7A48}" xr6:coauthVersionLast="47" xr6:coauthVersionMax="47" xr10:uidLastSave="{00000000-0000-0000-0000-000000000000}"/>
  <bookViews>
    <workbookView xWindow="-120" yWindow="-120" windowWidth="29040" windowHeight="15720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(+X)'!$N$2:$X$383</definedName>
    <definedName name="_xlnm._FilterDatabase" localSheetId="1" hidden="1">'Kolonlarda B Şekil Değ Sın (+X)'!$K$3:$Q$244</definedName>
    <definedName name="_xlnm._FilterDatabase" localSheetId="7" hidden="1">'Kolonlarda P.Mafsallar (+X)'!$O$1:$Z$243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5" l="1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24" i="5" s="1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16" i="2" l="1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<sst xmlns="http://schemas.openxmlformats.org/spreadsheetml/2006/main" count="23526" uniqueCount="952">
  <si>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</si>
  <si>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</si>
  <si>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</si>
  <si>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</si>
  <si>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</si>
  <si>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</si>
  <si>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</si>
  <si>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</si>
  <si>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</si>
  <si>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</si>
  <si>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</si>
  <si>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</si>
  <si>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</si>
  <si>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</si>
  <si>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</si>
  <si>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</si>
  <si>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</si>
  <si>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</si>
  <si>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</si>
  <si>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</si>
  <si>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</si>
  <si>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</si>
  <si>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</si>
  <si>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</si>
  <si>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</si>
  <si>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</si>
  <si>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</si>
  <si>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</si>
  <si>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</si>
  <si>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</si>
  <si>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</si>
  <si>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</si>
  <si>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</si>
  <si>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</si>
  <si>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</si>
  <si>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</si>
  <si>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</si>
  <si>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</si>
  <si>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</si>
  <si>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</si>
  <si>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</si>
  <si>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</si>
  <si>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</si>
  <si>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</si>
  <si>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</si>
  <si>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</si>
  <si>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</si>
  <si>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</si>
  <si>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</si>
  <si>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</si>
  <si>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</si>
  <si>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</si>
  <si>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</si>
  <si>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</si>
  <si>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</si>
  <si>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</si>
  <si>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</si>
  <si>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</si>
  <si>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</si>
  <si>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</si>
  <si>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</si>
  <si>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</si>
  <si>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</si>
  <si>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</si>
  <si>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</si>
  <si>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</si>
  <si>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</si>
  <si>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</si>
  <si>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</si>
  <si>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</si>
  <si>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</si>
  <si>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</si>
  <si>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</si>
  <si>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</si>
  <si>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</si>
  <si>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</si>
  <si>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</si>
  <si>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</si>
  <si>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</si>
  <si>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</si>
  <si>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</si>
  <si>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</si>
  <si>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</si>
  <si>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</si>
  <si>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</si>
  <si>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</si>
  <si>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</si>
  <si>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</si>
  <si>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</si>
  <si>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</si>
  <si>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</si>
  <si>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</si>
  <si>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</si>
  <si>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</si>
  <si>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</si>
  <si>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</si>
  <si>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</si>
  <si>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</si>
  <si>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</si>
  <si>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</si>
  <si>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</si>
  <si>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</si>
  <si>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</si>
  <si>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</si>
  <si>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</si>
  <si>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</si>
  <si>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</si>
  <si>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</si>
  <si>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</si>
  <si>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</si>
  <si>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</si>
  <si>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</si>
  <si>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</si>
  <si>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</si>
  <si>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</si>
  <si>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</si>
  <si>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</si>
  <si>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</si>
  <si>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</si>
  <si>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</si>
  <si>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</si>
  <si>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</si>
  <si>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</si>
  <si>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</si>
  <si>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</si>
  <si>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</si>
  <si>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TBDY-2018 Spektrumu (DD1, %5)</t>
  </si>
  <si>
    <t>C30x30</t>
  </si>
  <si>
    <t>C30x70</t>
  </si>
  <si>
    <t>C70x30</t>
  </si>
  <si>
    <t>C:\Users\doyil\Desktop\TEZ\Analizler\5 Katlı_DD3\S-5k-7-DTS1-ZA-Tasarim_overwrite-NL_New_DD3.EDB</t>
  </si>
  <si>
    <t>Story5</t>
  </si>
  <si>
    <t>C1H7</t>
  </si>
  <si>
    <t>C1H8</t>
  </si>
  <si>
    <t>C2H7</t>
  </si>
  <si>
    <t>C2H8</t>
  </si>
  <si>
    <t>C3H7</t>
  </si>
  <si>
    <t>C3H8</t>
  </si>
  <si>
    <t>C4H7</t>
  </si>
  <si>
    <t>C4H8</t>
  </si>
  <si>
    <t>C5H7</t>
  </si>
  <si>
    <t>C5H8</t>
  </si>
  <si>
    <t>C6H7</t>
  </si>
  <si>
    <t>C6H8</t>
  </si>
  <si>
    <t>C7H7</t>
  </si>
  <si>
    <t>C7H8</t>
  </si>
  <si>
    <t>C8H7</t>
  </si>
  <si>
    <t>C8H8</t>
  </si>
  <si>
    <t>C9H7</t>
  </si>
  <si>
    <t>C9H8</t>
  </si>
  <si>
    <t>C10H7</t>
  </si>
  <si>
    <t>C10H8</t>
  </si>
  <si>
    <t>C11H7</t>
  </si>
  <si>
    <t>C11H8</t>
  </si>
  <si>
    <t>C12H7</t>
  </si>
  <si>
    <t>C12H8</t>
  </si>
  <si>
    <t>C13H7</t>
  </si>
  <si>
    <t>C13H8</t>
  </si>
  <si>
    <t>C14H7</t>
  </si>
  <si>
    <t>C14H8</t>
  </si>
  <si>
    <t>C15H7</t>
  </si>
  <si>
    <t>C15H8</t>
  </si>
  <si>
    <t>C16H7</t>
  </si>
  <si>
    <t>C16H8</t>
  </si>
  <si>
    <t>C17H7</t>
  </si>
  <si>
    <t>C17H8</t>
  </si>
  <si>
    <t>C18H7</t>
  </si>
  <si>
    <t>C18H8</t>
  </si>
  <si>
    <t>C19H7</t>
  </si>
  <si>
    <t>C19H8</t>
  </si>
  <si>
    <t>C20H7</t>
  </si>
  <si>
    <t>C20H8</t>
  </si>
  <si>
    <t>C21H7</t>
  </si>
  <si>
    <t>C21H8</t>
  </si>
  <si>
    <t>C22H7</t>
  </si>
  <si>
    <t>C22H8</t>
  </si>
  <si>
    <t>C23H7</t>
  </si>
  <si>
    <t>C23H8</t>
  </si>
  <si>
    <t>C24H7</t>
  </si>
  <si>
    <t>C24H8</t>
  </si>
  <si>
    <t>Story4</t>
  </si>
  <si>
    <t>C1H9</t>
  </si>
  <si>
    <t>C1H10</t>
  </si>
  <si>
    <t>C2H9</t>
  </si>
  <si>
    <t>C2H10</t>
  </si>
  <si>
    <t>C3H9</t>
  </si>
  <si>
    <t>C3H10</t>
  </si>
  <si>
    <t>C4H9</t>
  </si>
  <si>
    <t>C4H10</t>
  </si>
  <si>
    <t>C5H9</t>
  </si>
  <si>
    <t>C5H10</t>
  </si>
  <si>
    <t>C6H9</t>
  </si>
  <si>
    <t>C6H10</t>
  </si>
  <si>
    <t>C7H9</t>
  </si>
  <si>
    <t>C7H10</t>
  </si>
  <si>
    <t>C8H9</t>
  </si>
  <si>
    <t>C8H10</t>
  </si>
  <si>
    <t>C9H9</t>
  </si>
  <si>
    <t>C9H10</t>
  </si>
  <si>
    <t>C10H9</t>
  </si>
  <si>
    <t>C10H10</t>
  </si>
  <si>
    <t>C11H9</t>
  </si>
  <si>
    <t>C11H10</t>
  </si>
  <si>
    <t>C12H9</t>
  </si>
  <si>
    <t>C12H10</t>
  </si>
  <si>
    <t>C13H9</t>
  </si>
  <si>
    <t>C13H10</t>
  </si>
  <si>
    <t>C14H9</t>
  </si>
  <si>
    <t>C14H10</t>
  </si>
  <si>
    <t>C15H9</t>
  </si>
  <si>
    <t>C15H10</t>
  </si>
  <si>
    <t>C16H9</t>
  </si>
  <si>
    <t>C16H10</t>
  </si>
  <si>
    <t>C17H9</t>
  </si>
  <si>
    <t>C17H10</t>
  </si>
  <si>
    <t>C18H9</t>
  </si>
  <si>
    <t>C18H10</t>
  </si>
  <si>
    <t>C19H9</t>
  </si>
  <si>
    <t>C19H10</t>
  </si>
  <si>
    <t>C20H9</t>
  </si>
  <si>
    <t>C20H10</t>
  </si>
  <si>
    <t>C21H9</t>
  </si>
  <si>
    <t>C21H10</t>
  </si>
  <si>
    <t>C22H9</t>
  </si>
  <si>
    <t>C22H10</t>
  </si>
  <si>
    <t>C23H9</t>
  </si>
  <si>
    <t>C23H10</t>
  </si>
  <si>
    <t>C24H9</t>
  </si>
  <si>
    <t>C24H10</t>
  </si>
  <si>
    <t>Story3</t>
  </si>
  <si>
    <t>C1H3</t>
  </si>
  <si>
    <t>C1H4</t>
  </si>
  <si>
    <t>C2H3</t>
  </si>
  <si>
    <t>C2H4</t>
  </si>
  <si>
    <t>C3H3</t>
  </si>
  <si>
    <t>C3H4</t>
  </si>
  <si>
    <t>C4H3</t>
  </si>
  <si>
    <t>C4H4</t>
  </si>
  <si>
    <t>C5H3</t>
  </si>
  <si>
    <t>C5H4</t>
  </si>
  <si>
    <t>C6H3</t>
  </si>
  <si>
    <t>C6H4</t>
  </si>
  <si>
    <t>C7H3</t>
  </si>
  <si>
    <t>C7H4</t>
  </si>
  <si>
    <t>C8H3</t>
  </si>
  <si>
    <t>C8H4</t>
  </si>
  <si>
    <t>C9H3</t>
  </si>
  <si>
    <t>C9H4</t>
  </si>
  <si>
    <t>C10H3</t>
  </si>
  <si>
    <t>C10H4</t>
  </si>
  <si>
    <t>C11H3</t>
  </si>
  <si>
    <t>C11H4</t>
  </si>
  <si>
    <t>C12H3</t>
  </si>
  <si>
    <t>C12H4</t>
  </si>
  <si>
    <t>C13H3</t>
  </si>
  <si>
    <t>C13H4</t>
  </si>
  <si>
    <t>C14H3</t>
  </si>
  <si>
    <t>C14H4</t>
  </si>
  <si>
    <t>C15H3</t>
  </si>
  <si>
    <t>C15H4</t>
  </si>
  <si>
    <t>C16H3</t>
  </si>
  <si>
    <t>C16H4</t>
  </si>
  <si>
    <t>C17H3</t>
  </si>
  <si>
    <t>C17H4</t>
  </si>
  <si>
    <t>C18H3</t>
  </si>
  <si>
    <t>C18H4</t>
  </si>
  <si>
    <t>C19H3</t>
  </si>
  <si>
    <t>C19H4</t>
  </si>
  <si>
    <t>C20H3</t>
  </si>
  <si>
    <t>C20H4</t>
  </si>
  <si>
    <t>C21H3</t>
  </si>
  <si>
    <t>C21H4</t>
  </si>
  <si>
    <t>C22H3</t>
  </si>
  <si>
    <t>C22H4</t>
  </si>
  <si>
    <t>C23H3</t>
  </si>
  <si>
    <t>C23H4</t>
  </si>
  <si>
    <t>C24H3</t>
  </si>
  <si>
    <t>C24H4</t>
  </si>
  <si>
    <t>Story2</t>
  </si>
  <si>
    <t>C1H5</t>
  </si>
  <si>
    <t>C1H6</t>
  </si>
  <si>
    <t>C2H5</t>
  </si>
  <si>
    <t>C2H6</t>
  </si>
  <si>
    <t>C3H5</t>
  </si>
  <si>
    <t>C3H6</t>
  </si>
  <si>
    <t>C4H5</t>
  </si>
  <si>
    <t>C4H6</t>
  </si>
  <si>
    <t>C5H5</t>
  </si>
  <si>
    <t>C5H6</t>
  </si>
  <si>
    <t>C6H5</t>
  </si>
  <si>
    <t>C6H6</t>
  </si>
  <si>
    <t>C7H5</t>
  </si>
  <si>
    <t>C7H6</t>
  </si>
  <si>
    <t>C8H5</t>
  </si>
  <si>
    <t>C8H6</t>
  </si>
  <si>
    <t>C9H5</t>
  </si>
  <si>
    <t>C9H6</t>
  </si>
  <si>
    <t>C10H5</t>
  </si>
  <si>
    <t>C10H6</t>
  </si>
  <si>
    <t>C11H5</t>
  </si>
  <si>
    <t>C11H6</t>
  </si>
  <si>
    <t>C12H5</t>
  </si>
  <si>
    <t>C12H6</t>
  </si>
  <si>
    <t>C13H5</t>
  </si>
  <si>
    <t>C13H6</t>
  </si>
  <si>
    <t>C14H5</t>
  </si>
  <si>
    <t>C14H6</t>
  </si>
  <si>
    <t>C15H5</t>
  </si>
  <si>
    <t>C15H6</t>
  </si>
  <si>
    <t>C16H5</t>
  </si>
  <si>
    <t>C16H6</t>
  </si>
  <si>
    <t>C17H5</t>
  </si>
  <si>
    <t>C17H6</t>
  </si>
  <si>
    <t>C18H5</t>
  </si>
  <si>
    <t>C18H6</t>
  </si>
  <si>
    <t>C19H5</t>
  </si>
  <si>
    <t>C19H6</t>
  </si>
  <si>
    <t>C20H5</t>
  </si>
  <si>
    <t>C20H6</t>
  </si>
  <si>
    <t>C21H5</t>
  </si>
  <si>
    <t>C21H6</t>
  </si>
  <si>
    <t>C22H5</t>
  </si>
  <si>
    <t>C22H6</t>
  </si>
  <si>
    <t>C23H5</t>
  </si>
  <si>
    <t>C23H6</t>
  </si>
  <si>
    <t>C24H5</t>
  </si>
  <si>
    <t>C24H6</t>
  </si>
  <si>
    <t>Story1</t>
  </si>
  <si>
    <t>C1H1</t>
  </si>
  <si>
    <t>C1H2</t>
  </si>
  <si>
    <t>C2H1</t>
  </si>
  <si>
    <t>C2H2</t>
  </si>
  <si>
    <t>C3H1</t>
  </si>
  <si>
    <t>C3H2</t>
  </si>
  <si>
    <t>C4H1</t>
  </si>
  <si>
    <t>C4H2</t>
  </si>
  <si>
    <t>C5H1</t>
  </si>
  <si>
    <t>C5H2</t>
  </si>
  <si>
    <t>C6H1</t>
  </si>
  <si>
    <t>C6H2</t>
  </si>
  <si>
    <t>C7H1</t>
  </si>
  <si>
    <t>C7H2</t>
  </si>
  <si>
    <t>C8H1</t>
  </si>
  <si>
    <t>C8H2</t>
  </si>
  <si>
    <t>C9H1</t>
  </si>
  <si>
    <t>C9H2</t>
  </si>
  <si>
    <t>C10H1</t>
  </si>
  <si>
    <t>C10H2</t>
  </si>
  <si>
    <t>C11H1</t>
  </si>
  <si>
    <t>C11H2</t>
  </si>
  <si>
    <t>C12H1</t>
  </si>
  <si>
    <t>C12H2</t>
  </si>
  <si>
    <t>C13H1</t>
  </si>
  <si>
    <t>C13H2</t>
  </si>
  <si>
    <t>C14H1</t>
  </si>
  <si>
    <t>C14H2</t>
  </si>
  <si>
    <t>C15H1</t>
  </si>
  <si>
    <t>C15H2</t>
  </si>
  <si>
    <t>C16H1</t>
  </si>
  <si>
    <t>C16H2</t>
  </si>
  <si>
    <t>C17H1</t>
  </si>
  <si>
    <t>C17H2</t>
  </si>
  <si>
    <t>C18H1</t>
  </si>
  <si>
    <t>C18H2</t>
  </si>
  <si>
    <t>C19H1</t>
  </si>
  <si>
    <t>C19H2</t>
  </si>
  <si>
    <t>C20H1</t>
  </si>
  <si>
    <t>C20H2</t>
  </si>
  <si>
    <t>C21H1</t>
  </si>
  <si>
    <t>C21H2</t>
  </si>
  <si>
    <t>C22H1</t>
  </si>
  <si>
    <t>C22H2</t>
  </si>
  <si>
    <t>C23H1</t>
  </si>
  <si>
    <t>C23H2</t>
  </si>
  <si>
    <t>C24H1</t>
  </si>
  <si>
    <t>C24H2</t>
  </si>
  <si>
    <t>AdaptivePushover_PX-5</t>
  </si>
  <si>
    <t>AdaptivePushover_PY-5</t>
  </si>
  <si>
    <t>B30x50-Story5-A-F</t>
  </si>
  <si>
    <t>229-Left</t>
  </si>
  <si>
    <t>Sol Uç</t>
  </si>
  <si>
    <t>229-Right</t>
  </si>
  <si>
    <t>Sağ Uç</t>
  </si>
  <si>
    <t>B30x50-Story5-A-M</t>
  </si>
  <si>
    <t>230-Left</t>
  </si>
  <si>
    <t>230-Right</t>
  </si>
  <si>
    <t>231-Left</t>
  </si>
  <si>
    <t>231-Right</t>
  </si>
  <si>
    <t>232-Left</t>
  </si>
  <si>
    <t>232-Right</t>
  </si>
  <si>
    <t>B30x50-Story5-A-L</t>
  </si>
  <si>
    <t>233-Left</t>
  </si>
  <si>
    <t>233-Right</t>
  </si>
  <si>
    <t>B30x50-Story5-1-F</t>
  </si>
  <si>
    <t>211-Left</t>
  </si>
  <si>
    <t>211-Right</t>
  </si>
  <si>
    <t>B30x50-Story5-2-F</t>
  </si>
  <si>
    <t>214-Left</t>
  </si>
  <si>
    <t>214-Right</t>
  </si>
  <si>
    <t>B30x50-Story5-3-F</t>
  </si>
  <si>
    <t>217-Left</t>
  </si>
  <si>
    <t>217-Right</t>
  </si>
  <si>
    <t>B30x50-Story5-4-F</t>
  </si>
  <si>
    <t>220-Left</t>
  </si>
  <si>
    <t>220-Right</t>
  </si>
  <si>
    <t>B30x50-Story5-5-F</t>
  </si>
  <si>
    <t>223-Left</t>
  </si>
  <si>
    <t>223-Right</t>
  </si>
  <si>
    <t>B30x50-Story5-6-F</t>
  </si>
  <si>
    <t>226-Left</t>
  </si>
  <si>
    <t>226-Right</t>
  </si>
  <si>
    <t>B30x50-Story5-B-F</t>
  </si>
  <si>
    <t>234-Left</t>
  </si>
  <si>
    <t>234-Right</t>
  </si>
  <si>
    <t>B30x50-Story5-B-M</t>
  </si>
  <si>
    <t>235-Left</t>
  </si>
  <si>
    <t>235-Right</t>
  </si>
  <si>
    <t>236-Left</t>
  </si>
  <si>
    <t>236-Right</t>
  </si>
  <si>
    <t>237-Left</t>
  </si>
  <si>
    <t>237-Right</t>
  </si>
  <si>
    <t>B30x50-Story5-B-L</t>
  </si>
  <si>
    <t>238-Left</t>
  </si>
  <si>
    <t>238-Right</t>
  </si>
  <si>
    <t>B30x50-Story5-1-M</t>
  </si>
  <si>
    <t>212-Left</t>
  </si>
  <si>
    <t>212-Right</t>
  </si>
  <si>
    <t>B30x50-Story5-2-M</t>
  </si>
  <si>
    <t>215-Left</t>
  </si>
  <si>
    <t>215-Right</t>
  </si>
  <si>
    <t>B30x50-Story5-3-M</t>
  </si>
  <si>
    <t>218-Left</t>
  </si>
  <si>
    <t>218-Right</t>
  </si>
  <si>
    <t>B30x50-Story5-4-M</t>
  </si>
  <si>
    <t>221-Left</t>
  </si>
  <si>
    <t>221-Right</t>
  </si>
  <si>
    <t>B30x50-Story5-5-M</t>
  </si>
  <si>
    <t>224-Left</t>
  </si>
  <si>
    <t>224-Right</t>
  </si>
  <si>
    <t>B30x50-Story5-6-M</t>
  </si>
  <si>
    <t>227-Left</t>
  </si>
  <si>
    <t>227-Right</t>
  </si>
  <si>
    <t>B30x50-Story5-C-F</t>
  </si>
  <si>
    <t>239-Left</t>
  </si>
  <si>
    <t>239-Right</t>
  </si>
  <si>
    <t>B30x50-Story5-C-M</t>
  </si>
  <si>
    <t>240-Left</t>
  </si>
  <si>
    <t>240-Right</t>
  </si>
  <si>
    <t>241-Left</t>
  </si>
  <si>
    <t>241-Right</t>
  </si>
  <si>
    <t>242-Left</t>
  </si>
  <si>
    <t>242-Right</t>
  </si>
  <si>
    <t>B30x50-Story5-C-L</t>
  </si>
  <si>
    <t>243-Left</t>
  </si>
  <si>
    <t>243-Right</t>
  </si>
  <si>
    <t>B30x50-Story5-1-L</t>
  </si>
  <si>
    <t>213-Left</t>
  </si>
  <si>
    <t>213-Right</t>
  </si>
  <si>
    <t>B30x50-Story5-2-L</t>
  </si>
  <si>
    <t>216-Left</t>
  </si>
  <si>
    <t>216-Right</t>
  </si>
  <si>
    <t>B30x50-Story5-3-L</t>
  </si>
  <si>
    <t>219-Left</t>
  </si>
  <si>
    <t>219-Right</t>
  </si>
  <si>
    <t>B30x50-Story5-4-L</t>
  </si>
  <si>
    <t>222-Left</t>
  </si>
  <si>
    <t>222-Right</t>
  </si>
  <si>
    <t>B30x50-Story5-5-L</t>
  </si>
  <si>
    <t>225-Left</t>
  </si>
  <si>
    <t>225-Right</t>
  </si>
  <si>
    <t>B30x50-Story5-6-L</t>
  </si>
  <si>
    <t>228-Left</t>
  </si>
  <si>
    <t>228-Right</t>
  </si>
  <si>
    <t>B30x50-Story5-D-F</t>
  </si>
  <si>
    <t>244-Left</t>
  </si>
  <si>
    <t>244-Right</t>
  </si>
  <si>
    <t>B30x50-Story5-D-M</t>
  </si>
  <si>
    <t>245-Left</t>
  </si>
  <si>
    <t>245-Right</t>
  </si>
  <si>
    <t>246-Left</t>
  </si>
  <si>
    <t>246-Right</t>
  </si>
  <si>
    <t>247-Left</t>
  </si>
  <si>
    <t>247-Right</t>
  </si>
  <si>
    <t>B30x50-Story5-D-L</t>
  </si>
  <si>
    <t>248-Left</t>
  </si>
  <si>
    <t>248-Right</t>
  </si>
  <si>
    <t>B30x50-Story4-A-F</t>
  </si>
  <si>
    <t>291-Left</t>
  </si>
  <si>
    <t>291-Right</t>
  </si>
  <si>
    <t>B30x50-Story4-A-M</t>
  </si>
  <si>
    <t>292-Left</t>
  </si>
  <si>
    <t>292-Right</t>
  </si>
  <si>
    <t>293-Left</t>
  </si>
  <si>
    <t>293-Right</t>
  </si>
  <si>
    <t>294-Left</t>
  </si>
  <si>
    <t>294-Right</t>
  </si>
  <si>
    <t>B30x50-Story4-A-L</t>
  </si>
  <si>
    <t>295-Left</t>
  </si>
  <si>
    <t>295-Right</t>
  </si>
  <si>
    <t>B30x50-Story4-1-F</t>
  </si>
  <si>
    <t>273-Left</t>
  </si>
  <si>
    <t>273-Right</t>
  </si>
  <si>
    <t>B30x50-Story4-2-F</t>
  </si>
  <si>
    <t>276-Left</t>
  </si>
  <si>
    <t>276-Right</t>
  </si>
  <si>
    <t>B30x50-Story4-3-F</t>
  </si>
  <si>
    <t>279-Left</t>
  </si>
  <si>
    <t>279-Right</t>
  </si>
  <si>
    <t>B30x50-Story4-4-F</t>
  </si>
  <si>
    <t>282-Left</t>
  </si>
  <si>
    <t>282-Right</t>
  </si>
  <si>
    <t>B30x50-Story4-5-F</t>
  </si>
  <si>
    <t>285-Left</t>
  </si>
  <si>
    <t>285-Right</t>
  </si>
  <si>
    <t>B30x50-Story4-6-F</t>
  </si>
  <si>
    <t>288-Left</t>
  </si>
  <si>
    <t>288-Right</t>
  </si>
  <si>
    <t>B30x50-Story4-B-F</t>
  </si>
  <si>
    <t>296-Left</t>
  </si>
  <si>
    <t>296-Right</t>
  </si>
  <si>
    <t>B30x50-Story4-B-M</t>
  </si>
  <si>
    <t>297-Left</t>
  </si>
  <si>
    <t>297-Right</t>
  </si>
  <si>
    <t>298-Left</t>
  </si>
  <si>
    <t>298-Right</t>
  </si>
  <si>
    <t>299-Left</t>
  </si>
  <si>
    <t>299-Right</t>
  </si>
  <si>
    <t>B30x50-Story4-B-L</t>
  </si>
  <si>
    <t>300-Left</t>
  </si>
  <si>
    <t>300-Right</t>
  </si>
  <si>
    <t>B30x50-Story4-1-M</t>
  </si>
  <si>
    <t>274-Left</t>
  </si>
  <si>
    <t>274-Right</t>
  </si>
  <si>
    <t>B30x50-Story4-2-M</t>
  </si>
  <si>
    <t>277-Left</t>
  </si>
  <si>
    <t>277-Right</t>
  </si>
  <si>
    <t>B30x50-Story4-3-M</t>
  </si>
  <si>
    <t>280-Left</t>
  </si>
  <si>
    <t>280-Right</t>
  </si>
  <si>
    <t>B30x50-Story4-4-M</t>
  </si>
  <si>
    <t>283-Left</t>
  </si>
  <si>
    <t>283-Right</t>
  </si>
  <si>
    <t>B30x50-Story4-5-M</t>
  </si>
  <si>
    <t>286-Left</t>
  </si>
  <si>
    <t>286-Right</t>
  </si>
  <si>
    <t>B30x50-Story4-6-M</t>
  </si>
  <si>
    <t>289-Left</t>
  </si>
  <si>
    <t>289-Right</t>
  </si>
  <si>
    <t>B30x50-Story4-C-F</t>
  </si>
  <si>
    <t>301-Left</t>
  </si>
  <si>
    <t>301-Right</t>
  </si>
  <si>
    <t>B30x50-Story4-C-M</t>
  </si>
  <si>
    <t>302-Left</t>
  </si>
  <si>
    <t>302-Right</t>
  </si>
  <si>
    <t>303-Left</t>
  </si>
  <si>
    <t>303-Right</t>
  </si>
  <si>
    <t>304-Left</t>
  </si>
  <si>
    <t>304-Right</t>
  </si>
  <si>
    <t>B30x50-Story4-C-L</t>
  </si>
  <si>
    <t>305-Left</t>
  </si>
  <si>
    <t>305-Right</t>
  </si>
  <si>
    <t>B30x50-Story4-1-L</t>
  </si>
  <si>
    <t>275-Left</t>
  </si>
  <si>
    <t>275-Right</t>
  </si>
  <si>
    <t>B30x50-Story4-2-L</t>
  </si>
  <si>
    <t>278-Left</t>
  </si>
  <si>
    <t>278-Right</t>
  </si>
  <si>
    <t>B30x50-Story4-3-L</t>
  </si>
  <si>
    <t>281-Left</t>
  </si>
  <si>
    <t>281-Right</t>
  </si>
  <si>
    <t>B30x50-Story4-4-L</t>
  </si>
  <si>
    <t>284-Left</t>
  </si>
  <si>
    <t>284-Right</t>
  </si>
  <si>
    <t>B30x50-Story4-5-L</t>
  </si>
  <si>
    <t>287-Left</t>
  </si>
  <si>
    <t>287-Right</t>
  </si>
  <si>
    <t>B30x50-Story4-6-L</t>
  </si>
  <si>
    <t>290-Left</t>
  </si>
  <si>
    <t>290-Right</t>
  </si>
  <si>
    <t>B30x50-Story4-D-F</t>
  </si>
  <si>
    <t>306-Left</t>
  </si>
  <si>
    <t>306-Right</t>
  </si>
  <si>
    <t>B30x50-Story4-D-M</t>
  </si>
  <si>
    <t>307-Left</t>
  </si>
  <si>
    <t>307-Right</t>
  </si>
  <si>
    <t>308-Left</t>
  </si>
  <si>
    <t>308-Right</t>
  </si>
  <si>
    <t>309-Left</t>
  </si>
  <si>
    <t>309-Right</t>
  </si>
  <si>
    <t>B30x50-Story4-D-L</t>
  </si>
  <si>
    <t>310-Left</t>
  </si>
  <si>
    <t>310-Right</t>
  </si>
  <si>
    <t>B30x50-Story3-A-F</t>
  </si>
  <si>
    <t>105-Left</t>
  </si>
  <si>
    <t>105-Right</t>
  </si>
  <si>
    <t>B30x50-Story3-A-M</t>
  </si>
  <si>
    <t>106-Left</t>
  </si>
  <si>
    <t>106-Right</t>
  </si>
  <si>
    <t>107-Left</t>
  </si>
  <si>
    <t>107-Right</t>
  </si>
  <si>
    <t>108-Left</t>
  </si>
  <si>
    <t>108-Right</t>
  </si>
  <si>
    <t>B30x50-Story3-A-L</t>
  </si>
  <si>
    <t>109-Left</t>
  </si>
  <si>
    <t>109-Right</t>
  </si>
  <si>
    <t>B30x50-Story3-1-F</t>
  </si>
  <si>
    <t>87-Left</t>
  </si>
  <si>
    <t>87-Right</t>
  </si>
  <si>
    <t>B30x50-Story3-2-F</t>
  </si>
  <si>
    <t>90-Left</t>
  </si>
  <si>
    <t>90-Right</t>
  </si>
  <si>
    <t>B30x50-Story3-3-F</t>
  </si>
  <si>
    <t>93-Left</t>
  </si>
  <si>
    <t>93-Right</t>
  </si>
  <si>
    <t>B30x50-Story3-4-F</t>
  </si>
  <si>
    <t>96-Left</t>
  </si>
  <si>
    <t>96-Right</t>
  </si>
  <si>
    <t>B30x50-Story3-5-F</t>
  </si>
  <si>
    <t>99-Left</t>
  </si>
  <si>
    <t>99-Right</t>
  </si>
  <si>
    <t>B30x50-Story3-6-F</t>
  </si>
  <si>
    <t>102-Left</t>
  </si>
  <si>
    <t>102-Right</t>
  </si>
  <si>
    <t>B30x50-Story3-B-F</t>
  </si>
  <si>
    <t>110-Left</t>
  </si>
  <si>
    <t>110-Right</t>
  </si>
  <si>
    <t>B30x50-Story3-B-M</t>
  </si>
  <si>
    <t>111-Left</t>
  </si>
  <si>
    <t>111-Right</t>
  </si>
  <si>
    <t>112-Left</t>
  </si>
  <si>
    <t>112-Right</t>
  </si>
  <si>
    <t>113-Left</t>
  </si>
  <si>
    <t>113-Right</t>
  </si>
  <si>
    <t>B30x50-Story3-B-L</t>
  </si>
  <si>
    <t>114-Left</t>
  </si>
  <si>
    <t>114-Right</t>
  </si>
  <si>
    <t>B30x50-Story3-1-M</t>
  </si>
  <si>
    <t>88-Left</t>
  </si>
  <si>
    <t>88-Right</t>
  </si>
  <si>
    <t>B30x50-Story3-2-M</t>
  </si>
  <si>
    <t>91-Left</t>
  </si>
  <si>
    <t>91-Right</t>
  </si>
  <si>
    <t>B30x50-Story3-3-M</t>
  </si>
  <si>
    <t>94-Left</t>
  </si>
  <si>
    <t>94-Right</t>
  </si>
  <si>
    <t>B30x50-Story3-4-M</t>
  </si>
  <si>
    <t>97-Left</t>
  </si>
  <si>
    <t>97-Right</t>
  </si>
  <si>
    <t>B30x50-Story3-5-M</t>
  </si>
  <si>
    <t>100-Left</t>
  </si>
  <si>
    <t>100-Right</t>
  </si>
  <si>
    <t>B30x50-Story3-6-M</t>
  </si>
  <si>
    <t>103-Left</t>
  </si>
  <si>
    <t>103-Right</t>
  </si>
  <si>
    <t>B30x50-Story3-C-F</t>
  </si>
  <si>
    <t>115-Left</t>
  </si>
  <si>
    <t>115-Right</t>
  </si>
  <si>
    <t>B30x50-Story3-C-M</t>
  </si>
  <si>
    <t>116-Left</t>
  </si>
  <si>
    <t>116-Right</t>
  </si>
  <si>
    <t>117-Left</t>
  </si>
  <si>
    <t>117-Right</t>
  </si>
  <si>
    <t>118-Left</t>
  </si>
  <si>
    <t>118-Right</t>
  </si>
  <si>
    <t>B30x50-Story3-C-L</t>
  </si>
  <si>
    <t>119-Left</t>
  </si>
  <si>
    <t>119-Right</t>
  </si>
  <si>
    <t>B30x50-Story3-1-L</t>
  </si>
  <si>
    <t>89-Left</t>
  </si>
  <si>
    <t>89-Right</t>
  </si>
  <si>
    <t>B30x50-Story3-2-L</t>
  </si>
  <si>
    <t>92-Left</t>
  </si>
  <si>
    <t>92-Right</t>
  </si>
  <si>
    <t>B30x50-Story3-3-L</t>
  </si>
  <si>
    <t>95-Left</t>
  </si>
  <si>
    <t>95-Right</t>
  </si>
  <si>
    <t>B30x50-Story3-4-L</t>
  </si>
  <si>
    <t>98-Left</t>
  </si>
  <si>
    <t>98-Right</t>
  </si>
  <si>
    <t>B30x50-Story3-5-L</t>
  </si>
  <si>
    <t>101-Left</t>
  </si>
  <si>
    <t>101-Right</t>
  </si>
  <si>
    <t>B30x50-Story3-6-L</t>
  </si>
  <si>
    <t>104-Left</t>
  </si>
  <si>
    <t>104-Right</t>
  </si>
  <si>
    <t>B30x50-Story3-D-F</t>
  </si>
  <si>
    <t>120-Left</t>
  </si>
  <si>
    <t>120-Right</t>
  </si>
  <si>
    <t>B30x50-Story3-D-M</t>
  </si>
  <si>
    <t>121-Left</t>
  </si>
  <si>
    <t>121-Right</t>
  </si>
  <si>
    <t>122-Left</t>
  </si>
  <si>
    <t>122-Right</t>
  </si>
  <si>
    <t>123-Left</t>
  </si>
  <si>
    <t>123-Right</t>
  </si>
  <si>
    <t>B30x50-Story3-D-L</t>
  </si>
  <si>
    <t>124-Left</t>
  </si>
  <si>
    <t>124-Right</t>
  </si>
  <si>
    <t>B30x50-Story2-A-F</t>
  </si>
  <si>
    <t>167-Left</t>
  </si>
  <si>
    <t>167-Right</t>
  </si>
  <si>
    <t>B30x50-Story2-A-M</t>
  </si>
  <si>
    <t>168-Left</t>
  </si>
  <si>
    <t>168-Right</t>
  </si>
  <si>
    <t>169-Left</t>
  </si>
  <si>
    <t>169-Right</t>
  </si>
  <si>
    <t>170-Left</t>
  </si>
  <si>
    <t>170-Right</t>
  </si>
  <si>
    <t>B30x50-Story2-A-L</t>
  </si>
  <si>
    <t>171-Left</t>
  </si>
  <si>
    <t>171-Right</t>
  </si>
  <si>
    <t>B30x50-Story2-1-F</t>
  </si>
  <si>
    <t>149-Left</t>
  </si>
  <si>
    <t>149-Right</t>
  </si>
  <si>
    <t>B30x50-Story2-2-F</t>
  </si>
  <si>
    <t>152-Left</t>
  </si>
  <si>
    <t>152-Right</t>
  </si>
  <si>
    <t>B30x50-Story2-3-F</t>
  </si>
  <si>
    <t>155-Left</t>
  </si>
  <si>
    <t>155-Right</t>
  </si>
  <si>
    <t>B30x50-Story2-4-F</t>
  </si>
  <si>
    <t>158-Left</t>
  </si>
  <si>
    <t>158-Right</t>
  </si>
  <si>
    <t>B30x50-Story2-5-F</t>
  </si>
  <si>
    <t>161-Left</t>
  </si>
  <si>
    <t>161-Right</t>
  </si>
  <si>
    <t>B30x50-Story2-6-F</t>
  </si>
  <si>
    <t>164-Left</t>
  </si>
  <si>
    <t>164-Right</t>
  </si>
  <si>
    <t>B30x50-Story2-B-F</t>
  </si>
  <si>
    <t>172-Left</t>
  </si>
  <si>
    <t>172-Right</t>
  </si>
  <si>
    <t>B30x50-Story2-B-M</t>
  </si>
  <si>
    <t>173-Left</t>
  </si>
  <si>
    <t>173-Right</t>
  </si>
  <si>
    <t>174-Left</t>
  </si>
  <si>
    <t>174-Right</t>
  </si>
  <si>
    <t>175-Left</t>
  </si>
  <si>
    <t>175-Right</t>
  </si>
  <si>
    <t>B30x50-Story2-B-L</t>
  </si>
  <si>
    <t>176-Left</t>
  </si>
  <si>
    <t>176-Right</t>
  </si>
  <si>
    <t>B30x50-Story2-1-M</t>
  </si>
  <si>
    <t>150-Left</t>
  </si>
  <si>
    <t>150-Right</t>
  </si>
  <si>
    <t>B30x50-Story2-2-M</t>
  </si>
  <si>
    <t>153-Left</t>
  </si>
  <si>
    <t>153-Right</t>
  </si>
  <si>
    <t>B30x50-Story2-3-M</t>
  </si>
  <si>
    <t>156-Left</t>
  </si>
  <si>
    <t>156-Right</t>
  </si>
  <si>
    <t>B30x50-Story2-4-M</t>
  </si>
  <si>
    <t>159-Left</t>
  </si>
  <si>
    <t>159-Right</t>
  </si>
  <si>
    <t>B30x50-Story2-5-M</t>
  </si>
  <si>
    <t>162-Left</t>
  </si>
  <si>
    <t>162-Right</t>
  </si>
  <si>
    <t>B30x50-Story2-6-M</t>
  </si>
  <si>
    <t>165-Left</t>
  </si>
  <si>
    <t>165-Right</t>
  </si>
  <si>
    <t>B30x50-Story2-C-F</t>
  </si>
  <si>
    <t>177-Left</t>
  </si>
  <si>
    <t>177-Right</t>
  </si>
  <si>
    <t>B30x50-Story2-C-M</t>
  </si>
  <si>
    <t>178-Left</t>
  </si>
  <si>
    <t>178-Right</t>
  </si>
  <si>
    <t>179-Left</t>
  </si>
  <si>
    <t>179-Right</t>
  </si>
  <si>
    <t>180-Left</t>
  </si>
  <si>
    <t>180-Right</t>
  </si>
  <si>
    <t>B30x50-Story2-C-L</t>
  </si>
  <si>
    <t>181-Left</t>
  </si>
  <si>
    <t>181-Right</t>
  </si>
  <si>
    <t>B30x50-Story2-1-L</t>
  </si>
  <si>
    <t>151-Left</t>
  </si>
  <si>
    <t>151-Right</t>
  </si>
  <si>
    <t>B30x50-Story2-2-L</t>
  </si>
  <si>
    <t>154-Left</t>
  </si>
  <si>
    <t>154-Right</t>
  </si>
  <si>
    <t>B30x50-Story2-3-L</t>
  </si>
  <si>
    <t>157-Left</t>
  </si>
  <si>
    <t>157-Right</t>
  </si>
  <si>
    <t>B30x50-Story2-4-L</t>
  </si>
  <si>
    <t>160-Left</t>
  </si>
  <si>
    <t>160-Right</t>
  </si>
  <si>
    <t>B30x50-Story2-5-L</t>
  </si>
  <si>
    <t>163-Left</t>
  </si>
  <si>
    <t>163-Right</t>
  </si>
  <si>
    <t>B30x50-Story2-6-L</t>
  </si>
  <si>
    <t>166-Left</t>
  </si>
  <si>
    <t>166-Right</t>
  </si>
  <si>
    <t>B30x50-Story2-D-F</t>
  </si>
  <si>
    <t>182-Left</t>
  </si>
  <si>
    <t>182-Right</t>
  </si>
  <si>
    <t>B30x50-Story2-D-M</t>
  </si>
  <si>
    <t>183-Left</t>
  </si>
  <si>
    <t>183-Right</t>
  </si>
  <si>
    <t>184-Left</t>
  </si>
  <si>
    <t>184-Right</t>
  </si>
  <si>
    <t>185-Left</t>
  </si>
  <si>
    <t>185-Right</t>
  </si>
  <si>
    <t>B30x50-Story2-D-L</t>
  </si>
  <si>
    <t>186-Left</t>
  </si>
  <si>
    <t>186-Right</t>
  </si>
  <si>
    <t>B30x50-Story1-A-F</t>
  </si>
  <si>
    <t>43-Left</t>
  </si>
  <si>
    <t>43-Right</t>
  </si>
  <si>
    <t>B30x50-Story1-A-M</t>
  </si>
  <si>
    <t>44-Left</t>
  </si>
  <si>
    <t>44-Right</t>
  </si>
  <si>
    <t>45-Left</t>
  </si>
  <si>
    <t>45-Right</t>
  </si>
  <si>
    <t>46-Left</t>
  </si>
  <si>
    <t>46-Right</t>
  </si>
  <si>
    <t>B30x50-Story1-A-L</t>
  </si>
  <si>
    <t>47-Left</t>
  </si>
  <si>
    <t>47-Right</t>
  </si>
  <si>
    <t>B30x50-Story1-1-F</t>
  </si>
  <si>
    <t>25-Left</t>
  </si>
  <si>
    <t>25-Right</t>
  </si>
  <si>
    <t>B30x50-Story1-2-F</t>
  </si>
  <si>
    <t>28-Left</t>
  </si>
  <si>
    <t>28-Right</t>
  </si>
  <si>
    <t>B30x50-Story1-3-F</t>
  </si>
  <si>
    <t>31-Left</t>
  </si>
  <si>
    <t>31-Right</t>
  </si>
  <si>
    <t>B30x50-Story1-4-F</t>
  </si>
  <si>
    <t>34-Left</t>
  </si>
  <si>
    <t>34-Right</t>
  </si>
  <si>
    <t>B30x50-Story1-5-F</t>
  </si>
  <si>
    <t>37-Left</t>
  </si>
  <si>
    <t>37-Right</t>
  </si>
  <si>
    <t>B30x50-Story1-6-F</t>
  </si>
  <si>
    <t>40-Left</t>
  </si>
  <si>
    <t>40-Right</t>
  </si>
  <si>
    <t>B30x50-Story1-B-F</t>
  </si>
  <si>
    <t>48-Left</t>
  </si>
  <si>
    <t>48-Right</t>
  </si>
  <si>
    <t>B30x50-Story1-B-M</t>
  </si>
  <si>
    <t>49-Left</t>
  </si>
  <si>
    <t>49-Right</t>
  </si>
  <si>
    <t>50-Left</t>
  </si>
  <si>
    <t>50-Right</t>
  </si>
  <si>
    <t>51-Left</t>
  </si>
  <si>
    <t>51-Right</t>
  </si>
  <si>
    <t>B30x50-Story1-B-L</t>
  </si>
  <si>
    <t>52-Left</t>
  </si>
  <si>
    <t>52-Right</t>
  </si>
  <si>
    <t>B30x50-Story1-1-M</t>
  </si>
  <si>
    <t>26-Left</t>
  </si>
  <si>
    <t>26-Right</t>
  </si>
  <si>
    <t>B30x50-Story1-2-M</t>
  </si>
  <si>
    <t>29-Left</t>
  </si>
  <si>
    <t>29-Right</t>
  </si>
  <si>
    <t>B30x50-Story1-3-M</t>
  </si>
  <si>
    <t>32-Left</t>
  </si>
  <si>
    <t>32-Right</t>
  </si>
  <si>
    <t>B30x50-Story1-4-M</t>
  </si>
  <si>
    <t>35-Left</t>
  </si>
  <si>
    <t>35-Right</t>
  </si>
  <si>
    <t>B30x50-Story1-5-M</t>
  </si>
  <si>
    <t>38-Left</t>
  </si>
  <si>
    <t>38-Right</t>
  </si>
  <si>
    <t>B30x50-Story1-6-M</t>
  </si>
  <si>
    <t>41-Left</t>
  </si>
  <si>
    <t>41-Right</t>
  </si>
  <si>
    <t>B30x50-Story1-C-F</t>
  </si>
  <si>
    <t>53-Left</t>
  </si>
  <si>
    <t>53-Right</t>
  </si>
  <si>
    <t>B30x50-Story1-C-M</t>
  </si>
  <si>
    <t>54-Left</t>
  </si>
  <si>
    <t>54-Right</t>
  </si>
  <si>
    <t>55-Left</t>
  </si>
  <si>
    <t>55-Right</t>
  </si>
  <si>
    <t>56-Left</t>
  </si>
  <si>
    <t>56-Right</t>
  </si>
  <si>
    <t>B30x50-Story1-C-L</t>
  </si>
  <si>
    <t>57-Left</t>
  </si>
  <si>
    <t>57-Right</t>
  </si>
  <si>
    <t>B30x50-Story1-1-L</t>
  </si>
  <si>
    <t>27-Left</t>
  </si>
  <si>
    <t>27-Right</t>
  </si>
  <si>
    <t>B30x50-Story1-2-L</t>
  </si>
  <si>
    <t>30-Left</t>
  </si>
  <si>
    <t>30-Right</t>
  </si>
  <si>
    <t>B30x50-Story1-3-L</t>
  </si>
  <si>
    <t>33-Left</t>
  </si>
  <si>
    <t>33-Right</t>
  </si>
  <si>
    <t>B30x50-Story1-4-L</t>
  </si>
  <si>
    <t>36-Left</t>
  </si>
  <si>
    <t>36-Right</t>
  </si>
  <si>
    <t>B30x50-Story1-5-L</t>
  </si>
  <si>
    <t>39-Left</t>
  </si>
  <si>
    <t>39-Right</t>
  </si>
  <si>
    <t>B30x50-Story1-6-L</t>
  </si>
  <si>
    <t>42-Left</t>
  </si>
  <si>
    <t>42-Right</t>
  </si>
  <si>
    <t>B30x50-Story1-D-F</t>
  </si>
  <si>
    <t>58-Left</t>
  </si>
  <si>
    <t>58-Right</t>
  </si>
  <si>
    <t>B30x50-Story1-D-M</t>
  </si>
  <si>
    <t>59-Left</t>
  </si>
  <si>
    <t>59-Right</t>
  </si>
  <si>
    <t>60-Left</t>
  </si>
  <si>
    <t>60-Right</t>
  </si>
  <si>
    <t>61-Left</t>
  </si>
  <si>
    <t>61-Right</t>
  </si>
  <si>
    <t>B30x50-Story1-D-L</t>
  </si>
  <si>
    <t>62-Left</t>
  </si>
  <si>
    <t>62-Right</t>
  </si>
  <si>
    <t>-</t>
  </si>
  <si>
    <t>Sınırlı Hasar Performans Seviyesi</t>
  </si>
  <si>
    <t>C25/30</t>
  </si>
  <si>
    <t>S420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</si>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</sst>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2"/>
      <color rgb="FFFF0000"/>
      <name val="Calibri"/>
      <family val="2"/>
      <charset val="162"/>
    </font>
    <font>
      <sz val="10"/>
      <color theme="0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3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(DD3,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8.0845889803823004E-7</c:v>
                </c:pt>
                <c:pt idx="1">
                  <c:v>5.0407872063773561E-4</c:v>
                </c:pt>
                <c:pt idx="2">
                  <c:v>1.007348982377433E-3</c:v>
                </c:pt>
                <c:pt idx="3">
                  <c:v>1.5106192441171305E-3</c:v>
                </c:pt>
                <c:pt idx="4">
                  <c:v>2.0138895058568278E-3</c:v>
                </c:pt>
                <c:pt idx="5">
                  <c:v>2.5171597675965256E-3</c:v>
                </c:pt>
                <c:pt idx="6">
                  <c:v>3.0204300293362233E-3</c:v>
                </c:pt>
                <c:pt idx="7">
                  <c:v>3.523700291075921E-3</c:v>
                </c:pt>
                <c:pt idx="8">
                  <c:v>4.0269705528156183E-3</c:v>
                </c:pt>
                <c:pt idx="9">
                  <c:v>4.530240814555316E-3</c:v>
                </c:pt>
                <c:pt idx="10">
                  <c:v>5.0335110762950138E-3</c:v>
                </c:pt>
                <c:pt idx="11">
                  <c:v>5.5367813380347115E-3</c:v>
                </c:pt>
                <c:pt idx="12">
                  <c:v>6.0400515997744084E-3</c:v>
                </c:pt>
                <c:pt idx="13">
                  <c:v>6.5433218615141061E-3</c:v>
                </c:pt>
                <c:pt idx="14">
                  <c:v>7.0465921232538021E-3</c:v>
                </c:pt>
                <c:pt idx="15">
                  <c:v>7.549862384993499E-3</c:v>
                </c:pt>
                <c:pt idx="16">
                  <c:v>8.0531326467331958E-3</c:v>
                </c:pt>
                <c:pt idx="17">
                  <c:v>8.5564029084728935E-3</c:v>
                </c:pt>
                <c:pt idx="18">
                  <c:v>9.0596731702125913E-3</c:v>
                </c:pt>
                <c:pt idx="19">
                  <c:v>9.5629434319522873E-3</c:v>
                </c:pt>
                <c:pt idx="20">
                  <c:v>1.0066213693691983E-2</c:v>
                </c:pt>
                <c:pt idx="21">
                  <c:v>1.0569483955431681E-2</c:v>
                </c:pt>
                <c:pt idx="22">
                  <c:v>1.1072754217171377E-2</c:v>
                </c:pt>
                <c:pt idx="23">
                  <c:v>1.1576024478911075E-2</c:v>
                </c:pt>
                <c:pt idx="24">
                  <c:v>1.2079294740650771E-2</c:v>
                </c:pt>
                <c:pt idx="25">
                  <c:v>1.258256500239047E-2</c:v>
                </c:pt>
                <c:pt idx="26">
                  <c:v>1.3085835264130168E-2</c:v>
                </c:pt>
                <c:pt idx="27">
                  <c:v>1.3589105525869866E-2</c:v>
                </c:pt>
                <c:pt idx="28">
                  <c:v>1.4092375787609563E-2</c:v>
                </c:pt>
                <c:pt idx="29">
                  <c:v>1.4595646049349261E-2</c:v>
                </c:pt>
                <c:pt idx="30">
                  <c:v>1.5098916311088962E-2</c:v>
                </c:pt>
                <c:pt idx="31">
                  <c:v>1.560218657282866E-2</c:v>
                </c:pt>
                <c:pt idx="32">
                  <c:v>1.6105456834568356E-2</c:v>
                </c:pt>
                <c:pt idx="33">
                  <c:v>1.6608727096308055E-2</c:v>
                </c:pt>
                <c:pt idx="34">
                  <c:v>1.7111997358047751E-2</c:v>
                </c:pt>
                <c:pt idx="35">
                  <c:v>1.7615267619787454E-2</c:v>
                </c:pt>
                <c:pt idx="36">
                  <c:v>1.811853788152715E-2</c:v>
                </c:pt>
                <c:pt idx="37">
                  <c:v>1.862180814326685E-2</c:v>
                </c:pt>
                <c:pt idx="38">
                  <c:v>1.9125078405006546E-2</c:v>
                </c:pt>
                <c:pt idx="39">
                  <c:v>1.9628348666746245E-2</c:v>
                </c:pt>
                <c:pt idx="40">
                  <c:v>2.0131618928485945E-2</c:v>
                </c:pt>
                <c:pt idx="41">
                  <c:v>2.0634889190225641E-2</c:v>
                </c:pt>
                <c:pt idx="42">
                  <c:v>2.113815945196534E-2</c:v>
                </c:pt>
                <c:pt idx="43">
                  <c:v>2.1641429713705036E-2</c:v>
                </c:pt>
                <c:pt idx="44">
                  <c:v>2.2144699975444736E-2</c:v>
                </c:pt>
                <c:pt idx="45">
                  <c:v>2.2647970237184435E-2</c:v>
                </c:pt>
                <c:pt idx="46">
                  <c:v>2.3151240498924131E-2</c:v>
                </c:pt>
                <c:pt idx="47">
                  <c:v>2.3654510760663827E-2</c:v>
                </c:pt>
                <c:pt idx="48">
                  <c:v>2.415778102240353E-2</c:v>
                </c:pt>
                <c:pt idx="49">
                  <c:v>2.466105128414323E-2</c:v>
                </c:pt>
                <c:pt idx="50">
                  <c:v>2.5164321545882926E-2</c:v>
                </c:pt>
                <c:pt idx="51">
                  <c:v>2.5667591807622625E-2</c:v>
                </c:pt>
                <c:pt idx="52">
                  <c:v>2.6170862069362321E-2</c:v>
                </c:pt>
                <c:pt idx="53">
                  <c:v>2.6674132331102021E-2</c:v>
                </c:pt>
                <c:pt idx="54">
                  <c:v>2.7177402592841716E-2</c:v>
                </c:pt>
                <c:pt idx="55">
                  <c:v>2.7680672854581416E-2</c:v>
                </c:pt>
                <c:pt idx="56">
                  <c:v>2.8183943116321112E-2</c:v>
                </c:pt>
                <c:pt idx="57">
                  <c:v>2.8687213378060811E-2</c:v>
                </c:pt>
                <c:pt idx="58">
                  <c:v>2.9190483639800514E-2</c:v>
                </c:pt>
                <c:pt idx="59">
                  <c:v>2.969375390154021E-2</c:v>
                </c:pt>
                <c:pt idx="60">
                  <c:v>3.0197024163279889E-2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7.3216463148574428E-16</c:v>
                </c:pt>
                <c:pt idx="1">
                  <c:v>1.1564151421366714E-2</c:v>
                </c:pt>
                <c:pt idx="2">
                  <c:v>2.3122428431927061E-2</c:v>
                </c:pt>
                <c:pt idx="3">
                  <c:v>3.4681321705044517E-2</c:v>
                </c:pt>
                <c:pt idx="4">
                  <c:v>4.623979629257173E-2</c:v>
                </c:pt>
                <c:pt idx="5">
                  <c:v>5.7797958874643743E-2</c:v>
                </c:pt>
                <c:pt idx="6">
                  <c:v>6.9355646416985994E-2</c:v>
                </c:pt>
                <c:pt idx="7">
                  <c:v>8.090987238465884E-2</c:v>
                </c:pt>
                <c:pt idx="8">
                  <c:v>9.2464689041092382E-2</c:v>
                </c:pt>
                <c:pt idx="9">
                  <c:v>0.10401962804252564</c:v>
                </c:pt>
                <c:pt idx="10">
                  <c:v>0.11557456713925021</c:v>
                </c:pt>
                <c:pt idx="11">
                  <c:v>0.12712921016504716</c:v>
                </c:pt>
                <c:pt idx="12">
                  <c:v>0.13868372657913869</c:v>
                </c:pt>
                <c:pt idx="13">
                  <c:v>0.15023365174613915</c:v>
                </c:pt>
                <c:pt idx="14">
                  <c:v>0.16178271225407656</c:v>
                </c:pt>
                <c:pt idx="15">
                  <c:v>0.17333008918164128</c:v>
                </c:pt>
                <c:pt idx="16">
                  <c:v>0.18487837491167589</c:v>
                </c:pt>
                <c:pt idx="17">
                  <c:v>0.19642630318318757</c:v>
                </c:pt>
                <c:pt idx="18">
                  <c:v>0.20797392902934503</c:v>
                </c:pt>
                <c:pt idx="19">
                  <c:v>0.21952272921221783</c:v>
                </c:pt>
                <c:pt idx="20">
                  <c:v>0.23106884491029114</c:v>
                </c:pt>
                <c:pt idx="21">
                  <c:v>0.24261569357011903</c:v>
                </c:pt>
                <c:pt idx="22">
                  <c:v>0.25416287563873119</c:v>
                </c:pt>
                <c:pt idx="23">
                  <c:v>0.26570508334587134</c:v>
                </c:pt>
                <c:pt idx="24">
                  <c:v>0.27724903100755988</c:v>
                </c:pt>
                <c:pt idx="25">
                  <c:v>0.2887921842631504</c:v>
                </c:pt>
                <c:pt idx="26">
                  <c:v>0.30033568317317766</c:v>
                </c:pt>
                <c:pt idx="27">
                  <c:v>0.31187908397704989</c:v>
                </c:pt>
                <c:pt idx="28">
                  <c:v>0.32342269143385194</c:v>
                </c:pt>
                <c:pt idx="29">
                  <c:v>0.33493559695635927</c:v>
                </c:pt>
                <c:pt idx="30">
                  <c:v>0.34646511585226103</c:v>
                </c:pt>
                <c:pt idx="31">
                  <c:v>0.35799300868847039</c:v>
                </c:pt>
                <c:pt idx="32">
                  <c:v>0.36951982310709142</c:v>
                </c:pt>
                <c:pt idx="33">
                  <c:v>0.38104547051907273</c:v>
                </c:pt>
                <c:pt idx="34">
                  <c:v>0.39256755409574579</c:v>
                </c:pt>
                <c:pt idx="35">
                  <c:v>0.40406915099904134</c:v>
                </c:pt>
                <c:pt idx="36">
                  <c:v>0.41558042059255812</c:v>
                </c:pt>
                <c:pt idx="37">
                  <c:v>0.42709071119036296</c:v>
                </c:pt>
                <c:pt idx="38">
                  <c:v>0.43854283520234699</c:v>
                </c:pt>
                <c:pt idx="39">
                  <c:v>0.45001846693003467</c:v>
                </c:pt>
                <c:pt idx="40">
                  <c:v>0.46146274200433668</c:v>
                </c:pt>
                <c:pt idx="41">
                  <c:v>0.47290720568017997</c:v>
                </c:pt>
                <c:pt idx="42">
                  <c:v>0.4842219623043294</c:v>
                </c:pt>
                <c:pt idx="43">
                  <c:v>0.49559151178435795</c:v>
                </c:pt>
                <c:pt idx="44">
                  <c:v>0.5069445252625524</c:v>
                </c:pt>
                <c:pt idx="45">
                  <c:v>0.51798640513317806</c:v>
                </c:pt>
                <c:pt idx="46">
                  <c:v>0.52913916879294665</c:v>
                </c:pt>
                <c:pt idx="47">
                  <c:v>0.54029265788138436</c:v>
                </c:pt>
                <c:pt idx="48">
                  <c:v>0.55144608975204978</c:v>
                </c:pt>
                <c:pt idx="49">
                  <c:v>0.56259774758734393</c:v>
                </c:pt>
                <c:pt idx="50">
                  <c:v>0.57374988259916515</c:v>
                </c:pt>
                <c:pt idx="51">
                  <c:v>0.58490188651882624</c:v>
                </c:pt>
                <c:pt idx="52">
                  <c:v>0.59605220512729795</c:v>
                </c:pt>
                <c:pt idx="53">
                  <c:v>0.60720097214066859</c:v>
                </c:pt>
                <c:pt idx="54">
                  <c:v>0.61781687659388629</c:v>
                </c:pt>
                <c:pt idx="55">
                  <c:v>0.62861462099810528</c:v>
                </c:pt>
                <c:pt idx="56">
                  <c:v>0.63941381177805279</c:v>
                </c:pt>
                <c:pt idx="57">
                  <c:v>0.6502027424448581</c:v>
                </c:pt>
                <c:pt idx="58">
                  <c:v>0.66095229290657787</c:v>
                </c:pt>
                <c:pt idx="59">
                  <c:v>0.6717096364112215</c:v>
                </c:pt>
                <c:pt idx="60">
                  <c:v>0.68246128014461738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(+X)'!$S$6:$S$60</c:f>
              <c:numCache>
                <c:formatCode>0.000</c:formatCode>
                <c:ptCount val="55"/>
                <c:pt idx="0">
                  <c:v>8.0845889803823004E-7</c:v>
                </c:pt>
                <c:pt idx="1">
                  <c:v>6.0473274348583428E-4</c:v>
                </c:pt>
                <c:pt idx="2">
                  <c:v>1.2086570280736304E-3</c:v>
                </c:pt>
                <c:pt idx="3">
                  <c:v>1.8125813126614264E-3</c:v>
                </c:pt>
                <c:pt idx="4">
                  <c:v>2.4165055972492225E-3</c:v>
                </c:pt>
                <c:pt idx="5">
                  <c:v>3.0204298818370186E-3</c:v>
                </c:pt>
                <c:pt idx="6">
                  <c:v>3.6243541664248147E-3</c:v>
                </c:pt>
                <c:pt idx="7">
                  <c:v>4.2282784510126112E-3</c:v>
                </c:pt>
                <c:pt idx="8">
                  <c:v>4.8322027356004068E-3</c:v>
                </c:pt>
                <c:pt idx="9">
                  <c:v>5.4361270201882025E-3</c:v>
                </c:pt>
                <c:pt idx="10">
                  <c:v>6.0400513047759981E-3</c:v>
                </c:pt>
                <c:pt idx="11">
                  <c:v>6.0400513047759981E-3</c:v>
                </c:pt>
                <c:pt idx="12">
                  <c:v>6.6439755893637938E-3</c:v>
                </c:pt>
                <c:pt idx="13">
                  <c:v>7.2478998739515894E-3</c:v>
                </c:pt>
                <c:pt idx="14">
                  <c:v>7.851824158539385E-3</c:v>
                </c:pt>
                <c:pt idx="15">
                  <c:v>8.4557484431271798E-3</c:v>
                </c:pt>
                <c:pt idx="16">
                  <c:v>9.0596727277149746E-3</c:v>
                </c:pt>
                <c:pt idx="17">
                  <c:v>9.6635970123027711E-3</c:v>
                </c:pt>
                <c:pt idx="18">
                  <c:v>1.0267521296890566E-2</c:v>
                </c:pt>
                <c:pt idx="19">
                  <c:v>1.0871445581478362E-2</c:v>
                </c:pt>
                <c:pt idx="20">
                  <c:v>1.1475369866066157E-2</c:v>
                </c:pt>
                <c:pt idx="21">
                  <c:v>1.2079294150653954E-2</c:v>
                </c:pt>
                <c:pt idx="22">
                  <c:v>1.2079294150653954E-2</c:v>
                </c:pt>
                <c:pt idx="23">
                  <c:v>1.2683218435241748E-2</c:v>
                </c:pt>
                <c:pt idx="24">
                  <c:v>1.3287142719829543E-2</c:v>
                </c:pt>
                <c:pt idx="25">
                  <c:v>1.389106700441734E-2</c:v>
                </c:pt>
                <c:pt idx="26">
                  <c:v>1.4494991289005135E-2</c:v>
                </c:pt>
                <c:pt idx="27">
                  <c:v>1.5098915573592929E-2</c:v>
                </c:pt>
                <c:pt idx="28">
                  <c:v>1.5702839858180724E-2</c:v>
                </c:pt>
                <c:pt idx="29">
                  <c:v>1.6306764142768521E-2</c:v>
                </c:pt>
                <c:pt idx="30">
                  <c:v>1.6910688427356317E-2</c:v>
                </c:pt>
                <c:pt idx="31">
                  <c:v>1.751461271194411E-2</c:v>
                </c:pt>
                <c:pt idx="32">
                  <c:v>1.8118536996531907E-2</c:v>
                </c:pt>
                <c:pt idx="33">
                  <c:v>1.8118536996531907E-2</c:v>
                </c:pt>
                <c:pt idx="34">
                  <c:v>1.8722461281119703E-2</c:v>
                </c:pt>
                <c:pt idx="35">
                  <c:v>1.9326385565707496E-2</c:v>
                </c:pt>
                <c:pt idx="36">
                  <c:v>1.9930309850295293E-2</c:v>
                </c:pt>
                <c:pt idx="37">
                  <c:v>2.0534234134883089E-2</c:v>
                </c:pt>
                <c:pt idx="38">
                  <c:v>2.1138158419470886E-2</c:v>
                </c:pt>
                <c:pt idx="39">
                  <c:v>2.1742082704058682E-2</c:v>
                </c:pt>
                <c:pt idx="40">
                  <c:v>2.2346006988646479E-2</c:v>
                </c:pt>
                <c:pt idx="41">
                  <c:v>2.2949931273234272E-2</c:v>
                </c:pt>
                <c:pt idx="42">
                  <c:v>2.3553855557822068E-2</c:v>
                </c:pt>
                <c:pt idx="43">
                  <c:v>2.4157779842409865E-2</c:v>
                </c:pt>
                <c:pt idx="44">
                  <c:v>2.4157779842409865E-2</c:v>
                </c:pt>
                <c:pt idx="45">
                  <c:v>2.4761704126997658E-2</c:v>
                </c:pt>
                <c:pt idx="46">
                  <c:v>2.5365628411585458E-2</c:v>
                </c:pt>
                <c:pt idx="47">
                  <c:v>2.5969552696173251E-2</c:v>
                </c:pt>
                <c:pt idx="48">
                  <c:v>2.6573476980761047E-2</c:v>
                </c:pt>
                <c:pt idx="49">
                  <c:v>2.7177401265348844E-2</c:v>
                </c:pt>
                <c:pt idx="50">
                  <c:v>2.7781325549936637E-2</c:v>
                </c:pt>
                <c:pt idx="51">
                  <c:v>2.8385249834524437E-2</c:v>
                </c:pt>
                <c:pt idx="52">
                  <c:v>2.898917411911223E-2</c:v>
                </c:pt>
                <c:pt idx="53">
                  <c:v>2.9593098403700027E-2</c:v>
                </c:pt>
                <c:pt idx="54">
                  <c:v>3.019702268828782E-2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7.3216463148574428E-16</c:v>
                </c:pt>
                <c:pt idx="1">
                  <c:v>1.3876981027677215E-2</c:v>
                </c:pt>
                <c:pt idx="2">
                  <c:v>2.7746121320727356E-2</c:v>
                </c:pt>
                <c:pt idx="3">
                  <c:v>4.1616737597372021E-2</c:v>
                </c:pt>
                <c:pt idx="4">
                  <c:v>5.5486259297665513E-2</c:v>
                </c:pt>
                <c:pt idx="5">
                  <c:v>6.9355804255922276E-2</c:v>
                </c:pt>
                <c:pt idx="6">
                  <c:v>8.3220957268880916E-2</c:v>
                </c:pt>
                <c:pt idx="7">
                  <c:v>9.7086639206950612E-2</c:v>
                </c:pt>
                <c:pt idx="8">
                  <c:v>0.11095256539060555</c:v>
                </c:pt>
                <c:pt idx="9">
                  <c:v>0.12481823049584188</c:v>
                </c:pt>
                <c:pt idx="10">
                  <c:v>0.13868375424299409</c:v>
                </c:pt>
                <c:pt idx="11">
                  <c:v>0.13868375424299409</c:v>
                </c:pt>
                <c:pt idx="12">
                  <c:v>0.15255485583523429</c:v>
                </c:pt>
                <c:pt idx="13">
                  <c:v>0.16642355179490534</c:v>
                </c:pt>
                <c:pt idx="14">
                  <c:v>0.18028989271095025</c:v>
                </c:pt>
                <c:pt idx="15">
                  <c:v>0.19415745601034781</c:v>
                </c:pt>
                <c:pt idx="16">
                  <c:v>0.20802469932530146</c:v>
                </c:pt>
                <c:pt idx="17">
                  <c:v>0.2218928566573051</c:v>
                </c:pt>
                <c:pt idx="18">
                  <c:v>0.23575811714350184</c:v>
                </c:pt>
                <c:pt idx="19">
                  <c:v>0.24962446393330209</c:v>
                </c:pt>
                <c:pt idx="20">
                  <c:v>0.26349102440563421</c:v>
                </c:pt>
                <c:pt idx="21">
                  <c:v>0.27734933670658973</c:v>
                </c:pt>
                <c:pt idx="22">
                  <c:v>0.27734933670658973</c:v>
                </c:pt>
                <c:pt idx="23">
                  <c:v>0.29121026053270727</c:v>
                </c:pt>
                <c:pt idx="24">
                  <c:v>0.30507160615755757</c:v>
                </c:pt>
                <c:pt idx="25">
                  <c:v>0.31893283967232849</c:v>
                </c:pt>
                <c:pt idx="26">
                  <c:v>0.33276718040344755</c:v>
                </c:pt>
                <c:pt idx="27">
                  <c:v>0.34661087306062888</c:v>
                </c:pt>
                <c:pt idx="28">
                  <c:v>0.36045339909605167</c:v>
                </c:pt>
                <c:pt idx="29">
                  <c:v>0.37429461074828163</c:v>
                </c:pt>
                <c:pt idx="30">
                  <c:v>0.38813316391982561</c:v>
                </c:pt>
                <c:pt idx="31">
                  <c:v>0.40194964193053867</c:v>
                </c:pt>
                <c:pt idx="32">
                  <c:v>0.41577138937580077</c:v>
                </c:pt>
                <c:pt idx="33">
                  <c:v>0.41577138937580077</c:v>
                </c:pt>
                <c:pt idx="34">
                  <c:v>0.42960260815685214</c:v>
                </c:pt>
                <c:pt idx="35">
                  <c:v>0.44336056334340551</c:v>
                </c:pt>
                <c:pt idx="36">
                  <c:v>0.45714936472290657</c:v>
                </c:pt>
                <c:pt idx="37">
                  <c:v>0.47088234780668103</c:v>
                </c:pt>
                <c:pt idx="38">
                  <c:v>0.48450251444992953</c:v>
                </c:pt>
                <c:pt idx="39">
                  <c:v>0.49816409433793762</c:v>
                </c:pt>
                <c:pt idx="40">
                  <c:v>0.51177275171741377</c:v>
                </c:pt>
                <c:pt idx="41">
                  <c:v>0.52500933593766175</c:v>
                </c:pt>
                <c:pt idx="42">
                  <c:v>0.53841116776156772</c:v>
                </c:pt>
                <c:pt idx="43">
                  <c:v>0.55181328898359561</c:v>
                </c:pt>
                <c:pt idx="44">
                  <c:v>0.55181328898359561</c:v>
                </c:pt>
                <c:pt idx="45">
                  <c:v>0.56531737073601784</c:v>
                </c:pt>
                <c:pt idx="46">
                  <c:v>0.5788215219870525</c:v>
                </c:pt>
                <c:pt idx="47">
                  <c:v>0.59232442668873353</c:v>
                </c:pt>
                <c:pt idx="48">
                  <c:v>0.6058254084948459</c:v>
                </c:pt>
                <c:pt idx="49">
                  <c:v>0.61876588769227681</c:v>
                </c:pt>
                <c:pt idx="50">
                  <c:v>0.63183833786526344</c:v>
                </c:pt>
                <c:pt idx="51">
                  <c:v>0.6449154503828668</c:v>
                </c:pt>
                <c:pt idx="52">
                  <c:v>0.65794397578395181</c:v>
                </c:pt>
                <c:pt idx="53">
                  <c:v>0.67096311787874285</c:v>
                </c:pt>
                <c:pt idx="54">
                  <c:v>0.68398262110694896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3.0196215905458176E-2</c:v>
                </c:pt>
                <c:pt idx="2">
                  <c:v>3.0196215905458176E-2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0.69774931395894624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(DD3,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2.8668601950986136E-7</c:v>
                </c:pt>
                <c:pt idx="1">
                  <c:v>5.0452901901266642E-4</c:v>
                </c:pt>
                <c:pt idx="2">
                  <c:v>1.0087713520058228E-3</c:v>
                </c:pt>
                <c:pt idx="3">
                  <c:v>1.5130136849989793E-3</c:v>
                </c:pt>
                <c:pt idx="4">
                  <c:v>2.0172560179921358E-3</c:v>
                </c:pt>
                <c:pt idx="5">
                  <c:v>2.5214983509852925E-3</c:v>
                </c:pt>
                <c:pt idx="6">
                  <c:v>3.0257406839784497E-3</c:v>
                </c:pt>
                <c:pt idx="7">
                  <c:v>3.529983016971606E-3</c:v>
                </c:pt>
                <c:pt idx="8">
                  <c:v>4.0342253499647618E-3</c:v>
                </c:pt>
                <c:pt idx="9">
                  <c:v>4.5384676829579185E-3</c:v>
                </c:pt>
                <c:pt idx="10">
                  <c:v>5.0427100159510753E-3</c:v>
                </c:pt>
                <c:pt idx="11">
                  <c:v>5.546952348944232E-3</c:v>
                </c:pt>
                <c:pt idx="12">
                  <c:v>6.0511946819373887E-3</c:v>
                </c:pt>
                <c:pt idx="13">
                  <c:v>6.5554370149305445E-3</c:v>
                </c:pt>
                <c:pt idx="14">
                  <c:v>7.0596793479237013E-3</c:v>
                </c:pt>
                <c:pt idx="15">
                  <c:v>7.5639216809168571E-3</c:v>
                </c:pt>
                <c:pt idx="16">
                  <c:v>8.0681640139100147E-3</c:v>
                </c:pt>
                <c:pt idx="17">
                  <c:v>8.5724063469031705E-3</c:v>
                </c:pt>
                <c:pt idx="18">
                  <c:v>9.0766486798963281E-3</c:v>
                </c:pt>
                <c:pt idx="19">
                  <c:v>9.580891012889484E-3</c:v>
                </c:pt>
                <c:pt idx="20">
                  <c:v>1.008513334588264E-2</c:v>
                </c:pt>
                <c:pt idx="21">
                  <c:v>1.0589375678875796E-2</c:v>
                </c:pt>
                <c:pt idx="22">
                  <c:v>1.1093618011868953E-2</c:v>
                </c:pt>
                <c:pt idx="23">
                  <c:v>1.1597860344862111E-2</c:v>
                </c:pt>
                <c:pt idx="24">
                  <c:v>1.2102102677855268E-2</c:v>
                </c:pt>
                <c:pt idx="25">
                  <c:v>1.2606345010848423E-2</c:v>
                </c:pt>
                <c:pt idx="26">
                  <c:v>1.311058734384158E-2</c:v>
                </c:pt>
                <c:pt idx="27">
                  <c:v>1.3614829676834736E-2</c:v>
                </c:pt>
                <c:pt idx="28">
                  <c:v>1.4119072009827894E-2</c:v>
                </c:pt>
                <c:pt idx="29">
                  <c:v>1.4623314342821051E-2</c:v>
                </c:pt>
                <c:pt idx="30">
                  <c:v>1.5127556675814205E-2</c:v>
                </c:pt>
                <c:pt idx="31">
                  <c:v>1.5631799008807363E-2</c:v>
                </c:pt>
                <c:pt idx="32">
                  <c:v>1.6136041341800519E-2</c:v>
                </c:pt>
                <c:pt idx="33">
                  <c:v>1.6640283674793675E-2</c:v>
                </c:pt>
                <c:pt idx="34">
                  <c:v>1.714452600778683E-2</c:v>
                </c:pt>
                <c:pt idx="35">
                  <c:v>1.764876834077999E-2</c:v>
                </c:pt>
                <c:pt idx="36">
                  <c:v>1.8153010673773146E-2</c:v>
                </c:pt>
                <c:pt idx="37">
                  <c:v>1.8657253006766301E-2</c:v>
                </c:pt>
                <c:pt idx="38">
                  <c:v>1.9161495339759457E-2</c:v>
                </c:pt>
                <c:pt idx="39">
                  <c:v>1.9665737672752613E-2</c:v>
                </c:pt>
                <c:pt idx="40">
                  <c:v>2.0169980005745772E-2</c:v>
                </c:pt>
                <c:pt idx="41">
                  <c:v>2.0674222338738925E-2</c:v>
                </c:pt>
                <c:pt idx="42">
                  <c:v>2.1178464671732084E-2</c:v>
                </c:pt>
                <c:pt idx="43">
                  <c:v>2.168270700472524E-2</c:v>
                </c:pt>
                <c:pt idx="44">
                  <c:v>2.2186949337718396E-2</c:v>
                </c:pt>
                <c:pt idx="45">
                  <c:v>2.2691191670711552E-2</c:v>
                </c:pt>
                <c:pt idx="46">
                  <c:v>2.3195434003704711E-2</c:v>
                </c:pt>
                <c:pt idx="47">
                  <c:v>2.369967633669786E-2</c:v>
                </c:pt>
                <c:pt idx="48">
                  <c:v>2.4203918669691023E-2</c:v>
                </c:pt>
                <c:pt idx="49">
                  <c:v>2.4708161002684175E-2</c:v>
                </c:pt>
                <c:pt idx="50">
                  <c:v>2.5212403335677331E-2</c:v>
                </c:pt>
                <c:pt idx="51">
                  <c:v>2.571664566867049E-2</c:v>
                </c:pt>
                <c:pt idx="52">
                  <c:v>2.6220888001663646E-2</c:v>
                </c:pt>
                <c:pt idx="53">
                  <c:v>2.6725130334656802E-2</c:v>
                </c:pt>
                <c:pt idx="54">
                  <c:v>2.7229372667649958E-2</c:v>
                </c:pt>
                <c:pt idx="55">
                  <c:v>2.7733615000643117E-2</c:v>
                </c:pt>
                <c:pt idx="56">
                  <c:v>2.8237857333636273E-2</c:v>
                </c:pt>
                <c:pt idx="57">
                  <c:v>2.8742099666629425E-2</c:v>
                </c:pt>
                <c:pt idx="58">
                  <c:v>2.9246341999622581E-2</c:v>
                </c:pt>
                <c:pt idx="59">
                  <c:v>2.9750584332615741E-2</c:v>
                </c:pt>
                <c:pt idx="60">
                  <c:v>3.0254826665608896E-2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1.7296241604757826E-14</c:v>
                </c:pt>
                <c:pt idx="1">
                  <c:v>1.1536908205579963E-2</c:v>
                </c:pt>
                <c:pt idx="2">
                  <c:v>2.3075074162289964E-2</c:v>
                </c:pt>
                <c:pt idx="3">
                  <c:v>3.4609771073940712E-2</c:v>
                </c:pt>
                <c:pt idx="4">
                  <c:v>4.6144642190396747E-2</c:v>
                </c:pt>
                <c:pt idx="5">
                  <c:v>5.7679688597544118E-2</c:v>
                </c:pt>
                <c:pt idx="6">
                  <c:v>6.921423742069753E-2</c:v>
                </c:pt>
                <c:pt idx="7">
                  <c:v>8.074842506304486E-2</c:v>
                </c:pt>
                <c:pt idx="8">
                  <c:v>9.2281884562823852E-2</c:v>
                </c:pt>
                <c:pt idx="9">
                  <c:v>0.1038130786985873</c:v>
                </c:pt>
                <c:pt idx="10">
                  <c:v>0.11534085523508085</c:v>
                </c:pt>
                <c:pt idx="11">
                  <c:v>0.12686848865358852</c:v>
                </c:pt>
                <c:pt idx="12">
                  <c:v>0.13839499314379217</c:v>
                </c:pt>
                <c:pt idx="13">
                  <c:v>0.14991796145473635</c:v>
                </c:pt>
                <c:pt idx="14">
                  <c:v>0.16144152252908908</c:v>
                </c:pt>
                <c:pt idx="15">
                  <c:v>0.17296304903528503</c:v>
                </c:pt>
                <c:pt idx="16">
                  <c:v>0.18448390675309639</c:v>
                </c:pt>
                <c:pt idx="17">
                  <c:v>0.19600063056560249</c:v>
                </c:pt>
                <c:pt idx="18">
                  <c:v>0.20751697036925218</c:v>
                </c:pt>
                <c:pt idx="19">
                  <c:v>0.21903315895536596</c:v>
                </c:pt>
                <c:pt idx="20">
                  <c:v>0.23054983783236935</c:v>
                </c:pt>
                <c:pt idx="21">
                  <c:v>0.24206686403695804</c:v>
                </c:pt>
                <c:pt idx="22">
                  <c:v>0.25358429337712124</c:v>
                </c:pt>
                <c:pt idx="23">
                  <c:v>0.26510183565664097</c:v>
                </c:pt>
                <c:pt idx="24">
                  <c:v>0.27661927257096208</c:v>
                </c:pt>
                <c:pt idx="25">
                  <c:v>0.28813761587013398</c:v>
                </c:pt>
                <c:pt idx="26">
                  <c:v>0.29965993274115255</c:v>
                </c:pt>
                <c:pt idx="27">
                  <c:v>0.31118040392147045</c:v>
                </c:pt>
                <c:pt idx="28">
                  <c:v>0.32270023116679641</c:v>
                </c:pt>
                <c:pt idx="29">
                  <c:v>0.33422120605138511</c:v>
                </c:pt>
                <c:pt idx="30">
                  <c:v>0.34574522086186643</c:v>
                </c:pt>
                <c:pt idx="31">
                  <c:v>0.35726945640680657</c:v>
                </c:pt>
                <c:pt idx="32">
                  <c:v>0.36879319121865228</c:v>
                </c:pt>
                <c:pt idx="33">
                  <c:v>0.38031741900222354</c:v>
                </c:pt>
                <c:pt idx="34">
                  <c:v>0.39182942977571772</c:v>
                </c:pt>
                <c:pt idx="35">
                  <c:v>0.40334450399003335</c:v>
                </c:pt>
                <c:pt idx="36">
                  <c:v>0.41485949293294588</c:v>
                </c:pt>
                <c:pt idx="37">
                  <c:v>0.42634678098491074</c:v>
                </c:pt>
                <c:pt idx="38">
                  <c:v>0.43782892334728168</c:v>
                </c:pt>
                <c:pt idx="39">
                  <c:v>0.44929905536601905</c:v>
                </c:pt>
                <c:pt idx="40">
                  <c:v>0.46077710002983263</c:v>
                </c:pt>
                <c:pt idx="41">
                  <c:v>0.47223946840907</c:v>
                </c:pt>
                <c:pt idx="42">
                  <c:v>0.48369696048693517</c:v>
                </c:pt>
                <c:pt idx="43">
                  <c:v>0.49513843744085895</c:v>
                </c:pt>
                <c:pt idx="44">
                  <c:v>0.5065837945272742</c:v>
                </c:pt>
                <c:pt idx="45">
                  <c:v>0.51800607657610664</c:v>
                </c:pt>
                <c:pt idx="46">
                  <c:v>0.52943080077425742</c:v>
                </c:pt>
                <c:pt idx="47">
                  <c:v>0.54079951957127659</c:v>
                </c:pt>
                <c:pt idx="48">
                  <c:v>0.55203409218087773</c:v>
                </c:pt>
                <c:pt idx="49">
                  <c:v>0.56328346681084995</c:v>
                </c:pt>
                <c:pt idx="50">
                  <c:v>0.57445485678915886</c:v>
                </c:pt>
                <c:pt idx="51">
                  <c:v>0.5852778147880503</c:v>
                </c:pt>
                <c:pt idx="52">
                  <c:v>0.5961168551714966</c:v>
                </c:pt>
                <c:pt idx="53">
                  <c:v>0.6070138469362677</c:v>
                </c:pt>
                <c:pt idx="54">
                  <c:v>0.61790999019319626</c:v>
                </c:pt>
                <c:pt idx="55">
                  <c:v>0.62880601840684791</c:v>
                </c:pt>
                <c:pt idx="56">
                  <c:v>0.63970113299460318</c:v>
                </c:pt>
                <c:pt idx="57">
                  <c:v>0.65059635103463409</c:v>
                </c:pt>
                <c:pt idx="58">
                  <c:v>0.66149031089712818</c:v>
                </c:pt>
                <c:pt idx="59">
                  <c:v>0.67238330284259429</c:v>
                </c:pt>
                <c:pt idx="60">
                  <c:v>0.68282520189847185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(+Y)'!$S$6:$S$60</c:f>
              <c:numCache>
                <c:formatCode>0.000</c:formatCode>
                <c:ptCount val="55"/>
                <c:pt idx="0">
                  <c:v>2.8668601950986136E-7</c:v>
                </c:pt>
                <c:pt idx="1">
                  <c:v>6.0537745660219262E-4</c:v>
                </c:pt>
                <c:pt idx="2">
                  <c:v>1.2104682271848754E-3</c:v>
                </c:pt>
                <c:pt idx="3">
                  <c:v>1.8155589977675581E-3</c:v>
                </c:pt>
                <c:pt idx="4">
                  <c:v>2.420649768350241E-3</c:v>
                </c:pt>
                <c:pt idx="5">
                  <c:v>3.0257405389329237E-3</c:v>
                </c:pt>
                <c:pt idx="6">
                  <c:v>3.6308313095156064E-3</c:v>
                </c:pt>
                <c:pt idx="7">
                  <c:v>4.2359220800982896E-3</c:v>
                </c:pt>
                <c:pt idx="8">
                  <c:v>4.8410128506809723E-3</c:v>
                </c:pt>
                <c:pt idx="9">
                  <c:v>5.446103621263655E-3</c:v>
                </c:pt>
                <c:pt idx="10">
                  <c:v>6.0511943918463386E-3</c:v>
                </c:pt>
                <c:pt idx="11">
                  <c:v>6.0511943918463386E-3</c:v>
                </c:pt>
                <c:pt idx="12">
                  <c:v>6.6562851624290213E-3</c:v>
                </c:pt>
                <c:pt idx="13">
                  <c:v>7.2613759330117031E-3</c:v>
                </c:pt>
                <c:pt idx="14">
                  <c:v>7.8664667035943867E-3</c:v>
                </c:pt>
                <c:pt idx="15">
                  <c:v>8.4715574741770685E-3</c:v>
                </c:pt>
                <c:pt idx="16">
                  <c:v>9.0766482447597521E-3</c:v>
                </c:pt>
                <c:pt idx="17">
                  <c:v>9.6817390153424356E-3</c:v>
                </c:pt>
                <c:pt idx="18">
                  <c:v>1.0286829785925117E-2</c:v>
                </c:pt>
                <c:pt idx="19">
                  <c:v>1.0891920556507799E-2</c:v>
                </c:pt>
                <c:pt idx="20">
                  <c:v>1.1497011327090483E-2</c:v>
                </c:pt>
                <c:pt idx="21">
                  <c:v>1.2102102097673165E-2</c:v>
                </c:pt>
                <c:pt idx="22">
                  <c:v>1.2102102097673165E-2</c:v>
                </c:pt>
                <c:pt idx="23">
                  <c:v>1.2707192868255848E-2</c:v>
                </c:pt>
                <c:pt idx="24">
                  <c:v>1.331228363883853E-2</c:v>
                </c:pt>
                <c:pt idx="25">
                  <c:v>1.3917374409421215E-2</c:v>
                </c:pt>
                <c:pt idx="26">
                  <c:v>1.4522465180003897E-2</c:v>
                </c:pt>
                <c:pt idx="27">
                  <c:v>1.5127555950586581E-2</c:v>
                </c:pt>
                <c:pt idx="28">
                  <c:v>1.5732646721169263E-2</c:v>
                </c:pt>
                <c:pt idx="29">
                  <c:v>1.6337737491751946E-2</c:v>
                </c:pt>
                <c:pt idx="30">
                  <c:v>1.6942828262334626E-2</c:v>
                </c:pt>
                <c:pt idx="31">
                  <c:v>1.754791903291731E-2</c:v>
                </c:pt>
                <c:pt idx="32">
                  <c:v>1.8153009803499993E-2</c:v>
                </c:pt>
                <c:pt idx="33">
                  <c:v>1.8153009803499993E-2</c:v>
                </c:pt>
                <c:pt idx="34">
                  <c:v>1.8758100574082677E-2</c:v>
                </c:pt>
                <c:pt idx="35">
                  <c:v>1.9363191344665357E-2</c:v>
                </c:pt>
                <c:pt idx="36">
                  <c:v>1.9968282115248044E-2</c:v>
                </c:pt>
                <c:pt idx="37">
                  <c:v>2.0573372885830724E-2</c:v>
                </c:pt>
                <c:pt idx="38">
                  <c:v>2.1178463656413408E-2</c:v>
                </c:pt>
                <c:pt idx="39">
                  <c:v>2.1783554426996091E-2</c:v>
                </c:pt>
                <c:pt idx="40">
                  <c:v>2.2388645197578775E-2</c:v>
                </c:pt>
                <c:pt idx="41">
                  <c:v>2.2993735968161455E-2</c:v>
                </c:pt>
                <c:pt idx="42">
                  <c:v>2.3598826738744139E-2</c:v>
                </c:pt>
                <c:pt idx="43">
                  <c:v>2.4203917509326815E-2</c:v>
                </c:pt>
                <c:pt idx="44">
                  <c:v>2.4203917509326815E-2</c:v>
                </c:pt>
                <c:pt idx="45">
                  <c:v>2.4809008279909499E-2</c:v>
                </c:pt>
                <c:pt idx="46">
                  <c:v>2.5414099050492175E-2</c:v>
                </c:pt>
                <c:pt idx="47">
                  <c:v>2.6019189821074859E-2</c:v>
                </c:pt>
                <c:pt idx="48">
                  <c:v>2.6624280591657536E-2</c:v>
                </c:pt>
                <c:pt idx="49">
                  <c:v>2.7229371362240219E-2</c:v>
                </c:pt>
                <c:pt idx="50">
                  <c:v>2.7834462132822896E-2</c:v>
                </c:pt>
                <c:pt idx="51">
                  <c:v>2.8439552903405579E-2</c:v>
                </c:pt>
                <c:pt idx="52">
                  <c:v>2.9044643673988256E-2</c:v>
                </c:pt>
                <c:pt idx="53">
                  <c:v>2.964973444457094E-2</c:v>
                </c:pt>
                <c:pt idx="54">
                  <c:v>3.025482521515362E-2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1.7296241604757826E-14</c:v>
                </c:pt>
                <c:pt idx="1">
                  <c:v>1.3844289183202681E-2</c:v>
                </c:pt>
                <c:pt idx="2">
                  <c:v>2.7689009358487185E-2</c:v>
                </c:pt>
                <c:pt idx="3">
                  <c:v>4.1530691181446561E-2</c:v>
                </c:pt>
                <c:pt idx="4">
                  <c:v>5.5372494415672907E-2</c:v>
                </c:pt>
                <c:pt idx="5">
                  <c:v>6.9214164244815579E-2</c:v>
                </c:pt>
                <c:pt idx="6">
                  <c:v>8.3055220447224451E-2</c:v>
                </c:pt>
                <c:pt idx="7">
                  <c:v>9.6894222790482681E-2</c:v>
                </c:pt>
                <c:pt idx="8">
                  <c:v>0.11073185925739393</c:v>
                </c:pt>
                <c:pt idx="9">
                  <c:v>0.12456296765215505</c:v>
                </c:pt>
                <c:pt idx="10">
                  <c:v>0.1383951931621718</c:v>
                </c:pt>
                <c:pt idx="11">
                  <c:v>0.1383951931621718</c:v>
                </c:pt>
                <c:pt idx="12">
                  <c:v>0.1522334657559779</c:v>
                </c:pt>
                <c:pt idx="13">
                  <c:v>0.16607104192270752</c:v>
                </c:pt>
                <c:pt idx="14">
                  <c:v>0.1799059315756896</c:v>
                </c:pt>
                <c:pt idx="15">
                  <c:v>0.19373720537558398</c:v>
                </c:pt>
                <c:pt idx="16">
                  <c:v>0.20756699569975304</c:v>
                </c:pt>
                <c:pt idx="17">
                  <c:v>0.22139572137725336</c:v>
                </c:pt>
                <c:pt idx="18">
                  <c:v>0.23522574952279351</c:v>
                </c:pt>
                <c:pt idx="19">
                  <c:v>0.24905593613242361</c:v>
                </c:pt>
                <c:pt idx="20">
                  <c:v>0.2628867420263904</c:v>
                </c:pt>
                <c:pt idx="21">
                  <c:v>0.2767174009324268</c:v>
                </c:pt>
                <c:pt idx="22">
                  <c:v>0.2767174009324268</c:v>
                </c:pt>
                <c:pt idx="23">
                  <c:v>0.29054994778349419</c:v>
                </c:pt>
                <c:pt idx="24">
                  <c:v>0.30438793513213891</c:v>
                </c:pt>
                <c:pt idx="25">
                  <c:v>0.31822299014944405</c:v>
                </c:pt>
                <c:pt idx="26">
                  <c:v>0.33205810848500472</c:v>
                </c:pt>
                <c:pt idx="27">
                  <c:v>0.34589722628444181</c:v>
                </c:pt>
                <c:pt idx="28">
                  <c:v>0.35973812759311469</c:v>
                </c:pt>
                <c:pt idx="29">
                  <c:v>0.37357759277833813</c:v>
                </c:pt>
                <c:pt idx="30">
                  <c:v>0.38741243363366284</c:v>
                </c:pt>
                <c:pt idx="31">
                  <c:v>0.4012384648248154</c:v>
                </c:pt>
                <c:pt idx="32">
                  <c:v>0.4150677531186896</c:v>
                </c:pt>
                <c:pt idx="33">
                  <c:v>0.4150677531186896</c:v>
                </c:pt>
                <c:pt idx="34">
                  <c:v>0.42887432326906294</c:v>
                </c:pt>
                <c:pt idx="35">
                  <c:v>0.44265148914103808</c:v>
                </c:pt>
                <c:pt idx="36">
                  <c:v>0.45643407519997647</c:v>
                </c:pt>
                <c:pt idx="37">
                  <c:v>0.4702104623917448</c:v>
                </c:pt>
                <c:pt idx="38">
                  <c:v>0.48397363710675934</c:v>
                </c:pt>
                <c:pt idx="39">
                  <c:v>0.49770753227240866</c:v>
                </c:pt>
                <c:pt idx="40">
                  <c:v>0.51145167948198167</c:v>
                </c:pt>
                <c:pt idx="41">
                  <c:v>0.5251610264543084</c:v>
                </c:pt>
                <c:pt idx="42">
                  <c:v>0.53885335810431945</c:v>
                </c:pt>
                <c:pt idx="43">
                  <c:v>0.55235538514792526</c:v>
                </c:pt>
                <c:pt idx="44">
                  <c:v>0.55235538514792526</c:v>
                </c:pt>
                <c:pt idx="45">
                  <c:v>0.56594579529250399</c:v>
                </c:pt>
                <c:pt idx="46">
                  <c:v>0.57931152926210538</c:v>
                </c:pt>
                <c:pt idx="47">
                  <c:v>0.59232885405001356</c:v>
                </c:pt>
                <c:pt idx="48">
                  <c:v>0.60548056148073703</c:v>
                </c:pt>
                <c:pt idx="49">
                  <c:v>0.61863369187443229</c:v>
                </c:pt>
                <c:pt idx="50">
                  <c:v>0.63178560050171517</c:v>
                </c:pt>
                <c:pt idx="51">
                  <c:v>0.64493669237573914</c:v>
                </c:pt>
                <c:pt idx="52">
                  <c:v>0.65808771170699409</c:v>
                </c:pt>
                <c:pt idx="53">
                  <c:v>0.67123611244921677</c:v>
                </c:pt>
                <c:pt idx="54">
                  <c:v>0.68391349914763011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3.025454001634054E-2</c:v>
                </c:pt>
                <c:pt idx="2">
                  <c:v>3.025454001634054E-2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0.69640420646984036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3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5.3602305475504333E-2</c:v>
                </c:pt>
                <c:pt idx="2" formatCode="&quot;TB=&quot;\ 0.00">
                  <c:v>0.26801152737752165</c:v>
                </c:pt>
                <c:pt idx="3" formatCode="0.00">
                  <c:v>0.27801152737752166</c:v>
                </c:pt>
                <c:pt idx="4" formatCode="0.00">
                  <c:v>0.28801152737752167</c:v>
                </c:pt>
                <c:pt idx="5" formatCode="0.00">
                  <c:v>0.29801152737752168</c:v>
                </c:pt>
                <c:pt idx="6" formatCode="0.00">
                  <c:v>0.30801152737752169</c:v>
                </c:pt>
                <c:pt idx="7" formatCode="0.00">
                  <c:v>0.3180115273775217</c:v>
                </c:pt>
                <c:pt idx="8" formatCode="0.00">
                  <c:v>0.32801152737752171</c:v>
                </c:pt>
                <c:pt idx="9" formatCode="0.00">
                  <c:v>0.33801152737752171</c:v>
                </c:pt>
                <c:pt idx="10" formatCode="0.00">
                  <c:v>0.34801152737752172</c:v>
                </c:pt>
                <c:pt idx="11" formatCode="0.00">
                  <c:v>0.35801152737752173</c:v>
                </c:pt>
                <c:pt idx="12" formatCode="0.00">
                  <c:v>0.36801152737752174</c:v>
                </c:pt>
                <c:pt idx="13" formatCode="0.00">
                  <c:v>0.37801152737752175</c:v>
                </c:pt>
                <c:pt idx="14" formatCode="0.00">
                  <c:v>0.38801152737752176</c:v>
                </c:pt>
                <c:pt idx="15" formatCode="0.00">
                  <c:v>0.39801152737752177</c:v>
                </c:pt>
                <c:pt idx="16" formatCode="0.00">
                  <c:v>0.40801152737752178</c:v>
                </c:pt>
                <c:pt idx="17" formatCode="0.00">
                  <c:v>0.41801152737752179</c:v>
                </c:pt>
                <c:pt idx="18" formatCode="0.00">
                  <c:v>0.42801152737752179</c:v>
                </c:pt>
                <c:pt idx="19" formatCode="0.00">
                  <c:v>0.4380115273775218</c:v>
                </c:pt>
                <c:pt idx="20" formatCode="0.00">
                  <c:v>0.44801152737752181</c:v>
                </c:pt>
                <c:pt idx="21" formatCode="0.00">
                  <c:v>0.45801152737752182</c:v>
                </c:pt>
                <c:pt idx="22" formatCode="0.00">
                  <c:v>0.46801152737752183</c:v>
                </c:pt>
                <c:pt idx="23" formatCode="0.00">
                  <c:v>0.47801152737752184</c:v>
                </c:pt>
                <c:pt idx="24" formatCode="0.00">
                  <c:v>0.48801152737752185</c:v>
                </c:pt>
                <c:pt idx="25" formatCode="0.00">
                  <c:v>0.49801152737752186</c:v>
                </c:pt>
                <c:pt idx="26" formatCode="0.00">
                  <c:v>0.50801152737752187</c:v>
                </c:pt>
                <c:pt idx="27" formatCode="0.00">
                  <c:v>0.51801152737752187</c:v>
                </c:pt>
                <c:pt idx="28" formatCode="0.00">
                  <c:v>0.52801152737752188</c:v>
                </c:pt>
                <c:pt idx="29" formatCode="0.00">
                  <c:v>0.53801152737752189</c:v>
                </c:pt>
                <c:pt idx="30" formatCode="0.00">
                  <c:v>0.5480115273775219</c:v>
                </c:pt>
                <c:pt idx="31" formatCode="0.00">
                  <c:v>0.55801152737752191</c:v>
                </c:pt>
                <c:pt idx="32" formatCode="0.00">
                  <c:v>0.56801152737752192</c:v>
                </c:pt>
                <c:pt idx="33" formatCode="0.00">
                  <c:v>0.57801152737752193</c:v>
                </c:pt>
                <c:pt idx="34" formatCode="0.00">
                  <c:v>0.58801152737752194</c:v>
                </c:pt>
                <c:pt idx="35" formatCode="0.00">
                  <c:v>0.59801152737752195</c:v>
                </c:pt>
                <c:pt idx="36" formatCode="0.00">
                  <c:v>0.60801152737752195</c:v>
                </c:pt>
                <c:pt idx="37" formatCode="0.00">
                  <c:v>0.61801152737752196</c:v>
                </c:pt>
                <c:pt idx="38" formatCode="0.00">
                  <c:v>0.62801152737752197</c:v>
                </c:pt>
                <c:pt idx="39" formatCode="0.00">
                  <c:v>0.63801152737752198</c:v>
                </c:pt>
                <c:pt idx="40" formatCode="0.00">
                  <c:v>0.64801152737752199</c:v>
                </c:pt>
                <c:pt idx="41" formatCode="0.00">
                  <c:v>0.658011527377522</c:v>
                </c:pt>
                <c:pt idx="42" formatCode="0.00">
                  <c:v>0.66801152737752201</c:v>
                </c:pt>
                <c:pt idx="43" formatCode="0.00">
                  <c:v>0.67801152737752202</c:v>
                </c:pt>
                <c:pt idx="44" formatCode="0.00">
                  <c:v>0.68801152737752203</c:v>
                </c:pt>
                <c:pt idx="45" formatCode="0.00">
                  <c:v>0.69801152737752203</c:v>
                </c:pt>
                <c:pt idx="46" formatCode="0.00">
                  <c:v>0.70801152737752204</c:v>
                </c:pt>
                <c:pt idx="47" formatCode="0.00">
                  <c:v>0.71801152737752205</c:v>
                </c:pt>
                <c:pt idx="48" formatCode="0.00">
                  <c:v>0.72801152737752206</c:v>
                </c:pt>
                <c:pt idx="49" formatCode="0.00">
                  <c:v>0.73801152737752207</c:v>
                </c:pt>
                <c:pt idx="50" formatCode="0.00">
                  <c:v>0.74801152737752208</c:v>
                </c:pt>
                <c:pt idx="51" formatCode="0.00">
                  <c:v>0.75801152737752209</c:v>
                </c:pt>
                <c:pt idx="52" formatCode="0.00">
                  <c:v>0.7680115273775221</c:v>
                </c:pt>
                <c:pt idx="53" formatCode="0.00">
                  <c:v>0.77801152737752211</c:v>
                </c:pt>
                <c:pt idx="54" formatCode="0.00">
                  <c:v>0.78801152737752211</c:v>
                </c:pt>
                <c:pt idx="55" formatCode="0.00">
                  <c:v>0.79801152737752212</c:v>
                </c:pt>
                <c:pt idx="56" formatCode="0.00">
                  <c:v>0.80801152737752213</c:v>
                </c:pt>
                <c:pt idx="57" formatCode="0.00">
                  <c:v>0.81801152737752214</c:v>
                </c:pt>
                <c:pt idx="58" formatCode="0.00">
                  <c:v>0.82801152737752215</c:v>
                </c:pt>
                <c:pt idx="59" formatCode="0.00">
                  <c:v>0.83801152737752216</c:v>
                </c:pt>
                <c:pt idx="60" formatCode="0.00">
                  <c:v>0.84801152737752217</c:v>
                </c:pt>
                <c:pt idx="61" formatCode="0.00">
                  <c:v>0.85801152737752218</c:v>
                </c:pt>
                <c:pt idx="62" formatCode="0.00">
                  <c:v>0.86801152737752219</c:v>
                </c:pt>
                <c:pt idx="63" formatCode="0.00">
                  <c:v>0.87801152737752219</c:v>
                </c:pt>
                <c:pt idx="64" formatCode="0.00">
                  <c:v>0.8880115273775222</c:v>
                </c:pt>
                <c:pt idx="65" formatCode="0.00">
                  <c:v>0.89801152737752221</c:v>
                </c:pt>
                <c:pt idx="66" formatCode="0.00">
                  <c:v>0.90801152737752222</c:v>
                </c:pt>
                <c:pt idx="67" formatCode="0.00">
                  <c:v>0.91801152737752223</c:v>
                </c:pt>
                <c:pt idx="68" formatCode="0.00">
                  <c:v>0.92801152737752224</c:v>
                </c:pt>
                <c:pt idx="69" formatCode="0.00">
                  <c:v>0.93801152737752225</c:v>
                </c:pt>
                <c:pt idx="70" formatCode="0.00">
                  <c:v>0.94801152737752226</c:v>
                </c:pt>
                <c:pt idx="71" formatCode="0.00">
                  <c:v>0.95801152737752227</c:v>
                </c:pt>
                <c:pt idx="72" formatCode="0.00">
                  <c:v>0.96801152737752227</c:v>
                </c:pt>
                <c:pt idx="73" formatCode="0.00">
                  <c:v>0.97801152737752228</c:v>
                </c:pt>
                <c:pt idx="74" formatCode="0.00">
                  <c:v>0.98801152737752229</c:v>
                </c:pt>
                <c:pt idx="75" formatCode="0.00">
                  <c:v>0.9980115273775223</c:v>
                </c:pt>
                <c:pt idx="76" formatCode="0.00">
                  <c:v>1.0080115273775223</c:v>
                </c:pt>
                <c:pt idx="77" formatCode="0.00">
                  <c:v>1.0180115273775223</c:v>
                </c:pt>
                <c:pt idx="78" formatCode="0.00">
                  <c:v>1.0280115273775223</c:v>
                </c:pt>
                <c:pt idx="79" formatCode="0.00">
                  <c:v>1.0380115273775223</c:v>
                </c:pt>
                <c:pt idx="80" formatCode="0.00">
                  <c:v>1.0480115273775223</c:v>
                </c:pt>
                <c:pt idx="81" formatCode="0.00">
                  <c:v>1.0580115273775224</c:v>
                </c:pt>
                <c:pt idx="82" formatCode="0.00">
                  <c:v>1.0680115273775224</c:v>
                </c:pt>
                <c:pt idx="83" formatCode="0.00">
                  <c:v>1.0780115273775224</c:v>
                </c:pt>
                <c:pt idx="84" formatCode="0.00">
                  <c:v>1.0880115273775224</c:v>
                </c:pt>
                <c:pt idx="85" formatCode="0.00">
                  <c:v>1.0980115273775224</c:v>
                </c:pt>
                <c:pt idx="86" formatCode="0.00">
                  <c:v>1.1080115273775224</c:v>
                </c:pt>
                <c:pt idx="87" formatCode="0.00">
                  <c:v>1.1180115273775224</c:v>
                </c:pt>
                <c:pt idx="88" formatCode="0.00">
                  <c:v>1.1280115273775224</c:v>
                </c:pt>
                <c:pt idx="89" formatCode="0.00">
                  <c:v>1.1380115273775224</c:v>
                </c:pt>
                <c:pt idx="90" formatCode="0.00">
                  <c:v>1.1480115273775224</c:v>
                </c:pt>
                <c:pt idx="91" formatCode="0.00">
                  <c:v>1.1580115273775224</c:v>
                </c:pt>
                <c:pt idx="92" formatCode="0.00">
                  <c:v>1.1680115273775225</c:v>
                </c:pt>
                <c:pt idx="93" formatCode="0.00">
                  <c:v>1.1780115273775225</c:v>
                </c:pt>
                <c:pt idx="94" formatCode="0.00">
                  <c:v>1.1880115273775225</c:v>
                </c:pt>
                <c:pt idx="95" formatCode="0.00">
                  <c:v>1.1980115273775225</c:v>
                </c:pt>
                <c:pt idx="96" formatCode="0.00">
                  <c:v>1.2080115273775225</c:v>
                </c:pt>
                <c:pt idx="97" formatCode="0.00">
                  <c:v>1.2180115273775225</c:v>
                </c:pt>
                <c:pt idx="98" formatCode="0.00">
                  <c:v>1.2280115273775225</c:v>
                </c:pt>
                <c:pt idx="99" formatCode="0.00">
                  <c:v>1.2380115273775225</c:v>
                </c:pt>
                <c:pt idx="100" formatCode="0.00">
                  <c:v>1.2480115273775225</c:v>
                </c:pt>
                <c:pt idx="101" formatCode="0.00">
                  <c:v>1.2580115273775225</c:v>
                </c:pt>
                <c:pt idx="102" formatCode="0.00">
                  <c:v>1.2680115273775225</c:v>
                </c:pt>
                <c:pt idx="103" formatCode="0.00">
                  <c:v>1.2780115273775225</c:v>
                </c:pt>
                <c:pt idx="104" formatCode="0.00">
                  <c:v>1.2880115273775226</c:v>
                </c:pt>
                <c:pt idx="105" formatCode="0.00">
                  <c:v>1.2980115273775226</c:v>
                </c:pt>
                <c:pt idx="106" formatCode="0.00">
                  <c:v>1.3080115273775226</c:v>
                </c:pt>
                <c:pt idx="107" formatCode="0.00">
                  <c:v>1.3180115273775226</c:v>
                </c:pt>
                <c:pt idx="108" formatCode="0.00">
                  <c:v>1.3280115273775226</c:v>
                </c:pt>
                <c:pt idx="109" formatCode="0.00">
                  <c:v>1.3380115273775226</c:v>
                </c:pt>
                <c:pt idx="110" formatCode="0.00">
                  <c:v>1.3480115273775226</c:v>
                </c:pt>
                <c:pt idx="111" formatCode="0.00">
                  <c:v>1.3580115273775226</c:v>
                </c:pt>
                <c:pt idx="112" formatCode="0.00">
                  <c:v>1.3680115273775226</c:v>
                </c:pt>
                <c:pt idx="113" formatCode="0.00">
                  <c:v>1.3780115273775226</c:v>
                </c:pt>
                <c:pt idx="114" formatCode="0.00">
                  <c:v>1.3880115273775226</c:v>
                </c:pt>
                <c:pt idx="115" formatCode="0.00">
                  <c:v>1.3980115273775227</c:v>
                </c:pt>
                <c:pt idx="116" formatCode="0.00">
                  <c:v>1.4080115273775227</c:v>
                </c:pt>
                <c:pt idx="117" formatCode="0.00">
                  <c:v>1.4180115273775227</c:v>
                </c:pt>
                <c:pt idx="118" formatCode="0.00">
                  <c:v>1.4280115273775227</c:v>
                </c:pt>
                <c:pt idx="119" formatCode="0.00">
                  <c:v>1.4380115273775227</c:v>
                </c:pt>
                <c:pt idx="120" formatCode="0.00">
                  <c:v>1.4480115273775227</c:v>
                </c:pt>
                <c:pt idx="121" formatCode="0.00">
                  <c:v>1.4580115273775227</c:v>
                </c:pt>
                <c:pt idx="122" formatCode="0.00">
                  <c:v>1.4680115273775227</c:v>
                </c:pt>
                <c:pt idx="123" formatCode="0.00">
                  <c:v>1.4780115273775227</c:v>
                </c:pt>
                <c:pt idx="124" formatCode="0.00">
                  <c:v>1.4880115273775227</c:v>
                </c:pt>
                <c:pt idx="125" formatCode="0.00">
                  <c:v>1.4980115273775227</c:v>
                </c:pt>
                <c:pt idx="126" formatCode="0.00">
                  <c:v>1.5080115273775228</c:v>
                </c:pt>
                <c:pt idx="127" formatCode="0.00">
                  <c:v>1.5180115273775228</c:v>
                </c:pt>
                <c:pt idx="128" formatCode="0.00">
                  <c:v>1.5280115273775228</c:v>
                </c:pt>
                <c:pt idx="129" formatCode="0.00">
                  <c:v>1.5380115273775228</c:v>
                </c:pt>
                <c:pt idx="130" formatCode="0.00">
                  <c:v>1.5480115273775228</c:v>
                </c:pt>
                <c:pt idx="131" formatCode="0.00">
                  <c:v>1.5580115273775228</c:v>
                </c:pt>
                <c:pt idx="132" formatCode="0.00">
                  <c:v>1.5680115273775228</c:v>
                </c:pt>
                <c:pt idx="133" formatCode="0.00">
                  <c:v>1.5780115273775228</c:v>
                </c:pt>
                <c:pt idx="134" formatCode="0.00">
                  <c:v>1.5880115273775228</c:v>
                </c:pt>
                <c:pt idx="135" formatCode="0.00">
                  <c:v>1.5980115273775228</c:v>
                </c:pt>
                <c:pt idx="136" formatCode="0.00">
                  <c:v>1.6080115273775228</c:v>
                </c:pt>
                <c:pt idx="137" formatCode="0.00">
                  <c:v>1.6180115273775229</c:v>
                </c:pt>
                <c:pt idx="138" formatCode="0.00">
                  <c:v>1.6280115273775229</c:v>
                </c:pt>
                <c:pt idx="139" formatCode="0.00">
                  <c:v>1.6380115273775229</c:v>
                </c:pt>
                <c:pt idx="140" formatCode="0.00">
                  <c:v>1.6480115273775229</c:v>
                </c:pt>
                <c:pt idx="141" formatCode="0.00">
                  <c:v>1.6580115273775229</c:v>
                </c:pt>
                <c:pt idx="142" formatCode="0.00">
                  <c:v>1.6680115273775229</c:v>
                </c:pt>
                <c:pt idx="143" formatCode="0.00">
                  <c:v>1.6780115273775229</c:v>
                </c:pt>
                <c:pt idx="144" formatCode="0.00">
                  <c:v>1.6880115273775229</c:v>
                </c:pt>
                <c:pt idx="145" formatCode="0.00">
                  <c:v>1.6980115273775229</c:v>
                </c:pt>
                <c:pt idx="146" formatCode="0.00">
                  <c:v>1.7080115273775229</c:v>
                </c:pt>
                <c:pt idx="147" formatCode="0.00">
                  <c:v>1.7180115273775229</c:v>
                </c:pt>
                <c:pt idx="148" formatCode="0.00">
                  <c:v>1.7280115273775229</c:v>
                </c:pt>
                <c:pt idx="149" formatCode="0.00">
                  <c:v>1.738011527377523</c:v>
                </c:pt>
                <c:pt idx="150" formatCode="0.00">
                  <c:v>1.748011527377523</c:v>
                </c:pt>
                <c:pt idx="151" formatCode="0.00">
                  <c:v>1.758011527377523</c:v>
                </c:pt>
                <c:pt idx="152" formatCode="0.00">
                  <c:v>1.768011527377523</c:v>
                </c:pt>
                <c:pt idx="153" formatCode="0.00">
                  <c:v>1.778011527377523</c:v>
                </c:pt>
                <c:pt idx="154" formatCode="0.00">
                  <c:v>1.788011527377523</c:v>
                </c:pt>
                <c:pt idx="155" formatCode="0.00">
                  <c:v>1.798011527377523</c:v>
                </c:pt>
                <c:pt idx="156" formatCode="0.00">
                  <c:v>1.808011527377523</c:v>
                </c:pt>
                <c:pt idx="157" formatCode="0.00">
                  <c:v>1.818011527377523</c:v>
                </c:pt>
                <c:pt idx="158" formatCode="0.00">
                  <c:v>1.828011527377523</c:v>
                </c:pt>
                <c:pt idx="159" formatCode="0.00">
                  <c:v>1.838011527377523</c:v>
                </c:pt>
                <c:pt idx="160" formatCode="0.00">
                  <c:v>1.8480115273775231</c:v>
                </c:pt>
                <c:pt idx="161" formatCode="0.00">
                  <c:v>1.8580115273775231</c:v>
                </c:pt>
                <c:pt idx="162" formatCode="0.00">
                  <c:v>1.8680115273775231</c:v>
                </c:pt>
                <c:pt idx="163" formatCode="0.00">
                  <c:v>1.8780115273775231</c:v>
                </c:pt>
                <c:pt idx="164" formatCode="0.00">
                  <c:v>1.8880115273775231</c:v>
                </c:pt>
                <c:pt idx="165" formatCode="0.00">
                  <c:v>1.8980115273775231</c:v>
                </c:pt>
                <c:pt idx="166" formatCode="0.00">
                  <c:v>1.9080115273775231</c:v>
                </c:pt>
                <c:pt idx="167" formatCode="0.00">
                  <c:v>1.9180115273775231</c:v>
                </c:pt>
                <c:pt idx="168" formatCode="0.00">
                  <c:v>1.9280115273775231</c:v>
                </c:pt>
                <c:pt idx="169" formatCode="0.00">
                  <c:v>1.9380115273775231</c:v>
                </c:pt>
                <c:pt idx="170" formatCode="0.00">
                  <c:v>1.9480115273775231</c:v>
                </c:pt>
                <c:pt idx="171" formatCode="0.00">
                  <c:v>1.9580115273775232</c:v>
                </c:pt>
                <c:pt idx="172" formatCode="0.00">
                  <c:v>1.9680115273775232</c:v>
                </c:pt>
                <c:pt idx="173" formatCode="0.00">
                  <c:v>1.9780115273775232</c:v>
                </c:pt>
                <c:pt idx="174" formatCode="0.00">
                  <c:v>1.9880115273775232</c:v>
                </c:pt>
                <c:pt idx="175" formatCode="0.00">
                  <c:v>1.9980115273775232</c:v>
                </c:pt>
                <c:pt idx="176" formatCode="0.00">
                  <c:v>2.0080115273775232</c:v>
                </c:pt>
                <c:pt idx="177" formatCode="0.00">
                  <c:v>2.018011527377523</c:v>
                </c:pt>
                <c:pt idx="178" formatCode="0.00">
                  <c:v>2.0280115273775228</c:v>
                </c:pt>
                <c:pt idx="179" formatCode="0.00">
                  <c:v>2.0380115273775226</c:v>
                </c:pt>
                <c:pt idx="180" formatCode="0.00">
                  <c:v>2.0480115273775223</c:v>
                </c:pt>
                <c:pt idx="181" formatCode="0.00">
                  <c:v>2.0580115273775221</c:v>
                </c:pt>
                <c:pt idx="182" formatCode="0.00">
                  <c:v>2.0680115273775219</c:v>
                </c:pt>
                <c:pt idx="183" formatCode="0.00">
                  <c:v>2.0780115273775217</c:v>
                </c:pt>
                <c:pt idx="184" formatCode="0.00">
                  <c:v>2.0880115273775215</c:v>
                </c:pt>
                <c:pt idx="185" formatCode="0.00">
                  <c:v>2.0980115273775213</c:v>
                </c:pt>
                <c:pt idx="186" formatCode="0.00">
                  <c:v>2.1080115273775211</c:v>
                </c:pt>
                <c:pt idx="187" formatCode="0.00">
                  <c:v>2.1180115273775209</c:v>
                </c:pt>
                <c:pt idx="188" formatCode="0.00">
                  <c:v>2.1280115273775206</c:v>
                </c:pt>
                <c:pt idx="189" formatCode="0.00">
                  <c:v>2.1380115273775204</c:v>
                </c:pt>
                <c:pt idx="190" formatCode="0.00">
                  <c:v>2.1480115273775202</c:v>
                </c:pt>
                <c:pt idx="191" formatCode="0.00">
                  <c:v>2.15801152737752</c:v>
                </c:pt>
                <c:pt idx="192" formatCode="0.00">
                  <c:v>2.1680115273775198</c:v>
                </c:pt>
                <c:pt idx="193" formatCode="0.00">
                  <c:v>2.1780115273775196</c:v>
                </c:pt>
                <c:pt idx="194" formatCode="0.00">
                  <c:v>2.1880115273775194</c:v>
                </c:pt>
                <c:pt idx="195" formatCode="0.00">
                  <c:v>2.1980115273775191</c:v>
                </c:pt>
                <c:pt idx="196" formatCode="0.00">
                  <c:v>2.2080115273775189</c:v>
                </c:pt>
                <c:pt idx="197" formatCode="0.00">
                  <c:v>2.2180115273775187</c:v>
                </c:pt>
                <c:pt idx="198" formatCode="0.00">
                  <c:v>2.2280115273775185</c:v>
                </c:pt>
                <c:pt idx="199" formatCode="0.00">
                  <c:v>2.2380115273775183</c:v>
                </c:pt>
                <c:pt idx="200" formatCode="0.00">
                  <c:v>2.2480115273775181</c:v>
                </c:pt>
                <c:pt idx="201" formatCode="0.00">
                  <c:v>2.2580115273775179</c:v>
                </c:pt>
                <c:pt idx="202" formatCode="0.00">
                  <c:v>2.2680115273775177</c:v>
                </c:pt>
                <c:pt idx="203" formatCode="0.00">
                  <c:v>2.2780115273775174</c:v>
                </c:pt>
                <c:pt idx="204" formatCode="0.00">
                  <c:v>2.2880115273775172</c:v>
                </c:pt>
                <c:pt idx="205" formatCode="0.00">
                  <c:v>2.298011527377517</c:v>
                </c:pt>
                <c:pt idx="206" formatCode="0.00">
                  <c:v>2.3080115273775168</c:v>
                </c:pt>
                <c:pt idx="207" formatCode="0.00">
                  <c:v>2.3180115273775166</c:v>
                </c:pt>
                <c:pt idx="208" formatCode="0.00">
                  <c:v>2.3280115273775164</c:v>
                </c:pt>
                <c:pt idx="209" formatCode="0.00">
                  <c:v>2.3380115273775162</c:v>
                </c:pt>
                <c:pt idx="210" formatCode="0.00">
                  <c:v>2.348011527377516</c:v>
                </c:pt>
                <c:pt idx="211" formatCode="0.00">
                  <c:v>2.3580115273775157</c:v>
                </c:pt>
                <c:pt idx="212" formatCode="0.00">
                  <c:v>2.3680115273775155</c:v>
                </c:pt>
                <c:pt idx="213" formatCode="0.00">
                  <c:v>2.3780115273775153</c:v>
                </c:pt>
                <c:pt idx="214" formatCode="0.00">
                  <c:v>2.3880115273775151</c:v>
                </c:pt>
                <c:pt idx="215" formatCode="0.00">
                  <c:v>2.3980115273775149</c:v>
                </c:pt>
                <c:pt idx="216" formatCode="0.00">
                  <c:v>2.4080115273775147</c:v>
                </c:pt>
                <c:pt idx="217" formatCode="0.00">
                  <c:v>2.4180115273775145</c:v>
                </c:pt>
                <c:pt idx="218" formatCode="0.00">
                  <c:v>2.4280115273775142</c:v>
                </c:pt>
                <c:pt idx="219" formatCode="0.00">
                  <c:v>2.438011527377514</c:v>
                </c:pt>
                <c:pt idx="220" formatCode="0.00">
                  <c:v>2.4480115273775138</c:v>
                </c:pt>
                <c:pt idx="221" formatCode="0.00">
                  <c:v>2.4580115273775136</c:v>
                </c:pt>
                <c:pt idx="222" formatCode="0.00">
                  <c:v>2.4680115273775134</c:v>
                </c:pt>
                <c:pt idx="223" formatCode="0.00">
                  <c:v>2.4780115273775132</c:v>
                </c:pt>
                <c:pt idx="224" formatCode="0.00">
                  <c:v>2.488011527377513</c:v>
                </c:pt>
                <c:pt idx="225" formatCode="0.00">
                  <c:v>2.4980115273775128</c:v>
                </c:pt>
                <c:pt idx="226" formatCode="0.00">
                  <c:v>2.5080115273775125</c:v>
                </c:pt>
                <c:pt idx="227" formatCode="0.00">
                  <c:v>2.5180115273775123</c:v>
                </c:pt>
                <c:pt idx="228" formatCode="0.00">
                  <c:v>2.5280115273775121</c:v>
                </c:pt>
                <c:pt idx="229" formatCode="0.00">
                  <c:v>2.5380115273775119</c:v>
                </c:pt>
                <c:pt idx="230" formatCode="0.00">
                  <c:v>2.5480115273775117</c:v>
                </c:pt>
                <c:pt idx="231" formatCode="0.00">
                  <c:v>2.5580115273775115</c:v>
                </c:pt>
                <c:pt idx="232" formatCode="0.00">
                  <c:v>2.5680115273775113</c:v>
                </c:pt>
                <c:pt idx="233" formatCode="0.00">
                  <c:v>2.578011527377511</c:v>
                </c:pt>
                <c:pt idx="234" formatCode="0.00">
                  <c:v>2.5880115273775108</c:v>
                </c:pt>
                <c:pt idx="235" formatCode="0.00">
                  <c:v>2.5980115273775106</c:v>
                </c:pt>
                <c:pt idx="236" formatCode="0.00">
                  <c:v>2.6080115273775104</c:v>
                </c:pt>
                <c:pt idx="237" formatCode="0.00">
                  <c:v>2.6180115273775102</c:v>
                </c:pt>
                <c:pt idx="238" formatCode="0.00">
                  <c:v>2.62801152737751</c:v>
                </c:pt>
                <c:pt idx="239" formatCode="0.00">
                  <c:v>2.6380115273775098</c:v>
                </c:pt>
                <c:pt idx="240" formatCode="0.00">
                  <c:v>2.6480115273775096</c:v>
                </c:pt>
                <c:pt idx="241" formatCode="0.00">
                  <c:v>2.6580115273775093</c:v>
                </c:pt>
                <c:pt idx="242" formatCode="0.00">
                  <c:v>2.6680115273775091</c:v>
                </c:pt>
                <c:pt idx="243" formatCode="0.00">
                  <c:v>2.6780115273775089</c:v>
                </c:pt>
                <c:pt idx="244" formatCode="0.00">
                  <c:v>2.6880115273775087</c:v>
                </c:pt>
                <c:pt idx="245" formatCode="0.00">
                  <c:v>2.6980115273775085</c:v>
                </c:pt>
                <c:pt idx="246" formatCode="0.00">
                  <c:v>2.7080115273775083</c:v>
                </c:pt>
                <c:pt idx="247" formatCode="0.00">
                  <c:v>2.7180115273775081</c:v>
                </c:pt>
                <c:pt idx="248" formatCode="0.00">
                  <c:v>2.7280115273775078</c:v>
                </c:pt>
                <c:pt idx="249" formatCode="0.00">
                  <c:v>2.7380115273775076</c:v>
                </c:pt>
                <c:pt idx="250" formatCode="0.00">
                  <c:v>2.7480115273775074</c:v>
                </c:pt>
                <c:pt idx="251" formatCode="0.00">
                  <c:v>2.7580115273775072</c:v>
                </c:pt>
                <c:pt idx="252" formatCode="0.00">
                  <c:v>2.768011527377507</c:v>
                </c:pt>
                <c:pt idx="253" formatCode="0.00">
                  <c:v>2.7780115273775068</c:v>
                </c:pt>
                <c:pt idx="254" formatCode="0.00">
                  <c:v>2.7880115273775066</c:v>
                </c:pt>
                <c:pt idx="255" formatCode="0.00">
                  <c:v>2.7980115273775064</c:v>
                </c:pt>
                <c:pt idx="256" formatCode="0.00">
                  <c:v>2.8080115273775061</c:v>
                </c:pt>
                <c:pt idx="257" formatCode="0.00">
                  <c:v>2.8180115273775059</c:v>
                </c:pt>
                <c:pt idx="258" formatCode="0.00">
                  <c:v>2.8280115273775057</c:v>
                </c:pt>
                <c:pt idx="259" formatCode="0.00">
                  <c:v>2.8380115273775055</c:v>
                </c:pt>
                <c:pt idx="260" formatCode="0.00">
                  <c:v>2.8480115273775053</c:v>
                </c:pt>
                <c:pt idx="261" formatCode="0.00">
                  <c:v>2.8580115273775051</c:v>
                </c:pt>
                <c:pt idx="262" formatCode="0.00">
                  <c:v>2.8680115273775049</c:v>
                </c:pt>
                <c:pt idx="263" formatCode="0.00">
                  <c:v>2.8780115273775047</c:v>
                </c:pt>
                <c:pt idx="264" formatCode="0.00">
                  <c:v>2.8880115273775044</c:v>
                </c:pt>
                <c:pt idx="265" formatCode="0.00">
                  <c:v>2.8980115273775042</c:v>
                </c:pt>
                <c:pt idx="266" formatCode="0.00">
                  <c:v>2.908011527377504</c:v>
                </c:pt>
                <c:pt idx="267" formatCode="0.00">
                  <c:v>2.9180115273775038</c:v>
                </c:pt>
                <c:pt idx="268" formatCode="0.00">
                  <c:v>2.9280115273775036</c:v>
                </c:pt>
                <c:pt idx="269" formatCode="0.00">
                  <c:v>2.9380115273775034</c:v>
                </c:pt>
                <c:pt idx="270" formatCode="0.00">
                  <c:v>2.9480115273775032</c:v>
                </c:pt>
                <c:pt idx="271" formatCode="0.00">
                  <c:v>2.9580115273775029</c:v>
                </c:pt>
                <c:pt idx="272" formatCode="0.00">
                  <c:v>2.9680115273775027</c:v>
                </c:pt>
                <c:pt idx="273" formatCode="0.00">
                  <c:v>2.9780115273775025</c:v>
                </c:pt>
                <c:pt idx="274" formatCode="0.00">
                  <c:v>2.9880115273775023</c:v>
                </c:pt>
                <c:pt idx="275" formatCode="0.00">
                  <c:v>2.9980115273775021</c:v>
                </c:pt>
                <c:pt idx="276" formatCode="0.00">
                  <c:v>3.0080115273775019</c:v>
                </c:pt>
                <c:pt idx="277" formatCode="0.00">
                  <c:v>3.0180115273775017</c:v>
                </c:pt>
                <c:pt idx="278" formatCode="0.00">
                  <c:v>3.0280115273775015</c:v>
                </c:pt>
                <c:pt idx="279" formatCode="0.00">
                  <c:v>3.0380115273775012</c:v>
                </c:pt>
                <c:pt idx="280" formatCode="0.00">
                  <c:v>3.048011527377501</c:v>
                </c:pt>
                <c:pt idx="281" formatCode="0.00">
                  <c:v>3.0580115273775008</c:v>
                </c:pt>
                <c:pt idx="282" formatCode="0.00">
                  <c:v>3.0680115273775006</c:v>
                </c:pt>
                <c:pt idx="283" formatCode="0.00">
                  <c:v>3.0780115273775004</c:v>
                </c:pt>
                <c:pt idx="284" formatCode="0.00">
                  <c:v>3.0880115273775002</c:v>
                </c:pt>
                <c:pt idx="285" formatCode="0.00">
                  <c:v>3.0980115273775</c:v>
                </c:pt>
                <c:pt idx="286" formatCode="0.00">
                  <c:v>3.1080115273774997</c:v>
                </c:pt>
                <c:pt idx="287" formatCode="0.00">
                  <c:v>3.1180115273774995</c:v>
                </c:pt>
                <c:pt idx="288" formatCode="0.00">
                  <c:v>3.1280115273774993</c:v>
                </c:pt>
                <c:pt idx="289" formatCode="0.00">
                  <c:v>3.1380115273774991</c:v>
                </c:pt>
                <c:pt idx="290" formatCode="0.00">
                  <c:v>3.1480115273774989</c:v>
                </c:pt>
                <c:pt idx="291" formatCode="0.00">
                  <c:v>3.1580115273774987</c:v>
                </c:pt>
                <c:pt idx="292" formatCode="0.00">
                  <c:v>3.1680115273774985</c:v>
                </c:pt>
                <c:pt idx="293" formatCode="0.00">
                  <c:v>3.1780115273774983</c:v>
                </c:pt>
                <c:pt idx="294" formatCode="0.00">
                  <c:v>3.188011527377498</c:v>
                </c:pt>
                <c:pt idx="295" formatCode="0.00">
                  <c:v>3.1980115273774978</c:v>
                </c:pt>
                <c:pt idx="296" formatCode="0.00">
                  <c:v>3.2080115273774976</c:v>
                </c:pt>
                <c:pt idx="297" formatCode="0.00">
                  <c:v>3.2180115273774974</c:v>
                </c:pt>
                <c:pt idx="298" formatCode="0.00">
                  <c:v>3.2280115273774972</c:v>
                </c:pt>
                <c:pt idx="299" formatCode="0.00">
                  <c:v>3.238011527377497</c:v>
                </c:pt>
                <c:pt idx="300" formatCode="0.00">
                  <c:v>3.2480115273774968</c:v>
                </c:pt>
                <c:pt idx="301" formatCode="0.00">
                  <c:v>3.2580115273774966</c:v>
                </c:pt>
                <c:pt idx="302" formatCode="0.00">
                  <c:v>3.2680115273774963</c:v>
                </c:pt>
                <c:pt idx="303" formatCode="0.00">
                  <c:v>3.2780115273774961</c:v>
                </c:pt>
                <c:pt idx="304" formatCode="0.00">
                  <c:v>3.2880115273774959</c:v>
                </c:pt>
                <c:pt idx="305" formatCode="0.00">
                  <c:v>3.2980115273774957</c:v>
                </c:pt>
                <c:pt idx="306" formatCode="0.00">
                  <c:v>3.3080115273774955</c:v>
                </c:pt>
                <c:pt idx="307" formatCode="0.00">
                  <c:v>3.3180115273774953</c:v>
                </c:pt>
                <c:pt idx="308" formatCode="0.00">
                  <c:v>3.3280115273774951</c:v>
                </c:pt>
                <c:pt idx="309" formatCode="0.00">
                  <c:v>3.3380115273774948</c:v>
                </c:pt>
                <c:pt idx="310" formatCode="0.00">
                  <c:v>3.3480115273774946</c:v>
                </c:pt>
                <c:pt idx="311" formatCode="0.00">
                  <c:v>3.3580115273774944</c:v>
                </c:pt>
                <c:pt idx="312" formatCode="0.00">
                  <c:v>3.3680115273774942</c:v>
                </c:pt>
                <c:pt idx="313" formatCode="0.00">
                  <c:v>3.378011527377494</c:v>
                </c:pt>
                <c:pt idx="314" formatCode="0.00">
                  <c:v>3.3880115273774938</c:v>
                </c:pt>
                <c:pt idx="315" formatCode="0.00">
                  <c:v>3.3980115273774936</c:v>
                </c:pt>
                <c:pt idx="316" formatCode="0.00">
                  <c:v>3.4080115273774934</c:v>
                </c:pt>
                <c:pt idx="317" formatCode="0.00">
                  <c:v>3.4180115273774931</c:v>
                </c:pt>
                <c:pt idx="318" formatCode="0.00">
                  <c:v>3.4280115273774929</c:v>
                </c:pt>
                <c:pt idx="319" formatCode="0.00">
                  <c:v>3.4380115273774927</c:v>
                </c:pt>
                <c:pt idx="320" formatCode="0.00">
                  <c:v>3.4480115273774925</c:v>
                </c:pt>
                <c:pt idx="321" formatCode="0.00">
                  <c:v>3.4580115273774923</c:v>
                </c:pt>
                <c:pt idx="322" formatCode="0.00">
                  <c:v>3.4680115273774921</c:v>
                </c:pt>
                <c:pt idx="323" formatCode="0.00">
                  <c:v>3.4780115273774919</c:v>
                </c:pt>
                <c:pt idx="324" formatCode="0.00">
                  <c:v>3.4880115273774916</c:v>
                </c:pt>
                <c:pt idx="325" formatCode="0.00">
                  <c:v>3.4980115273774914</c:v>
                </c:pt>
                <c:pt idx="326" formatCode="0.00">
                  <c:v>3.5080115273774912</c:v>
                </c:pt>
                <c:pt idx="327" formatCode="0.00">
                  <c:v>3.518011527377491</c:v>
                </c:pt>
                <c:pt idx="328" formatCode="0.00">
                  <c:v>3.5280115273774908</c:v>
                </c:pt>
                <c:pt idx="329" formatCode="0.00">
                  <c:v>3.5380115273774906</c:v>
                </c:pt>
                <c:pt idx="330" formatCode="0.00">
                  <c:v>3.5480115273774904</c:v>
                </c:pt>
                <c:pt idx="331" formatCode="0.00">
                  <c:v>3.5580115273774902</c:v>
                </c:pt>
                <c:pt idx="332" formatCode="0.00">
                  <c:v>3.5680115273774899</c:v>
                </c:pt>
                <c:pt idx="333" formatCode="0.00">
                  <c:v>3.5780115273774897</c:v>
                </c:pt>
                <c:pt idx="334" formatCode="0.00">
                  <c:v>3.5880115273774895</c:v>
                </c:pt>
                <c:pt idx="335" formatCode="0.00">
                  <c:v>3.5980115273774893</c:v>
                </c:pt>
                <c:pt idx="336" formatCode="0.00">
                  <c:v>3.6080115273774891</c:v>
                </c:pt>
                <c:pt idx="337" formatCode="0.00">
                  <c:v>3.6180115273774889</c:v>
                </c:pt>
                <c:pt idx="338" formatCode="0.00">
                  <c:v>3.6280115273774887</c:v>
                </c:pt>
                <c:pt idx="339" formatCode="0.00">
                  <c:v>3.6380115273774885</c:v>
                </c:pt>
                <c:pt idx="340" formatCode="0.00">
                  <c:v>3.6480115273774882</c:v>
                </c:pt>
                <c:pt idx="341" formatCode="0.00">
                  <c:v>3.658011527377488</c:v>
                </c:pt>
                <c:pt idx="342" formatCode="0.00">
                  <c:v>3.6680115273774878</c:v>
                </c:pt>
                <c:pt idx="343" formatCode="0.00">
                  <c:v>3.6780115273774876</c:v>
                </c:pt>
                <c:pt idx="344" formatCode="0.00">
                  <c:v>3.6880115273774874</c:v>
                </c:pt>
                <c:pt idx="345" formatCode="0.00">
                  <c:v>3.6980115273774872</c:v>
                </c:pt>
                <c:pt idx="346" formatCode="0.00">
                  <c:v>3.708011527377487</c:v>
                </c:pt>
                <c:pt idx="347" formatCode="0.00">
                  <c:v>3.7180115273774867</c:v>
                </c:pt>
                <c:pt idx="348" formatCode="0.00">
                  <c:v>3.7280115273774865</c:v>
                </c:pt>
                <c:pt idx="349" formatCode="0.00">
                  <c:v>3.7380115273774863</c:v>
                </c:pt>
                <c:pt idx="350" formatCode="0.00">
                  <c:v>3.7480115273774861</c:v>
                </c:pt>
                <c:pt idx="351" formatCode="0.00">
                  <c:v>3.7580115273774859</c:v>
                </c:pt>
                <c:pt idx="352" formatCode="0.00">
                  <c:v>3.7680115273774857</c:v>
                </c:pt>
                <c:pt idx="353" formatCode="0.00">
                  <c:v>3.7780115273774855</c:v>
                </c:pt>
                <c:pt idx="354" formatCode="0.00">
                  <c:v>3.7880115273774853</c:v>
                </c:pt>
                <c:pt idx="355" formatCode="0.00">
                  <c:v>3.798011527377485</c:v>
                </c:pt>
                <c:pt idx="356" formatCode="0.00">
                  <c:v>3.8080115273774848</c:v>
                </c:pt>
                <c:pt idx="357" formatCode="0.00">
                  <c:v>3.8180115273774846</c:v>
                </c:pt>
                <c:pt idx="358" formatCode="0.00">
                  <c:v>3.8280115273774844</c:v>
                </c:pt>
                <c:pt idx="359" formatCode="0.00">
                  <c:v>3.8380115273774842</c:v>
                </c:pt>
                <c:pt idx="360" formatCode="0.00">
                  <c:v>3.848011527377484</c:v>
                </c:pt>
                <c:pt idx="361" formatCode="0.00">
                  <c:v>3.8580115273774838</c:v>
                </c:pt>
                <c:pt idx="362" formatCode="0.00">
                  <c:v>3.8680115273774835</c:v>
                </c:pt>
                <c:pt idx="363" formatCode="0.00">
                  <c:v>3.8780115273774833</c:v>
                </c:pt>
                <c:pt idx="364" formatCode="0.00">
                  <c:v>3.8880115273774831</c:v>
                </c:pt>
                <c:pt idx="365" formatCode="0.00">
                  <c:v>3.8980115273774829</c:v>
                </c:pt>
                <c:pt idx="366" formatCode="0.00">
                  <c:v>3.9080115273774827</c:v>
                </c:pt>
                <c:pt idx="367" formatCode="0.00">
                  <c:v>3.9180115273774825</c:v>
                </c:pt>
                <c:pt idx="368" formatCode="0.00">
                  <c:v>3.9280115273774823</c:v>
                </c:pt>
                <c:pt idx="369" formatCode="0.00">
                  <c:v>3.9380115273774821</c:v>
                </c:pt>
                <c:pt idx="370" formatCode="0.00">
                  <c:v>3.9480115273774818</c:v>
                </c:pt>
                <c:pt idx="371" formatCode="0.00">
                  <c:v>3.9580115273774816</c:v>
                </c:pt>
                <c:pt idx="372" formatCode="0.00">
                  <c:v>3.9680115273774814</c:v>
                </c:pt>
                <c:pt idx="373" formatCode="0.00">
                  <c:v>3.9780115273774812</c:v>
                </c:pt>
                <c:pt idx="374" formatCode="0.00">
                  <c:v>3.988011527377481</c:v>
                </c:pt>
                <c:pt idx="375" formatCode="0.00">
                  <c:v>3.9980115273774808</c:v>
                </c:pt>
                <c:pt idx="376" formatCode="0.00">
                  <c:v>4.008011527377481</c:v>
                </c:pt>
                <c:pt idx="377" formatCode="0.00">
                  <c:v>4.0180115273774808</c:v>
                </c:pt>
                <c:pt idx="378" formatCode="0.00">
                  <c:v>4.0280115273774806</c:v>
                </c:pt>
                <c:pt idx="379" formatCode="0.00">
                  <c:v>4.0380115273774804</c:v>
                </c:pt>
                <c:pt idx="380" formatCode="0.00">
                  <c:v>4.0480115273774802</c:v>
                </c:pt>
                <c:pt idx="381" formatCode="0.00">
                  <c:v>4.0580115273774799</c:v>
                </c:pt>
                <c:pt idx="382" formatCode="0.00">
                  <c:v>4.0680115273774797</c:v>
                </c:pt>
                <c:pt idx="383" formatCode="0.00">
                  <c:v>4.0780115273774795</c:v>
                </c:pt>
                <c:pt idx="384" formatCode="0.00">
                  <c:v>4.0880115273774793</c:v>
                </c:pt>
                <c:pt idx="385" formatCode="0.00">
                  <c:v>4.0980115273774791</c:v>
                </c:pt>
                <c:pt idx="386" formatCode="0.00">
                  <c:v>4.1080115273774789</c:v>
                </c:pt>
                <c:pt idx="387" formatCode="0.00">
                  <c:v>4.1180115273774787</c:v>
                </c:pt>
                <c:pt idx="388" formatCode="0.00">
                  <c:v>4.1280115273774785</c:v>
                </c:pt>
                <c:pt idx="389" formatCode="0.00">
                  <c:v>4.1380115273774782</c:v>
                </c:pt>
                <c:pt idx="390" formatCode="0.00">
                  <c:v>4.148011527377478</c:v>
                </c:pt>
                <c:pt idx="391" formatCode="0.00">
                  <c:v>4.1580115273774778</c:v>
                </c:pt>
                <c:pt idx="392" formatCode="0.00">
                  <c:v>4.1680115273774776</c:v>
                </c:pt>
                <c:pt idx="393" formatCode="0.00">
                  <c:v>4.1780115273774774</c:v>
                </c:pt>
                <c:pt idx="394" formatCode="0.00">
                  <c:v>4.1880115273774772</c:v>
                </c:pt>
                <c:pt idx="395" formatCode="0.00">
                  <c:v>4.198011527377477</c:v>
                </c:pt>
                <c:pt idx="396" formatCode="0.00">
                  <c:v>4.2080115273774767</c:v>
                </c:pt>
                <c:pt idx="397" formatCode="0.00">
                  <c:v>4.2180115273774765</c:v>
                </c:pt>
                <c:pt idx="398" formatCode="0.00">
                  <c:v>4.2280115273774763</c:v>
                </c:pt>
                <c:pt idx="399" formatCode="0.00">
                  <c:v>4.2380115273774761</c:v>
                </c:pt>
                <c:pt idx="400" formatCode="0.00">
                  <c:v>4.2480115273774759</c:v>
                </c:pt>
                <c:pt idx="401" formatCode="0.00">
                  <c:v>4.2580115273774757</c:v>
                </c:pt>
                <c:pt idx="402" formatCode="0.00">
                  <c:v>4.2680115273774755</c:v>
                </c:pt>
                <c:pt idx="403" formatCode="0.00">
                  <c:v>4.2780115273774753</c:v>
                </c:pt>
                <c:pt idx="404" formatCode="0.00">
                  <c:v>4.288011527377475</c:v>
                </c:pt>
                <c:pt idx="405" formatCode="0.00">
                  <c:v>4.2980115273774748</c:v>
                </c:pt>
                <c:pt idx="406" formatCode="0.00">
                  <c:v>4.3080115273774746</c:v>
                </c:pt>
                <c:pt idx="407" formatCode="0.00">
                  <c:v>4.3180115273774744</c:v>
                </c:pt>
                <c:pt idx="408" formatCode="0.00">
                  <c:v>4.3280115273774742</c:v>
                </c:pt>
                <c:pt idx="409" formatCode="0.00">
                  <c:v>4.338011527377474</c:v>
                </c:pt>
                <c:pt idx="410" formatCode="0.00">
                  <c:v>4.3480115273774738</c:v>
                </c:pt>
                <c:pt idx="411" formatCode="0.00">
                  <c:v>4.3580115273774735</c:v>
                </c:pt>
                <c:pt idx="412" formatCode="0.00">
                  <c:v>4.3680115273774733</c:v>
                </c:pt>
                <c:pt idx="413" formatCode="0.00">
                  <c:v>4.3780115273774731</c:v>
                </c:pt>
                <c:pt idx="414" formatCode="0.00">
                  <c:v>4.3880115273774729</c:v>
                </c:pt>
                <c:pt idx="415" formatCode="0.00">
                  <c:v>4.3980115273774727</c:v>
                </c:pt>
                <c:pt idx="416" formatCode="0.00">
                  <c:v>4.4080115273774725</c:v>
                </c:pt>
                <c:pt idx="417" formatCode="0.00">
                  <c:v>4.4180115273774723</c:v>
                </c:pt>
                <c:pt idx="418" formatCode="0.00">
                  <c:v>4.4280115273774721</c:v>
                </c:pt>
                <c:pt idx="419" formatCode="0.00">
                  <c:v>4.4380115273774718</c:v>
                </c:pt>
                <c:pt idx="420" formatCode="0.00">
                  <c:v>4.4480115273774716</c:v>
                </c:pt>
                <c:pt idx="421" formatCode="0.00">
                  <c:v>4.4580115273774714</c:v>
                </c:pt>
                <c:pt idx="422" formatCode="0.00">
                  <c:v>4.4680115273774712</c:v>
                </c:pt>
                <c:pt idx="423" formatCode="0.00">
                  <c:v>4.478011527377471</c:v>
                </c:pt>
                <c:pt idx="424" formatCode="0.00">
                  <c:v>4.4880115273774708</c:v>
                </c:pt>
                <c:pt idx="425" formatCode="0.00">
                  <c:v>4.4980115273774706</c:v>
                </c:pt>
                <c:pt idx="426" formatCode="0.00">
                  <c:v>4.5080115273774704</c:v>
                </c:pt>
                <c:pt idx="427" formatCode="0.00">
                  <c:v>4.5180115273774701</c:v>
                </c:pt>
                <c:pt idx="428" formatCode="0.00">
                  <c:v>4.5280115273774699</c:v>
                </c:pt>
                <c:pt idx="429" formatCode="0.00">
                  <c:v>4.5380115273774697</c:v>
                </c:pt>
                <c:pt idx="430" formatCode="0.00">
                  <c:v>4.5480115273774695</c:v>
                </c:pt>
                <c:pt idx="431" formatCode="0.00">
                  <c:v>4.5580115273774693</c:v>
                </c:pt>
                <c:pt idx="432" formatCode="0.00">
                  <c:v>4.5680115273774691</c:v>
                </c:pt>
                <c:pt idx="433" formatCode="0.00">
                  <c:v>4.5780115273774689</c:v>
                </c:pt>
                <c:pt idx="434" formatCode="0.00">
                  <c:v>4.5880115273774686</c:v>
                </c:pt>
                <c:pt idx="435" formatCode="0.00">
                  <c:v>4.5980115273774684</c:v>
                </c:pt>
                <c:pt idx="436" formatCode="0.00">
                  <c:v>4.6080115273774682</c:v>
                </c:pt>
                <c:pt idx="437" formatCode="0.00">
                  <c:v>4.618011527377468</c:v>
                </c:pt>
                <c:pt idx="438" formatCode="0.00">
                  <c:v>4.6280115273774678</c:v>
                </c:pt>
                <c:pt idx="439" formatCode="0.00">
                  <c:v>4.6380115273774676</c:v>
                </c:pt>
                <c:pt idx="440" formatCode="0.00">
                  <c:v>4.6480115273774674</c:v>
                </c:pt>
                <c:pt idx="441" formatCode="0.00">
                  <c:v>4.6580115273774672</c:v>
                </c:pt>
                <c:pt idx="442" formatCode="0.00">
                  <c:v>4.6680115273774669</c:v>
                </c:pt>
                <c:pt idx="443" formatCode="0.00">
                  <c:v>4.6780115273774667</c:v>
                </c:pt>
                <c:pt idx="444" formatCode="0.00">
                  <c:v>4.6880115273774665</c:v>
                </c:pt>
                <c:pt idx="445" formatCode="0.00">
                  <c:v>4.6980115273774663</c:v>
                </c:pt>
                <c:pt idx="446" formatCode="0.00">
                  <c:v>4.7080115273774661</c:v>
                </c:pt>
                <c:pt idx="447" formatCode="0.00">
                  <c:v>4.7180115273774659</c:v>
                </c:pt>
                <c:pt idx="448" formatCode="0.00">
                  <c:v>4.7280115273774657</c:v>
                </c:pt>
                <c:pt idx="449" formatCode="0.00">
                  <c:v>4.7380115273774654</c:v>
                </c:pt>
                <c:pt idx="450" formatCode="0.00">
                  <c:v>4.7480115273774652</c:v>
                </c:pt>
                <c:pt idx="451" formatCode="0.00">
                  <c:v>4.758011527377465</c:v>
                </c:pt>
                <c:pt idx="452" formatCode="0.00">
                  <c:v>4.7680115273774648</c:v>
                </c:pt>
                <c:pt idx="453" formatCode="0.00">
                  <c:v>4.7780115273774646</c:v>
                </c:pt>
                <c:pt idx="454" formatCode="0.00">
                  <c:v>4.7880115273774644</c:v>
                </c:pt>
                <c:pt idx="455" formatCode="0.00">
                  <c:v>4.7980115273774642</c:v>
                </c:pt>
                <c:pt idx="456" formatCode="0.00">
                  <c:v>4.808011527377464</c:v>
                </c:pt>
                <c:pt idx="457" formatCode="0.00">
                  <c:v>4.8180115273774637</c:v>
                </c:pt>
                <c:pt idx="458" formatCode="0.00">
                  <c:v>4.8280115273774635</c:v>
                </c:pt>
                <c:pt idx="459" formatCode="0.00">
                  <c:v>4.8380115273774633</c:v>
                </c:pt>
                <c:pt idx="460" formatCode="0.00">
                  <c:v>4.8480115273774631</c:v>
                </c:pt>
                <c:pt idx="461" formatCode="0.00">
                  <c:v>4.8580115273774629</c:v>
                </c:pt>
                <c:pt idx="462" formatCode="0.00">
                  <c:v>4.8680115273774627</c:v>
                </c:pt>
                <c:pt idx="463" formatCode="0.00">
                  <c:v>4.8780115273774625</c:v>
                </c:pt>
                <c:pt idx="464" formatCode="0.00">
                  <c:v>4.8880115273774623</c:v>
                </c:pt>
                <c:pt idx="465" formatCode="0.00">
                  <c:v>4.898011527377462</c:v>
                </c:pt>
                <c:pt idx="466" formatCode="0.00">
                  <c:v>4.9080115273774618</c:v>
                </c:pt>
                <c:pt idx="467" formatCode="0.00">
                  <c:v>4.9180115273774616</c:v>
                </c:pt>
                <c:pt idx="468" formatCode="0.00">
                  <c:v>4.9280115273774614</c:v>
                </c:pt>
                <c:pt idx="469" formatCode="0.00">
                  <c:v>4.9380115273774612</c:v>
                </c:pt>
                <c:pt idx="470" formatCode="0.00">
                  <c:v>4.948011527377461</c:v>
                </c:pt>
                <c:pt idx="471" formatCode="0.00">
                  <c:v>4.9580115273774608</c:v>
                </c:pt>
                <c:pt idx="472" formatCode="0.00">
                  <c:v>4.9680115273774605</c:v>
                </c:pt>
                <c:pt idx="473" formatCode="0.00">
                  <c:v>4.9780115273774603</c:v>
                </c:pt>
                <c:pt idx="474" formatCode="0.00">
                  <c:v>4.9880115273774601</c:v>
                </c:pt>
                <c:pt idx="475" formatCode="0.00">
                  <c:v>4.9980115273774599</c:v>
                </c:pt>
                <c:pt idx="476" formatCode="0.00">
                  <c:v>5.0080115273774597</c:v>
                </c:pt>
                <c:pt idx="477" formatCode="0.00">
                  <c:v>5.0180115273774595</c:v>
                </c:pt>
                <c:pt idx="478" formatCode="0.00">
                  <c:v>5.0280115273774593</c:v>
                </c:pt>
                <c:pt idx="479" formatCode="0.00">
                  <c:v>5.0380115273774591</c:v>
                </c:pt>
                <c:pt idx="480" formatCode="0.00">
                  <c:v>5.0480115273774588</c:v>
                </c:pt>
                <c:pt idx="481" formatCode="0.00">
                  <c:v>5.0580115273774586</c:v>
                </c:pt>
                <c:pt idx="482" formatCode="0.00">
                  <c:v>5.0680115273774584</c:v>
                </c:pt>
                <c:pt idx="483" formatCode="0.00">
                  <c:v>5.0780115273774582</c:v>
                </c:pt>
                <c:pt idx="484" formatCode="0.00">
                  <c:v>5.088011527377458</c:v>
                </c:pt>
                <c:pt idx="485" formatCode="0.00">
                  <c:v>5.0980115273774578</c:v>
                </c:pt>
                <c:pt idx="486" formatCode="0.00">
                  <c:v>5.1080115273774576</c:v>
                </c:pt>
                <c:pt idx="487" formatCode="0.00">
                  <c:v>5.1180115273774573</c:v>
                </c:pt>
                <c:pt idx="488" formatCode="0.00">
                  <c:v>5.1280115273774571</c:v>
                </c:pt>
                <c:pt idx="489" formatCode="0.00">
                  <c:v>5.1380115273774569</c:v>
                </c:pt>
                <c:pt idx="490" formatCode="0.00">
                  <c:v>5.1480115273774567</c:v>
                </c:pt>
                <c:pt idx="491" formatCode="0.00">
                  <c:v>5.1580115273774565</c:v>
                </c:pt>
                <c:pt idx="492" formatCode="0.00">
                  <c:v>5.1680115273774563</c:v>
                </c:pt>
                <c:pt idx="493" formatCode="0.00">
                  <c:v>5.1780115273774561</c:v>
                </c:pt>
                <c:pt idx="494" formatCode="0.00">
                  <c:v>5.1880115273774559</c:v>
                </c:pt>
                <c:pt idx="495" formatCode="0.00">
                  <c:v>5.1980115273774556</c:v>
                </c:pt>
                <c:pt idx="496" formatCode="0.00">
                  <c:v>5.2080115273774554</c:v>
                </c:pt>
                <c:pt idx="497" formatCode="0.00">
                  <c:v>5.2180115273774552</c:v>
                </c:pt>
                <c:pt idx="498" formatCode="0.00">
                  <c:v>5.228011527377455</c:v>
                </c:pt>
                <c:pt idx="499" formatCode="0.00">
                  <c:v>5.2380115273774548</c:v>
                </c:pt>
                <c:pt idx="500" formatCode="0.00">
                  <c:v>5.2480115273774546</c:v>
                </c:pt>
                <c:pt idx="501" formatCode="0.00">
                  <c:v>5.2580115273774544</c:v>
                </c:pt>
                <c:pt idx="502" formatCode="0.00">
                  <c:v>5.2680115273774542</c:v>
                </c:pt>
                <c:pt idx="503" formatCode="0.00">
                  <c:v>5.2780115273774539</c:v>
                </c:pt>
                <c:pt idx="504" formatCode="0.00">
                  <c:v>5.2880115273774537</c:v>
                </c:pt>
                <c:pt idx="505" formatCode="0.00">
                  <c:v>5.2980115273774535</c:v>
                </c:pt>
                <c:pt idx="506" formatCode="0.00">
                  <c:v>5.3080115273774533</c:v>
                </c:pt>
                <c:pt idx="507" formatCode="0.00">
                  <c:v>5.3180115273774531</c:v>
                </c:pt>
                <c:pt idx="508" formatCode="0.00">
                  <c:v>5.3280115273774529</c:v>
                </c:pt>
                <c:pt idx="509" formatCode="0.00">
                  <c:v>5.3380115273774527</c:v>
                </c:pt>
                <c:pt idx="510" formatCode="0.00">
                  <c:v>5.3480115273774524</c:v>
                </c:pt>
                <c:pt idx="511" formatCode="0.00">
                  <c:v>5.3580115273774522</c:v>
                </c:pt>
                <c:pt idx="512" formatCode="0.00">
                  <c:v>5.368011527377452</c:v>
                </c:pt>
                <c:pt idx="513" formatCode="0.00">
                  <c:v>5.3780115273774518</c:v>
                </c:pt>
                <c:pt idx="514" formatCode="0.00">
                  <c:v>5.3880115273774516</c:v>
                </c:pt>
                <c:pt idx="515" formatCode="0.00">
                  <c:v>5.3980115273774514</c:v>
                </c:pt>
                <c:pt idx="516" formatCode="0.00">
                  <c:v>5.4080115273774512</c:v>
                </c:pt>
                <c:pt idx="517" formatCode="0.00">
                  <c:v>5.418011527377451</c:v>
                </c:pt>
                <c:pt idx="518" formatCode="0.00">
                  <c:v>5.4280115273774507</c:v>
                </c:pt>
                <c:pt idx="519" formatCode="0.00">
                  <c:v>5.4380115273774505</c:v>
                </c:pt>
                <c:pt idx="520" formatCode="0.00">
                  <c:v>5.4480115273774503</c:v>
                </c:pt>
                <c:pt idx="521" formatCode="0.00">
                  <c:v>5.4580115273774501</c:v>
                </c:pt>
                <c:pt idx="522" formatCode="0.00">
                  <c:v>5.4680115273774499</c:v>
                </c:pt>
                <c:pt idx="523" formatCode="0.00">
                  <c:v>5.4780115273774497</c:v>
                </c:pt>
                <c:pt idx="524" formatCode="0.00">
                  <c:v>5.4880115273774495</c:v>
                </c:pt>
                <c:pt idx="525" formatCode="0.00">
                  <c:v>5.4980115273774492</c:v>
                </c:pt>
                <c:pt idx="526" formatCode="0.00">
                  <c:v>5.508011527377449</c:v>
                </c:pt>
                <c:pt idx="527" formatCode="0.00">
                  <c:v>5.5180115273774488</c:v>
                </c:pt>
                <c:pt idx="528" formatCode="0.00">
                  <c:v>5.5280115273774486</c:v>
                </c:pt>
                <c:pt idx="529" formatCode="0.00">
                  <c:v>5.5380115273774484</c:v>
                </c:pt>
                <c:pt idx="530" formatCode="0.00">
                  <c:v>5.5480115273774482</c:v>
                </c:pt>
                <c:pt idx="531" formatCode="0.00">
                  <c:v>5.558011527377448</c:v>
                </c:pt>
                <c:pt idx="532" formatCode="0.00">
                  <c:v>5.5680115273774478</c:v>
                </c:pt>
                <c:pt idx="533" formatCode="0.00">
                  <c:v>5.5780115273774475</c:v>
                </c:pt>
                <c:pt idx="534" formatCode="0.00">
                  <c:v>5.5880115273774473</c:v>
                </c:pt>
                <c:pt idx="535" formatCode="0.00">
                  <c:v>5.5980115273774471</c:v>
                </c:pt>
                <c:pt idx="536" formatCode="0.00">
                  <c:v>5.6080115273774469</c:v>
                </c:pt>
                <c:pt idx="537" formatCode="0.00">
                  <c:v>5.6180115273774467</c:v>
                </c:pt>
                <c:pt idx="538" formatCode="0.00">
                  <c:v>5.6280115273774465</c:v>
                </c:pt>
                <c:pt idx="539" formatCode="0.00">
                  <c:v>5.6380115273774463</c:v>
                </c:pt>
                <c:pt idx="540" formatCode="0.00">
                  <c:v>5.6480115273774461</c:v>
                </c:pt>
                <c:pt idx="541" formatCode="0.00">
                  <c:v>5.6580115273774458</c:v>
                </c:pt>
                <c:pt idx="542" formatCode="0.00">
                  <c:v>5.6680115273774456</c:v>
                </c:pt>
                <c:pt idx="543" formatCode="0.00">
                  <c:v>5.6780115273774454</c:v>
                </c:pt>
                <c:pt idx="544" formatCode="0.00">
                  <c:v>5.6880115273774452</c:v>
                </c:pt>
                <c:pt idx="545" formatCode="0.00">
                  <c:v>5.698011527377445</c:v>
                </c:pt>
                <c:pt idx="546" formatCode="0.00">
                  <c:v>5.7080115273774448</c:v>
                </c:pt>
                <c:pt idx="547" formatCode="0.00">
                  <c:v>5.7180115273774446</c:v>
                </c:pt>
                <c:pt idx="548" formatCode="0.00">
                  <c:v>5.7280115273774443</c:v>
                </c:pt>
                <c:pt idx="549" formatCode="0.00">
                  <c:v>5.7380115273774441</c:v>
                </c:pt>
                <c:pt idx="550" formatCode="0.00">
                  <c:v>5.7480115273774439</c:v>
                </c:pt>
                <c:pt idx="551" formatCode="0.00">
                  <c:v>5.7580115273774437</c:v>
                </c:pt>
                <c:pt idx="552" formatCode="0.00">
                  <c:v>5.7680115273774435</c:v>
                </c:pt>
                <c:pt idx="553" formatCode="0.00">
                  <c:v>5.7780115273774433</c:v>
                </c:pt>
                <c:pt idx="554" formatCode="0.00">
                  <c:v>5.7880115273774431</c:v>
                </c:pt>
                <c:pt idx="555" formatCode="0.00">
                  <c:v>5.7980115273774429</c:v>
                </c:pt>
                <c:pt idx="556" formatCode="0.00">
                  <c:v>5.8080115273774426</c:v>
                </c:pt>
                <c:pt idx="557" formatCode="0.00">
                  <c:v>5.8180115273774424</c:v>
                </c:pt>
                <c:pt idx="558" formatCode="0.00">
                  <c:v>5.8280115273774422</c:v>
                </c:pt>
                <c:pt idx="559" formatCode="0.00">
                  <c:v>5.838011527377442</c:v>
                </c:pt>
                <c:pt idx="560" formatCode="0.00">
                  <c:v>5.8480115273774418</c:v>
                </c:pt>
                <c:pt idx="561" formatCode="0.00">
                  <c:v>5.8580115273774416</c:v>
                </c:pt>
                <c:pt idx="562" formatCode="0.00">
                  <c:v>5.8680115273774414</c:v>
                </c:pt>
                <c:pt idx="563" formatCode="0.00">
                  <c:v>5.8780115273774411</c:v>
                </c:pt>
                <c:pt idx="564" formatCode="0.00">
                  <c:v>5.8880115273774409</c:v>
                </c:pt>
                <c:pt idx="565" formatCode="0.00">
                  <c:v>5.8980115273774407</c:v>
                </c:pt>
                <c:pt idx="566" formatCode="0.00">
                  <c:v>5.9080115273774405</c:v>
                </c:pt>
                <c:pt idx="567" formatCode="0.00">
                  <c:v>5.9180115273774403</c:v>
                </c:pt>
                <c:pt idx="568" formatCode="0.00">
                  <c:v>5.9280115273774401</c:v>
                </c:pt>
                <c:pt idx="569" formatCode="0.00">
                  <c:v>5.9380115273774399</c:v>
                </c:pt>
                <c:pt idx="570" formatCode="0.00">
                  <c:v>5.9480115273774397</c:v>
                </c:pt>
                <c:pt idx="571" formatCode="0.00">
                  <c:v>5.9580115273774394</c:v>
                </c:pt>
                <c:pt idx="572" formatCode="0.00">
                  <c:v>5.9680115273774392</c:v>
                </c:pt>
                <c:pt idx="573" formatCode="0.00">
                  <c:v>5.978011527377439</c:v>
                </c:pt>
                <c:pt idx="574" formatCode="0.00">
                  <c:v>5.9880115273774388</c:v>
                </c:pt>
                <c:pt idx="575" formatCode="0.00">
                  <c:v>5.9980115273774386</c:v>
                </c:pt>
                <c:pt idx="576" formatCode="0.00">
                  <c:v>6.0080115273774384</c:v>
                </c:pt>
                <c:pt idx="577" formatCode="0.00">
                  <c:v>6.0180115273774382</c:v>
                </c:pt>
                <c:pt idx="578" formatCode="0.00">
                  <c:v>6.028011527377438</c:v>
                </c:pt>
                <c:pt idx="579" formatCode="0.00">
                  <c:v>6.0380115273774377</c:v>
                </c:pt>
                <c:pt idx="580" formatCode="0.00">
                  <c:v>6.0480115273774375</c:v>
                </c:pt>
                <c:pt idx="581" formatCode="0.00">
                  <c:v>6.0580115273774373</c:v>
                </c:pt>
                <c:pt idx="582" formatCode="0.00">
                  <c:v>6.0680115273774371</c:v>
                </c:pt>
                <c:pt idx="583" formatCode="0.00">
                  <c:v>6.0780115273774369</c:v>
                </c:pt>
                <c:pt idx="584" formatCode="0.00">
                  <c:v>6.0880115273774367</c:v>
                </c:pt>
                <c:pt idx="585" formatCode="0.00">
                  <c:v>6.0980115273774365</c:v>
                </c:pt>
                <c:pt idx="586" formatCode="0.00">
                  <c:v>6.1080115273774362</c:v>
                </c:pt>
                <c:pt idx="587" formatCode="0.00">
                  <c:v>6.118011527377436</c:v>
                </c:pt>
                <c:pt idx="588" formatCode="0.00">
                  <c:v>6.1280115273774358</c:v>
                </c:pt>
                <c:pt idx="589" formatCode="0.00">
                  <c:v>6.1380115273774356</c:v>
                </c:pt>
                <c:pt idx="590" formatCode="0.00">
                  <c:v>6.1480115273774354</c:v>
                </c:pt>
                <c:pt idx="591" formatCode="0.00">
                  <c:v>6.1580115273774352</c:v>
                </c:pt>
                <c:pt idx="592" formatCode="0.00">
                  <c:v>6.168011527377435</c:v>
                </c:pt>
                <c:pt idx="593" formatCode="0.00">
                  <c:v>6.1780115273774348</c:v>
                </c:pt>
                <c:pt idx="594" formatCode="0.00">
                  <c:v>6.1880115273774345</c:v>
                </c:pt>
                <c:pt idx="595" formatCode="0.00">
                  <c:v>6.1980115273774343</c:v>
                </c:pt>
                <c:pt idx="596" formatCode="0.00">
                  <c:v>6.2080115273774341</c:v>
                </c:pt>
                <c:pt idx="597" formatCode="0.00">
                  <c:v>6.2180115273774339</c:v>
                </c:pt>
                <c:pt idx="598" formatCode="0.00">
                  <c:v>6.2280115273774337</c:v>
                </c:pt>
                <c:pt idx="599" formatCode="0.00">
                  <c:v>6.2380115273774335</c:v>
                </c:pt>
                <c:pt idx="600" formatCode="0.00">
                  <c:v>6.2480115273774333</c:v>
                </c:pt>
                <c:pt idx="601" formatCode="0.00">
                  <c:v>6.258011527377433</c:v>
                </c:pt>
                <c:pt idx="602" formatCode="0.00">
                  <c:v>6.2680115273774328</c:v>
                </c:pt>
                <c:pt idx="603" formatCode="0.00">
                  <c:v>6.2780115273774326</c:v>
                </c:pt>
                <c:pt idx="604" formatCode="0.00">
                  <c:v>6.2880115273774324</c:v>
                </c:pt>
                <c:pt idx="605" formatCode="0.00">
                  <c:v>6.2980115273774322</c:v>
                </c:pt>
                <c:pt idx="606" formatCode="0.00">
                  <c:v>6.308011527377432</c:v>
                </c:pt>
                <c:pt idx="607" formatCode="0.00">
                  <c:v>6.3180115273774318</c:v>
                </c:pt>
                <c:pt idx="608" formatCode="0.00">
                  <c:v>6.3280115273774316</c:v>
                </c:pt>
                <c:pt idx="609" formatCode="0.00">
                  <c:v>6.3380115273774313</c:v>
                </c:pt>
                <c:pt idx="610" formatCode="0.00">
                  <c:v>6.3480115273774311</c:v>
                </c:pt>
                <c:pt idx="611" formatCode="0.00">
                  <c:v>6.3580115273774309</c:v>
                </c:pt>
                <c:pt idx="612" formatCode="0.00">
                  <c:v>6.3680115273774307</c:v>
                </c:pt>
                <c:pt idx="613" formatCode="0.00">
                  <c:v>6.3780115273774305</c:v>
                </c:pt>
                <c:pt idx="614" formatCode="0.00">
                  <c:v>6.3880115273774303</c:v>
                </c:pt>
                <c:pt idx="615" formatCode="0.00">
                  <c:v>6.3980115273774301</c:v>
                </c:pt>
                <c:pt idx="616" formatCode="0.00">
                  <c:v>6.4080115273774299</c:v>
                </c:pt>
                <c:pt idx="617" formatCode="0.00">
                  <c:v>6.4180115273774296</c:v>
                </c:pt>
                <c:pt idx="618" formatCode="0.00">
                  <c:v>6.4280115273774294</c:v>
                </c:pt>
                <c:pt idx="619" formatCode="0.00">
                  <c:v>6.4380115273774292</c:v>
                </c:pt>
                <c:pt idx="620" formatCode="0.00">
                  <c:v>6.448011527377429</c:v>
                </c:pt>
                <c:pt idx="621" formatCode="0.00">
                  <c:v>6.4580115273774288</c:v>
                </c:pt>
                <c:pt idx="622" formatCode="0.00">
                  <c:v>6.4680115273774286</c:v>
                </c:pt>
                <c:pt idx="623" formatCode="0.00">
                  <c:v>6.4780115273774284</c:v>
                </c:pt>
                <c:pt idx="624" formatCode="0.00">
                  <c:v>6.4880115273774281</c:v>
                </c:pt>
                <c:pt idx="625" formatCode="0.00">
                  <c:v>6.4980115273774279</c:v>
                </c:pt>
                <c:pt idx="626" formatCode="0.00">
                  <c:v>6.5080115273774277</c:v>
                </c:pt>
                <c:pt idx="627" formatCode="0.00">
                  <c:v>6.5180115273774275</c:v>
                </c:pt>
                <c:pt idx="628" formatCode="0.00">
                  <c:v>6.5280115273774273</c:v>
                </c:pt>
                <c:pt idx="629" formatCode="0.00">
                  <c:v>6.5380115273774271</c:v>
                </c:pt>
                <c:pt idx="630" formatCode="0.00">
                  <c:v>6.5480115273774269</c:v>
                </c:pt>
                <c:pt idx="631" formatCode="0.00">
                  <c:v>6.5580115273774267</c:v>
                </c:pt>
                <c:pt idx="632" formatCode="0.00">
                  <c:v>6.5680115273774264</c:v>
                </c:pt>
                <c:pt idx="633" formatCode="0.00">
                  <c:v>6.5780115273774262</c:v>
                </c:pt>
                <c:pt idx="634" formatCode="0.00">
                  <c:v>6.588011527377426</c:v>
                </c:pt>
                <c:pt idx="635" formatCode="0.00">
                  <c:v>6.5980115273774258</c:v>
                </c:pt>
                <c:pt idx="636" formatCode="0.00">
                  <c:v>6.6080115273774256</c:v>
                </c:pt>
                <c:pt idx="637" formatCode="0.00">
                  <c:v>6.6180115273774254</c:v>
                </c:pt>
                <c:pt idx="638" formatCode="0.00">
                  <c:v>6.6280115273774252</c:v>
                </c:pt>
                <c:pt idx="639" formatCode="0.00">
                  <c:v>6.6380115273774249</c:v>
                </c:pt>
                <c:pt idx="640" formatCode="0.00">
                  <c:v>6.6480115273774247</c:v>
                </c:pt>
                <c:pt idx="641" formatCode="0.00">
                  <c:v>6.6580115273774245</c:v>
                </c:pt>
                <c:pt idx="642" formatCode="0.00">
                  <c:v>6.6680115273774243</c:v>
                </c:pt>
                <c:pt idx="643" formatCode="0.00">
                  <c:v>6.6780115273774241</c:v>
                </c:pt>
                <c:pt idx="644" formatCode="0.00">
                  <c:v>6.6880115273774239</c:v>
                </c:pt>
                <c:pt idx="645" formatCode="0.00">
                  <c:v>6.6980115273774237</c:v>
                </c:pt>
                <c:pt idx="646" formatCode="0.00">
                  <c:v>6.7080115273774235</c:v>
                </c:pt>
                <c:pt idx="647" formatCode="0.00">
                  <c:v>6.7180115273774232</c:v>
                </c:pt>
                <c:pt idx="648" formatCode="0.00">
                  <c:v>6.728011527377423</c:v>
                </c:pt>
                <c:pt idx="649" formatCode="0.00">
                  <c:v>6.7380115273774228</c:v>
                </c:pt>
                <c:pt idx="650" formatCode="0.00">
                  <c:v>6.7480115273774226</c:v>
                </c:pt>
                <c:pt idx="651" formatCode="0.00">
                  <c:v>6.7580115273774224</c:v>
                </c:pt>
                <c:pt idx="652" formatCode="0.00">
                  <c:v>6.7680115273774222</c:v>
                </c:pt>
                <c:pt idx="653" formatCode="0.00">
                  <c:v>6.778011527377422</c:v>
                </c:pt>
                <c:pt idx="654" formatCode="0.00">
                  <c:v>6.7880115273774217</c:v>
                </c:pt>
                <c:pt idx="655" formatCode="0.00">
                  <c:v>6.7980115273774215</c:v>
                </c:pt>
                <c:pt idx="656" formatCode="0.00">
                  <c:v>6.8080115273774213</c:v>
                </c:pt>
                <c:pt idx="657" formatCode="0.00">
                  <c:v>6.8180115273774211</c:v>
                </c:pt>
                <c:pt idx="658" formatCode="0.00">
                  <c:v>6.8280115273774209</c:v>
                </c:pt>
                <c:pt idx="659" formatCode="0.00">
                  <c:v>6.8380115273774207</c:v>
                </c:pt>
                <c:pt idx="660" formatCode="0.00">
                  <c:v>6.8480115273774205</c:v>
                </c:pt>
                <c:pt idx="661" formatCode="0.00">
                  <c:v>6.8580115273774203</c:v>
                </c:pt>
                <c:pt idx="662" formatCode="0.00">
                  <c:v>6.86801152737742</c:v>
                </c:pt>
                <c:pt idx="663" formatCode="0.00">
                  <c:v>6.8780115273774198</c:v>
                </c:pt>
                <c:pt idx="664" formatCode="0.00">
                  <c:v>6.8880115273774196</c:v>
                </c:pt>
                <c:pt idx="665" formatCode="0.00">
                  <c:v>6.8980115273774194</c:v>
                </c:pt>
                <c:pt idx="666" formatCode="0.00">
                  <c:v>6.9080115273774192</c:v>
                </c:pt>
                <c:pt idx="667" formatCode="0.00">
                  <c:v>6.918011527377419</c:v>
                </c:pt>
                <c:pt idx="668" formatCode="0.00">
                  <c:v>6.9280115273774188</c:v>
                </c:pt>
                <c:pt idx="669" formatCode="0.00">
                  <c:v>6.9380115273774186</c:v>
                </c:pt>
                <c:pt idx="670" formatCode="0.00">
                  <c:v>6.9480115273774183</c:v>
                </c:pt>
                <c:pt idx="671" formatCode="0.00">
                  <c:v>6.9580115273774181</c:v>
                </c:pt>
                <c:pt idx="672" formatCode="0.00">
                  <c:v>6.9680115273774179</c:v>
                </c:pt>
                <c:pt idx="673" formatCode="0.00">
                  <c:v>6.9780115273774177</c:v>
                </c:pt>
                <c:pt idx="674" formatCode="0.00">
                  <c:v>6.9880115273774175</c:v>
                </c:pt>
                <c:pt idx="675" formatCode="0.00">
                  <c:v>6.9980115273774173</c:v>
                </c:pt>
                <c:pt idx="676" formatCode="0.00">
                  <c:v>7.0080115273774171</c:v>
                </c:pt>
                <c:pt idx="677" formatCode="0.00">
                  <c:v>7.0180115273774168</c:v>
                </c:pt>
                <c:pt idx="678" formatCode="0.00">
                  <c:v>7.0280115273774166</c:v>
                </c:pt>
                <c:pt idx="679" formatCode="0.00">
                  <c:v>7.0380115273774164</c:v>
                </c:pt>
                <c:pt idx="680" formatCode="0.00">
                  <c:v>7.0480115273774162</c:v>
                </c:pt>
                <c:pt idx="681" formatCode="0.00">
                  <c:v>7.058011527377416</c:v>
                </c:pt>
                <c:pt idx="682" formatCode="0.00">
                  <c:v>7.0680115273774158</c:v>
                </c:pt>
                <c:pt idx="683" formatCode="0.00">
                  <c:v>7.0780115273774156</c:v>
                </c:pt>
                <c:pt idx="684" formatCode="0.00">
                  <c:v>7.0880115273774154</c:v>
                </c:pt>
                <c:pt idx="685" formatCode="0.00">
                  <c:v>7.0980115273774151</c:v>
                </c:pt>
                <c:pt idx="686" formatCode="0.00">
                  <c:v>7.1080115273774149</c:v>
                </c:pt>
                <c:pt idx="687" formatCode="0.00">
                  <c:v>7.1180115273774147</c:v>
                </c:pt>
                <c:pt idx="688" formatCode="0.00">
                  <c:v>7.1280115273774145</c:v>
                </c:pt>
                <c:pt idx="689" formatCode="0.00">
                  <c:v>7.1380115273774143</c:v>
                </c:pt>
                <c:pt idx="690" formatCode="0.00">
                  <c:v>7.1480115273774141</c:v>
                </c:pt>
                <c:pt idx="691" formatCode="0.00">
                  <c:v>7.1580115273774139</c:v>
                </c:pt>
                <c:pt idx="692" formatCode="0.00">
                  <c:v>7.1680115273774136</c:v>
                </c:pt>
                <c:pt idx="693" formatCode="0.00">
                  <c:v>7.1780115273774134</c:v>
                </c:pt>
                <c:pt idx="694" formatCode="0.00">
                  <c:v>7.1880115273774132</c:v>
                </c:pt>
                <c:pt idx="695" formatCode="0.00">
                  <c:v>7.198011527377413</c:v>
                </c:pt>
                <c:pt idx="696" formatCode="0.00">
                  <c:v>7.2080115273774128</c:v>
                </c:pt>
                <c:pt idx="697" formatCode="0.00">
                  <c:v>7.2180115273774126</c:v>
                </c:pt>
                <c:pt idx="698" formatCode="0.00">
                  <c:v>7.2280115273774124</c:v>
                </c:pt>
                <c:pt idx="699" formatCode="0.00">
                  <c:v>7.2380115273774122</c:v>
                </c:pt>
                <c:pt idx="700" formatCode="0.00">
                  <c:v>7.2480115273774119</c:v>
                </c:pt>
                <c:pt idx="701" formatCode="0.00">
                  <c:v>7.2580115273774117</c:v>
                </c:pt>
                <c:pt idx="702" formatCode="0.00">
                  <c:v>7.2680115273774115</c:v>
                </c:pt>
                <c:pt idx="703" formatCode="0.00">
                  <c:v>7.2780115273774113</c:v>
                </c:pt>
                <c:pt idx="704" formatCode="0.00">
                  <c:v>7.2880115273774111</c:v>
                </c:pt>
                <c:pt idx="705" formatCode="0.00">
                  <c:v>7.2980115273774109</c:v>
                </c:pt>
                <c:pt idx="706" formatCode="0.00">
                  <c:v>7.3080115273774107</c:v>
                </c:pt>
                <c:pt idx="707" formatCode="0.00">
                  <c:v>7.3180115273774105</c:v>
                </c:pt>
                <c:pt idx="708" formatCode="0.00">
                  <c:v>7.3280115273774102</c:v>
                </c:pt>
                <c:pt idx="709" formatCode="0.00">
                  <c:v>7.33801152737741</c:v>
                </c:pt>
                <c:pt idx="710" formatCode="0.00">
                  <c:v>7.3480115273774098</c:v>
                </c:pt>
                <c:pt idx="711" formatCode="0.00">
                  <c:v>7.3580115273774096</c:v>
                </c:pt>
                <c:pt idx="712" formatCode="0.00">
                  <c:v>7.3680115273774094</c:v>
                </c:pt>
                <c:pt idx="713" formatCode="0.00">
                  <c:v>7.3780115273774092</c:v>
                </c:pt>
                <c:pt idx="714" formatCode="0.00">
                  <c:v>7.388011527377409</c:v>
                </c:pt>
                <c:pt idx="715" formatCode="0.00">
                  <c:v>7.3980115273774087</c:v>
                </c:pt>
                <c:pt idx="716" formatCode="0.00">
                  <c:v>7.4080115273774085</c:v>
                </c:pt>
                <c:pt idx="717" formatCode="0.00">
                  <c:v>7.4180115273774083</c:v>
                </c:pt>
                <c:pt idx="718" formatCode="0.00">
                  <c:v>7.4280115273774081</c:v>
                </c:pt>
                <c:pt idx="719" formatCode="0.00">
                  <c:v>7.4380115273774079</c:v>
                </c:pt>
                <c:pt idx="720" formatCode="0.00">
                  <c:v>7.4480115273774077</c:v>
                </c:pt>
                <c:pt idx="721" formatCode="0.00">
                  <c:v>7.4580115273774075</c:v>
                </c:pt>
                <c:pt idx="722" formatCode="0.00">
                  <c:v>7.4680115273774073</c:v>
                </c:pt>
                <c:pt idx="723" formatCode="0.00">
                  <c:v>7.478011527377407</c:v>
                </c:pt>
                <c:pt idx="724" formatCode="0.00">
                  <c:v>7.4880115273774068</c:v>
                </c:pt>
                <c:pt idx="725" formatCode="0.00">
                  <c:v>7.4980115273774066</c:v>
                </c:pt>
                <c:pt idx="726" formatCode="0.00">
                  <c:v>7.5080115273774064</c:v>
                </c:pt>
                <c:pt idx="727" formatCode="0.00">
                  <c:v>7.5180115273774062</c:v>
                </c:pt>
                <c:pt idx="728" formatCode="0.00">
                  <c:v>7.528011527377406</c:v>
                </c:pt>
                <c:pt idx="729" formatCode="0.00">
                  <c:v>7.5380115273774058</c:v>
                </c:pt>
                <c:pt idx="730" formatCode="0.00">
                  <c:v>7.5480115273774055</c:v>
                </c:pt>
                <c:pt idx="731" formatCode="0.00">
                  <c:v>7.5580115273774053</c:v>
                </c:pt>
                <c:pt idx="732" formatCode="0.00">
                  <c:v>7.5680115273774051</c:v>
                </c:pt>
                <c:pt idx="733" formatCode="0.00">
                  <c:v>7.5780115273774049</c:v>
                </c:pt>
                <c:pt idx="734" formatCode="0.00">
                  <c:v>7.5880115273774047</c:v>
                </c:pt>
                <c:pt idx="735" formatCode="0.00">
                  <c:v>7.5980115273774045</c:v>
                </c:pt>
                <c:pt idx="736" formatCode="0.00">
                  <c:v>7.6080115273774043</c:v>
                </c:pt>
                <c:pt idx="737" formatCode="0.00">
                  <c:v>7.6180115273774041</c:v>
                </c:pt>
                <c:pt idx="738" formatCode="0.00">
                  <c:v>7.6280115273774038</c:v>
                </c:pt>
                <c:pt idx="739" formatCode="0.00">
                  <c:v>7.6380115273774036</c:v>
                </c:pt>
                <c:pt idx="740" formatCode="0.00">
                  <c:v>7.6480115273774034</c:v>
                </c:pt>
                <c:pt idx="741" formatCode="0.00">
                  <c:v>7.6580115273774032</c:v>
                </c:pt>
                <c:pt idx="742" formatCode="0.00">
                  <c:v>7.668011527377403</c:v>
                </c:pt>
                <c:pt idx="743" formatCode="0.00">
                  <c:v>7.6780115273774028</c:v>
                </c:pt>
                <c:pt idx="744" formatCode="0.00">
                  <c:v>7.6880115273774026</c:v>
                </c:pt>
                <c:pt idx="745" formatCode="0.00">
                  <c:v>7.6980115273774024</c:v>
                </c:pt>
                <c:pt idx="746" formatCode="0.00">
                  <c:v>7.7080115273774021</c:v>
                </c:pt>
                <c:pt idx="747" formatCode="0.00">
                  <c:v>7.7180115273774019</c:v>
                </c:pt>
                <c:pt idx="748" formatCode="0.00">
                  <c:v>7.7280115273774017</c:v>
                </c:pt>
                <c:pt idx="749" formatCode="0.00">
                  <c:v>7.7380115273774015</c:v>
                </c:pt>
                <c:pt idx="750" formatCode="0.00">
                  <c:v>7.7480115273774013</c:v>
                </c:pt>
                <c:pt idx="751" formatCode="0.00">
                  <c:v>7.7580115273774011</c:v>
                </c:pt>
                <c:pt idx="752" formatCode="0.00">
                  <c:v>7.7680115273774009</c:v>
                </c:pt>
                <c:pt idx="753" formatCode="0.00">
                  <c:v>7.7780115273774006</c:v>
                </c:pt>
                <c:pt idx="754" formatCode="0.00">
                  <c:v>7.7880115273774004</c:v>
                </c:pt>
                <c:pt idx="755" formatCode="0.00">
                  <c:v>7.7980115273774002</c:v>
                </c:pt>
                <c:pt idx="756" formatCode="0.00">
                  <c:v>7.8080115273774</c:v>
                </c:pt>
                <c:pt idx="757" formatCode="0.00">
                  <c:v>7.8180115273773998</c:v>
                </c:pt>
                <c:pt idx="758" formatCode="0.00">
                  <c:v>7.8280115273773996</c:v>
                </c:pt>
                <c:pt idx="759" formatCode="0.00">
                  <c:v>7.8380115273773994</c:v>
                </c:pt>
                <c:pt idx="760" formatCode="0.00">
                  <c:v>7.8480115273773992</c:v>
                </c:pt>
                <c:pt idx="761" formatCode="0.00">
                  <c:v>7.8580115273773989</c:v>
                </c:pt>
                <c:pt idx="762" formatCode="0.00">
                  <c:v>7.8680115273773987</c:v>
                </c:pt>
                <c:pt idx="763" formatCode="0.00">
                  <c:v>7.8780115273773985</c:v>
                </c:pt>
                <c:pt idx="764" formatCode="0.00">
                  <c:v>7.8880115273773983</c:v>
                </c:pt>
                <c:pt idx="765" formatCode="0.00">
                  <c:v>7.8980115273773981</c:v>
                </c:pt>
                <c:pt idx="766" formatCode="0.00">
                  <c:v>7.9080115273773979</c:v>
                </c:pt>
                <c:pt idx="767" formatCode="0.00">
                  <c:v>7.9180115273773977</c:v>
                </c:pt>
                <c:pt idx="768" formatCode="0.00">
                  <c:v>7.9280115273773974</c:v>
                </c:pt>
                <c:pt idx="769" formatCode="0.00">
                  <c:v>7.9380115273773972</c:v>
                </c:pt>
                <c:pt idx="770" formatCode="0.00">
                  <c:v>7.948011527377397</c:v>
                </c:pt>
                <c:pt idx="771" formatCode="0.00">
                  <c:v>7.9580115273773968</c:v>
                </c:pt>
                <c:pt idx="772" formatCode="0.00">
                  <c:v>7.9680115273773966</c:v>
                </c:pt>
                <c:pt idx="773" formatCode="0.00">
                  <c:v>7.9780115273773964</c:v>
                </c:pt>
                <c:pt idx="774" formatCode="0.00">
                  <c:v>7.9880115273773962</c:v>
                </c:pt>
                <c:pt idx="775" formatCode="0.00">
                  <c:v>7.998011527377396</c:v>
                </c:pt>
                <c:pt idx="776" formatCode="0.00">
                  <c:v>8.0080115273773966</c:v>
                </c:pt>
                <c:pt idx="777" formatCode="0.00">
                  <c:v>8.0180115273773964</c:v>
                </c:pt>
                <c:pt idx="778" formatCode="0.00">
                  <c:v>8.0280115273773962</c:v>
                </c:pt>
                <c:pt idx="779" formatCode="0.00">
                  <c:v>8.038011527377396</c:v>
                </c:pt>
                <c:pt idx="780" formatCode="0.00">
                  <c:v>8.0480115273773958</c:v>
                </c:pt>
                <c:pt idx="781" formatCode="0.00">
                  <c:v>8.0580115273773956</c:v>
                </c:pt>
                <c:pt idx="782" formatCode="0.00">
                  <c:v>8.0680115273773954</c:v>
                </c:pt>
                <c:pt idx="783" formatCode="0.00">
                  <c:v>8.0780115273773951</c:v>
                </c:pt>
                <c:pt idx="784" formatCode="0.00">
                  <c:v>8.0880115273773949</c:v>
                </c:pt>
                <c:pt idx="785" formatCode="0.00">
                  <c:v>8.0980115273773947</c:v>
                </c:pt>
                <c:pt idx="786" formatCode="0.00">
                  <c:v>8.1080115273773945</c:v>
                </c:pt>
                <c:pt idx="787" formatCode="0.00">
                  <c:v>8.1180115273773943</c:v>
                </c:pt>
                <c:pt idx="788" formatCode="0.00">
                  <c:v>8.1280115273773941</c:v>
                </c:pt>
                <c:pt idx="789" formatCode="0.00">
                  <c:v>8.1380115273773939</c:v>
                </c:pt>
                <c:pt idx="790" formatCode="0.00">
                  <c:v>8.1480115273773936</c:v>
                </c:pt>
                <c:pt idx="791" formatCode="0.00">
                  <c:v>8.1580115273773934</c:v>
                </c:pt>
                <c:pt idx="792" formatCode="0.00">
                  <c:v>8.1680115273773932</c:v>
                </c:pt>
                <c:pt idx="793" formatCode="0.00">
                  <c:v>8.178011527377393</c:v>
                </c:pt>
                <c:pt idx="794" formatCode="0.00">
                  <c:v>8.1880115273773928</c:v>
                </c:pt>
                <c:pt idx="795" formatCode="0.00">
                  <c:v>8.1980115273773926</c:v>
                </c:pt>
                <c:pt idx="796" formatCode="0.00">
                  <c:v>8.2080115273773924</c:v>
                </c:pt>
                <c:pt idx="797" formatCode="0.00">
                  <c:v>8.2180115273773922</c:v>
                </c:pt>
                <c:pt idx="798" formatCode="0.00">
                  <c:v>8.2280115273773919</c:v>
                </c:pt>
                <c:pt idx="799" formatCode="0.00">
                  <c:v>8.2380115273773917</c:v>
                </c:pt>
                <c:pt idx="800" formatCode="0.00">
                  <c:v>8.2480115273773915</c:v>
                </c:pt>
                <c:pt idx="801" formatCode="0.00">
                  <c:v>8.2580115273773913</c:v>
                </c:pt>
                <c:pt idx="802" formatCode="0.00">
                  <c:v>8.2680115273773911</c:v>
                </c:pt>
                <c:pt idx="803" formatCode="0.00">
                  <c:v>8.2780115273773909</c:v>
                </c:pt>
                <c:pt idx="804" formatCode="0.00">
                  <c:v>8.2880115273773907</c:v>
                </c:pt>
                <c:pt idx="805" formatCode="0.00">
                  <c:v>8.2980115273773905</c:v>
                </c:pt>
                <c:pt idx="806" formatCode="0.00">
                  <c:v>8.3080115273773902</c:v>
                </c:pt>
                <c:pt idx="807" formatCode="0.00">
                  <c:v>8.31801152737739</c:v>
                </c:pt>
                <c:pt idx="808" formatCode="0.00">
                  <c:v>8.3280115273773898</c:v>
                </c:pt>
                <c:pt idx="809" formatCode="0.00">
                  <c:v>8.3380115273773896</c:v>
                </c:pt>
                <c:pt idx="810" formatCode="0.00">
                  <c:v>8.3480115273773894</c:v>
                </c:pt>
                <c:pt idx="811" formatCode="0.00">
                  <c:v>8.3580115273773892</c:v>
                </c:pt>
                <c:pt idx="812" formatCode="0.00">
                  <c:v>8.368011527377389</c:v>
                </c:pt>
                <c:pt idx="813" formatCode="0.00">
                  <c:v>8.3780115273773887</c:v>
                </c:pt>
                <c:pt idx="814" formatCode="0.00">
                  <c:v>8.3880115273773885</c:v>
                </c:pt>
                <c:pt idx="815" formatCode="0.00">
                  <c:v>8.3980115273773883</c:v>
                </c:pt>
                <c:pt idx="816" formatCode="0.00">
                  <c:v>8.4080115273773881</c:v>
                </c:pt>
                <c:pt idx="817" formatCode="0.00">
                  <c:v>8.4180115273773879</c:v>
                </c:pt>
                <c:pt idx="818" formatCode="0.00">
                  <c:v>8.4280115273773877</c:v>
                </c:pt>
                <c:pt idx="819" formatCode="0.00">
                  <c:v>8.4380115273773875</c:v>
                </c:pt>
                <c:pt idx="820" formatCode="0.00">
                  <c:v>8.4480115273773873</c:v>
                </c:pt>
                <c:pt idx="821" formatCode="0.00">
                  <c:v>8.458011527377387</c:v>
                </c:pt>
                <c:pt idx="822" formatCode="0.00">
                  <c:v>8.4680115273773868</c:v>
                </c:pt>
                <c:pt idx="823" formatCode="0.00">
                  <c:v>8.4780115273773866</c:v>
                </c:pt>
                <c:pt idx="824" formatCode="0.00">
                  <c:v>8.4880115273773864</c:v>
                </c:pt>
                <c:pt idx="825" formatCode="0.00">
                  <c:v>8.4980115273773862</c:v>
                </c:pt>
                <c:pt idx="826" formatCode="0.00">
                  <c:v>8.508011527377386</c:v>
                </c:pt>
                <c:pt idx="827" formatCode="0.00">
                  <c:v>8.5180115273773858</c:v>
                </c:pt>
                <c:pt idx="828" formatCode="0.00">
                  <c:v>8.5280115273773855</c:v>
                </c:pt>
                <c:pt idx="829" formatCode="0.00">
                  <c:v>8.5380115273773853</c:v>
                </c:pt>
                <c:pt idx="830" formatCode="0.00">
                  <c:v>8.5480115273773851</c:v>
                </c:pt>
                <c:pt idx="831" formatCode="0.00">
                  <c:v>8.5580115273773849</c:v>
                </c:pt>
                <c:pt idx="832" formatCode="0.00">
                  <c:v>8.5680115273773847</c:v>
                </c:pt>
                <c:pt idx="833" formatCode="0.00">
                  <c:v>8.5780115273773845</c:v>
                </c:pt>
                <c:pt idx="834" formatCode="0.00">
                  <c:v>8.5880115273773843</c:v>
                </c:pt>
                <c:pt idx="835" formatCode="0.00">
                  <c:v>8.5980115273773841</c:v>
                </c:pt>
                <c:pt idx="836" formatCode="0.00">
                  <c:v>8.6080115273773838</c:v>
                </c:pt>
                <c:pt idx="837" formatCode="0.00">
                  <c:v>8.6180115273773836</c:v>
                </c:pt>
                <c:pt idx="838" formatCode="0.00">
                  <c:v>8.6280115273773834</c:v>
                </c:pt>
                <c:pt idx="839" formatCode="0.00">
                  <c:v>8.6380115273773832</c:v>
                </c:pt>
                <c:pt idx="840" formatCode="0.00">
                  <c:v>8.648011527377383</c:v>
                </c:pt>
                <c:pt idx="841" formatCode="0.00">
                  <c:v>8.6580115273773828</c:v>
                </c:pt>
                <c:pt idx="842" formatCode="0.00">
                  <c:v>8.6680115273773826</c:v>
                </c:pt>
                <c:pt idx="843" formatCode="0.00">
                  <c:v>8.6780115273773824</c:v>
                </c:pt>
                <c:pt idx="844" formatCode="0.00">
                  <c:v>8.6880115273773821</c:v>
                </c:pt>
                <c:pt idx="845" formatCode="0.00">
                  <c:v>8.6980115273773819</c:v>
                </c:pt>
                <c:pt idx="846" formatCode="0.00">
                  <c:v>8.7080115273773817</c:v>
                </c:pt>
                <c:pt idx="847" formatCode="0.00">
                  <c:v>8.7180115273773815</c:v>
                </c:pt>
                <c:pt idx="848" formatCode="0.00">
                  <c:v>8.7280115273773813</c:v>
                </c:pt>
                <c:pt idx="849" formatCode="0.00">
                  <c:v>8.7380115273773811</c:v>
                </c:pt>
                <c:pt idx="850" formatCode="0.00">
                  <c:v>8.7480115273773809</c:v>
                </c:pt>
                <c:pt idx="851" formatCode="0.00">
                  <c:v>8.7580115273773806</c:v>
                </c:pt>
                <c:pt idx="852" formatCode="0.00">
                  <c:v>8.7680115273773804</c:v>
                </c:pt>
                <c:pt idx="853" formatCode="0.00">
                  <c:v>8.7780115273773802</c:v>
                </c:pt>
                <c:pt idx="854" formatCode="0.00">
                  <c:v>8.78801152737738</c:v>
                </c:pt>
                <c:pt idx="855" formatCode="0.00">
                  <c:v>8.7980115273773798</c:v>
                </c:pt>
                <c:pt idx="856" formatCode="0.00">
                  <c:v>8.8080115273773796</c:v>
                </c:pt>
                <c:pt idx="857" formatCode="0.00">
                  <c:v>8.8180115273773794</c:v>
                </c:pt>
                <c:pt idx="858" formatCode="0.00">
                  <c:v>8.8280115273773792</c:v>
                </c:pt>
                <c:pt idx="859" formatCode="0.00">
                  <c:v>8.8380115273773789</c:v>
                </c:pt>
                <c:pt idx="860" formatCode="0.00">
                  <c:v>8.8480115273773787</c:v>
                </c:pt>
                <c:pt idx="861" formatCode="0.00">
                  <c:v>8.8580115273773785</c:v>
                </c:pt>
                <c:pt idx="862" formatCode="0.00">
                  <c:v>8.8680115273773783</c:v>
                </c:pt>
                <c:pt idx="863" formatCode="0.00">
                  <c:v>8.8780115273773781</c:v>
                </c:pt>
                <c:pt idx="864" formatCode="0.00">
                  <c:v>8.8880115273773779</c:v>
                </c:pt>
                <c:pt idx="865" formatCode="0.00">
                  <c:v>8.8980115273773777</c:v>
                </c:pt>
                <c:pt idx="866" formatCode="0.00">
                  <c:v>8.9080115273773774</c:v>
                </c:pt>
                <c:pt idx="867" formatCode="0.00">
                  <c:v>8.9180115273773772</c:v>
                </c:pt>
                <c:pt idx="868" formatCode="0.00">
                  <c:v>8.928011527377377</c:v>
                </c:pt>
                <c:pt idx="869" formatCode="0.00">
                  <c:v>8.9380115273773768</c:v>
                </c:pt>
                <c:pt idx="870" formatCode="0.00">
                  <c:v>8.9480115273773766</c:v>
                </c:pt>
                <c:pt idx="871" formatCode="0.00">
                  <c:v>8.9580115273773764</c:v>
                </c:pt>
                <c:pt idx="872" formatCode="0.00">
                  <c:v>8.9680115273773762</c:v>
                </c:pt>
                <c:pt idx="873" formatCode="0.00">
                  <c:v>8.978011527377376</c:v>
                </c:pt>
                <c:pt idx="874" formatCode="0.00">
                  <c:v>8.9880115273773757</c:v>
                </c:pt>
                <c:pt idx="875" formatCode="0.00">
                  <c:v>8.9980115273773755</c:v>
                </c:pt>
                <c:pt idx="876" formatCode="0.00">
                  <c:v>9.0080115273773753</c:v>
                </c:pt>
                <c:pt idx="877" formatCode="0.00">
                  <c:v>9.0180115273773751</c:v>
                </c:pt>
                <c:pt idx="878" formatCode="0.00">
                  <c:v>9.0280115273773749</c:v>
                </c:pt>
                <c:pt idx="879" formatCode="0.00">
                  <c:v>9.0380115273773747</c:v>
                </c:pt>
                <c:pt idx="880" formatCode="0.00">
                  <c:v>9.0480115273773745</c:v>
                </c:pt>
                <c:pt idx="881" formatCode="0.00">
                  <c:v>9.0580115273773743</c:v>
                </c:pt>
                <c:pt idx="882" formatCode="0.00">
                  <c:v>9.068011527377374</c:v>
                </c:pt>
                <c:pt idx="883" formatCode="0.00">
                  <c:v>9.0780115273773738</c:v>
                </c:pt>
                <c:pt idx="884" formatCode="0.00">
                  <c:v>9.0880115273773736</c:v>
                </c:pt>
                <c:pt idx="885" formatCode="0.00">
                  <c:v>9.0980115273773734</c:v>
                </c:pt>
                <c:pt idx="886" formatCode="0.00">
                  <c:v>9.1080115273773732</c:v>
                </c:pt>
                <c:pt idx="887" formatCode="0.00">
                  <c:v>9.118011527377373</c:v>
                </c:pt>
                <c:pt idx="888" formatCode="0.00">
                  <c:v>9.1280115273773728</c:v>
                </c:pt>
                <c:pt idx="889" formatCode="0.00">
                  <c:v>9.1380115273773725</c:v>
                </c:pt>
                <c:pt idx="890" formatCode="0.00">
                  <c:v>9.1480115273773723</c:v>
                </c:pt>
                <c:pt idx="891" formatCode="0.00">
                  <c:v>9.1580115273773721</c:v>
                </c:pt>
                <c:pt idx="892" formatCode="0.00">
                  <c:v>9.1680115273773719</c:v>
                </c:pt>
                <c:pt idx="893" formatCode="0.00">
                  <c:v>9.1780115273773717</c:v>
                </c:pt>
                <c:pt idx="894" formatCode="0.00">
                  <c:v>9.1880115273773715</c:v>
                </c:pt>
                <c:pt idx="895" formatCode="0.00">
                  <c:v>9.1980115273773713</c:v>
                </c:pt>
                <c:pt idx="896" formatCode="0.00">
                  <c:v>9.2080115273773711</c:v>
                </c:pt>
                <c:pt idx="897" formatCode="0.00">
                  <c:v>9.2180115273773708</c:v>
                </c:pt>
                <c:pt idx="898" formatCode="0.00">
                  <c:v>9.2280115273773706</c:v>
                </c:pt>
                <c:pt idx="899" formatCode="0.00">
                  <c:v>9.2380115273773704</c:v>
                </c:pt>
                <c:pt idx="900" formatCode="0.00">
                  <c:v>9.2480115273773702</c:v>
                </c:pt>
                <c:pt idx="901" formatCode="0.00">
                  <c:v>9.25801152737737</c:v>
                </c:pt>
                <c:pt idx="902" formatCode="0.00">
                  <c:v>9.2680115273773698</c:v>
                </c:pt>
                <c:pt idx="903" formatCode="0.00">
                  <c:v>9.2780115273773696</c:v>
                </c:pt>
                <c:pt idx="904" formatCode="0.00">
                  <c:v>9.2880115273773693</c:v>
                </c:pt>
                <c:pt idx="905" formatCode="0.00">
                  <c:v>9.2980115273773691</c:v>
                </c:pt>
                <c:pt idx="906" formatCode="0.00">
                  <c:v>9.3080115273773689</c:v>
                </c:pt>
                <c:pt idx="907" formatCode="0.00">
                  <c:v>9.3180115273773687</c:v>
                </c:pt>
                <c:pt idx="908" formatCode="0.00">
                  <c:v>9.3280115273773685</c:v>
                </c:pt>
                <c:pt idx="909" formatCode="0.00">
                  <c:v>9.3380115273773683</c:v>
                </c:pt>
                <c:pt idx="910" formatCode="0.00">
                  <c:v>9.3480115273773681</c:v>
                </c:pt>
                <c:pt idx="911" formatCode="0.00">
                  <c:v>9.3580115273773679</c:v>
                </c:pt>
                <c:pt idx="912" formatCode="0.00">
                  <c:v>9.3680115273773676</c:v>
                </c:pt>
                <c:pt idx="913" formatCode="0.00">
                  <c:v>9.3780115273773674</c:v>
                </c:pt>
                <c:pt idx="914" formatCode="0.00">
                  <c:v>9.3880115273773672</c:v>
                </c:pt>
                <c:pt idx="915" formatCode="0.00">
                  <c:v>9.398011527377367</c:v>
                </c:pt>
                <c:pt idx="916" formatCode="0.00">
                  <c:v>9.4080115273773668</c:v>
                </c:pt>
                <c:pt idx="917" formatCode="0.00">
                  <c:v>9.4180115273773666</c:v>
                </c:pt>
                <c:pt idx="918" formatCode="0.00">
                  <c:v>9.4280115273773664</c:v>
                </c:pt>
                <c:pt idx="919" formatCode="0.00">
                  <c:v>9.4380115273773661</c:v>
                </c:pt>
                <c:pt idx="920" formatCode="0.00">
                  <c:v>9.4480115273773659</c:v>
                </c:pt>
                <c:pt idx="921" formatCode="0.00">
                  <c:v>9.4580115273773657</c:v>
                </c:pt>
                <c:pt idx="922" formatCode="0.00">
                  <c:v>9.4680115273773655</c:v>
                </c:pt>
                <c:pt idx="923" formatCode="0.00">
                  <c:v>9.4780115273773653</c:v>
                </c:pt>
                <c:pt idx="924" formatCode="0.00">
                  <c:v>9.4880115273773651</c:v>
                </c:pt>
                <c:pt idx="925" formatCode="0.00">
                  <c:v>9.4980115273773649</c:v>
                </c:pt>
                <c:pt idx="926" formatCode="0.00">
                  <c:v>9.5080115273773647</c:v>
                </c:pt>
                <c:pt idx="927" formatCode="0.00">
                  <c:v>9.5180115273773644</c:v>
                </c:pt>
                <c:pt idx="928" formatCode="0.00">
                  <c:v>9.5280115273773642</c:v>
                </c:pt>
                <c:pt idx="929" formatCode="0.00">
                  <c:v>9.538011527377364</c:v>
                </c:pt>
                <c:pt idx="930" formatCode="0.00">
                  <c:v>9.5480115273773638</c:v>
                </c:pt>
                <c:pt idx="931" formatCode="0.00">
                  <c:v>9.5580115273773636</c:v>
                </c:pt>
                <c:pt idx="932" formatCode="0.00">
                  <c:v>9.5680115273773634</c:v>
                </c:pt>
                <c:pt idx="933" formatCode="0.00">
                  <c:v>9.5780115273773632</c:v>
                </c:pt>
                <c:pt idx="934" formatCode="0.00">
                  <c:v>9.588011527377363</c:v>
                </c:pt>
                <c:pt idx="935" formatCode="0.00">
                  <c:v>9.5980115273773627</c:v>
                </c:pt>
                <c:pt idx="936" formatCode="0.00">
                  <c:v>9.6080115273773625</c:v>
                </c:pt>
                <c:pt idx="937" formatCode="0.00">
                  <c:v>9.6180115273773623</c:v>
                </c:pt>
                <c:pt idx="938" formatCode="0.00">
                  <c:v>9.6280115273773621</c:v>
                </c:pt>
                <c:pt idx="939" formatCode="0.00">
                  <c:v>9.6380115273773619</c:v>
                </c:pt>
                <c:pt idx="940" formatCode="0.00">
                  <c:v>9.6480115273773617</c:v>
                </c:pt>
                <c:pt idx="941" formatCode="0.00">
                  <c:v>9.6580115273773615</c:v>
                </c:pt>
                <c:pt idx="942" formatCode="0.00">
                  <c:v>9.6680115273773612</c:v>
                </c:pt>
                <c:pt idx="943" formatCode="0.00">
                  <c:v>9.678011527377361</c:v>
                </c:pt>
                <c:pt idx="944" formatCode="0.00">
                  <c:v>9.6880115273773608</c:v>
                </c:pt>
                <c:pt idx="945" formatCode="0.00">
                  <c:v>9.6980115273773606</c:v>
                </c:pt>
                <c:pt idx="946" formatCode="0.00">
                  <c:v>9.7080115273773604</c:v>
                </c:pt>
                <c:pt idx="947" formatCode="0.00">
                  <c:v>9.7180115273773602</c:v>
                </c:pt>
                <c:pt idx="948" formatCode="0.00">
                  <c:v>9.72801152737736</c:v>
                </c:pt>
                <c:pt idx="949" formatCode="0.00">
                  <c:v>9.7380115273773598</c:v>
                </c:pt>
                <c:pt idx="950" formatCode="0.00">
                  <c:v>9.7480115273773595</c:v>
                </c:pt>
                <c:pt idx="951" formatCode="0.00">
                  <c:v>9.7580115273773593</c:v>
                </c:pt>
                <c:pt idx="952" formatCode="0.00">
                  <c:v>9.7680115273773591</c:v>
                </c:pt>
                <c:pt idx="953" formatCode="0.00">
                  <c:v>9.7780115273773589</c:v>
                </c:pt>
                <c:pt idx="954" formatCode="0.00">
                  <c:v>9.7880115273773587</c:v>
                </c:pt>
                <c:pt idx="955" formatCode="0.00">
                  <c:v>9.7980115273773585</c:v>
                </c:pt>
                <c:pt idx="956" formatCode="0.00">
                  <c:v>9.8080115273773583</c:v>
                </c:pt>
                <c:pt idx="957" formatCode="0.00">
                  <c:v>9.818011527377358</c:v>
                </c:pt>
                <c:pt idx="958" formatCode="0.00">
                  <c:v>9.8280115273773578</c:v>
                </c:pt>
                <c:pt idx="959" formatCode="0.00">
                  <c:v>9.8380115273773576</c:v>
                </c:pt>
                <c:pt idx="960" formatCode="0.00">
                  <c:v>9.8480115273773574</c:v>
                </c:pt>
                <c:pt idx="961" formatCode="0.00">
                  <c:v>9.8580115273773572</c:v>
                </c:pt>
                <c:pt idx="962" formatCode="0.00">
                  <c:v>9.868011527377357</c:v>
                </c:pt>
                <c:pt idx="963" formatCode="0.00">
                  <c:v>9.8780115273773568</c:v>
                </c:pt>
                <c:pt idx="964" formatCode="0.00">
                  <c:v>9.8880115273773566</c:v>
                </c:pt>
                <c:pt idx="965" formatCode="0.00">
                  <c:v>9.8980115273773563</c:v>
                </c:pt>
                <c:pt idx="966" formatCode="0.00">
                  <c:v>9.9080115273773561</c:v>
                </c:pt>
                <c:pt idx="967" formatCode="0.00">
                  <c:v>9.9180115273773559</c:v>
                </c:pt>
                <c:pt idx="968" formatCode="0.00">
                  <c:v>9.9280115273773557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1.0962213640408966E-6</c:v>
                </c:pt>
                <c:pt idx="1">
                  <c:v>6.8350025469737406E-4</c:v>
                </c:pt>
                <c:pt idx="2">
                  <c:v>1.3659042880307074E-3</c:v>
                </c:pt>
                <c:pt idx="3">
                  <c:v>2.0483083213640408E-3</c:v>
                </c:pt>
                <c:pt idx="4">
                  <c:v>2.7307123546973741E-3</c:v>
                </c:pt>
                <c:pt idx="5">
                  <c:v>3.4131163880307077E-3</c:v>
                </c:pt>
                <c:pt idx="6">
                  <c:v>4.0955204213640409E-3</c:v>
                </c:pt>
                <c:pt idx="7">
                  <c:v>4.7779244546973746E-3</c:v>
                </c:pt>
                <c:pt idx="8">
                  <c:v>5.4603284880307083E-3</c:v>
                </c:pt>
                <c:pt idx="9">
                  <c:v>6.1427325213640411E-3</c:v>
                </c:pt>
                <c:pt idx="10">
                  <c:v>6.8251365546973747E-3</c:v>
                </c:pt>
                <c:pt idx="11">
                  <c:v>7.5075405880307084E-3</c:v>
                </c:pt>
                <c:pt idx="12">
                  <c:v>8.1899446213640412E-3</c:v>
                </c:pt>
                <c:pt idx="13">
                  <c:v>8.8723486546973748E-3</c:v>
                </c:pt>
                <c:pt idx="14">
                  <c:v>9.5547526880307068E-3</c:v>
                </c:pt>
                <c:pt idx="15">
                  <c:v>1.0237156721364039E-2</c:v>
                </c:pt>
                <c:pt idx="16">
                  <c:v>1.0919560754697372E-2</c:v>
                </c:pt>
                <c:pt idx="17">
                  <c:v>1.1601964788030704E-2</c:v>
                </c:pt>
                <c:pt idx="18">
                  <c:v>1.2284368821364038E-2</c:v>
                </c:pt>
                <c:pt idx="19">
                  <c:v>1.296677285469737E-2</c:v>
                </c:pt>
                <c:pt idx="20">
                  <c:v>1.3649176888030702E-2</c:v>
                </c:pt>
                <c:pt idx="21">
                  <c:v>1.4331580921364035E-2</c:v>
                </c:pt>
                <c:pt idx="22">
                  <c:v>1.5013984954697367E-2</c:v>
                </c:pt>
                <c:pt idx="23">
                  <c:v>1.5696388988030701E-2</c:v>
                </c:pt>
                <c:pt idx="24">
                  <c:v>1.6378793021364031E-2</c:v>
                </c:pt>
                <c:pt idx="25">
                  <c:v>1.7061197054697368E-2</c:v>
                </c:pt>
                <c:pt idx="26">
                  <c:v>1.7743601088030702E-2</c:v>
                </c:pt>
                <c:pt idx="27">
                  <c:v>1.8426005121364036E-2</c:v>
                </c:pt>
                <c:pt idx="28">
                  <c:v>1.9108409154697369E-2</c:v>
                </c:pt>
                <c:pt idx="29">
                  <c:v>1.9790813188030703E-2</c:v>
                </c:pt>
                <c:pt idx="30">
                  <c:v>2.047321722136404E-2</c:v>
                </c:pt>
                <c:pt idx="31">
                  <c:v>2.1155621254697374E-2</c:v>
                </c:pt>
                <c:pt idx="32">
                  <c:v>2.1838025288030707E-2</c:v>
                </c:pt>
                <c:pt idx="33">
                  <c:v>2.2520429321364041E-2</c:v>
                </c:pt>
                <c:pt idx="34">
                  <c:v>2.3202833354697375E-2</c:v>
                </c:pt>
                <c:pt idx="35">
                  <c:v>2.3885237388030712E-2</c:v>
                </c:pt>
                <c:pt idx="36">
                  <c:v>2.4567641421364046E-2</c:v>
                </c:pt>
                <c:pt idx="37">
                  <c:v>2.5250045454697379E-2</c:v>
                </c:pt>
                <c:pt idx="38">
                  <c:v>2.5932449488030713E-2</c:v>
                </c:pt>
                <c:pt idx="39">
                  <c:v>2.6614853521364047E-2</c:v>
                </c:pt>
                <c:pt idx="40">
                  <c:v>2.7297257554697384E-2</c:v>
                </c:pt>
                <c:pt idx="41">
                  <c:v>2.7979661588030717E-2</c:v>
                </c:pt>
                <c:pt idx="42">
                  <c:v>2.8662065621364051E-2</c:v>
                </c:pt>
                <c:pt idx="43">
                  <c:v>2.9344469654697385E-2</c:v>
                </c:pt>
                <c:pt idx="44">
                  <c:v>3.0026873688030718E-2</c:v>
                </c:pt>
                <c:pt idx="45">
                  <c:v>3.0709277721364055E-2</c:v>
                </c:pt>
                <c:pt idx="46">
                  <c:v>3.1391681754697386E-2</c:v>
                </c:pt>
                <c:pt idx="47">
                  <c:v>3.2074085788030719E-2</c:v>
                </c:pt>
                <c:pt idx="48">
                  <c:v>3.275648982136406E-2</c:v>
                </c:pt>
                <c:pt idx="49">
                  <c:v>3.3438893854697394E-2</c:v>
                </c:pt>
                <c:pt idx="50">
                  <c:v>3.4121297888030727E-2</c:v>
                </c:pt>
                <c:pt idx="51">
                  <c:v>3.4803701921364061E-2</c:v>
                </c:pt>
                <c:pt idx="52">
                  <c:v>3.5486105954697394E-2</c:v>
                </c:pt>
                <c:pt idx="53">
                  <c:v>3.6168509988030728E-2</c:v>
                </c:pt>
                <c:pt idx="54">
                  <c:v>3.6850914021364062E-2</c:v>
                </c:pt>
                <c:pt idx="55">
                  <c:v>3.7533318054697395E-2</c:v>
                </c:pt>
                <c:pt idx="56">
                  <c:v>3.8215722088030729E-2</c:v>
                </c:pt>
                <c:pt idx="57">
                  <c:v>3.8898126121364063E-2</c:v>
                </c:pt>
                <c:pt idx="58">
                  <c:v>3.9580530154697403E-2</c:v>
                </c:pt>
                <c:pt idx="59">
                  <c:v>4.0262934188030737E-2</c:v>
                </c:pt>
                <c:pt idx="60">
                  <c:v>4.0945338221364043E-2</c:v>
                </c:pt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  <c:pt idx="0">
                  <c:v>-2.8600000000000001E-4</c:v>
                </c:pt>
                <c:pt idx="1">
                  <c:v>-2.8200000000000002E-4</c:v>
                </c:pt>
                <c:pt idx="2">
                  <c:v>-2.7799999999999998E-4</c:v>
                </c:pt>
                <c:pt idx="3">
                  <c:v>-2.7300000000000002E-4</c:v>
                </c:pt>
                <c:pt idx="4">
                  <c:v>-2.6899999999999998E-4</c:v>
                </c:pt>
                <c:pt idx="5">
                  <c:v>-2.6499999999999999E-4</c:v>
                </c:pt>
                <c:pt idx="6">
                  <c:v>-2.61E-4</c:v>
                </c:pt>
                <c:pt idx="7">
                  <c:v>-2.5599999999999999E-4</c:v>
                </c:pt>
                <c:pt idx="8">
                  <c:v>-2.52E-4</c:v>
                </c:pt>
                <c:pt idx="9">
                  <c:v>-2.4800000000000001E-4</c:v>
                </c:pt>
                <c:pt idx="10">
                  <c:v>-2.43E-4</c:v>
                </c:pt>
                <c:pt idx="11">
                  <c:v>-2.41E-4</c:v>
                </c:pt>
                <c:pt idx="12">
                  <c:v>-2.4399999999999999E-4</c:v>
                </c:pt>
                <c:pt idx="13">
                  <c:v>-2.4699999999999999E-4</c:v>
                </c:pt>
                <c:pt idx="14">
                  <c:v>-2.5000000000000001E-4</c:v>
                </c:pt>
                <c:pt idx="15">
                  <c:v>-2.5399999999999999E-4</c:v>
                </c:pt>
                <c:pt idx="16">
                  <c:v>-2.5700000000000001E-4</c:v>
                </c:pt>
                <c:pt idx="17">
                  <c:v>-2.5999999999999998E-4</c:v>
                </c:pt>
                <c:pt idx="18">
                  <c:v>-2.63E-4</c:v>
                </c:pt>
                <c:pt idx="19">
                  <c:v>-2.6699999999999998E-4</c:v>
                </c:pt>
                <c:pt idx="20">
                  <c:v>-2.7E-4</c:v>
                </c:pt>
                <c:pt idx="21">
                  <c:v>-2.7300000000000002E-4</c:v>
                </c:pt>
                <c:pt idx="22">
                  <c:v>-2.7599999999999999E-4</c:v>
                </c:pt>
                <c:pt idx="23">
                  <c:v>-2.7999999999999998E-4</c:v>
                </c:pt>
                <c:pt idx="24">
                  <c:v>-2.8299999999999999E-4</c:v>
                </c:pt>
                <c:pt idx="25">
                  <c:v>-2.8600000000000001E-4</c:v>
                </c:pt>
                <c:pt idx="26">
                  <c:v>-2.8899999999999998E-4</c:v>
                </c:pt>
                <c:pt idx="27">
                  <c:v>-2.9300000000000002E-4</c:v>
                </c:pt>
                <c:pt idx="28">
                  <c:v>-2.9599999999999998E-4</c:v>
                </c:pt>
                <c:pt idx="29">
                  <c:v>-2.99E-4</c:v>
                </c:pt>
                <c:pt idx="30">
                  <c:v>-3.0299999999999999E-4</c:v>
                </c:pt>
                <c:pt idx="31">
                  <c:v>-3.0600000000000001E-4</c:v>
                </c:pt>
                <c:pt idx="32">
                  <c:v>-3.0899999999999998E-4</c:v>
                </c:pt>
                <c:pt idx="33">
                  <c:v>-3.1300000000000002E-4</c:v>
                </c:pt>
                <c:pt idx="34">
                  <c:v>-3.1599999999999998E-4</c:v>
                </c:pt>
                <c:pt idx="35">
                  <c:v>-3.19E-4</c:v>
                </c:pt>
                <c:pt idx="36">
                  <c:v>-3.2299999999999999E-4</c:v>
                </c:pt>
                <c:pt idx="37">
                  <c:v>-3.2600000000000001E-4</c:v>
                </c:pt>
                <c:pt idx="38">
                  <c:v>-3.2899999999999997E-4</c:v>
                </c:pt>
                <c:pt idx="39">
                  <c:v>-3.3300000000000002E-4</c:v>
                </c:pt>
                <c:pt idx="40">
                  <c:v>-3.3599999999999998E-4</c:v>
                </c:pt>
                <c:pt idx="41">
                  <c:v>-3.4000000000000002E-4</c:v>
                </c:pt>
                <c:pt idx="42">
                  <c:v>-3.4299999999999999E-4</c:v>
                </c:pt>
                <c:pt idx="43">
                  <c:v>-3.4699999999999998E-4</c:v>
                </c:pt>
                <c:pt idx="44">
                  <c:v>-3.5100000000000002E-4</c:v>
                </c:pt>
                <c:pt idx="45">
                  <c:v>-3.5500000000000001E-4</c:v>
                </c:pt>
                <c:pt idx="46">
                  <c:v>-3.59E-4</c:v>
                </c:pt>
                <c:pt idx="47">
                  <c:v>-3.6299999999999999E-4</c:v>
                </c:pt>
                <c:pt idx="48">
                  <c:v>-3.6699999999999998E-4</c:v>
                </c:pt>
                <c:pt idx="49">
                  <c:v>-3.7100000000000002E-4</c:v>
                </c:pt>
                <c:pt idx="50">
                  <c:v>-3.7399999999999998E-4</c:v>
                </c:pt>
                <c:pt idx="51">
                  <c:v>-3.7800000000000003E-4</c:v>
                </c:pt>
                <c:pt idx="52">
                  <c:v>-3.8200000000000002E-4</c:v>
                </c:pt>
                <c:pt idx="53">
                  <c:v>-3.86E-4</c:v>
                </c:pt>
                <c:pt idx="54">
                  <c:v>-3.9100000000000002E-4</c:v>
                </c:pt>
                <c:pt idx="55">
                  <c:v>-3.9599999999999998E-4</c:v>
                </c:pt>
                <c:pt idx="56">
                  <c:v>-4.0000000000000002E-4</c:v>
                </c:pt>
                <c:pt idx="57">
                  <c:v>-4.0499999999999998E-4</c:v>
                </c:pt>
                <c:pt idx="58">
                  <c:v>-4.0999999999999999E-4</c:v>
                </c:pt>
                <c:pt idx="59">
                  <c:v>-4.1399999999999998E-4</c:v>
                </c:pt>
                <c:pt idx="60">
                  <c:v>-4.2000000000000002E-4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1.0962213640408966E-6</c:v>
                </c:pt>
                <c:pt idx="1">
                  <c:v>8.1998102136404097E-4</c:v>
                </c:pt>
                <c:pt idx="2">
                  <c:v>1.638865821364041E-3</c:v>
                </c:pt>
                <c:pt idx="3">
                  <c:v>2.4577506213640412E-3</c:v>
                </c:pt>
                <c:pt idx="4">
                  <c:v>3.2766354213640413E-3</c:v>
                </c:pt>
                <c:pt idx="5">
                  <c:v>4.0955202213640417E-3</c:v>
                </c:pt>
                <c:pt idx="6">
                  <c:v>4.9144050213640418E-3</c:v>
                </c:pt>
                <c:pt idx="7">
                  <c:v>5.7332898213640418E-3</c:v>
                </c:pt>
                <c:pt idx="8">
                  <c:v>6.5521746213640418E-3</c:v>
                </c:pt>
                <c:pt idx="9">
                  <c:v>7.3710594213640419E-3</c:v>
                </c:pt>
                <c:pt idx="10">
                  <c:v>8.189944221364041E-3</c:v>
                </c:pt>
                <c:pt idx="11">
                  <c:v>8.189944221364041E-3</c:v>
                </c:pt>
                <c:pt idx="12">
                  <c:v>9.0088290213640402E-3</c:v>
                </c:pt>
                <c:pt idx="13">
                  <c:v>9.8277138213640394E-3</c:v>
                </c:pt>
                <c:pt idx="14">
                  <c:v>1.0646598621364039E-2</c:v>
                </c:pt>
                <c:pt idx="15">
                  <c:v>1.1465483421364038E-2</c:v>
                </c:pt>
                <c:pt idx="16">
                  <c:v>1.2284368221364037E-2</c:v>
                </c:pt>
                <c:pt idx="17">
                  <c:v>1.3103253021364036E-2</c:v>
                </c:pt>
                <c:pt idx="18">
                  <c:v>1.3922137821364035E-2</c:v>
                </c:pt>
                <c:pt idx="19">
                  <c:v>1.4741022621364036E-2</c:v>
                </c:pt>
                <c:pt idx="20">
                  <c:v>1.5559907421364035E-2</c:v>
                </c:pt>
                <c:pt idx="21">
                  <c:v>1.6378792221364034E-2</c:v>
                </c:pt>
                <c:pt idx="22">
                  <c:v>1.6378792221364034E-2</c:v>
                </c:pt>
                <c:pt idx="23">
                  <c:v>1.7197677021364034E-2</c:v>
                </c:pt>
                <c:pt idx="24">
                  <c:v>1.8016561821364033E-2</c:v>
                </c:pt>
                <c:pt idx="25">
                  <c:v>1.8835446621364032E-2</c:v>
                </c:pt>
                <c:pt idx="26">
                  <c:v>1.9654331421364031E-2</c:v>
                </c:pt>
                <c:pt idx="27">
                  <c:v>2.047321622136403E-2</c:v>
                </c:pt>
                <c:pt idx="28">
                  <c:v>2.1292101021364029E-2</c:v>
                </c:pt>
                <c:pt idx="29">
                  <c:v>2.2110985821364029E-2</c:v>
                </c:pt>
                <c:pt idx="30">
                  <c:v>2.2929870621364028E-2</c:v>
                </c:pt>
                <c:pt idx="31">
                  <c:v>2.3748755421364027E-2</c:v>
                </c:pt>
                <c:pt idx="32">
                  <c:v>2.4567640221364026E-2</c:v>
                </c:pt>
                <c:pt idx="33">
                  <c:v>2.4567640221364026E-2</c:v>
                </c:pt>
                <c:pt idx="34">
                  <c:v>2.5386525021364025E-2</c:v>
                </c:pt>
                <c:pt idx="35">
                  <c:v>2.6205409821364024E-2</c:v>
                </c:pt>
                <c:pt idx="36">
                  <c:v>2.7024294621364024E-2</c:v>
                </c:pt>
                <c:pt idx="37">
                  <c:v>2.7843179421364023E-2</c:v>
                </c:pt>
                <c:pt idx="38">
                  <c:v>2.8662064221364025E-2</c:v>
                </c:pt>
                <c:pt idx="39">
                  <c:v>2.9480949021364024E-2</c:v>
                </c:pt>
                <c:pt idx="40">
                  <c:v>3.0299833821364024E-2</c:v>
                </c:pt>
                <c:pt idx="41">
                  <c:v>3.1118718621364023E-2</c:v>
                </c:pt>
                <c:pt idx="42">
                  <c:v>3.1937603421364022E-2</c:v>
                </c:pt>
                <c:pt idx="43">
                  <c:v>3.2756488221364025E-2</c:v>
                </c:pt>
                <c:pt idx="44">
                  <c:v>3.2756488221364025E-2</c:v>
                </c:pt>
                <c:pt idx="45">
                  <c:v>3.357537302136402E-2</c:v>
                </c:pt>
                <c:pt idx="46">
                  <c:v>3.4394257821364023E-2</c:v>
                </c:pt>
                <c:pt idx="47">
                  <c:v>3.5213142621364019E-2</c:v>
                </c:pt>
                <c:pt idx="48">
                  <c:v>3.6032027421364021E-2</c:v>
                </c:pt>
                <c:pt idx="49">
                  <c:v>3.6850912221364024E-2</c:v>
                </c:pt>
                <c:pt idx="50">
                  <c:v>3.766979702136402E-2</c:v>
                </c:pt>
                <c:pt idx="51">
                  <c:v>3.8488681821364022E-2</c:v>
                </c:pt>
                <c:pt idx="52">
                  <c:v>3.9307566621364018E-2</c:v>
                </c:pt>
                <c:pt idx="53">
                  <c:v>4.0126451421364021E-2</c:v>
                </c:pt>
                <c:pt idx="54">
                  <c:v>4.0945336221364016E-2</c:v>
                </c:pt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  <c:pt idx="0">
                  <c:v>-2.8600000000000001E-4</c:v>
                </c:pt>
                <c:pt idx="1">
                  <c:v>-2.81E-4</c:v>
                </c:pt>
                <c:pt idx="2">
                  <c:v>-2.7599999999999999E-4</c:v>
                </c:pt>
                <c:pt idx="3">
                  <c:v>-2.7099999999999997E-4</c:v>
                </c:pt>
                <c:pt idx="4">
                  <c:v>-2.6600000000000001E-4</c:v>
                </c:pt>
                <c:pt idx="5">
                  <c:v>-2.61E-4</c:v>
                </c:pt>
                <c:pt idx="6">
                  <c:v>-2.5500000000000002E-4</c:v>
                </c:pt>
                <c:pt idx="7">
                  <c:v>-2.5000000000000001E-4</c:v>
                </c:pt>
                <c:pt idx="8">
                  <c:v>-2.4499999999999999E-4</c:v>
                </c:pt>
                <c:pt idx="9">
                  <c:v>-2.4000000000000001E-4</c:v>
                </c:pt>
                <c:pt idx="10">
                  <c:v>-2.4399999999999999E-4</c:v>
                </c:pt>
                <c:pt idx="11">
                  <c:v>-2.4399999999999999E-4</c:v>
                </c:pt>
                <c:pt idx="12">
                  <c:v>-2.4800000000000001E-4</c:v>
                </c:pt>
                <c:pt idx="13">
                  <c:v>-2.52E-4</c:v>
                </c:pt>
                <c:pt idx="14">
                  <c:v>-2.5599999999999999E-4</c:v>
                </c:pt>
                <c:pt idx="15">
                  <c:v>-2.5999999999999998E-4</c:v>
                </c:pt>
                <c:pt idx="16">
                  <c:v>-2.63E-4</c:v>
                </c:pt>
                <c:pt idx="17">
                  <c:v>-2.6699999999999998E-4</c:v>
                </c:pt>
                <c:pt idx="18">
                  <c:v>-2.7099999999999997E-4</c:v>
                </c:pt>
                <c:pt idx="19">
                  <c:v>-2.7500000000000002E-4</c:v>
                </c:pt>
                <c:pt idx="20">
                  <c:v>-2.7900000000000001E-4</c:v>
                </c:pt>
                <c:pt idx="21">
                  <c:v>-2.8299999999999999E-4</c:v>
                </c:pt>
                <c:pt idx="22">
                  <c:v>-2.8299999999999999E-4</c:v>
                </c:pt>
                <c:pt idx="23">
                  <c:v>-2.8699999999999998E-4</c:v>
                </c:pt>
                <c:pt idx="24">
                  <c:v>-2.9100000000000003E-4</c:v>
                </c:pt>
                <c:pt idx="25">
                  <c:v>-2.9500000000000001E-4</c:v>
                </c:pt>
                <c:pt idx="26">
                  <c:v>-2.99E-4</c:v>
                </c:pt>
                <c:pt idx="27">
                  <c:v>-3.0299999999999999E-4</c:v>
                </c:pt>
                <c:pt idx="28">
                  <c:v>-3.0699999999999998E-4</c:v>
                </c:pt>
                <c:pt idx="29">
                  <c:v>-3.1100000000000002E-4</c:v>
                </c:pt>
                <c:pt idx="30">
                  <c:v>-3.1500000000000001E-4</c:v>
                </c:pt>
                <c:pt idx="31">
                  <c:v>-3.19E-4</c:v>
                </c:pt>
                <c:pt idx="32">
                  <c:v>-3.2299999999999999E-4</c:v>
                </c:pt>
                <c:pt idx="33">
                  <c:v>-3.2299999999999999E-4</c:v>
                </c:pt>
                <c:pt idx="34">
                  <c:v>-3.2600000000000001E-4</c:v>
                </c:pt>
                <c:pt idx="35">
                  <c:v>-3.3E-4</c:v>
                </c:pt>
                <c:pt idx="36">
                  <c:v>-3.3399999999999999E-4</c:v>
                </c:pt>
                <c:pt idx="37">
                  <c:v>-3.3799999999999998E-4</c:v>
                </c:pt>
                <c:pt idx="38">
                  <c:v>-3.4299999999999999E-4</c:v>
                </c:pt>
                <c:pt idx="39">
                  <c:v>-3.4699999999999998E-4</c:v>
                </c:pt>
                <c:pt idx="40">
                  <c:v>-3.5100000000000002E-4</c:v>
                </c:pt>
                <c:pt idx="41">
                  <c:v>-3.5599999999999998E-4</c:v>
                </c:pt>
                <c:pt idx="42">
                  <c:v>-3.6099999999999999E-4</c:v>
                </c:pt>
                <c:pt idx="43">
                  <c:v>-3.6499999999999998E-4</c:v>
                </c:pt>
                <c:pt idx="44">
                  <c:v>-3.6499999999999998E-4</c:v>
                </c:pt>
                <c:pt idx="45">
                  <c:v>-3.6999999999999999E-4</c:v>
                </c:pt>
                <c:pt idx="46">
                  <c:v>-3.7500000000000001E-4</c:v>
                </c:pt>
                <c:pt idx="47">
                  <c:v>-3.8000000000000002E-4</c:v>
                </c:pt>
                <c:pt idx="48">
                  <c:v>-3.8400000000000001E-4</c:v>
                </c:pt>
                <c:pt idx="49">
                  <c:v>-3.8999999999999999E-4</c:v>
                </c:pt>
                <c:pt idx="50">
                  <c:v>-3.9599999999999998E-4</c:v>
                </c:pt>
                <c:pt idx="51">
                  <c:v>-4.0099999999999999E-4</c:v>
                </c:pt>
                <c:pt idx="52">
                  <c:v>-4.0700000000000003E-4</c:v>
                </c:pt>
                <c:pt idx="53">
                  <c:v>-4.1199999999999999E-4</c:v>
                </c:pt>
                <c:pt idx="54">
                  <c:v>-4.1800000000000002E-4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1.0962213640408966E-6</c:v>
                </c:pt>
                <c:pt idx="1">
                  <c:v>6.8350025469737406E-4</c:v>
                </c:pt>
                <c:pt idx="2">
                  <c:v>1.3659042880307074E-3</c:v>
                </c:pt>
                <c:pt idx="3">
                  <c:v>2.0483083213640408E-3</c:v>
                </c:pt>
                <c:pt idx="4">
                  <c:v>2.7307123546973741E-3</c:v>
                </c:pt>
                <c:pt idx="5">
                  <c:v>3.4131163880307077E-3</c:v>
                </c:pt>
                <c:pt idx="6">
                  <c:v>4.0955204213640409E-3</c:v>
                </c:pt>
                <c:pt idx="7">
                  <c:v>4.7779244546973746E-3</c:v>
                </c:pt>
                <c:pt idx="8">
                  <c:v>5.4603284880307083E-3</c:v>
                </c:pt>
                <c:pt idx="9">
                  <c:v>6.1427325213640411E-3</c:v>
                </c:pt>
                <c:pt idx="10">
                  <c:v>6.8251365546973747E-3</c:v>
                </c:pt>
                <c:pt idx="11">
                  <c:v>7.5075405880307084E-3</c:v>
                </c:pt>
                <c:pt idx="12">
                  <c:v>8.1899446213640412E-3</c:v>
                </c:pt>
                <c:pt idx="13">
                  <c:v>8.8723486546973748E-3</c:v>
                </c:pt>
                <c:pt idx="14">
                  <c:v>9.5547526880307068E-3</c:v>
                </c:pt>
                <c:pt idx="15">
                  <c:v>1.0237156721364039E-2</c:v>
                </c:pt>
                <c:pt idx="16">
                  <c:v>1.0919560754697372E-2</c:v>
                </c:pt>
                <c:pt idx="17">
                  <c:v>1.1601964788030704E-2</c:v>
                </c:pt>
                <c:pt idx="18">
                  <c:v>1.2284368821364038E-2</c:v>
                </c:pt>
                <c:pt idx="19">
                  <c:v>1.296677285469737E-2</c:v>
                </c:pt>
                <c:pt idx="20">
                  <c:v>1.3649176888030702E-2</c:v>
                </c:pt>
                <c:pt idx="21">
                  <c:v>1.4331580921364035E-2</c:v>
                </c:pt>
                <c:pt idx="22">
                  <c:v>1.5013984954697367E-2</c:v>
                </c:pt>
                <c:pt idx="23">
                  <c:v>1.5696388988030701E-2</c:v>
                </c:pt>
                <c:pt idx="24">
                  <c:v>1.6378793021364031E-2</c:v>
                </c:pt>
                <c:pt idx="25">
                  <c:v>1.7061197054697368E-2</c:v>
                </c:pt>
                <c:pt idx="26">
                  <c:v>1.7743601088030702E-2</c:v>
                </c:pt>
                <c:pt idx="27">
                  <c:v>1.8426005121364036E-2</c:v>
                </c:pt>
                <c:pt idx="28">
                  <c:v>1.9108409154697369E-2</c:v>
                </c:pt>
                <c:pt idx="29">
                  <c:v>1.9790813188030703E-2</c:v>
                </c:pt>
                <c:pt idx="30">
                  <c:v>2.047321722136404E-2</c:v>
                </c:pt>
                <c:pt idx="31">
                  <c:v>2.1155621254697374E-2</c:v>
                </c:pt>
                <c:pt idx="32">
                  <c:v>2.1838025288030707E-2</c:v>
                </c:pt>
                <c:pt idx="33">
                  <c:v>2.2520429321364041E-2</c:v>
                </c:pt>
                <c:pt idx="34">
                  <c:v>2.3202833354697375E-2</c:v>
                </c:pt>
                <c:pt idx="35">
                  <c:v>2.3885237388030712E-2</c:v>
                </c:pt>
                <c:pt idx="36">
                  <c:v>2.4567641421364046E-2</c:v>
                </c:pt>
                <c:pt idx="37">
                  <c:v>2.5250045454697379E-2</c:v>
                </c:pt>
                <c:pt idx="38">
                  <c:v>2.5932449488030713E-2</c:v>
                </c:pt>
                <c:pt idx="39">
                  <c:v>2.6614853521364047E-2</c:v>
                </c:pt>
                <c:pt idx="40">
                  <c:v>2.7297257554697384E-2</c:v>
                </c:pt>
                <c:pt idx="41">
                  <c:v>2.7979661588030717E-2</c:v>
                </c:pt>
                <c:pt idx="42">
                  <c:v>2.8662065621364051E-2</c:v>
                </c:pt>
                <c:pt idx="43">
                  <c:v>2.9344469654697385E-2</c:v>
                </c:pt>
                <c:pt idx="44">
                  <c:v>3.0026873688030718E-2</c:v>
                </c:pt>
                <c:pt idx="45">
                  <c:v>3.0709277721364055E-2</c:v>
                </c:pt>
                <c:pt idx="46">
                  <c:v>3.1391681754697386E-2</c:v>
                </c:pt>
                <c:pt idx="47">
                  <c:v>3.2074085788030719E-2</c:v>
                </c:pt>
                <c:pt idx="48">
                  <c:v>3.275648982136406E-2</c:v>
                </c:pt>
                <c:pt idx="49">
                  <c:v>3.3438893854697394E-2</c:v>
                </c:pt>
                <c:pt idx="50">
                  <c:v>3.4121297888030727E-2</c:v>
                </c:pt>
                <c:pt idx="51">
                  <c:v>3.4803701921364061E-2</c:v>
                </c:pt>
                <c:pt idx="52">
                  <c:v>3.5486105954697394E-2</c:v>
                </c:pt>
                <c:pt idx="53">
                  <c:v>3.6168509988030728E-2</c:v>
                </c:pt>
                <c:pt idx="54">
                  <c:v>3.6850914021364062E-2</c:v>
                </c:pt>
                <c:pt idx="55">
                  <c:v>3.7533318054697395E-2</c:v>
                </c:pt>
                <c:pt idx="56">
                  <c:v>3.8215722088030729E-2</c:v>
                </c:pt>
                <c:pt idx="57">
                  <c:v>3.8898126121364063E-2</c:v>
                </c:pt>
                <c:pt idx="58">
                  <c:v>3.9580530154697403E-2</c:v>
                </c:pt>
                <c:pt idx="59">
                  <c:v>4.0262934188030737E-2</c:v>
                </c:pt>
                <c:pt idx="60">
                  <c:v>4.0945338221364043E-2</c:v>
                </c:pt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  <c:pt idx="0">
                  <c:v>-2.6699999999999998E-4</c:v>
                </c:pt>
                <c:pt idx="1">
                  <c:v>-2.63E-4</c:v>
                </c:pt>
                <c:pt idx="2">
                  <c:v>-2.5999999999999998E-4</c:v>
                </c:pt>
                <c:pt idx="3">
                  <c:v>-2.5599999999999999E-4</c:v>
                </c:pt>
                <c:pt idx="4">
                  <c:v>-2.5300000000000002E-4</c:v>
                </c:pt>
                <c:pt idx="5">
                  <c:v>-2.4899999999999998E-4</c:v>
                </c:pt>
                <c:pt idx="6">
                  <c:v>-2.4499999999999999E-4</c:v>
                </c:pt>
                <c:pt idx="7">
                  <c:v>-2.42E-4</c:v>
                </c:pt>
                <c:pt idx="8">
                  <c:v>-2.3800000000000001E-4</c:v>
                </c:pt>
                <c:pt idx="9">
                  <c:v>-2.34E-4</c:v>
                </c:pt>
                <c:pt idx="10">
                  <c:v>-2.31E-4</c:v>
                </c:pt>
                <c:pt idx="11">
                  <c:v>-2.2800000000000001E-4</c:v>
                </c:pt>
                <c:pt idx="12">
                  <c:v>-2.31E-4</c:v>
                </c:pt>
                <c:pt idx="13">
                  <c:v>-2.34E-4</c:v>
                </c:pt>
                <c:pt idx="14">
                  <c:v>-2.3599999999999999E-4</c:v>
                </c:pt>
                <c:pt idx="15">
                  <c:v>-2.3900000000000001E-4</c:v>
                </c:pt>
                <c:pt idx="16">
                  <c:v>-2.41E-4</c:v>
                </c:pt>
                <c:pt idx="17">
                  <c:v>-2.4399999999999999E-4</c:v>
                </c:pt>
                <c:pt idx="18">
                  <c:v>-2.4699999999999999E-4</c:v>
                </c:pt>
                <c:pt idx="19">
                  <c:v>-2.4899999999999998E-4</c:v>
                </c:pt>
                <c:pt idx="20">
                  <c:v>-2.52E-4</c:v>
                </c:pt>
                <c:pt idx="21">
                  <c:v>-2.5399999999999999E-4</c:v>
                </c:pt>
                <c:pt idx="22">
                  <c:v>-2.5700000000000001E-4</c:v>
                </c:pt>
                <c:pt idx="23">
                  <c:v>-2.5999999999999998E-4</c:v>
                </c:pt>
                <c:pt idx="24">
                  <c:v>-2.6200000000000003E-4</c:v>
                </c:pt>
                <c:pt idx="25">
                  <c:v>-2.6499999999999999E-4</c:v>
                </c:pt>
                <c:pt idx="26">
                  <c:v>-2.6699999999999998E-4</c:v>
                </c:pt>
                <c:pt idx="27">
                  <c:v>-2.7E-4</c:v>
                </c:pt>
                <c:pt idx="28">
                  <c:v>-2.7300000000000002E-4</c:v>
                </c:pt>
                <c:pt idx="29">
                  <c:v>-2.7500000000000002E-4</c:v>
                </c:pt>
                <c:pt idx="30">
                  <c:v>-2.7799999999999998E-4</c:v>
                </c:pt>
                <c:pt idx="31">
                  <c:v>-2.81E-4</c:v>
                </c:pt>
                <c:pt idx="32">
                  <c:v>-2.8299999999999999E-4</c:v>
                </c:pt>
                <c:pt idx="33">
                  <c:v>-2.8600000000000001E-4</c:v>
                </c:pt>
                <c:pt idx="34">
                  <c:v>-2.8899999999999998E-4</c:v>
                </c:pt>
                <c:pt idx="35">
                  <c:v>-2.9100000000000003E-4</c:v>
                </c:pt>
                <c:pt idx="36">
                  <c:v>-2.9399999999999999E-4</c:v>
                </c:pt>
                <c:pt idx="37">
                  <c:v>-2.9700000000000001E-4</c:v>
                </c:pt>
                <c:pt idx="38">
                  <c:v>-2.9999999999999997E-4</c:v>
                </c:pt>
                <c:pt idx="39">
                  <c:v>-3.0200000000000002E-4</c:v>
                </c:pt>
                <c:pt idx="40">
                  <c:v>-3.0499999999999999E-4</c:v>
                </c:pt>
                <c:pt idx="41">
                  <c:v>-3.0800000000000001E-4</c:v>
                </c:pt>
                <c:pt idx="42">
                  <c:v>-3.1100000000000002E-4</c:v>
                </c:pt>
                <c:pt idx="43">
                  <c:v>-3.1399999999999999E-4</c:v>
                </c:pt>
                <c:pt idx="44">
                  <c:v>-3.1700000000000001E-4</c:v>
                </c:pt>
                <c:pt idx="45">
                  <c:v>-3.2000000000000003E-4</c:v>
                </c:pt>
                <c:pt idx="46">
                  <c:v>-3.2299999999999999E-4</c:v>
                </c:pt>
                <c:pt idx="47">
                  <c:v>-3.2600000000000001E-4</c:v>
                </c:pt>
                <c:pt idx="48">
                  <c:v>-3.3E-4</c:v>
                </c:pt>
                <c:pt idx="49">
                  <c:v>-3.3300000000000002E-4</c:v>
                </c:pt>
                <c:pt idx="50">
                  <c:v>-3.3599999999999998E-4</c:v>
                </c:pt>
                <c:pt idx="51">
                  <c:v>-3.39E-4</c:v>
                </c:pt>
                <c:pt idx="52">
                  <c:v>-3.4200000000000002E-4</c:v>
                </c:pt>
                <c:pt idx="53">
                  <c:v>-3.4499999999999998E-4</c:v>
                </c:pt>
                <c:pt idx="54">
                  <c:v>-3.4900000000000003E-4</c:v>
                </c:pt>
                <c:pt idx="55">
                  <c:v>-3.5300000000000002E-4</c:v>
                </c:pt>
                <c:pt idx="56">
                  <c:v>-3.57E-4</c:v>
                </c:pt>
                <c:pt idx="57">
                  <c:v>-3.6099999999999999E-4</c:v>
                </c:pt>
                <c:pt idx="58">
                  <c:v>-3.6400000000000001E-4</c:v>
                </c:pt>
                <c:pt idx="59">
                  <c:v>-3.68E-4</c:v>
                </c:pt>
                <c:pt idx="60">
                  <c:v>-3.7300000000000001E-4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1.0962213640408966E-6</c:v>
                </c:pt>
                <c:pt idx="1">
                  <c:v>8.1998102136404097E-4</c:v>
                </c:pt>
                <c:pt idx="2">
                  <c:v>1.638865821364041E-3</c:v>
                </c:pt>
                <c:pt idx="3">
                  <c:v>2.4577506213640412E-3</c:v>
                </c:pt>
                <c:pt idx="4">
                  <c:v>3.2766354213640413E-3</c:v>
                </c:pt>
                <c:pt idx="5">
                  <c:v>4.0955202213640417E-3</c:v>
                </c:pt>
                <c:pt idx="6">
                  <c:v>4.9144050213640418E-3</c:v>
                </c:pt>
                <c:pt idx="7">
                  <c:v>5.7332898213640418E-3</c:v>
                </c:pt>
                <c:pt idx="8">
                  <c:v>6.5521746213640418E-3</c:v>
                </c:pt>
                <c:pt idx="9">
                  <c:v>7.3710594213640419E-3</c:v>
                </c:pt>
                <c:pt idx="10">
                  <c:v>8.189944221364041E-3</c:v>
                </c:pt>
                <c:pt idx="11">
                  <c:v>8.189944221364041E-3</c:v>
                </c:pt>
                <c:pt idx="12">
                  <c:v>9.0088290213640402E-3</c:v>
                </c:pt>
                <c:pt idx="13">
                  <c:v>9.8277138213640394E-3</c:v>
                </c:pt>
                <c:pt idx="14">
                  <c:v>1.0646598621364039E-2</c:v>
                </c:pt>
                <c:pt idx="15">
                  <c:v>1.1465483421364038E-2</c:v>
                </c:pt>
                <c:pt idx="16">
                  <c:v>1.2284368221364037E-2</c:v>
                </c:pt>
                <c:pt idx="17">
                  <c:v>1.3103253021364036E-2</c:v>
                </c:pt>
                <c:pt idx="18">
                  <c:v>1.3922137821364035E-2</c:v>
                </c:pt>
                <c:pt idx="19">
                  <c:v>1.4741022621364036E-2</c:v>
                </c:pt>
                <c:pt idx="20">
                  <c:v>1.5559907421364035E-2</c:v>
                </c:pt>
                <c:pt idx="21">
                  <c:v>1.6378792221364034E-2</c:v>
                </c:pt>
                <c:pt idx="22">
                  <c:v>1.6378792221364034E-2</c:v>
                </c:pt>
                <c:pt idx="23">
                  <c:v>1.7197677021364034E-2</c:v>
                </c:pt>
                <c:pt idx="24">
                  <c:v>1.8016561821364033E-2</c:v>
                </c:pt>
                <c:pt idx="25">
                  <c:v>1.8835446621364032E-2</c:v>
                </c:pt>
                <c:pt idx="26">
                  <c:v>1.9654331421364031E-2</c:v>
                </c:pt>
                <c:pt idx="27">
                  <c:v>2.047321622136403E-2</c:v>
                </c:pt>
                <c:pt idx="28">
                  <c:v>2.1292101021364029E-2</c:v>
                </c:pt>
                <c:pt idx="29">
                  <c:v>2.2110985821364029E-2</c:v>
                </c:pt>
                <c:pt idx="30">
                  <c:v>2.2929870621364028E-2</c:v>
                </c:pt>
                <c:pt idx="31">
                  <c:v>2.3748755421364027E-2</c:v>
                </c:pt>
                <c:pt idx="32">
                  <c:v>2.4567640221364026E-2</c:v>
                </c:pt>
                <c:pt idx="33">
                  <c:v>2.4567640221364026E-2</c:v>
                </c:pt>
                <c:pt idx="34">
                  <c:v>2.5386525021364025E-2</c:v>
                </c:pt>
                <c:pt idx="35">
                  <c:v>2.6205409821364024E-2</c:v>
                </c:pt>
                <c:pt idx="36">
                  <c:v>2.7024294621364024E-2</c:v>
                </c:pt>
                <c:pt idx="37">
                  <c:v>2.7843179421364023E-2</c:v>
                </c:pt>
                <c:pt idx="38">
                  <c:v>2.8662064221364025E-2</c:v>
                </c:pt>
                <c:pt idx="39">
                  <c:v>2.9480949021364024E-2</c:v>
                </c:pt>
                <c:pt idx="40">
                  <c:v>3.0299833821364024E-2</c:v>
                </c:pt>
                <c:pt idx="41">
                  <c:v>3.1118718621364023E-2</c:v>
                </c:pt>
                <c:pt idx="42">
                  <c:v>3.1937603421364022E-2</c:v>
                </c:pt>
                <c:pt idx="43">
                  <c:v>3.2756488221364025E-2</c:v>
                </c:pt>
                <c:pt idx="44">
                  <c:v>3.2756488221364025E-2</c:v>
                </c:pt>
                <c:pt idx="45">
                  <c:v>3.357537302136402E-2</c:v>
                </c:pt>
                <c:pt idx="46">
                  <c:v>3.4394257821364023E-2</c:v>
                </c:pt>
                <c:pt idx="47">
                  <c:v>3.5213142621364019E-2</c:v>
                </c:pt>
                <c:pt idx="48">
                  <c:v>3.6032027421364021E-2</c:v>
                </c:pt>
                <c:pt idx="49">
                  <c:v>3.6850912221364024E-2</c:v>
                </c:pt>
                <c:pt idx="50">
                  <c:v>3.766979702136402E-2</c:v>
                </c:pt>
                <c:pt idx="51">
                  <c:v>3.8488681821364022E-2</c:v>
                </c:pt>
                <c:pt idx="52">
                  <c:v>3.9307566621364018E-2</c:v>
                </c:pt>
                <c:pt idx="53">
                  <c:v>4.0126451421364021E-2</c:v>
                </c:pt>
                <c:pt idx="54">
                  <c:v>4.0945336221364016E-2</c:v>
                </c:pt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  <c:pt idx="0">
                  <c:v>-2.6699999999999998E-4</c:v>
                </c:pt>
                <c:pt idx="1">
                  <c:v>-2.63E-4</c:v>
                </c:pt>
                <c:pt idx="2">
                  <c:v>-2.5799999999999998E-4</c:v>
                </c:pt>
                <c:pt idx="3">
                  <c:v>-2.5399999999999999E-4</c:v>
                </c:pt>
                <c:pt idx="4">
                  <c:v>-2.5000000000000001E-4</c:v>
                </c:pt>
                <c:pt idx="5">
                  <c:v>-2.4499999999999999E-4</c:v>
                </c:pt>
                <c:pt idx="6">
                  <c:v>-2.41E-4</c:v>
                </c:pt>
                <c:pt idx="7">
                  <c:v>-2.3699999999999999E-4</c:v>
                </c:pt>
                <c:pt idx="8">
                  <c:v>-2.32E-4</c:v>
                </c:pt>
                <c:pt idx="9">
                  <c:v>-2.2800000000000001E-4</c:v>
                </c:pt>
                <c:pt idx="10">
                  <c:v>-2.31E-4</c:v>
                </c:pt>
                <c:pt idx="11">
                  <c:v>-2.31E-4</c:v>
                </c:pt>
                <c:pt idx="12">
                  <c:v>-2.34E-4</c:v>
                </c:pt>
                <c:pt idx="13">
                  <c:v>-2.3699999999999999E-4</c:v>
                </c:pt>
                <c:pt idx="14">
                  <c:v>-2.4000000000000001E-4</c:v>
                </c:pt>
                <c:pt idx="15">
                  <c:v>-2.43E-4</c:v>
                </c:pt>
                <c:pt idx="16">
                  <c:v>-2.4699999999999999E-4</c:v>
                </c:pt>
                <c:pt idx="17">
                  <c:v>-2.5000000000000001E-4</c:v>
                </c:pt>
                <c:pt idx="18">
                  <c:v>-2.5300000000000002E-4</c:v>
                </c:pt>
                <c:pt idx="19">
                  <c:v>-2.5599999999999999E-4</c:v>
                </c:pt>
                <c:pt idx="20">
                  <c:v>-2.5900000000000001E-4</c:v>
                </c:pt>
                <c:pt idx="21">
                  <c:v>-2.6200000000000003E-4</c:v>
                </c:pt>
                <c:pt idx="22">
                  <c:v>-2.6200000000000003E-4</c:v>
                </c:pt>
                <c:pt idx="23">
                  <c:v>-2.6499999999999999E-4</c:v>
                </c:pt>
                <c:pt idx="24">
                  <c:v>-2.6800000000000001E-4</c:v>
                </c:pt>
                <c:pt idx="25">
                  <c:v>-2.72E-4</c:v>
                </c:pt>
                <c:pt idx="26">
                  <c:v>-2.7500000000000002E-4</c:v>
                </c:pt>
                <c:pt idx="27">
                  <c:v>-2.7799999999999998E-4</c:v>
                </c:pt>
                <c:pt idx="28">
                  <c:v>-2.81E-4</c:v>
                </c:pt>
                <c:pt idx="29">
                  <c:v>-2.8400000000000002E-4</c:v>
                </c:pt>
                <c:pt idx="30">
                  <c:v>-2.8800000000000001E-4</c:v>
                </c:pt>
                <c:pt idx="31">
                  <c:v>-2.9100000000000003E-4</c:v>
                </c:pt>
                <c:pt idx="32">
                  <c:v>-2.9399999999999999E-4</c:v>
                </c:pt>
                <c:pt idx="33">
                  <c:v>-2.9399999999999999E-4</c:v>
                </c:pt>
                <c:pt idx="34">
                  <c:v>-2.9700000000000001E-4</c:v>
                </c:pt>
                <c:pt idx="35">
                  <c:v>-2.9999999999999997E-4</c:v>
                </c:pt>
                <c:pt idx="36">
                  <c:v>-3.0400000000000002E-4</c:v>
                </c:pt>
                <c:pt idx="37">
                  <c:v>-3.0699999999999998E-4</c:v>
                </c:pt>
                <c:pt idx="38">
                  <c:v>-3.1E-4</c:v>
                </c:pt>
                <c:pt idx="39">
                  <c:v>-3.1399999999999999E-4</c:v>
                </c:pt>
                <c:pt idx="40">
                  <c:v>-3.1700000000000001E-4</c:v>
                </c:pt>
                <c:pt idx="41">
                  <c:v>-3.21E-4</c:v>
                </c:pt>
                <c:pt idx="42">
                  <c:v>-3.2499999999999999E-4</c:v>
                </c:pt>
                <c:pt idx="43">
                  <c:v>-3.28E-4</c:v>
                </c:pt>
                <c:pt idx="44">
                  <c:v>-3.28E-4</c:v>
                </c:pt>
                <c:pt idx="45">
                  <c:v>-3.3199999999999999E-4</c:v>
                </c:pt>
                <c:pt idx="46">
                  <c:v>-3.3599999999999998E-4</c:v>
                </c:pt>
                <c:pt idx="47">
                  <c:v>-3.4000000000000002E-4</c:v>
                </c:pt>
                <c:pt idx="48">
                  <c:v>-3.4400000000000001E-4</c:v>
                </c:pt>
                <c:pt idx="49">
                  <c:v>-3.48E-4</c:v>
                </c:pt>
                <c:pt idx="50">
                  <c:v>-3.5300000000000002E-4</c:v>
                </c:pt>
                <c:pt idx="51">
                  <c:v>-3.57E-4</c:v>
                </c:pt>
                <c:pt idx="52">
                  <c:v>-3.6200000000000002E-4</c:v>
                </c:pt>
                <c:pt idx="53">
                  <c:v>-3.6600000000000001E-4</c:v>
                </c:pt>
                <c:pt idx="54">
                  <c:v>-3.7100000000000002E-4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1.0962213640408966E-6</c:v>
                </c:pt>
                <c:pt idx="1">
                  <c:v>6.8350025469737406E-4</c:v>
                </c:pt>
                <c:pt idx="2">
                  <c:v>1.3659042880307074E-3</c:v>
                </c:pt>
                <c:pt idx="3">
                  <c:v>2.0483083213640408E-3</c:v>
                </c:pt>
                <c:pt idx="4">
                  <c:v>2.7307123546973741E-3</c:v>
                </c:pt>
                <c:pt idx="5">
                  <c:v>3.4131163880307077E-3</c:v>
                </c:pt>
                <c:pt idx="6">
                  <c:v>4.0955204213640409E-3</c:v>
                </c:pt>
                <c:pt idx="7">
                  <c:v>4.7779244546973746E-3</c:v>
                </c:pt>
                <c:pt idx="8">
                  <c:v>5.4603284880307083E-3</c:v>
                </c:pt>
                <c:pt idx="9">
                  <c:v>6.1427325213640411E-3</c:v>
                </c:pt>
                <c:pt idx="10">
                  <c:v>6.8251365546973747E-3</c:v>
                </c:pt>
                <c:pt idx="11">
                  <c:v>7.5075405880307084E-3</c:v>
                </c:pt>
                <c:pt idx="12">
                  <c:v>8.1899446213640412E-3</c:v>
                </c:pt>
                <c:pt idx="13">
                  <c:v>8.8723486546973748E-3</c:v>
                </c:pt>
                <c:pt idx="14">
                  <c:v>9.5547526880307068E-3</c:v>
                </c:pt>
                <c:pt idx="15">
                  <c:v>1.0237156721364039E-2</c:v>
                </c:pt>
                <c:pt idx="16">
                  <c:v>1.0919560754697372E-2</c:v>
                </c:pt>
                <c:pt idx="17">
                  <c:v>1.1601964788030704E-2</c:v>
                </c:pt>
                <c:pt idx="18">
                  <c:v>1.2284368821364038E-2</c:v>
                </c:pt>
                <c:pt idx="19">
                  <c:v>1.296677285469737E-2</c:v>
                </c:pt>
                <c:pt idx="20">
                  <c:v>1.3649176888030702E-2</c:v>
                </c:pt>
                <c:pt idx="21">
                  <c:v>1.4331580921364035E-2</c:v>
                </c:pt>
                <c:pt idx="22">
                  <c:v>1.5013984954697367E-2</c:v>
                </c:pt>
                <c:pt idx="23">
                  <c:v>1.5696388988030701E-2</c:v>
                </c:pt>
                <c:pt idx="24">
                  <c:v>1.6378793021364031E-2</c:v>
                </c:pt>
                <c:pt idx="25">
                  <c:v>1.7061197054697368E-2</c:v>
                </c:pt>
                <c:pt idx="26">
                  <c:v>1.7743601088030702E-2</c:v>
                </c:pt>
                <c:pt idx="27">
                  <c:v>1.8426005121364036E-2</c:v>
                </c:pt>
                <c:pt idx="28">
                  <c:v>1.9108409154697369E-2</c:v>
                </c:pt>
                <c:pt idx="29">
                  <c:v>1.9790813188030703E-2</c:v>
                </c:pt>
                <c:pt idx="30">
                  <c:v>2.047321722136404E-2</c:v>
                </c:pt>
                <c:pt idx="31">
                  <c:v>2.1155621254697374E-2</c:v>
                </c:pt>
                <c:pt idx="32">
                  <c:v>2.1838025288030707E-2</c:v>
                </c:pt>
                <c:pt idx="33">
                  <c:v>2.2520429321364041E-2</c:v>
                </c:pt>
                <c:pt idx="34">
                  <c:v>2.3202833354697375E-2</c:v>
                </c:pt>
                <c:pt idx="35">
                  <c:v>2.3885237388030712E-2</c:v>
                </c:pt>
                <c:pt idx="36">
                  <c:v>2.4567641421364046E-2</c:v>
                </c:pt>
                <c:pt idx="37">
                  <c:v>2.5250045454697379E-2</c:v>
                </c:pt>
                <c:pt idx="38">
                  <c:v>2.5932449488030713E-2</c:v>
                </c:pt>
                <c:pt idx="39">
                  <c:v>2.6614853521364047E-2</c:v>
                </c:pt>
                <c:pt idx="40">
                  <c:v>2.7297257554697384E-2</c:v>
                </c:pt>
                <c:pt idx="41">
                  <c:v>2.7979661588030717E-2</c:v>
                </c:pt>
                <c:pt idx="42">
                  <c:v>2.8662065621364051E-2</c:v>
                </c:pt>
                <c:pt idx="43">
                  <c:v>2.9344469654697385E-2</c:v>
                </c:pt>
                <c:pt idx="44">
                  <c:v>3.0026873688030718E-2</c:v>
                </c:pt>
                <c:pt idx="45">
                  <c:v>3.0709277721364055E-2</c:v>
                </c:pt>
                <c:pt idx="46">
                  <c:v>3.1391681754697386E-2</c:v>
                </c:pt>
                <c:pt idx="47">
                  <c:v>3.2074085788030719E-2</c:v>
                </c:pt>
                <c:pt idx="48">
                  <c:v>3.275648982136406E-2</c:v>
                </c:pt>
                <c:pt idx="49">
                  <c:v>3.3438893854697394E-2</c:v>
                </c:pt>
                <c:pt idx="50">
                  <c:v>3.4121297888030727E-2</c:v>
                </c:pt>
                <c:pt idx="51">
                  <c:v>3.4803701921364061E-2</c:v>
                </c:pt>
                <c:pt idx="52">
                  <c:v>3.5486105954697394E-2</c:v>
                </c:pt>
                <c:pt idx="53">
                  <c:v>3.6168509988030728E-2</c:v>
                </c:pt>
                <c:pt idx="54">
                  <c:v>3.6850914021364062E-2</c:v>
                </c:pt>
                <c:pt idx="55">
                  <c:v>3.7533318054697395E-2</c:v>
                </c:pt>
                <c:pt idx="56">
                  <c:v>3.8215722088030729E-2</c:v>
                </c:pt>
                <c:pt idx="57">
                  <c:v>3.8898126121364063E-2</c:v>
                </c:pt>
                <c:pt idx="58">
                  <c:v>3.9580530154697403E-2</c:v>
                </c:pt>
                <c:pt idx="59">
                  <c:v>4.0262934188030737E-2</c:v>
                </c:pt>
                <c:pt idx="60">
                  <c:v>4.0945338221364043E-2</c:v>
                </c:pt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  <c:pt idx="0">
                  <c:v>-8.2999999999999998E-5</c:v>
                </c:pt>
                <c:pt idx="1">
                  <c:v>-8.5000000000000006E-5</c:v>
                </c:pt>
                <c:pt idx="2">
                  <c:v>-8.7999999999999998E-5</c:v>
                </c:pt>
                <c:pt idx="3">
                  <c:v>-9.0000000000000006E-5</c:v>
                </c:pt>
                <c:pt idx="4">
                  <c:v>-9.2999999999999997E-5</c:v>
                </c:pt>
                <c:pt idx="5">
                  <c:v>-9.6000000000000002E-5</c:v>
                </c:pt>
                <c:pt idx="6">
                  <c:v>-9.7999999999999997E-5</c:v>
                </c:pt>
                <c:pt idx="7">
                  <c:v>-1.01E-4</c:v>
                </c:pt>
                <c:pt idx="8">
                  <c:v>-1.0399999999999999E-4</c:v>
                </c:pt>
                <c:pt idx="9">
                  <c:v>-1.06E-4</c:v>
                </c:pt>
                <c:pt idx="10">
                  <c:v>-1.0900000000000001E-4</c:v>
                </c:pt>
                <c:pt idx="11">
                  <c:v>-1.1E-4</c:v>
                </c:pt>
                <c:pt idx="12">
                  <c:v>-1.07E-4</c:v>
                </c:pt>
                <c:pt idx="13">
                  <c:v>-1.03E-4</c:v>
                </c:pt>
                <c:pt idx="14">
                  <c:v>-9.8999999999999994E-5</c:v>
                </c:pt>
                <c:pt idx="15">
                  <c:v>-9.6000000000000002E-5</c:v>
                </c:pt>
                <c:pt idx="16">
                  <c:v>-9.2E-5</c:v>
                </c:pt>
                <c:pt idx="17">
                  <c:v>-8.8999999999999995E-5</c:v>
                </c:pt>
                <c:pt idx="18">
                  <c:v>-8.5000000000000006E-5</c:v>
                </c:pt>
                <c:pt idx="19">
                  <c:v>-8.1000000000000004E-5</c:v>
                </c:pt>
                <c:pt idx="20">
                  <c:v>-7.7999999999999999E-5</c:v>
                </c:pt>
                <c:pt idx="21">
                  <c:v>-7.3999999999999996E-5</c:v>
                </c:pt>
                <c:pt idx="22">
                  <c:v>-7.1000000000000005E-5</c:v>
                </c:pt>
                <c:pt idx="23">
                  <c:v>-6.7000000000000002E-5</c:v>
                </c:pt>
                <c:pt idx="24">
                  <c:v>-6.3999999999999997E-5</c:v>
                </c:pt>
                <c:pt idx="25">
                  <c:v>-6.0000000000000002E-5</c:v>
                </c:pt>
                <c:pt idx="26">
                  <c:v>-5.5999999999999999E-5</c:v>
                </c:pt>
                <c:pt idx="27">
                  <c:v>-5.3000000000000001E-5</c:v>
                </c:pt>
                <c:pt idx="28">
                  <c:v>-4.8999999999999998E-5</c:v>
                </c:pt>
                <c:pt idx="29">
                  <c:v>-4.6E-5</c:v>
                </c:pt>
                <c:pt idx="30">
                  <c:v>-4.1999999999999998E-5</c:v>
                </c:pt>
                <c:pt idx="31">
                  <c:v>-3.8000000000000002E-5</c:v>
                </c:pt>
                <c:pt idx="32">
                  <c:v>-3.4999999999999997E-5</c:v>
                </c:pt>
                <c:pt idx="33">
                  <c:v>-3.1000000000000001E-5</c:v>
                </c:pt>
                <c:pt idx="34">
                  <c:v>-2.6999999999999999E-5</c:v>
                </c:pt>
                <c:pt idx="35">
                  <c:v>-2.4000000000000001E-5</c:v>
                </c:pt>
                <c:pt idx="36">
                  <c:v>-2.0000000000000002E-5</c:v>
                </c:pt>
                <c:pt idx="37">
                  <c:v>-1.5999999999999999E-5</c:v>
                </c:pt>
                <c:pt idx="38">
                  <c:v>-1.2999999999999999E-5</c:v>
                </c:pt>
                <c:pt idx="39">
                  <c:v>-9.0000000000000002E-6</c:v>
                </c:pt>
                <c:pt idx="40">
                  <c:v>-5.0000000000000004E-6</c:v>
                </c:pt>
                <c:pt idx="41">
                  <c:v>-1.9999999999999999E-6</c:v>
                </c:pt>
                <c:pt idx="42">
                  <c:v>1.9999999999999999E-6</c:v>
                </c:pt>
                <c:pt idx="43">
                  <c:v>6.0000000000000002E-6</c:v>
                </c:pt>
                <c:pt idx="44">
                  <c:v>1.0000000000000001E-5</c:v>
                </c:pt>
                <c:pt idx="45">
                  <c:v>1.4E-5</c:v>
                </c:pt>
                <c:pt idx="46">
                  <c:v>1.8E-5</c:v>
                </c:pt>
                <c:pt idx="47">
                  <c:v>2.1999999999999999E-5</c:v>
                </c:pt>
                <c:pt idx="48">
                  <c:v>2.5999999999999998E-5</c:v>
                </c:pt>
                <c:pt idx="49">
                  <c:v>3.0000000000000001E-5</c:v>
                </c:pt>
                <c:pt idx="50">
                  <c:v>3.4999999999999997E-5</c:v>
                </c:pt>
                <c:pt idx="51">
                  <c:v>3.8999999999999999E-5</c:v>
                </c:pt>
                <c:pt idx="52">
                  <c:v>4.3000000000000002E-5</c:v>
                </c:pt>
                <c:pt idx="53">
                  <c:v>4.6999999999999997E-5</c:v>
                </c:pt>
                <c:pt idx="54">
                  <c:v>5.1E-5</c:v>
                </c:pt>
                <c:pt idx="55">
                  <c:v>5.5999999999999999E-5</c:v>
                </c:pt>
                <c:pt idx="56">
                  <c:v>6.0000000000000002E-5</c:v>
                </c:pt>
                <c:pt idx="57">
                  <c:v>6.4999999999999994E-5</c:v>
                </c:pt>
                <c:pt idx="58">
                  <c:v>6.8999999999999997E-5</c:v>
                </c:pt>
                <c:pt idx="59">
                  <c:v>7.3999999999999996E-5</c:v>
                </c:pt>
                <c:pt idx="60">
                  <c:v>8.0000000000000007E-5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1.0962213640408966E-6</c:v>
                </c:pt>
                <c:pt idx="1">
                  <c:v>8.1998102136404097E-4</c:v>
                </c:pt>
                <c:pt idx="2">
                  <c:v>1.638865821364041E-3</c:v>
                </c:pt>
                <c:pt idx="3">
                  <c:v>2.4577506213640412E-3</c:v>
                </c:pt>
                <c:pt idx="4">
                  <c:v>3.2766354213640413E-3</c:v>
                </c:pt>
                <c:pt idx="5">
                  <c:v>4.0955202213640417E-3</c:v>
                </c:pt>
                <c:pt idx="6">
                  <c:v>4.9144050213640418E-3</c:v>
                </c:pt>
                <c:pt idx="7">
                  <c:v>5.7332898213640418E-3</c:v>
                </c:pt>
                <c:pt idx="8">
                  <c:v>6.5521746213640418E-3</c:v>
                </c:pt>
                <c:pt idx="9">
                  <c:v>7.3710594213640419E-3</c:v>
                </c:pt>
                <c:pt idx="10">
                  <c:v>8.189944221364041E-3</c:v>
                </c:pt>
                <c:pt idx="11">
                  <c:v>8.189944221364041E-3</c:v>
                </c:pt>
                <c:pt idx="12">
                  <c:v>9.0088290213640402E-3</c:v>
                </c:pt>
                <c:pt idx="13">
                  <c:v>9.8277138213640394E-3</c:v>
                </c:pt>
                <c:pt idx="14">
                  <c:v>1.0646598621364039E-2</c:v>
                </c:pt>
                <c:pt idx="15">
                  <c:v>1.1465483421364038E-2</c:v>
                </c:pt>
                <c:pt idx="16">
                  <c:v>1.2284368221364037E-2</c:v>
                </c:pt>
                <c:pt idx="17">
                  <c:v>1.3103253021364036E-2</c:v>
                </c:pt>
                <c:pt idx="18">
                  <c:v>1.3922137821364035E-2</c:v>
                </c:pt>
                <c:pt idx="19">
                  <c:v>1.4741022621364036E-2</c:v>
                </c:pt>
                <c:pt idx="20">
                  <c:v>1.5559907421364035E-2</c:v>
                </c:pt>
                <c:pt idx="21">
                  <c:v>1.6378792221364034E-2</c:v>
                </c:pt>
                <c:pt idx="22">
                  <c:v>1.6378792221364034E-2</c:v>
                </c:pt>
                <c:pt idx="23">
                  <c:v>1.7197677021364034E-2</c:v>
                </c:pt>
                <c:pt idx="24">
                  <c:v>1.8016561821364033E-2</c:v>
                </c:pt>
                <c:pt idx="25">
                  <c:v>1.8835446621364032E-2</c:v>
                </c:pt>
                <c:pt idx="26">
                  <c:v>1.9654331421364031E-2</c:v>
                </c:pt>
                <c:pt idx="27">
                  <c:v>2.047321622136403E-2</c:v>
                </c:pt>
                <c:pt idx="28">
                  <c:v>2.1292101021364029E-2</c:v>
                </c:pt>
                <c:pt idx="29">
                  <c:v>2.2110985821364029E-2</c:v>
                </c:pt>
                <c:pt idx="30">
                  <c:v>2.2929870621364028E-2</c:v>
                </c:pt>
                <c:pt idx="31">
                  <c:v>2.3748755421364027E-2</c:v>
                </c:pt>
                <c:pt idx="32">
                  <c:v>2.4567640221364026E-2</c:v>
                </c:pt>
                <c:pt idx="33">
                  <c:v>2.4567640221364026E-2</c:v>
                </c:pt>
                <c:pt idx="34">
                  <c:v>2.5386525021364025E-2</c:v>
                </c:pt>
                <c:pt idx="35">
                  <c:v>2.6205409821364024E-2</c:v>
                </c:pt>
                <c:pt idx="36">
                  <c:v>2.7024294621364024E-2</c:v>
                </c:pt>
                <c:pt idx="37">
                  <c:v>2.7843179421364023E-2</c:v>
                </c:pt>
                <c:pt idx="38">
                  <c:v>2.8662064221364025E-2</c:v>
                </c:pt>
                <c:pt idx="39">
                  <c:v>2.9480949021364024E-2</c:v>
                </c:pt>
                <c:pt idx="40">
                  <c:v>3.0299833821364024E-2</c:v>
                </c:pt>
                <c:pt idx="41">
                  <c:v>3.1118718621364023E-2</c:v>
                </c:pt>
                <c:pt idx="42">
                  <c:v>3.1937603421364022E-2</c:v>
                </c:pt>
                <c:pt idx="43">
                  <c:v>3.2756488221364025E-2</c:v>
                </c:pt>
                <c:pt idx="44">
                  <c:v>3.2756488221364025E-2</c:v>
                </c:pt>
                <c:pt idx="45">
                  <c:v>3.357537302136402E-2</c:v>
                </c:pt>
                <c:pt idx="46">
                  <c:v>3.4394257821364023E-2</c:v>
                </c:pt>
                <c:pt idx="47">
                  <c:v>3.5213142621364019E-2</c:v>
                </c:pt>
                <c:pt idx="48">
                  <c:v>3.6032027421364021E-2</c:v>
                </c:pt>
                <c:pt idx="49">
                  <c:v>3.6850912221364024E-2</c:v>
                </c:pt>
                <c:pt idx="50">
                  <c:v>3.766979702136402E-2</c:v>
                </c:pt>
                <c:pt idx="51">
                  <c:v>3.8488681821364022E-2</c:v>
                </c:pt>
                <c:pt idx="52">
                  <c:v>3.9307566621364018E-2</c:v>
                </c:pt>
                <c:pt idx="53">
                  <c:v>4.0126451421364021E-2</c:v>
                </c:pt>
                <c:pt idx="54">
                  <c:v>4.0945336221364016E-2</c:v>
                </c:pt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  <c:pt idx="0">
                  <c:v>-8.2999999999999998E-5</c:v>
                </c:pt>
                <c:pt idx="1">
                  <c:v>-8.6000000000000003E-5</c:v>
                </c:pt>
                <c:pt idx="2">
                  <c:v>-8.8999999999999995E-5</c:v>
                </c:pt>
                <c:pt idx="3">
                  <c:v>-9.2E-5</c:v>
                </c:pt>
                <c:pt idx="4">
                  <c:v>-9.5000000000000005E-5</c:v>
                </c:pt>
                <c:pt idx="5">
                  <c:v>-9.7999999999999997E-5</c:v>
                </c:pt>
                <c:pt idx="6">
                  <c:v>-1.02E-4</c:v>
                </c:pt>
                <c:pt idx="7">
                  <c:v>-1.05E-4</c:v>
                </c:pt>
                <c:pt idx="8">
                  <c:v>-1.08E-4</c:v>
                </c:pt>
                <c:pt idx="9">
                  <c:v>-1.11E-4</c:v>
                </c:pt>
                <c:pt idx="10">
                  <c:v>-1.07E-4</c:v>
                </c:pt>
                <c:pt idx="11">
                  <c:v>-1.07E-4</c:v>
                </c:pt>
                <c:pt idx="12">
                  <c:v>-1.02E-4</c:v>
                </c:pt>
                <c:pt idx="13">
                  <c:v>-9.7999999999999997E-5</c:v>
                </c:pt>
                <c:pt idx="14">
                  <c:v>-9.3999999999999994E-5</c:v>
                </c:pt>
                <c:pt idx="15">
                  <c:v>-8.8999999999999995E-5</c:v>
                </c:pt>
                <c:pt idx="16">
                  <c:v>-8.5000000000000006E-5</c:v>
                </c:pt>
                <c:pt idx="17">
                  <c:v>-8.1000000000000004E-5</c:v>
                </c:pt>
                <c:pt idx="18">
                  <c:v>-7.6000000000000004E-5</c:v>
                </c:pt>
                <c:pt idx="19">
                  <c:v>-7.2000000000000002E-5</c:v>
                </c:pt>
                <c:pt idx="20">
                  <c:v>-6.7999999999999999E-5</c:v>
                </c:pt>
                <c:pt idx="21">
                  <c:v>-6.3999999999999997E-5</c:v>
                </c:pt>
                <c:pt idx="22">
                  <c:v>-6.3999999999999997E-5</c:v>
                </c:pt>
                <c:pt idx="23">
                  <c:v>-5.8999999999999998E-5</c:v>
                </c:pt>
                <c:pt idx="24">
                  <c:v>-5.5000000000000002E-5</c:v>
                </c:pt>
                <c:pt idx="25">
                  <c:v>-5.1E-5</c:v>
                </c:pt>
                <c:pt idx="26">
                  <c:v>-4.6E-5</c:v>
                </c:pt>
                <c:pt idx="27">
                  <c:v>-4.1999999999999998E-5</c:v>
                </c:pt>
                <c:pt idx="28">
                  <c:v>-3.8000000000000002E-5</c:v>
                </c:pt>
                <c:pt idx="29">
                  <c:v>-3.3000000000000003E-5</c:v>
                </c:pt>
                <c:pt idx="30">
                  <c:v>-2.9E-5</c:v>
                </c:pt>
                <c:pt idx="31">
                  <c:v>-2.4000000000000001E-5</c:v>
                </c:pt>
                <c:pt idx="32">
                  <c:v>-2.0000000000000002E-5</c:v>
                </c:pt>
                <c:pt idx="33">
                  <c:v>-2.0000000000000002E-5</c:v>
                </c:pt>
                <c:pt idx="34">
                  <c:v>-1.5999999999999999E-5</c:v>
                </c:pt>
                <c:pt idx="35">
                  <c:v>-1.1E-5</c:v>
                </c:pt>
                <c:pt idx="36">
                  <c:v>-6.9999999999999999E-6</c:v>
                </c:pt>
                <c:pt idx="37">
                  <c:v>-3.0000000000000001E-6</c:v>
                </c:pt>
                <c:pt idx="38">
                  <c:v>1.9999999999999999E-6</c:v>
                </c:pt>
                <c:pt idx="39">
                  <c:v>6.0000000000000002E-6</c:v>
                </c:pt>
                <c:pt idx="40">
                  <c:v>1.1E-5</c:v>
                </c:pt>
                <c:pt idx="41">
                  <c:v>1.5999999999999999E-5</c:v>
                </c:pt>
                <c:pt idx="42">
                  <c:v>2.0999999999999999E-5</c:v>
                </c:pt>
                <c:pt idx="43">
                  <c:v>2.5999999999999998E-5</c:v>
                </c:pt>
                <c:pt idx="44">
                  <c:v>2.5999999999999998E-5</c:v>
                </c:pt>
                <c:pt idx="45">
                  <c:v>3.0000000000000001E-5</c:v>
                </c:pt>
                <c:pt idx="46">
                  <c:v>3.4999999999999997E-5</c:v>
                </c:pt>
                <c:pt idx="47">
                  <c:v>4.0000000000000003E-5</c:v>
                </c:pt>
                <c:pt idx="48">
                  <c:v>4.5000000000000003E-5</c:v>
                </c:pt>
                <c:pt idx="49">
                  <c:v>5.1E-5</c:v>
                </c:pt>
                <c:pt idx="50">
                  <c:v>5.5999999999999999E-5</c:v>
                </c:pt>
                <c:pt idx="51">
                  <c:v>6.2000000000000003E-5</c:v>
                </c:pt>
                <c:pt idx="52">
                  <c:v>6.7000000000000002E-5</c:v>
                </c:pt>
                <c:pt idx="53">
                  <c:v>7.2000000000000002E-5</c:v>
                </c:pt>
                <c:pt idx="54">
                  <c:v>7.7999999999999999E-5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4.0945338221364043E-2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4.0945338221364043E-2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  <c:pt idx="0">
                  <c:v>-9.8528304427183775E-3</c:v>
                </c:pt>
                <c:pt idx="1">
                  <c:v>-9.8528304427183775E-3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4.0945338221364043E-2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  <c:pt idx="0">
                  <c:v>-1.3137107256957837E-2</c:v>
                </c:pt>
                <c:pt idx="1">
                  <c:v>-1.3137107256957837E-2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4.0945338221364043E-2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4.0945338221364043E-2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  <c:pt idx="0">
                  <c:v>-9.8528304427183775E-3</c:v>
                </c:pt>
                <c:pt idx="1">
                  <c:v>-9.8528304427183775E-3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4.0945338221364043E-2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  <c:pt idx="0">
                  <c:v>-1.3137107256957837E-2</c:v>
                </c:pt>
                <c:pt idx="1">
                  <c:v>-1.3137107256957837E-2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3.9530487864430235E-7</c:v>
                </c:pt>
                <c:pt idx="1">
                  <c:v>6.956836715453109E-4</c:v>
                </c:pt>
                <c:pt idx="2">
                  <c:v>1.3909720382119775E-3</c:v>
                </c:pt>
                <c:pt idx="3">
                  <c:v>2.086260404878644E-3</c:v>
                </c:pt>
                <c:pt idx="4">
                  <c:v>2.7815487715453107E-3</c:v>
                </c:pt>
                <c:pt idx="5">
                  <c:v>3.4768371382119774E-3</c:v>
                </c:pt>
                <c:pt idx="6">
                  <c:v>4.1721255048786446E-3</c:v>
                </c:pt>
                <c:pt idx="7">
                  <c:v>4.8674138715453109E-3</c:v>
                </c:pt>
                <c:pt idx="8">
                  <c:v>5.5627022382119772E-3</c:v>
                </c:pt>
                <c:pt idx="9">
                  <c:v>6.2579906048786434E-3</c:v>
                </c:pt>
                <c:pt idx="10">
                  <c:v>6.9532789715453106E-3</c:v>
                </c:pt>
                <c:pt idx="11">
                  <c:v>7.6485673382119769E-3</c:v>
                </c:pt>
                <c:pt idx="12">
                  <c:v>8.343855704878644E-3</c:v>
                </c:pt>
                <c:pt idx="13">
                  <c:v>9.0391440715453103E-3</c:v>
                </c:pt>
                <c:pt idx="14">
                  <c:v>9.7344324382119766E-3</c:v>
                </c:pt>
                <c:pt idx="15">
                  <c:v>1.0429720804878643E-2</c:v>
                </c:pt>
                <c:pt idx="16">
                  <c:v>1.1125009171545311E-2</c:v>
                </c:pt>
                <c:pt idx="17">
                  <c:v>1.1820297538211977E-2</c:v>
                </c:pt>
                <c:pt idx="18">
                  <c:v>1.2515585904878643E-2</c:v>
                </c:pt>
                <c:pt idx="19">
                  <c:v>1.321087427154531E-2</c:v>
                </c:pt>
                <c:pt idx="20">
                  <c:v>1.3906162638211976E-2</c:v>
                </c:pt>
                <c:pt idx="21">
                  <c:v>1.4601451004878642E-2</c:v>
                </c:pt>
                <c:pt idx="22">
                  <c:v>1.5296739371545309E-2</c:v>
                </c:pt>
                <c:pt idx="23">
                  <c:v>1.5992027738211977E-2</c:v>
                </c:pt>
                <c:pt idx="24">
                  <c:v>1.6687316104878645E-2</c:v>
                </c:pt>
                <c:pt idx="25">
                  <c:v>1.7382604471545309E-2</c:v>
                </c:pt>
                <c:pt idx="26">
                  <c:v>1.8077892838211977E-2</c:v>
                </c:pt>
                <c:pt idx="27">
                  <c:v>1.8773181204878642E-2</c:v>
                </c:pt>
                <c:pt idx="28">
                  <c:v>1.946846957154531E-2</c:v>
                </c:pt>
                <c:pt idx="29">
                  <c:v>2.0163757938211978E-2</c:v>
                </c:pt>
                <c:pt idx="30">
                  <c:v>2.0859046304878642E-2</c:v>
                </c:pt>
                <c:pt idx="31">
                  <c:v>2.155433467154531E-2</c:v>
                </c:pt>
                <c:pt idx="32">
                  <c:v>2.2249623038211975E-2</c:v>
                </c:pt>
                <c:pt idx="33">
                  <c:v>2.2944911404878643E-2</c:v>
                </c:pt>
                <c:pt idx="34">
                  <c:v>2.3640199771545307E-2</c:v>
                </c:pt>
                <c:pt idx="35">
                  <c:v>2.4335488138211975E-2</c:v>
                </c:pt>
                <c:pt idx="36">
                  <c:v>2.5030776504878643E-2</c:v>
                </c:pt>
                <c:pt idx="37">
                  <c:v>2.5726064871545308E-2</c:v>
                </c:pt>
                <c:pt idx="38">
                  <c:v>2.6421353238211976E-2</c:v>
                </c:pt>
                <c:pt idx="39">
                  <c:v>2.7116641604878641E-2</c:v>
                </c:pt>
                <c:pt idx="40">
                  <c:v>2.7811929971545309E-2</c:v>
                </c:pt>
                <c:pt idx="41">
                  <c:v>2.8507218338211973E-2</c:v>
                </c:pt>
                <c:pt idx="42">
                  <c:v>2.9202506704878641E-2</c:v>
                </c:pt>
                <c:pt idx="43">
                  <c:v>2.9897795071545309E-2</c:v>
                </c:pt>
                <c:pt idx="44">
                  <c:v>3.0593083438211974E-2</c:v>
                </c:pt>
                <c:pt idx="45">
                  <c:v>3.1288371804878638E-2</c:v>
                </c:pt>
                <c:pt idx="46">
                  <c:v>3.198366017154531E-2</c:v>
                </c:pt>
                <c:pt idx="47">
                  <c:v>3.2678948538211967E-2</c:v>
                </c:pt>
                <c:pt idx="48">
                  <c:v>3.3374236904878639E-2</c:v>
                </c:pt>
                <c:pt idx="49">
                  <c:v>3.4069525271545303E-2</c:v>
                </c:pt>
                <c:pt idx="50">
                  <c:v>3.4764813638211968E-2</c:v>
                </c:pt>
                <c:pt idx="51">
                  <c:v>3.5460102004878639E-2</c:v>
                </c:pt>
                <c:pt idx="52">
                  <c:v>3.6155390371545304E-2</c:v>
                </c:pt>
                <c:pt idx="53">
                  <c:v>3.6850678738211969E-2</c:v>
                </c:pt>
                <c:pt idx="54">
                  <c:v>3.7545967104878633E-2</c:v>
                </c:pt>
                <c:pt idx="55">
                  <c:v>3.8241255471545305E-2</c:v>
                </c:pt>
                <c:pt idx="56">
                  <c:v>3.8936543838211969E-2</c:v>
                </c:pt>
                <c:pt idx="57">
                  <c:v>3.9631832204878634E-2</c:v>
                </c:pt>
                <c:pt idx="58">
                  <c:v>4.0327120571545298E-2</c:v>
                </c:pt>
                <c:pt idx="59">
                  <c:v>4.102240893821197E-2</c:v>
                </c:pt>
                <c:pt idx="60">
                  <c:v>4.1717697304878634E-2</c:v>
                </c:pt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  <c:pt idx="0">
                  <c:v>-2.8600000000000001E-4</c:v>
                </c:pt>
                <c:pt idx="1">
                  <c:v>-2.8299999999999999E-4</c:v>
                </c:pt>
                <c:pt idx="2">
                  <c:v>-2.7900000000000001E-4</c:v>
                </c:pt>
                <c:pt idx="3">
                  <c:v>-2.7599999999999999E-4</c:v>
                </c:pt>
                <c:pt idx="4">
                  <c:v>-2.72E-4</c:v>
                </c:pt>
                <c:pt idx="5">
                  <c:v>-2.6800000000000001E-4</c:v>
                </c:pt>
                <c:pt idx="6">
                  <c:v>-2.6499999999999999E-4</c:v>
                </c:pt>
                <c:pt idx="7">
                  <c:v>-2.61E-4</c:v>
                </c:pt>
                <c:pt idx="8">
                  <c:v>-2.5799999999999998E-4</c:v>
                </c:pt>
                <c:pt idx="9">
                  <c:v>-2.5399999999999999E-4</c:v>
                </c:pt>
                <c:pt idx="10">
                  <c:v>-2.5000000000000001E-4</c:v>
                </c:pt>
                <c:pt idx="11">
                  <c:v>-2.4699999999999999E-4</c:v>
                </c:pt>
                <c:pt idx="12">
                  <c:v>-2.43E-4</c:v>
                </c:pt>
                <c:pt idx="13">
                  <c:v>-2.3900000000000001E-4</c:v>
                </c:pt>
                <c:pt idx="14">
                  <c:v>-2.3599999999999999E-4</c:v>
                </c:pt>
                <c:pt idx="15">
                  <c:v>-2.32E-4</c:v>
                </c:pt>
                <c:pt idx="16">
                  <c:v>-2.2900000000000001E-4</c:v>
                </c:pt>
                <c:pt idx="17">
                  <c:v>-2.2499999999999999E-4</c:v>
                </c:pt>
                <c:pt idx="18">
                  <c:v>-2.2100000000000001E-4</c:v>
                </c:pt>
                <c:pt idx="19">
                  <c:v>-2.1800000000000001E-4</c:v>
                </c:pt>
                <c:pt idx="20">
                  <c:v>-2.14E-4</c:v>
                </c:pt>
                <c:pt idx="21">
                  <c:v>-2.1100000000000001E-4</c:v>
                </c:pt>
                <c:pt idx="22">
                  <c:v>-2.0699999999999999E-4</c:v>
                </c:pt>
                <c:pt idx="23">
                  <c:v>-2.1000000000000001E-4</c:v>
                </c:pt>
                <c:pt idx="24">
                  <c:v>-2.13E-4</c:v>
                </c:pt>
                <c:pt idx="25">
                  <c:v>-2.1599999999999999E-4</c:v>
                </c:pt>
                <c:pt idx="26">
                  <c:v>-2.1800000000000001E-4</c:v>
                </c:pt>
                <c:pt idx="27">
                  <c:v>-2.2100000000000001E-4</c:v>
                </c:pt>
                <c:pt idx="28">
                  <c:v>-2.24E-4</c:v>
                </c:pt>
                <c:pt idx="29">
                  <c:v>-2.2699999999999999E-4</c:v>
                </c:pt>
                <c:pt idx="30">
                  <c:v>-2.3000000000000001E-4</c:v>
                </c:pt>
                <c:pt idx="31">
                  <c:v>-2.33E-4</c:v>
                </c:pt>
                <c:pt idx="32">
                  <c:v>-2.3599999999999999E-4</c:v>
                </c:pt>
                <c:pt idx="33">
                  <c:v>-2.3900000000000001E-4</c:v>
                </c:pt>
                <c:pt idx="34">
                  <c:v>-2.42E-4</c:v>
                </c:pt>
                <c:pt idx="35">
                  <c:v>-2.4499999999999999E-4</c:v>
                </c:pt>
                <c:pt idx="36">
                  <c:v>-2.4800000000000001E-4</c:v>
                </c:pt>
                <c:pt idx="37">
                  <c:v>-2.5099999999999998E-4</c:v>
                </c:pt>
                <c:pt idx="38">
                  <c:v>-2.5399999999999999E-4</c:v>
                </c:pt>
                <c:pt idx="39">
                  <c:v>-2.5700000000000001E-4</c:v>
                </c:pt>
                <c:pt idx="40">
                  <c:v>-2.5999999999999998E-4</c:v>
                </c:pt>
                <c:pt idx="41">
                  <c:v>-2.63E-4</c:v>
                </c:pt>
                <c:pt idx="42">
                  <c:v>-2.6600000000000001E-4</c:v>
                </c:pt>
                <c:pt idx="43">
                  <c:v>-2.6899999999999998E-4</c:v>
                </c:pt>
                <c:pt idx="44">
                  <c:v>-2.72E-4</c:v>
                </c:pt>
                <c:pt idx="45">
                  <c:v>-2.7500000000000002E-4</c:v>
                </c:pt>
                <c:pt idx="46">
                  <c:v>-2.7799999999999998E-4</c:v>
                </c:pt>
                <c:pt idx="47">
                  <c:v>-2.81E-4</c:v>
                </c:pt>
                <c:pt idx="48">
                  <c:v>-2.8499999999999999E-4</c:v>
                </c:pt>
                <c:pt idx="49">
                  <c:v>-2.8800000000000001E-4</c:v>
                </c:pt>
                <c:pt idx="50">
                  <c:v>-2.92E-4</c:v>
                </c:pt>
                <c:pt idx="51">
                  <c:v>-2.9599999999999998E-4</c:v>
                </c:pt>
                <c:pt idx="52">
                  <c:v>-2.9999999999999997E-4</c:v>
                </c:pt>
                <c:pt idx="53">
                  <c:v>-3.0299999999999999E-4</c:v>
                </c:pt>
                <c:pt idx="54">
                  <c:v>-3.0699999999999998E-4</c:v>
                </c:pt>
                <c:pt idx="55">
                  <c:v>-3.1100000000000002E-4</c:v>
                </c:pt>
                <c:pt idx="56">
                  <c:v>-3.1500000000000001E-4</c:v>
                </c:pt>
                <c:pt idx="57">
                  <c:v>-3.19E-4</c:v>
                </c:pt>
                <c:pt idx="58">
                  <c:v>-3.2299999999999999E-4</c:v>
                </c:pt>
                <c:pt idx="59">
                  <c:v>-3.2699999999999998E-4</c:v>
                </c:pt>
                <c:pt idx="60">
                  <c:v>-3.3199999999999999E-4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3.9530487864430235E-7</c:v>
                </c:pt>
                <c:pt idx="1">
                  <c:v>8.3474130487864431E-4</c:v>
                </c:pt>
                <c:pt idx="2">
                  <c:v>1.6690873048786443E-3</c:v>
                </c:pt>
                <c:pt idx="3">
                  <c:v>2.5034333048786443E-3</c:v>
                </c:pt>
                <c:pt idx="4">
                  <c:v>3.3377793048786444E-3</c:v>
                </c:pt>
                <c:pt idx="5">
                  <c:v>4.1721253048786445E-3</c:v>
                </c:pt>
                <c:pt idx="6">
                  <c:v>5.0064713048786442E-3</c:v>
                </c:pt>
                <c:pt idx="7">
                  <c:v>5.8408173048786448E-3</c:v>
                </c:pt>
                <c:pt idx="8">
                  <c:v>6.6751633048786445E-3</c:v>
                </c:pt>
                <c:pt idx="9">
                  <c:v>7.509509304878645E-3</c:v>
                </c:pt>
                <c:pt idx="10">
                  <c:v>8.3438553048786456E-3</c:v>
                </c:pt>
                <c:pt idx="11">
                  <c:v>8.3438553048786456E-3</c:v>
                </c:pt>
                <c:pt idx="12">
                  <c:v>9.1782013048786453E-3</c:v>
                </c:pt>
                <c:pt idx="13">
                  <c:v>1.0012547304878645E-2</c:v>
                </c:pt>
                <c:pt idx="14">
                  <c:v>1.0846893304878645E-2</c:v>
                </c:pt>
                <c:pt idx="15">
                  <c:v>1.1681239304878644E-2</c:v>
                </c:pt>
                <c:pt idx="16">
                  <c:v>1.2515585304878646E-2</c:v>
                </c:pt>
                <c:pt idx="17">
                  <c:v>1.3349931304878646E-2</c:v>
                </c:pt>
                <c:pt idx="18">
                  <c:v>1.4184277304878645E-2</c:v>
                </c:pt>
                <c:pt idx="19">
                  <c:v>1.5018623304878645E-2</c:v>
                </c:pt>
                <c:pt idx="20">
                  <c:v>1.5852969304878645E-2</c:v>
                </c:pt>
                <c:pt idx="21">
                  <c:v>1.6687315304878644E-2</c:v>
                </c:pt>
                <c:pt idx="22">
                  <c:v>1.6687315304878644E-2</c:v>
                </c:pt>
                <c:pt idx="23">
                  <c:v>1.7521661304878644E-2</c:v>
                </c:pt>
                <c:pt idx="24">
                  <c:v>1.8356007304878644E-2</c:v>
                </c:pt>
                <c:pt idx="25">
                  <c:v>1.9190353304878647E-2</c:v>
                </c:pt>
                <c:pt idx="26">
                  <c:v>2.0024699304878647E-2</c:v>
                </c:pt>
                <c:pt idx="27">
                  <c:v>2.0859045304878646E-2</c:v>
                </c:pt>
                <c:pt idx="28">
                  <c:v>2.1693391304878646E-2</c:v>
                </c:pt>
                <c:pt idx="29">
                  <c:v>2.2527737304878646E-2</c:v>
                </c:pt>
                <c:pt idx="30">
                  <c:v>2.3362083304878645E-2</c:v>
                </c:pt>
                <c:pt idx="31">
                  <c:v>2.4196429304878645E-2</c:v>
                </c:pt>
                <c:pt idx="32">
                  <c:v>2.5030775304878645E-2</c:v>
                </c:pt>
                <c:pt idx="33">
                  <c:v>2.5030775304878645E-2</c:v>
                </c:pt>
                <c:pt idx="34">
                  <c:v>2.5865121304878644E-2</c:v>
                </c:pt>
                <c:pt idx="35">
                  <c:v>2.6699467304878644E-2</c:v>
                </c:pt>
                <c:pt idx="36">
                  <c:v>2.7533813304878647E-2</c:v>
                </c:pt>
                <c:pt idx="37">
                  <c:v>2.8368159304878647E-2</c:v>
                </c:pt>
                <c:pt idx="38">
                  <c:v>2.9202505304878647E-2</c:v>
                </c:pt>
                <c:pt idx="39">
                  <c:v>3.0036851304878646E-2</c:v>
                </c:pt>
                <c:pt idx="40">
                  <c:v>3.0871197304878646E-2</c:v>
                </c:pt>
                <c:pt idx="41">
                  <c:v>3.1705543304878646E-2</c:v>
                </c:pt>
                <c:pt idx="42">
                  <c:v>3.2539889304878646E-2</c:v>
                </c:pt>
                <c:pt idx="43">
                  <c:v>3.3374235304878638E-2</c:v>
                </c:pt>
                <c:pt idx="44">
                  <c:v>3.3374235304878638E-2</c:v>
                </c:pt>
                <c:pt idx="45">
                  <c:v>3.4208581304878638E-2</c:v>
                </c:pt>
                <c:pt idx="46">
                  <c:v>3.5042927304878631E-2</c:v>
                </c:pt>
                <c:pt idx="47">
                  <c:v>3.587727330487863E-2</c:v>
                </c:pt>
                <c:pt idx="48">
                  <c:v>3.6711619304878623E-2</c:v>
                </c:pt>
                <c:pt idx="49">
                  <c:v>3.7545965304878623E-2</c:v>
                </c:pt>
                <c:pt idx="50">
                  <c:v>3.8380311304878616E-2</c:v>
                </c:pt>
                <c:pt idx="51">
                  <c:v>3.9214657304878615E-2</c:v>
                </c:pt>
                <c:pt idx="52">
                  <c:v>4.0049003304878608E-2</c:v>
                </c:pt>
                <c:pt idx="53">
                  <c:v>4.0883349304878608E-2</c:v>
                </c:pt>
                <c:pt idx="54">
                  <c:v>4.1717695304878608E-2</c:v>
                </c:pt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  <c:pt idx="0">
                  <c:v>-2.8600000000000001E-4</c:v>
                </c:pt>
                <c:pt idx="1">
                  <c:v>-2.8200000000000002E-4</c:v>
                </c:pt>
                <c:pt idx="2">
                  <c:v>-2.7799999999999998E-4</c:v>
                </c:pt>
                <c:pt idx="3">
                  <c:v>-2.7300000000000002E-4</c:v>
                </c:pt>
                <c:pt idx="4">
                  <c:v>-2.6899999999999998E-4</c:v>
                </c:pt>
                <c:pt idx="5">
                  <c:v>-2.6499999999999999E-4</c:v>
                </c:pt>
                <c:pt idx="6">
                  <c:v>-2.5999999999999998E-4</c:v>
                </c:pt>
                <c:pt idx="7">
                  <c:v>-2.5599999999999999E-4</c:v>
                </c:pt>
                <c:pt idx="8">
                  <c:v>-2.52E-4</c:v>
                </c:pt>
                <c:pt idx="9">
                  <c:v>-2.4699999999999999E-4</c:v>
                </c:pt>
                <c:pt idx="10">
                  <c:v>-2.43E-4</c:v>
                </c:pt>
                <c:pt idx="11">
                  <c:v>-2.43E-4</c:v>
                </c:pt>
                <c:pt idx="12">
                  <c:v>-2.3900000000000001E-4</c:v>
                </c:pt>
                <c:pt idx="13">
                  <c:v>-2.34E-4</c:v>
                </c:pt>
                <c:pt idx="14">
                  <c:v>-2.3000000000000001E-4</c:v>
                </c:pt>
                <c:pt idx="15">
                  <c:v>-2.2599999999999999E-4</c:v>
                </c:pt>
                <c:pt idx="16">
                  <c:v>-2.2100000000000001E-4</c:v>
                </c:pt>
                <c:pt idx="17">
                  <c:v>-2.1699999999999999E-4</c:v>
                </c:pt>
                <c:pt idx="18">
                  <c:v>-2.13E-4</c:v>
                </c:pt>
                <c:pt idx="19">
                  <c:v>-2.0799999999999999E-4</c:v>
                </c:pt>
                <c:pt idx="20">
                  <c:v>-2.0900000000000001E-4</c:v>
                </c:pt>
                <c:pt idx="21">
                  <c:v>-2.13E-4</c:v>
                </c:pt>
                <c:pt idx="22">
                  <c:v>-2.13E-4</c:v>
                </c:pt>
                <c:pt idx="23">
                  <c:v>-2.1599999999999999E-4</c:v>
                </c:pt>
                <c:pt idx="24">
                  <c:v>-2.2000000000000001E-4</c:v>
                </c:pt>
                <c:pt idx="25">
                  <c:v>-2.23E-4</c:v>
                </c:pt>
                <c:pt idx="26">
                  <c:v>-2.2699999999999999E-4</c:v>
                </c:pt>
                <c:pt idx="27">
                  <c:v>-2.3000000000000001E-4</c:v>
                </c:pt>
                <c:pt idx="28">
                  <c:v>-2.34E-4</c:v>
                </c:pt>
                <c:pt idx="29">
                  <c:v>-2.3699999999999999E-4</c:v>
                </c:pt>
                <c:pt idx="30">
                  <c:v>-2.41E-4</c:v>
                </c:pt>
                <c:pt idx="31">
                  <c:v>-2.4399999999999999E-4</c:v>
                </c:pt>
                <c:pt idx="32">
                  <c:v>-2.4800000000000001E-4</c:v>
                </c:pt>
                <c:pt idx="33">
                  <c:v>-2.4800000000000001E-4</c:v>
                </c:pt>
                <c:pt idx="34">
                  <c:v>-2.5099999999999998E-4</c:v>
                </c:pt>
                <c:pt idx="35">
                  <c:v>-2.5500000000000002E-4</c:v>
                </c:pt>
                <c:pt idx="36">
                  <c:v>-2.5799999999999998E-4</c:v>
                </c:pt>
                <c:pt idx="37">
                  <c:v>-2.6200000000000003E-4</c:v>
                </c:pt>
                <c:pt idx="38">
                  <c:v>-2.6600000000000001E-4</c:v>
                </c:pt>
                <c:pt idx="39">
                  <c:v>-2.6899999999999998E-4</c:v>
                </c:pt>
                <c:pt idx="40">
                  <c:v>-2.7300000000000002E-4</c:v>
                </c:pt>
                <c:pt idx="41">
                  <c:v>-2.7700000000000001E-4</c:v>
                </c:pt>
                <c:pt idx="42">
                  <c:v>-2.7999999999999998E-4</c:v>
                </c:pt>
                <c:pt idx="43">
                  <c:v>-2.8400000000000002E-4</c:v>
                </c:pt>
                <c:pt idx="44">
                  <c:v>-2.8400000000000002E-4</c:v>
                </c:pt>
                <c:pt idx="45">
                  <c:v>-2.8899999999999998E-4</c:v>
                </c:pt>
                <c:pt idx="46">
                  <c:v>-2.9300000000000002E-4</c:v>
                </c:pt>
                <c:pt idx="47">
                  <c:v>-2.9799999999999998E-4</c:v>
                </c:pt>
                <c:pt idx="48">
                  <c:v>-3.0200000000000002E-4</c:v>
                </c:pt>
                <c:pt idx="49">
                  <c:v>-3.0699999999999998E-4</c:v>
                </c:pt>
                <c:pt idx="50">
                  <c:v>-3.1199999999999999E-4</c:v>
                </c:pt>
                <c:pt idx="51">
                  <c:v>-3.1700000000000001E-4</c:v>
                </c:pt>
                <c:pt idx="52">
                  <c:v>-3.21E-4</c:v>
                </c:pt>
                <c:pt idx="53">
                  <c:v>-3.2600000000000001E-4</c:v>
                </c:pt>
                <c:pt idx="54">
                  <c:v>-3.3199999999999999E-4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3.9530487864430235E-7</c:v>
                </c:pt>
                <c:pt idx="1">
                  <c:v>6.956836715453109E-4</c:v>
                </c:pt>
                <c:pt idx="2">
                  <c:v>1.3909720382119775E-3</c:v>
                </c:pt>
                <c:pt idx="3">
                  <c:v>2.086260404878644E-3</c:v>
                </c:pt>
                <c:pt idx="4">
                  <c:v>2.7815487715453107E-3</c:v>
                </c:pt>
                <c:pt idx="5">
                  <c:v>3.4768371382119774E-3</c:v>
                </c:pt>
                <c:pt idx="6">
                  <c:v>4.1721255048786446E-3</c:v>
                </c:pt>
                <c:pt idx="7">
                  <c:v>4.8674138715453109E-3</c:v>
                </c:pt>
                <c:pt idx="8">
                  <c:v>5.5627022382119772E-3</c:v>
                </c:pt>
                <c:pt idx="9">
                  <c:v>6.2579906048786434E-3</c:v>
                </c:pt>
                <c:pt idx="10">
                  <c:v>6.9532789715453106E-3</c:v>
                </c:pt>
                <c:pt idx="11">
                  <c:v>7.6485673382119769E-3</c:v>
                </c:pt>
                <c:pt idx="12">
                  <c:v>8.343855704878644E-3</c:v>
                </c:pt>
                <c:pt idx="13">
                  <c:v>9.0391440715453103E-3</c:v>
                </c:pt>
                <c:pt idx="14">
                  <c:v>9.7344324382119766E-3</c:v>
                </c:pt>
                <c:pt idx="15">
                  <c:v>1.0429720804878643E-2</c:v>
                </c:pt>
                <c:pt idx="16">
                  <c:v>1.1125009171545311E-2</c:v>
                </c:pt>
                <c:pt idx="17">
                  <c:v>1.1820297538211977E-2</c:v>
                </c:pt>
                <c:pt idx="18">
                  <c:v>1.2515585904878643E-2</c:v>
                </c:pt>
                <c:pt idx="19">
                  <c:v>1.321087427154531E-2</c:v>
                </c:pt>
                <c:pt idx="20">
                  <c:v>1.3906162638211976E-2</c:v>
                </c:pt>
                <c:pt idx="21">
                  <c:v>1.4601451004878642E-2</c:v>
                </c:pt>
                <c:pt idx="22">
                  <c:v>1.5296739371545309E-2</c:v>
                </c:pt>
                <c:pt idx="23">
                  <c:v>1.5992027738211977E-2</c:v>
                </c:pt>
                <c:pt idx="24">
                  <c:v>1.6687316104878645E-2</c:v>
                </c:pt>
                <c:pt idx="25">
                  <c:v>1.7382604471545309E-2</c:v>
                </c:pt>
                <c:pt idx="26">
                  <c:v>1.8077892838211977E-2</c:v>
                </c:pt>
                <c:pt idx="27">
                  <c:v>1.8773181204878642E-2</c:v>
                </c:pt>
                <c:pt idx="28">
                  <c:v>1.946846957154531E-2</c:v>
                </c:pt>
                <c:pt idx="29">
                  <c:v>2.0163757938211978E-2</c:v>
                </c:pt>
                <c:pt idx="30">
                  <c:v>2.0859046304878642E-2</c:v>
                </c:pt>
                <c:pt idx="31">
                  <c:v>2.155433467154531E-2</c:v>
                </c:pt>
                <c:pt idx="32">
                  <c:v>2.2249623038211975E-2</c:v>
                </c:pt>
                <c:pt idx="33">
                  <c:v>2.2944911404878643E-2</c:v>
                </c:pt>
                <c:pt idx="34">
                  <c:v>2.3640199771545307E-2</c:v>
                </c:pt>
                <c:pt idx="35">
                  <c:v>2.4335488138211975E-2</c:v>
                </c:pt>
                <c:pt idx="36">
                  <c:v>2.5030776504878643E-2</c:v>
                </c:pt>
                <c:pt idx="37">
                  <c:v>2.5726064871545308E-2</c:v>
                </c:pt>
                <c:pt idx="38">
                  <c:v>2.6421353238211976E-2</c:v>
                </c:pt>
                <c:pt idx="39">
                  <c:v>2.7116641604878641E-2</c:v>
                </c:pt>
                <c:pt idx="40">
                  <c:v>2.7811929971545309E-2</c:v>
                </c:pt>
                <c:pt idx="41">
                  <c:v>2.8507218338211973E-2</c:v>
                </c:pt>
                <c:pt idx="42">
                  <c:v>2.9202506704878641E-2</c:v>
                </c:pt>
                <c:pt idx="43">
                  <c:v>2.9897795071545309E-2</c:v>
                </c:pt>
                <c:pt idx="44">
                  <c:v>3.0593083438211974E-2</c:v>
                </c:pt>
                <c:pt idx="45">
                  <c:v>3.1288371804878638E-2</c:v>
                </c:pt>
                <c:pt idx="46">
                  <c:v>3.198366017154531E-2</c:v>
                </c:pt>
                <c:pt idx="47">
                  <c:v>3.2678948538211967E-2</c:v>
                </c:pt>
                <c:pt idx="48">
                  <c:v>3.3374236904878639E-2</c:v>
                </c:pt>
                <c:pt idx="49">
                  <c:v>3.4069525271545303E-2</c:v>
                </c:pt>
                <c:pt idx="50">
                  <c:v>3.4764813638211968E-2</c:v>
                </c:pt>
                <c:pt idx="51">
                  <c:v>3.5460102004878639E-2</c:v>
                </c:pt>
                <c:pt idx="52">
                  <c:v>3.6155390371545304E-2</c:v>
                </c:pt>
                <c:pt idx="53">
                  <c:v>3.6850678738211969E-2</c:v>
                </c:pt>
                <c:pt idx="54">
                  <c:v>3.7545967104878633E-2</c:v>
                </c:pt>
                <c:pt idx="55">
                  <c:v>3.8241255471545305E-2</c:v>
                </c:pt>
                <c:pt idx="56">
                  <c:v>3.8936543838211969E-2</c:v>
                </c:pt>
                <c:pt idx="57">
                  <c:v>3.9631832204878634E-2</c:v>
                </c:pt>
                <c:pt idx="58">
                  <c:v>4.0327120571545298E-2</c:v>
                </c:pt>
                <c:pt idx="59">
                  <c:v>4.102240893821197E-2</c:v>
                </c:pt>
                <c:pt idx="60">
                  <c:v>4.1717697304878634E-2</c:v>
                </c:pt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  <c:pt idx="0">
                  <c:v>-2.6699999999999998E-4</c:v>
                </c:pt>
                <c:pt idx="1">
                  <c:v>-2.6400000000000002E-4</c:v>
                </c:pt>
                <c:pt idx="2">
                  <c:v>-2.61E-4</c:v>
                </c:pt>
                <c:pt idx="3">
                  <c:v>-2.5799999999999998E-4</c:v>
                </c:pt>
                <c:pt idx="4">
                  <c:v>-2.5500000000000002E-4</c:v>
                </c:pt>
                <c:pt idx="5">
                  <c:v>-2.52E-4</c:v>
                </c:pt>
                <c:pt idx="6">
                  <c:v>-2.4899999999999998E-4</c:v>
                </c:pt>
                <c:pt idx="7">
                  <c:v>-2.4600000000000002E-4</c:v>
                </c:pt>
                <c:pt idx="8">
                  <c:v>-2.43E-4</c:v>
                </c:pt>
                <c:pt idx="9">
                  <c:v>-2.4000000000000001E-4</c:v>
                </c:pt>
                <c:pt idx="10">
                  <c:v>-2.3699999999999999E-4</c:v>
                </c:pt>
                <c:pt idx="11">
                  <c:v>-2.34E-4</c:v>
                </c:pt>
                <c:pt idx="12">
                  <c:v>-2.31E-4</c:v>
                </c:pt>
                <c:pt idx="13">
                  <c:v>-2.2800000000000001E-4</c:v>
                </c:pt>
                <c:pt idx="14">
                  <c:v>-2.2499999999999999E-4</c:v>
                </c:pt>
                <c:pt idx="15">
                  <c:v>-2.2100000000000001E-4</c:v>
                </c:pt>
                <c:pt idx="16">
                  <c:v>-2.1800000000000001E-4</c:v>
                </c:pt>
                <c:pt idx="17">
                  <c:v>-2.1499999999999999E-4</c:v>
                </c:pt>
                <c:pt idx="18">
                  <c:v>-2.12E-4</c:v>
                </c:pt>
                <c:pt idx="19">
                  <c:v>-2.0900000000000001E-4</c:v>
                </c:pt>
                <c:pt idx="20">
                  <c:v>-2.0599999999999999E-4</c:v>
                </c:pt>
                <c:pt idx="21">
                  <c:v>-2.03E-4</c:v>
                </c:pt>
                <c:pt idx="22">
                  <c:v>-2.0000000000000001E-4</c:v>
                </c:pt>
                <c:pt idx="23">
                  <c:v>-2.02E-4</c:v>
                </c:pt>
                <c:pt idx="24">
                  <c:v>-2.05E-4</c:v>
                </c:pt>
                <c:pt idx="25">
                  <c:v>-2.0699999999999999E-4</c:v>
                </c:pt>
                <c:pt idx="26">
                  <c:v>-2.0900000000000001E-4</c:v>
                </c:pt>
                <c:pt idx="27">
                  <c:v>-2.12E-4</c:v>
                </c:pt>
                <c:pt idx="28">
                  <c:v>-2.14E-4</c:v>
                </c:pt>
                <c:pt idx="29">
                  <c:v>-2.1699999999999999E-4</c:v>
                </c:pt>
                <c:pt idx="30">
                  <c:v>-2.1900000000000001E-4</c:v>
                </c:pt>
                <c:pt idx="31">
                  <c:v>-2.2100000000000001E-4</c:v>
                </c:pt>
                <c:pt idx="32">
                  <c:v>-2.24E-4</c:v>
                </c:pt>
                <c:pt idx="33">
                  <c:v>-2.2599999999999999E-4</c:v>
                </c:pt>
                <c:pt idx="34">
                  <c:v>-2.2800000000000001E-4</c:v>
                </c:pt>
                <c:pt idx="35">
                  <c:v>-2.31E-4</c:v>
                </c:pt>
                <c:pt idx="36">
                  <c:v>-2.33E-4</c:v>
                </c:pt>
                <c:pt idx="37">
                  <c:v>-2.3499999999999999E-4</c:v>
                </c:pt>
                <c:pt idx="38">
                  <c:v>-2.3800000000000001E-4</c:v>
                </c:pt>
                <c:pt idx="39">
                  <c:v>-2.4000000000000001E-4</c:v>
                </c:pt>
                <c:pt idx="40">
                  <c:v>-2.43E-4</c:v>
                </c:pt>
                <c:pt idx="41">
                  <c:v>-2.4499999999999999E-4</c:v>
                </c:pt>
                <c:pt idx="42">
                  <c:v>-2.4800000000000001E-4</c:v>
                </c:pt>
                <c:pt idx="43">
                  <c:v>-2.5000000000000001E-4</c:v>
                </c:pt>
                <c:pt idx="44">
                  <c:v>-2.5300000000000002E-4</c:v>
                </c:pt>
                <c:pt idx="45">
                  <c:v>-2.5500000000000002E-4</c:v>
                </c:pt>
                <c:pt idx="46">
                  <c:v>-2.5799999999999998E-4</c:v>
                </c:pt>
                <c:pt idx="47">
                  <c:v>-2.5999999999999998E-4</c:v>
                </c:pt>
                <c:pt idx="48">
                  <c:v>-2.63E-4</c:v>
                </c:pt>
                <c:pt idx="49">
                  <c:v>-2.6600000000000001E-4</c:v>
                </c:pt>
                <c:pt idx="50">
                  <c:v>-2.6899999999999998E-4</c:v>
                </c:pt>
                <c:pt idx="51">
                  <c:v>-2.72E-4</c:v>
                </c:pt>
                <c:pt idx="52">
                  <c:v>-2.7500000000000002E-4</c:v>
                </c:pt>
                <c:pt idx="53">
                  <c:v>-2.7799999999999998E-4</c:v>
                </c:pt>
                <c:pt idx="54">
                  <c:v>-2.81E-4</c:v>
                </c:pt>
                <c:pt idx="55">
                  <c:v>-2.8499999999999999E-4</c:v>
                </c:pt>
                <c:pt idx="56">
                  <c:v>-2.8800000000000001E-4</c:v>
                </c:pt>
                <c:pt idx="57">
                  <c:v>-2.9100000000000003E-4</c:v>
                </c:pt>
                <c:pt idx="58">
                  <c:v>-2.9399999999999999E-4</c:v>
                </c:pt>
                <c:pt idx="59">
                  <c:v>-2.9700000000000001E-4</c:v>
                </c:pt>
                <c:pt idx="60">
                  <c:v>-3.01E-4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3.9530487864430235E-7</c:v>
                </c:pt>
                <c:pt idx="1">
                  <c:v>8.3474130487864431E-4</c:v>
                </c:pt>
                <c:pt idx="2">
                  <c:v>1.6690873048786443E-3</c:v>
                </c:pt>
                <c:pt idx="3">
                  <c:v>2.5034333048786443E-3</c:v>
                </c:pt>
                <c:pt idx="4">
                  <c:v>3.3377793048786444E-3</c:v>
                </c:pt>
                <c:pt idx="5">
                  <c:v>4.1721253048786445E-3</c:v>
                </c:pt>
                <c:pt idx="6">
                  <c:v>5.0064713048786442E-3</c:v>
                </c:pt>
                <c:pt idx="7">
                  <c:v>5.8408173048786448E-3</c:v>
                </c:pt>
                <c:pt idx="8">
                  <c:v>6.6751633048786445E-3</c:v>
                </c:pt>
                <c:pt idx="9">
                  <c:v>7.509509304878645E-3</c:v>
                </c:pt>
                <c:pt idx="10">
                  <c:v>8.3438553048786456E-3</c:v>
                </c:pt>
                <c:pt idx="11">
                  <c:v>8.3438553048786456E-3</c:v>
                </c:pt>
                <c:pt idx="12">
                  <c:v>9.1782013048786453E-3</c:v>
                </c:pt>
                <c:pt idx="13">
                  <c:v>1.0012547304878645E-2</c:v>
                </c:pt>
                <c:pt idx="14">
                  <c:v>1.0846893304878645E-2</c:v>
                </c:pt>
                <c:pt idx="15">
                  <c:v>1.1681239304878644E-2</c:v>
                </c:pt>
                <c:pt idx="16">
                  <c:v>1.2515585304878646E-2</c:v>
                </c:pt>
                <c:pt idx="17">
                  <c:v>1.3349931304878646E-2</c:v>
                </c:pt>
                <c:pt idx="18">
                  <c:v>1.4184277304878645E-2</c:v>
                </c:pt>
                <c:pt idx="19">
                  <c:v>1.5018623304878645E-2</c:v>
                </c:pt>
                <c:pt idx="20">
                  <c:v>1.5852969304878645E-2</c:v>
                </c:pt>
                <c:pt idx="21">
                  <c:v>1.6687315304878644E-2</c:v>
                </c:pt>
                <c:pt idx="22">
                  <c:v>1.6687315304878644E-2</c:v>
                </c:pt>
                <c:pt idx="23">
                  <c:v>1.7521661304878644E-2</c:v>
                </c:pt>
                <c:pt idx="24">
                  <c:v>1.8356007304878644E-2</c:v>
                </c:pt>
                <c:pt idx="25">
                  <c:v>1.9190353304878647E-2</c:v>
                </c:pt>
                <c:pt idx="26">
                  <c:v>2.0024699304878647E-2</c:v>
                </c:pt>
                <c:pt idx="27">
                  <c:v>2.0859045304878646E-2</c:v>
                </c:pt>
                <c:pt idx="28">
                  <c:v>2.1693391304878646E-2</c:v>
                </c:pt>
                <c:pt idx="29">
                  <c:v>2.2527737304878646E-2</c:v>
                </c:pt>
                <c:pt idx="30">
                  <c:v>2.3362083304878645E-2</c:v>
                </c:pt>
                <c:pt idx="31">
                  <c:v>2.4196429304878645E-2</c:v>
                </c:pt>
                <c:pt idx="32">
                  <c:v>2.5030775304878645E-2</c:v>
                </c:pt>
                <c:pt idx="33">
                  <c:v>2.5030775304878645E-2</c:v>
                </c:pt>
                <c:pt idx="34">
                  <c:v>2.5865121304878644E-2</c:v>
                </c:pt>
                <c:pt idx="35">
                  <c:v>2.6699467304878644E-2</c:v>
                </c:pt>
                <c:pt idx="36">
                  <c:v>2.7533813304878647E-2</c:v>
                </c:pt>
                <c:pt idx="37">
                  <c:v>2.8368159304878647E-2</c:v>
                </c:pt>
                <c:pt idx="38">
                  <c:v>2.9202505304878647E-2</c:v>
                </c:pt>
                <c:pt idx="39">
                  <c:v>3.0036851304878646E-2</c:v>
                </c:pt>
                <c:pt idx="40">
                  <c:v>3.0871197304878646E-2</c:v>
                </c:pt>
                <c:pt idx="41">
                  <c:v>3.1705543304878646E-2</c:v>
                </c:pt>
                <c:pt idx="42">
                  <c:v>3.2539889304878646E-2</c:v>
                </c:pt>
                <c:pt idx="43">
                  <c:v>3.3374235304878638E-2</c:v>
                </c:pt>
                <c:pt idx="44">
                  <c:v>3.3374235304878638E-2</c:v>
                </c:pt>
                <c:pt idx="45">
                  <c:v>3.4208581304878638E-2</c:v>
                </c:pt>
                <c:pt idx="46">
                  <c:v>3.5042927304878631E-2</c:v>
                </c:pt>
                <c:pt idx="47">
                  <c:v>3.587727330487863E-2</c:v>
                </c:pt>
                <c:pt idx="48">
                  <c:v>3.6711619304878623E-2</c:v>
                </c:pt>
                <c:pt idx="49">
                  <c:v>3.7545965304878623E-2</c:v>
                </c:pt>
                <c:pt idx="50">
                  <c:v>3.8380311304878616E-2</c:v>
                </c:pt>
                <c:pt idx="51">
                  <c:v>3.9214657304878615E-2</c:v>
                </c:pt>
                <c:pt idx="52">
                  <c:v>4.0049003304878608E-2</c:v>
                </c:pt>
                <c:pt idx="53">
                  <c:v>4.0883349304878608E-2</c:v>
                </c:pt>
                <c:pt idx="54">
                  <c:v>4.1717695304878608E-2</c:v>
                </c:pt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  <c:pt idx="0">
                  <c:v>-2.6699999999999998E-4</c:v>
                </c:pt>
                <c:pt idx="1">
                  <c:v>-2.63E-4</c:v>
                </c:pt>
                <c:pt idx="2">
                  <c:v>-2.5999999999999998E-4</c:v>
                </c:pt>
                <c:pt idx="3">
                  <c:v>-2.5599999999999999E-4</c:v>
                </c:pt>
                <c:pt idx="4">
                  <c:v>-2.5300000000000002E-4</c:v>
                </c:pt>
                <c:pt idx="5">
                  <c:v>-2.4899999999999998E-4</c:v>
                </c:pt>
                <c:pt idx="6">
                  <c:v>-2.4499999999999999E-4</c:v>
                </c:pt>
                <c:pt idx="7">
                  <c:v>-2.42E-4</c:v>
                </c:pt>
                <c:pt idx="8">
                  <c:v>-2.3800000000000001E-4</c:v>
                </c:pt>
                <c:pt idx="9">
                  <c:v>-2.34E-4</c:v>
                </c:pt>
                <c:pt idx="10">
                  <c:v>-2.31E-4</c:v>
                </c:pt>
                <c:pt idx="11">
                  <c:v>-2.31E-4</c:v>
                </c:pt>
                <c:pt idx="12">
                  <c:v>-2.2699999999999999E-4</c:v>
                </c:pt>
                <c:pt idx="13">
                  <c:v>-2.23E-4</c:v>
                </c:pt>
                <c:pt idx="14">
                  <c:v>-2.2000000000000001E-4</c:v>
                </c:pt>
                <c:pt idx="15">
                  <c:v>-2.1599999999999999E-4</c:v>
                </c:pt>
                <c:pt idx="16">
                  <c:v>-2.12E-4</c:v>
                </c:pt>
                <c:pt idx="17">
                  <c:v>-2.0900000000000001E-4</c:v>
                </c:pt>
                <c:pt idx="18">
                  <c:v>-2.05E-4</c:v>
                </c:pt>
                <c:pt idx="19">
                  <c:v>-2.0100000000000001E-4</c:v>
                </c:pt>
                <c:pt idx="20">
                  <c:v>-2.02E-4</c:v>
                </c:pt>
                <c:pt idx="21">
                  <c:v>-2.05E-4</c:v>
                </c:pt>
                <c:pt idx="22">
                  <c:v>-2.05E-4</c:v>
                </c:pt>
                <c:pt idx="23">
                  <c:v>-2.0799999999999999E-4</c:v>
                </c:pt>
                <c:pt idx="24">
                  <c:v>-2.1000000000000001E-4</c:v>
                </c:pt>
                <c:pt idx="25">
                  <c:v>-2.13E-4</c:v>
                </c:pt>
                <c:pt idx="26">
                  <c:v>-2.1599999999999999E-4</c:v>
                </c:pt>
                <c:pt idx="27">
                  <c:v>-2.1900000000000001E-4</c:v>
                </c:pt>
                <c:pt idx="28">
                  <c:v>-2.22E-4</c:v>
                </c:pt>
                <c:pt idx="29">
                  <c:v>-2.2499999999999999E-4</c:v>
                </c:pt>
                <c:pt idx="30">
                  <c:v>-2.2699999999999999E-4</c:v>
                </c:pt>
                <c:pt idx="31">
                  <c:v>-2.3000000000000001E-4</c:v>
                </c:pt>
                <c:pt idx="32">
                  <c:v>-2.33E-4</c:v>
                </c:pt>
                <c:pt idx="33">
                  <c:v>-2.33E-4</c:v>
                </c:pt>
                <c:pt idx="34">
                  <c:v>-2.3599999999999999E-4</c:v>
                </c:pt>
                <c:pt idx="35">
                  <c:v>-2.3900000000000001E-4</c:v>
                </c:pt>
                <c:pt idx="36">
                  <c:v>-2.42E-4</c:v>
                </c:pt>
                <c:pt idx="37">
                  <c:v>-2.4499999999999999E-4</c:v>
                </c:pt>
                <c:pt idx="38">
                  <c:v>-2.4800000000000001E-4</c:v>
                </c:pt>
                <c:pt idx="39">
                  <c:v>-2.5099999999999998E-4</c:v>
                </c:pt>
                <c:pt idx="40">
                  <c:v>-2.5300000000000002E-4</c:v>
                </c:pt>
                <c:pt idx="41">
                  <c:v>-2.5599999999999999E-4</c:v>
                </c:pt>
                <c:pt idx="42">
                  <c:v>-2.5900000000000001E-4</c:v>
                </c:pt>
                <c:pt idx="43">
                  <c:v>-2.63E-4</c:v>
                </c:pt>
                <c:pt idx="44">
                  <c:v>-2.63E-4</c:v>
                </c:pt>
                <c:pt idx="45">
                  <c:v>-2.6600000000000001E-4</c:v>
                </c:pt>
                <c:pt idx="46">
                  <c:v>-2.6899999999999998E-4</c:v>
                </c:pt>
                <c:pt idx="47">
                  <c:v>-2.7399999999999999E-4</c:v>
                </c:pt>
                <c:pt idx="48">
                  <c:v>-2.7700000000000001E-4</c:v>
                </c:pt>
                <c:pt idx="49">
                  <c:v>-2.81E-4</c:v>
                </c:pt>
                <c:pt idx="50">
                  <c:v>-2.8499999999999999E-4</c:v>
                </c:pt>
                <c:pt idx="51">
                  <c:v>-2.8899999999999998E-4</c:v>
                </c:pt>
                <c:pt idx="52">
                  <c:v>-2.9300000000000002E-4</c:v>
                </c:pt>
                <c:pt idx="53">
                  <c:v>-2.9700000000000001E-4</c:v>
                </c:pt>
                <c:pt idx="54">
                  <c:v>-3.01E-4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3.9530487864430235E-7</c:v>
                </c:pt>
                <c:pt idx="1">
                  <c:v>6.956836715453109E-4</c:v>
                </c:pt>
                <c:pt idx="2">
                  <c:v>1.3909720382119775E-3</c:v>
                </c:pt>
                <c:pt idx="3">
                  <c:v>2.086260404878644E-3</c:v>
                </c:pt>
                <c:pt idx="4">
                  <c:v>2.7815487715453107E-3</c:v>
                </c:pt>
                <c:pt idx="5">
                  <c:v>3.4768371382119774E-3</c:v>
                </c:pt>
                <c:pt idx="6">
                  <c:v>4.1721255048786446E-3</c:v>
                </c:pt>
                <c:pt idx="7">
                  <c:v>4.8674138715453109E-3</c:v>
                </c:pt>
                <c:pt idx="8">
                  <c:v>5.5627022382119772E-3</c:v>
                </c:pt>
                <c:pt idx="9">
                  <c:v>6.2579906048786434E-3</c:v>
                </c:pt>
                <c:pt idx="10">
                  <c:v>6.9532789715453106E-3</c:v>
                </c:pt>
                <c:pt idx="11">
                  <c:v>7.6485673382119769E-3</c:v>
                </c:pt>
                <c:pt idx="12">
                  <c:v>8.343855704878644E-3</c:v>
                </c:pt>
                <c:pt idx="13">
                  <c:v>9.0391440715453103E-3</c:v>
                </c:pt>
                <c:pt idx="14">
                  <c:v>9.7344324382119766E-3</c:v>
                </c:pt>
                <c:pt idx="15">
                  <c:v>1.0429720804878643E-2</c:v>
                </c:pt>
                <c:pt idx="16">
                  <c:v>1.1125009171545311E-2</c:v>
                </c:pt>
                <c:pt idx="17">
                  <c:v>1.1820297538211977E-2</c:v>
                </c:pt>
                <c:pt idx="18">
                  <c:v>1.2515585904878643E-2</c:v>
                </c:pt>
                <c:pt idx="19">
                  <c:v>1.321087427154531E-2</c:v>
                </c:pt>
                <c:pt idx="20">
                  <c:v>1.3906162638211976E-2</c:v>
                </c:pt>
                <c:pt idx="21">
                  <c:v>1.4601451004878642E-2</c:v>
                </c:pt>
                <c:pt idx="22">
                  <c:v>1.5296739371545309E-2</c:v>
                </c:pt>
                <c:pt idx="23">
                  <c:v>1.5992027738211977E-2</c:v>
                </c:pt>
                <c:pt idx="24">
                  <c:v>1.6687316104878645E-2</c:v>
                </c:pt>
                <c:pt idx="25">
                  <c:v>1.7382604471545309E-2</c:v>
                </c:pt>
                <c:pt idx="26">
                  <c:v>1.8077892838211977E-2</c:v>
                </c:pt>
                <c:pt idx="27">
                  <c:v>1.8773181204878642E-2</c:v>
                </c:pt>
                <c:pt idx="28">
                  <c:v>1.946846957154531E-2</c:v>
                </c:pt>
                <c:pt idx="29">
                  <c:v>2.0163757938211978E-2</c:v>
                </c:pt>
                <c:pt idx="30">
                  <c:v>2.0859046304878642E-2</c:v>
                </c:pt>
                <c:pt idx="31">
                  <c:v>2.155433467154531E-2</c:v>
                </c:pt>
                <c:pt idx="32">
                  <c:v>2.2249623038211975E-2</c:v>
                </c:pt>
                <c:pt idx="33">
                  <c:v>2.2944911404878643E-2</c:v>
                </c:pt>
                <c:pt idx="34">
                  <c:v>2.3640199771545307E-2</c:v>
                </c:pt>
                <c:pt idx="35">
                  <c:v>2.4335488138211975E-2</c:v>
                </c:pt>
                <c:pt idx="36">
                  <c:v>2.5030776504878643E-2</c:v>
                </c:pt>
                <c:pt idx="37">
                  <c:v>2.5726064871545308E-2</c:v>
                </c:pt>
                <c:pt idx="38">
                  <c:v>2.6421353238211976E-2</c:v>
                </c:pt>
                <c:pt idx="39">
                  <c:v>2.7116641604878641E-2</c:v>
                </c:pt>
                <c:pt idx="40">
                  <c:v>2.7811929971545309E-2</c:v>
                </c:pt>
                <c:pt idx="41">
                  <c:v>2.8507218338211973E-2</c:v>
                </c:pt>
                <c:pt idx="42">
                  <c:v>2.9202506704878641E-2</c:v>
                </c:pt>
                <c:pt idx="43">
                  <c:v>2.9897795071545309E-2</c:v>
                </c:pt>
                <c:pt idx="44">
                  <c:v>3.0593083438211974E-2</c:v>
                </c:pt>
                <c:pt idx="45">
                  <c:v>3.1288371804878638E-2</c:v>
                </c:pt>
                <c:pt idx="46">
                  <c:v>3.198366017154531E-2</c:v>
                </c:pt>
                <c:pt idx="47">
                  <c:v>3.2678948538211967E-2</c:v>
                </c:pt>
                <c:pt idx="48">
                  <c:v>3.3374236904878639E-2</c:v>
                </c:pt>
                <c:pt idx="49">
                  <c:v>3.4069525271545303E-2</c:v>
                </c:pt>
                <c:pt idx="50">
                  <c:v>3.4764813638211968E-2</c:v>
                </c:pt>
                <c:pt idx="51">
                  <c:v>3.5460102004878639E-2</c:v>
                </c:pt>
                <c:pt idx="52">
                  <c:v>3.6155390371545304E-2</c:v>
                </c:pt>
                <c:pt idx="53">
                  <c:v>3.6850678738211969E-2</c:v>
                </c:pt>
                <c:pt idx="54">
                  <c:v>3.7545967104878633E-2</c:v>
                </c:pt>
                <c:pt idx="55">
                  <c:v>3.8241255471545305E-2</c:v>
                </c:pt>
                <c:pt idx="56">
                  <c:v>3.8936543838211969E-2</c:v>
                </c:pt>
                <c:pt idx="57">
                  <c:v>3.9631832204878634E-2</c:v>
                </c:pt>
                <c:pt idx="58">
                  <c:v>4.0327120571545298E-2</c:v>
                </c:pt>
                <c:pt idx="59">
                  <c:v>4.102240893821197E-2</c:v>
                </c:pt>
                <c:pt idx="60">
                  <c:v>4.1717697304878634E-2</c:v>
                </c:pt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  <c:pt idx="0">
                  <c:v>-8.2999999999999998E-5</c:v>
                </c:pt>
                <c:pt idx="1">
                  <c:v>-8.5000000000000006E-5</c:v>
                </c:pt>
                <c:pt idx="2">
                  <c:v>-8.7000000000000001E-5</c:v>
                </c:pt>
                <c:pt idx="3">
                  <c:v>-9.0000000000000006E-5</c:v>
                </c:pt>
                <c:pt idx="4">
                  <c:v>-9.2E-5</c:v>
                </c:pt>
                <c:pt idx="5">
                  <c:v>-9.3999999999999994E-5</c:v>
                </c:pt>
                <c:pt idx="6">
                  <c:v>-9.7E-5</c:v>
                </c:pt>
                <c:pt idx="7">
                  <c:v>-9.8999999999999994E-5</c:v>
                </c:pt>
                <c:pt idx="8">
                  <c:v>-1.01E-4</c:v>
                </c:pt>
                <c:pt idx="9">
                  <c:v>-1.0399999999999999E-4</c:v>
                </c:pt>
                <c:pt idx="10">
                  <c:v>-1.06E-4</c:v>
                </c:pt>
                <c:pt idx="11">
                  <c:v>-1.08E-4</c:v>
                </c:pt>
                <c:pt idx="12">
                  <c:v>-1.11E-4</c:v>
                </c:pt>
                <c:pt idx="13">
                  <c:v>-1.13E-4</c:v>
                </c:pt>
                <c:pt idx="14">
                  <c:v>-1.15E-4</c:v>
                </c:pt>
                <c:pt idx="15">
                  <c:v>-1.18E-4</c:v>
                </c:pt>
                <c:pt idx="16">
                  <c:v>-1.2E-4</c:v>
                </c:pt>
                <c:pt idx="17">
                  <c:v>-1.22E-4</c:v>
                </c:pt>
                <c:pt idx="18">
                  <c:v>-1.25E-4</c:v>
                </c:pt>
                <c:pt idx="19">
                  <c:v>-1.27E-4</c:v>
                </c:pt>
                <c:pt idx="20">
                  <c:v>-1.2899999999999999E-4</c:v>
                </c:pt>
                <c:pt idx="21">
                  <c:v>-1.3200000000000001E-4</c:v>
                </c:pt>
                <c:pt idx="22">
                  <c:v>-1.34E-4</c:v>
                </c:pt>
                <c:pt idx="23">
                  <c:v>-1.3100000000000001E-4</c:v>
                </c:pt>
                <c:pt idx="24">
                  <c:v>-1.2799999999999999E-4</c:v>
                </c:pt>
                <c:pt idx="25">
                  <c:v>-1.25E-4</c:v>
                </c:pt>
                <c:pt idx="26">
                  <c:v>-1.22E-4</c:v>
                </c:pt>
                <c:pt idx="27">
                  <c:v>-1.1900000000000001E-4</c:v>
                </c:pt>
                <c:pt idx="28">
                  <c:v>-1.16E-4</c:v>
                </c:pt>
                <c:pt idx="29">
                  <c:v>-1.13E-4</c:v>
                </c:pt>
                <c:pt idx="30">
                  <c:v>-1.1E-4</c:v>
                </c:pt>
                <c:pt idx="31">
                  <c:v>-1.07E-4</c:v>
                </c:pt>
                <c:pt idx="32">
                  <c:v>-1.0399999999999999E-4</c:v>
                </c:pt>
                <c:pt idx="33">
                  <c:v>-1.01E-4</c:v>
                </c:pt>
                <c:pt idx="34">
                  <c:v>-9.7999999999999997E-5</c:v>
                </c:pt>
                <c:pt idx="35">
                  <c:v>-9.5000000000000005E-5</c:v>
                </c:pt>
                <c:pt idx="36">
                  <c:v>-9.2E-5</c:v>
                </c:pt>
                <c:pt idx="37">
                  <c:v>-8.7999999999999998E-5</c:v>
                </c:pt>
                <c:pt idx="38">
                  <c:v>-8.5000000000000006E-5</c:v>
                </c:pt>
                <c:pt idx="39">
                  <c:v>-8.2000000000000001E-5</c:v>
                </c:pt>
                <c:pt idx="40">
                  <c:v>-7.8999999999999996E-5</c:v>
                </c:pt>
                <c:pt idx="41">
                  <c:v>-7.6000000000000004E-5</c:v>
                </c:pt>
                <c:pt idx="42">
                  <c:v>-7.2999999999999999E-5</c:v>
                </c:pt>
                <c:pt idx="43">
                  <c:v>-6.9999999999999994E-5</c:v>
                </c:pt>
                <c:pt idx="44">
                  <c:v>-6.7000000000000002E-5</c:v>
                </c:pt>
                <c:pt idx="45">
                  <c:v>-6.3999999999999997E-5</c:v>
                </c:pt>
                <c:pt idx="46">
                  <c:v>-6.0000000000000002E-5</c:v>
                </c:pt>
                <c:pt idx="47">
                  <c:v>-5.7000000000000003E-5</c:v>
                </c:pt>
                <c:pt idx="48">
                  <c:v>-5.3999999999999998E-5</c:v>
                </c:pt>
                <c:pt idx="49">
                  <c:v>-5.1E-5</c:v>
                </c:pt>
                <c:pt idx="50">
                  <c:v>-4.6999999999999997E-5</c:v>
                </c:pt>
                <c:pt idx="51">
                  <c:v>-4.3000000000000002E-5</c:v>
                </c:pt>
                <c:pt idx="52">
                  <c:v>-3.8999999999999999E-5</c:v>
                </c:pt>
                <c:pt idx="53">
                  <c:v>-3.6000000000000001E-5</c:v>
                </c:pt>
                <c:pt idx="54">
                  <c:v>-3.1999999999999999E-5</c:v>
                </c:pt>
                <c:pt idx="55">
                  <c:v>-2.8E-5</c:v>
                </c:pt>
                <c:pt idx="56">
                  <c:v>-2.4000000000000001E-5</c:v>
                </c:pt>
                <c:pt idx="57">
                  <c:v>-2.0999999999999999E-5</c:v>
                </c:pt>
                <c:pt idx="58">
                  <c:v>-1.7E-5</c:v>
                </c:pt>
                <c:pt idx="59">
                  <c:v>-1.2999999999999999E-5</c:v>
                </c:pt>
                <c:pt idx="60">
                  <c:v>-9.0000000000000002E-6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3.9530487864430235E-7</c:v>
                </c:pt>
                <c:pt idx="1">
                  <c:v>8.3474130487864431E-4</c:v>
                </c:pt>
                <c:pt idx="2">
                  <c:v>1.6690873048786443E-3</c:v>
                </c:pt>
                <c:pt idx="3">
                  <c:v>2.5034333048786443E-3</c:v>
                </c:pt>
                <c:pt idx="4">
                  <c:v>3.3377793048786444E-3</c:v>
                </c:pt>
                <c:pt idx="5">
                  <c:v>4.1721253048786445E-3</c:v>
                </c:pt>
                <c:pt idx="6">
                  <c:v>5.0064713048786442E-3</c:v>
                </c:pt>
                <c:pt idx="7">
                  <c:v>5.8408173048786448E-3</c:v>
                </c:pt>
                <c:pt idx="8">
                  <c:v>6.6751633048786445E-3</c:v>
                </c:pt>
                <c:pt idx="9">
                  <c:v>7.509509304878645E-3</c:v>
                </c:pt>
                <c:pt idx="10">
                  <c:v>8.3438553048786456E-3</c:v>
                </c:pt>
                <c:pt idx="11">
                  <c:v>8.3438553048786456E-3</c:v>
                </c:pt>
                <c:pt idx="12">
                  <c:v>9.1782013048786453E-3</c:v>
                </c:pt>
                <c:pt idx="13">
                  <c:v>1.0012547304878645E-2</c:v>
                </c:pt>
                <c:pt idx="14">
                  <c:v>1.0846893304878645E-2</c:v>
                </c:pt>
                <c:pt idx="15">
                  <c:v>1.1681239304878644E-2</c:v>
                </c:pt>
                <c:pt idx="16">
                  <c:v>1.2515585304878646E-2</c:v>
                </c:pt>
                <c:pt idx="17">
                  <c:v>1.3349931304878646E-2</c:v>
                </c:pt>
                <c:pt idx="18">
                  <c:v>1.4184277304878645E-2</c:v>
                </c:pt>
                <c:pt idx="19">
                  <c:v>1.5018623304878645E-2</c:v>
                </c:pt>
                <c:pt idx="20">
                  <c:v>1.5852969304878645E-2</c:v>
                </c:pt>
                <c:pt idx="21">
                  <c:v>1.6687315304878644E-2</c:v>
                </c:pt>
                <c:pt idx="22">
                  <c:v>1.6687315304878644E-2</c:v>
                </c:pt>
                <c:pt idx="23">
                  <c:v>1.7521661304878644E-2</c:v>
                </c:pt>
                <c:pt idx="24">
                  <c:v>1.8356007304878644E-2</c:v>
                </c:pt>
                <c:pt idx="25">
                  <c:v>1.9190353304878647E-2</c:v>
                </c:pt>
                <c:pt idx="26">
                  <c:v>2.0024699304878647E-2</c:v>
                </c:pt>
                <c:pt idx="27">
                  <c:v>2.0859045304878646E-2</c:v>
                </c:pt>
                <c:pt idx="28">
                  <c:v>2.1693391304878646E-2</c:v>
                </c:pt>
                <c:pt idx="29">
                  <c:v>2.2527737304878646E-2</c:v>
                </c:pt>
                <c:pt idx="30">
                  <c:v>2.3362083304878645E-2</c:v>
                </c:pt>
                <c:pt idx="31">
                  <c:v>2.4196429304878645E-2</c:v>
                </c:pt>
                <c:pt idx="32">
                  <c:v>2.5030775304878645E-2</c:v>
                </c:pt>
                <c:pt idx="33">
                  <c:v>2.5030775304878645E-2</c:v>
                </c:pt>
                <c:pt idx="34">
                  <c:v>2.5865121304878644E-2</c:v>
                </c:pt>
                <c:pt idx="35">
                  <c:v>2.6699467304878644E-2</c:v>
                </c:pt>
                <c:pt idx="36">
                  <c:v>2.7533813304878647E-2</c:v>
                </c:pt>
                <c:pt idx="37">
                  <c:v>2.8368159304878647E-2</c:v>
                </c:pt>
                <c:pt idx="38">
                  <c:v>2.9202505304878647E-2</c:v>
                </c:pt>
                <c:pt idx="39">
                  <c:v>3.0036851304878646E-2</c:v>
                </c:pt>
                <c:pt idx="40">
                  <c:v>3.0871197304878646E-2</c:v>
                </c:pt>
                <c:pt idx="41">
                  <c:v>3.1705543304878646E-2</c:v>
                </c:pt>
                <c:pt idx="42">
                  <c:v>3.2539889304878646E-2</c:v>
                </c:pt>
                <c:pt idx="43">
                  <c:v>3.3374235304878638E-2</c:v>
                </c:pt>
                <c:pt idx="44">
                  <c:v>3.3374235304878638E-2</c:v>
                </c:pt>
                <c:pt idx="45">
                  <c:v>3.4208581304878638E-2</c:v>
                </c:pt>
                <c:pt idx="46">
                  <c:v>3.5042927304878631E-2</c:v>
                </c:pt>
                <c:pt idx="47">
                  <c:v>3.587727330487863E-2</c:v>
                </c:pt>
                <c:pt idx="48">
                  <c:v>3.6711619304878623E-2</c:v>
                </c:pt>
                <c:pt idx="49">
                  <c:v>3.7545965304878623E-2</c:v>
                </c:pt>
                <c:pt idx="50">
                  <c:v>3.8380311304878616E-2</c:v>
                </c:pt>
                <c:pt idx="51">
                  <c:v>3.9214657304878615E-2</c:v>
                </c:pt>
                <c:pt idx="52">
                  <c:v>4.0049003304878608E-2</c:v>
                </c:pt>
                <c:pt idx="53">
                  <c:v>4.0883349304878608E-2</c:v>
                </c:pt>
                <c:pt idx="54">
                  <c:v>4.1717695304878608E-2</c:v>
                </c:pt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  <c:pt idx="0">
                  <c:v>-8.2999999999999998E-5</c:v>
                </c:pt>
                <c:pt idx="1">
                  <c:v>-8.5000000000000006E-5</c:v>
                </c:pt>
                <c:pt idx="2">
                  <c:v>-8.7999999999999998E-5</c:v>
                </c:pt>
                <c:pt idx="3">
                  <c:v>-9.1000000000000003E-5</c:v>
                </c:pt>
                <c:pt idx="4">
                  <c:v>-9.3999999999999994E-5</c:v>
                </c:pt>
                <c:pt idx="5">
                  <c:v>-9.7E-5</c:v>
                </c:pt>
                <c:pt idx="6">
                  <c:v>-9.8999999999999994E-5</c:v>
                </c:pt>
                <c:pt idx="7">
                  <c:v>-1.02E-4</c:v>
                </c:pt>
                <c:pt idx="8">
                  <c:v>-1.05E-4</c:v>
                </c:pt>
                <c:pt idx="9">
                  <c:v>-1.08E-4</c:v>
                </c:pt>
                <c:pt idx="10">
                  <c:v>-1.11E-4</c:v>
                </c:pt>
                <c:pt idx="11">
                  <c:v>-1.11E-4</c:v>
                </c:pt>
                <c:pt idx="12">
                  <c:v>-1.13E-4</c:v>
                </c:pt>
                <c:pt idx="13">
                  <c:v>-1.16E-4</c:v>
                </c:pt>
                <c:pt idx="14">
                  <c:v>-1.1900000000000001E-4</c:v>
                </c:pt>
                <c:pt idx="15">
                  <c:v>-1.22E-4</c:v>
                </c:pt>
                <c:pt idx="16">
                  <c:v>-1.25E-4</c:v>
                </c:pt>
                <c:pt idx="17">
                  <c:v>-1.2799999999999999E-4</c:v>
                </c:pt>
                <c:pt idx="18">
                  <c:v>-1.2999999999999999E-4</c:v>
                </c:pt>
                <c:pt idx="19">
                  <c:v>-1.3300000000000001E-4</c:v>
                </c:pt>
                <c:pt idx="20">
                  <c:v>-1.3200000000000001E-4</c:v>
                </c:pt>
                <c:pt idx="21">
                  <c:v>-1.2799999999999999E-4</c:v>
                </c:pt>
                <c:pt idx="22">
                  <c:v>-1.2799999999999999E-4</c:v>
                </c:pt>
                <c:pt idx="23">
                  <c:v>-1.2400000000000001E-4</c:v>
                </c:pt>
                <c:pt idx="24">
                  <c:v>-1.21E-4</c:v>
                </c:pt>
                <c:pt idx="25">
                  <c:v>-1.17E-4</c:v>
                </c:pt>
                <c:pt idx="26">
                  <c:v>-1.13E-4</c:v>
                </c:pt>
                <c:pt idx="27">
                  <c:v>-1.1E-4</c:v>
                </c:pt>
                <c:pt idx="28">
                  <c:v>-1.06E-4</c:v>
                </c:pt>
                <c:pt idx="29">
                  <c:v>-1.02E-4</c:v>
                </c:pt>
                <c:pt idx="30">
                  <c:v>-9.8999999999999994E-5</c:v>
                </c:pt>
                <c:pt idx="31">
                  <c:v>-9.5000000000000005E-5</c:v>
                </c:pt>
                <c:pt idx="32">
                  <c:v>-9.2E-5</c:v>
                </c:pt>
                <c:pt idx="33">
                  <c:v>-9.2E-5</c:v>
                </c:pt>
                <c:pt idx="34">
                  <c:v>-8.7999999999999998E-5</c:v>
                </c:pt>
                <c:pt idx="35">
                  <c:v>-8.3999999999999995E-5</c:v>
                </c:pt>
                <c:pt idx="36">
                  <c:v>-8.1000000000000004E-5</c:v>
                </c:pt>
                <c:pt idx="37">
                  <c:v>-7.7000000000000001E-5</c:v>
                </c:pt>
                <c:pt idx="38">
                  <c:v>-7.2999999999999999E-5</c:v>
                </c:pt>
                <c:pt idx="39">
                  <c:v>-6.8999999999999997E-5</c:v>
                </c:pt>
                <c:pt idx="40">
                  <c:v>-6.6000000000000005E-5</c:v>
                </c:pt>
                <c:pt idx="41">
                  <c:v>-6.2000000000000003E-5</c:v>
                </c:pt>
                <c:pt idx="42">
                  <c:v>-5.8E-5</c:v>
                </c:pt>
                <c:pt idx="43">
                  <c:v>-5.3999999999999998E-5</c:v>
                </c:pt>
                <c:pt idx="44">
                  <c:v>-5.3999999999999998E-5</c:v>
                </c:pt>
                <c:pt idx="45">
                  <c:v>-5.0000000000000002E-5</c:v>
                </c:pt>
                <c:pt idx="46">
                  <c:v>-4.6E-5</c:v>
                </c:pt>
                <c:pt idx="47">
                  <c:v>-4.1E-5</c:v>
                </c:pt>
                <c:pt idx="48">
                  <c:v>-3.6999999999999998E-5</c:v>
                </c:pt>
                <c:pt idx="49">
                  <c:v>-3.1999999999999999E-5</c:v>
                </c:pt>
                <c:pt idx="50">
                  <c:v>-2.8E-5</c:v>
                </c:pt>
                <c:pt idx="51">
                  <c:v>-2.3E-5</c:v>
                </c:pt>
                <c:pt idx="52">
                  <c:v>-1.8E-5</c:v>
                </c:pt>
                <c:pt idx="53">
                  <c:v>-1.4E-5</c:v>
                </c:pt>
                <c:pt idx="54">
                  <c:v>-9.0000000000000002E-6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4.1717697304878634E-2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4.1717697304878634E-2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  <c:pt idx="0">
                  <c:v>-9.8528304427183775E-3</c:v>
                </c:pt>
                <c:pt idx="1">
                  <c:v>-9.8528304427183775E-3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4.1717697304878634E-2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  <c:pt idx="0">
                  <c:v>-1.3137107256957837E-2</c:v>
                </c:pt>
                <c:pt idx="1">
                  <c:v>-1.3137107256957837E-2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4.1717697304878634E-2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4.1717697304878634E-2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  <c:pt idx="0">
                  <c:v>-9.8528304427183775E-3</c:v>
                </c:pt>
                <c:pt idx="1">
                  <c:v>-9.8528304427183775E-3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4.1717697304878634E-2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  <c:pt idx="0">
                  <c:v>-1.3137107256957837E-2</c:v>
                </c:pt>
                <c:pt idx="1">
                  <c:v>-1.3137107256957837E-2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8.0845889803823004E-7</c:v>
                      </c:pt>
                      <c:pt idx="1">
                        <c:v>5.0407872063773561E-4</c:v>
                      </c:pt>
                      <c:pt idx="2">
                        <c:v>1.007348982377433E-3</c:v>
                      </c:pt>
                      <c:pt idx="3">
                        <c:v>1.5106192441171305E-3</c:v>
                      </c:pt>
                      <c:pt idx="4">
                        <c:v>2.0138895058568278E-3</c:v>
                      </c:pt>
                      <c:pt idx="5">
                        <c:v>2.5171597675965256E-3</c:v>
                      </c:pt>
                      <c:pt idx="6">
                        <c:v>3.0204300293362233E-3</c:v>
                      </c:pt>
                      <c:pt idx="7">
                        <c:v>3.523700291075921E-3</c:v>
                      </c:pt>
                      <c:pt idx="8">
                        <c:v>4.0269705528156183E-3</c:v>
                      </c:pt>
                      <c:pt idx="9">
                        <c:v>4.530240814555316E-3</c:v>
                      </c:pt>
                      <c:pt idx="10">
                        <c:v>5.0335110762950138E-3</c:v>
                      </c:pt>
                      <c:pt idx="11">
                        <c:v>5.5367813380347115E-3</c:v>
                      </c:pt>
                      <c:pt idx="12">
                        <c:v>6.0400515997744084E-3</c:v>
                      </c:pt>
                      <c:pt idx="13">
                        <c:v>6.5433218615141061E-3</c:v>
                      </c:pt>
                      <c:pt idx="14">
                        <c:v>7.0465921232538021E-3</c:v>
                      </c:pt>
                      <c:pt idx="15">
                        <c:v>7.549862384993499E-3</c:v>
                      </c:pt>
                      <c:pt idx="16">
                        <c:v>8.0531326467331958E-3</c:v>
                      </c:pt>
                      <c:pt idx="17">
                        <c:v>8.5564029084728935E-3</c:v>
                      </c:pt>
                      <c:pt idx="18">
                        <c:v>9.0596731702125913E-3</c:v>
                      </c:pt>
                      <c:pt idx="19">
                        <c:v>9.5629434319522873E-3</c:v>
                      </c:pt>
                      <c:pt idx="20">
                        <c:v>1.0066213693691983E-2</c:v>
                      </c:pt>
                      <c:pt idx="21">
                        <c:v>1.0569483955431681E-2</c:v>
                      </c:pt>
                      <c:pt idx="22">
                        <c:v>1.1072754217171377E-2</c:v>
                      </c:pt>
                      <c:pt idx="23">
                        <c:v>1.1576024478911075E-2</c:v>
                      </c:pt>
                      <c:pt idx="24">
                        <c:v>1.2079294740650771E-2</c:v>
                      </c:pt>
                      <c:pt idx="25">
                        <c:v>1.258256500239047E-2</c:v>
                      </c:pt>
                      <c:pt idx="26">
                        <c:v>1.3085835264130168E-2</c:v>
                      </c:pt>
                      <c:pt idx="27">
                        <c:v>1.3589105525869866E-2</c:v>
                      </c:pt>
                      <c:pt idx="28">
                        <c:v>1.4092375787609563E-2</c:v>
                      </c:pt>
                      <c:pt idx="29">
                        <c:v>1.4595646049349261E-2</c:v>
                      </c:pt>
                      <c:pt idx="30">
                        <c:v>1.5098916311088962E-2</c:v>
                      </c:pt>
                      <c:pt idx="31">
                        <c:v>1.560218657282866E-2</c:v>
                      </c:pt>
                      <c:pt idx="32">
                        <c:v>1.6105456834568356E-2</c:v>
                      </c:pt>
                      <c:pt idx="33">
                        <c:v>1.6608727096308055E-2</c:v>
                      </c:pt>
                      <c:pt idx="34">
                        <c:v>1.7111997358047751E-2</c:v>
                      </c:pt>
                      <c:pt idx="35">
                        <c:v>1.7615267619787454E-2</c:v>
                      </c:pt>
                      <c:pt idx="36">
                        <c:v>1.811853788152715E-2</c:v>
                      </c:pt>
                      <c:pt idx="37">
                        <c:v>1.862180814326685E-2</c:v>
                      </c:pt>
                      <c:pt idx="38">
                        <c:v>1.9125078405006546E-2</c:v>
                      </c:pt>
                      <c:pt idx="39">
                        <c:v>1.9628348666746245E-2</c:v>
                      </c:pt>
                      <c:pt idx="40">
                        <c:v>2.0131618928485945E-2</c:v>
                      </c:pt>
                      <c:pt idx="41">
                        <c:v>2.0634889190225641E-2</c:v>
                      </c:pt>
                      <c:pt idx="42">
                        <c:v>2.113815945196534E-2</c:v>
                      </c:pt>
                      <c:pt idx="43">
                        <c:v>2.1641429713705036E-2</c:v>
                      </c:pt>
                      <c:pt idx="44">
                        <c:v>2.2144699975444736E-2</c:v>
                      </c:pt>
                      <c:pt idx="45">
                        <c:v>2.2647970237184435E-2</c:v>
                      </c:pt>
                      <c:pt idx="46">
                        <c:v>2.3151240498924131E-2</c:v>
                      </c:pt>
                      <c:pt idx="47">
                        <c:v>2.3654510760663827E-2</c:v>
                      </c:pt>
                      <c:pt idx="48">
                        <c:v>2.415778102240353E-2</c:v>
                      </c:pt>
                      <c:pt idx="49">
                        <c:v>2.466105128414323E-2</c:v>
                      </c:pt>
                      <c:pt idx="50">
                        <c:v>2.5164321545882926E-2</c:v>
                      </c:pt>
                      <c:pt idx="51">
                        <c:v>2.5667591807622625E-2</c:v>
                      </c:pt>
                      <c:pt idx="52">
                        <c:v>2.6170862069362321E-2</c:v>
                      </c:pt>
                      <c:pt idx="53">
                        <c:v>2.6674132331102021E-2</c:v>
                      </c:pt>
                      <c:pt idx="54">
                        <c:v>2.7177402592841716E-2</c:v>
                      </c:pt>
                      <c:pt idx="55">
                        <c:v>2.7680672854581416E-2</c:v>
                      </c:pt>
                      <c:pt idx="56">
                        <c:v>2.8183943116321112E-2</c:v>
                      </c:pt>
                      <c:pt idx="57">
                        <c:v>2.8687213378060811E-2</c:v>
                      </c:pt>
                      <c:pt idx="58">
                        <c:v>2.9190483639800514E-2</c:v>
                      </c:pt>
                      <c:pt idx="59">
                        <c:v>2.969375390154021E-2</c:v>
                      </c:pt>
                      <c:pt idx="60">
                        <c:v>3.0197024163279889E-2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7.3216463148574428E-16</c:v>
                      </c:pt>
                      <c:pt idx="1">
                        <c:v>1.1564151421366714E-2</c:v>
                      </c:pt>
                      <c:pt idx="2">
                        <c:v>2.3122428431927061E-2</c:v>
                      </c:pt>
                      <c:pt idx="3">
                        <c:v>3.4681321705044517E-2</c:v>
                      </c:pt>
                      <c:pt idx="4">
                        <c:v>4.623979629257173E-2</c:v>
                      </c:pt>
                      <c:pt idx="5">
                        <c:v>5.7797958874643743E-2</c:v>
                      </c:pt>
                      <c:pt idx="6">
                        <c:v>6.9355646416985994E-2</c:v>
                      </c:pt>
                      <c:pt idx="7">
                        <c:v>8.090987238465884E-2</c:v>
                      </c:pt>
                      <c:pt idx="8">
                        <c:v>9.2464689041092382E-2</c:v>
                      </c:pt>
                      <c:pt idx="9">
                        <c:v>0.10401962804252564</c:v>
                      </c:pt>
                      <c:pt idx="10">
                        <c:v>0.11557456713925021</c:v>
                      </c:pt>
                      <c:pt idx="11">
                        <c:v>0.12712921016504716</c:v>
                      </c:pt>
                      <c:pt idx="12">
                        <c:v>0.13868372657913869</c:v>
                      </c:pt>
                      <c:pt idx="13">
                        <c:v>0.15023365174613915</c:v>
                      </c:pt>
                      <c:pt idx="14">
                        <c:v>0.16178271225407656</c:v>
                      </c:pt>
                      <c:pt idx="15">
                        <c:v>0.17333008918164128</c:v>
                      </c:pt>
                      <c:pt idx="16">
                        <c:v>0.18487837491167589</c:v>
                      </c:pt>
                      <c:pt idx="17">
                        <c:v>0.19642630318318757</c:v>
                      </c:pt>
                      <c:pt idx="18">
                        <c:v>0.20797392902934503</c:v>
                      </c:pt>
                      <c:pt idx="19">
                        <c:v>0.21952272921221783</c:v>
                      </c:pt>
                      <c:pt idx="20">
                        <c:v>0.23106884491029114</c:v>
                      </c:pt>
                      <c:pt idx="21">
                        <c:v>0.24261569357011903</c:v>
                      </c:pt>
                      <c:pt idx="22">
                        <c:v>0.25416287563873119</c:v>
                      </c:pt>
                      <c:pt idx="23">
                        <c:v>0.26570508334587134</c:v>
                      </c:pt>
                      <c:pt idx="24">
                        <c:v>0.27724903100755988</c:v>
                      </c:pt>
                      <c:pt idx="25">
                        <c:v>0.2887921842631504</c:v>
                      </c:pt>
                      <c:pt idx="26">
                        <c:v>0.30033568317317766</c:v>
                      </c:pt>
                      <c:pt idx="27">
                        <c:v>0.31187908397704989</c:v>
                      </c:pt>
                      <c:pt idx="28">
                        <c:v>0.32342269143385194</c:v>
                      </c:pt>
                      <c:pt idx="29">
                        <c:v>0.33493559695635927</c:v>
                      </c:pt>
                      <c:pt idx="30">
                        <c:v>0.34646511585226103</c:v>
                      </c:pt>
                      <c:pt idx="31">
                        <c:v>0.35799300868847039</c:v>
                      </c:pt>
                      <c:pt idx="32">
                        <c:v>0.36951982310709142</c:v>
                      </c:pt>
                      <c:pt idx="33">
                        <c:v>0.38104547051907273</c:v>
                      </c:pt>
                      <c:pt idx="34">
                        <c:v>0.39256755409574579</c:v>
                      </c:pt>
                      <c:pt idx="35">
                        <c:v>0.40406915099904134</c:v>
                      </c:pt>
                      <c:pt idx="36">
                        <c:v>0.41558042059255812</c:v>
                      </c:pt>
                      <c:pt idx="37">
                        <c:v>0.42709071119036296</c:v>
                      </c:pt>
                      <c:pt idx="38">
                        <c:v>0.43854283520234699</c:v>
                      </c:pt>
                      <c:pt idx="39">
                        <c:v>0.45001846693003467</c:v>
                      </c:pt>
                      <c:pt idx="40">
                        <c:v>0.46146274200433668</c:v>
                      </c:pt>
                      <c:pt idx="41">
                        <c:v>0.47290720568017997</c:v>
                      </c:pt>
                      <c:pt idx="42">
                        <c:v>0.4842219623043294</c:v>
                      </c:pt>
                      <c:pt idx="43">
                        <c:v>0.49559151178435795</c:v>
                      </c:pt>
                      <c:pt idx="44">
                        <c:v>0.5069445252625524</c:v>
                      </c:pt>
                      <c:pt idx="45">
                        <c:v>0.51798640513317806</c:v>
                      </c:pt>
                      <c:pt idx="46">
                        <c:v>0.52913916879294665</c:v>
                      </c:pt>
                      <c:pt idx="47">
                        <c:v>0.54029265788138436</c:v>
                      </c:pt>
                      <c:pt idx="48">
                        <c:v>0.55144608975204978</c:v>
                      </c:pt>
                      <c:pt idx="49">
                        <c:v>0.56259774758734393</c:v>
                      </c:pt>
                      <c:pt idx="50">
                        <c:v>0.57374988259916515</c:v>
                      </c:pt>
                      <c:pt idx="51">
                        <c:v>0.58490188651882624</c:v>
                      </c:pt>
                      <c:pt idx="52">
                        <c:v>0.59605220512729795</c:v>
                      </c:pt>
                      <c:pt idx="53">
                        <c:v>0.60720097214066859</c:v>
                      </c:pt>
                      <c:pt idx="54">
                        <c:v>0.61781687659388629</c:v>
                      </c:pt>
                      <c:pt idx="55">
                        <c:v>0.62861462099810528</c:v>
                      </c:pt>
                      <c:pt idx="56">
                        <c:v>0.63941381177805279</c:v>
                      </c:pt>
                      <c:pt idx="57">
                        <c:v>0.6502027424448581</c:v>
                      </c:pt>
                      <c:pt idx="58">
                        <c:v>0.66095229290657787</c:v>
                      </c:pt>
                      <c:pt idx="59">
                        <c:v>0.6717096364112215</c:v>
                      </c:pt>
                      <c:pt idx="60">
                        <c:v>0.68246128014461738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3.0196215905458176E-2</c:v>
                      </c:pt>
                      <c:pt idx="2">
                        <c:v>3.0196215905458176E-2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0.69774931395894624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2.8668601950986136E-7</c:v>
                      </c:pt>
                      <c:pt idx="1">
                        <c:v>5.0452901901266642E-4</c:v>
                      </c:pt>
                      <c:pt idx="2">
                        <c:v>1.0087713520058228E-3</c:v>
                      </c:pt>
                      <c:pt idx="3">
                        <c:v>1.5130136849989793E-3</c:v>
                      </c:pt>
                      <c:pt idx="4">
                        <c:v>2.0172560179921358E-3</c:v>
                      </c:pt>
                      <c:pt idx="5">
                        <c:v>2.5214983509852925E-3</c:v>
                      </c:pt>
                      <c:pt idx="6">
                        <c:v>3.0257406839784497E-3</c:v>
                      </c:pt>
                      <c:pt idx="7">
                        <c:v>3.529983016971606E-3</c:v>
                      </c:pt>
                      <c:pt idx="8">
                        <c:v>4.0342253499647618E-3</c:v>
                      </c:pt>
                      <c:pt idx="9">
                        <c:v>4.5384676829579185E-3</c:v>
                      </c:pt>
                      <c:pt idx="10">
                        <c:v>5.0427100159510753E-3</c:v>
                      </c:pt>
                      <c:pt idx="11">
                        <c:v>5.546952348944232E-3</c:v>
                      </c:pt>
                      <c:pt idx="12">
                        <c:v>6.0511946819373887E-3</c:v>
                      </c:pt>
                      <c:pt idx="13">
                        <c:v>6.5554370149305445E-3</c:v>
                      </c:pt>
                      <c:pt idx="14">
                        <c:v>7.0596793479237013E-3</c:v>
                      </c:pt>
                      <c:pt idx="15">
                        <c:v>7.5639216809168571E-3</c:v>
                      </c:pt>
                      <c:pt idx="16">
                        <c:v>8.0681640139100147E-3</c:v>
                      </c:pt>
                      <c:pt idx="17">
                        <c:v>8.5724063469031705E-3</c:v>
                      </c:pt>
                      <c:pt idx="18">
                        <c:v>9.0766486798963281E-3</c:v>
                      </c:pt>
                      <c:pt idx="19">
                        <c:v>9.580891012889484E-3</c:v>
                      </c:pt>
                      <c:pt idx="20">
                        <c:v>1.008513334588264E-2</c:v>
                      </c:pt>
                      <c:pt idx="21">
                        <c:v>1.0589375678875796E-2</c:v>
                      </c:pt>
                      <c:pt idx="22">
                        <c:v>1.1093618011868953E-2</c:v>
                      </c:pt>
                      <c:pt idx="23">
                        <c:v>1.1597860344862111E-2</c:v>
                      </c:pt>
                      <c:pt idx="24">
                        <c:v>1.2102102677855268E-2</c:v>
                      </c:pt>
                      <c:pt idx="25">
                        <c:v>1.2606345010848423E-2</c:v>
                      </c:pt>
                      <c:pt idx="26">
                        <c:v>1.311058734384158E-2</c:v>
                      </c:pt>
                      <c:pt idx="27">
                        <c:v>1.3614829676834736E-2</c:v>
                      </c:pt>
                      <c:pt idx="28">
                        <c:v>1.4119072009827894E-2</c:v>
                      </c:pt>
                      <c:pt idx="29">
                        <c:v>1.4623314342821051E-2</c:v>
                      </c:pt>
                      <c:pt idx="30">
                        <c:v>1.5127556675814205E-2</c:v>
                      </c:pt>
                      <c:pt idx="31">
                        <c:v>1.5631799008807363E-2</c:v>
                      </c:pt>
                      <c:pt idx="32">
                        <c:v>1.6136041341800519E-2</c:v>
                      </c:pt>
                      <c:pt idx="33">
                        <c:v>1.6640283674793675E-2</c:v>
                      </c:pt>
                      <c:pt idx="34">
                        <c:v>1.714452600778683E-2</c:v>
                      </c:pt>
                      <c:pt idx="35">
                        <c:v>1.764876834077999E-2</c:v>
                      </c:pt>
                      <c:pt idx="36">
                        <c:v>1.8153010673773146E-2</c:v>
                      </c:pt>
                      <c:pt idx="37">
                        <c:v>1.8657253006766301E-2</c:v>
                      </c:pt>
                      <c:pt idx="38">
                        <c:v>1.9161495339759457E-2</c:v>
                      </c:pt>
                      <c:pt idx="39">
                        <c:v>1.9665737672752613E-2</c:v>
                      </c:pt>
                      <c:pt idx="40">
                        <c:v>2.0169980005745772E-2</c:v>
                      </c:pt>
                      <c:pt idx="41">
                        <c:v>2.0674222338738925E-2</c:v>
                      </c:pt>
                      <c:pt idx="42">
                        <c:v>2.1178464671732084E-2</c:v>
                      </c:pt>
                      <c:pt idx="43">
                        <c:v>2.168270700472524E-2</c:v>
                      </c:pt>
                      <c:pt idx="44">
                        <c:v>2.2186949337718396E-2</c:v>
                      </c:pt>
                      <c:pt idx="45">
                        <c:v>2.2691191670711552E-2</c:v>
                      </c:pt>
                      <c:pt idx="46">
                        <c:v>2.3195434003704711E-2</c:v>
                      </c:pt>
                      <c:pt idx="47">
                        <c:v>2.369967633669786E-2</c:v>
                      </c:pt>
                      <c:pt idx="48">
                        <c:v>2.4203918669691023E-2</c:v>
                      </c:pt>
                      <c:pt idx="49">
                        <c:v>2.4708161002684175E-2</c:v>
                      </c:pt>
                      <c:pt idx="50">
                        <c:v>2.5212403335677331E-2</c:v>
                      </c:pt>
                      <c:pt idx="51">
                        <c:v>2.571664566867049E-2</c:v>
                      </c:pt>
                      <c:pt idx="52">
                        <c:v>2.6220888001663646E-2</c:v>
                      </c:pt>
                      <c:pt idx="53">
                        <c:v>2.6725130334656802E-2</c:v>
                      </c:pt>
                      <c:pt idx="54">
                        <c:v>2.7229372667649958E-2</c:v>
                      </c:pt>
                      <c:pt idx="55">
                        <c:v>2.7733615000643117E-2</c:v>
                      </c:pt>
                      <c:pt idx="56">
                        <c:v>2.8237857333636273E-2</c:v>
                      </c:pt>
                      <c:pt idx="57">
                        <c:v>2.8742099666629425E-2</c:v>
                      </c:pt>
                      <c:pt idx="58">
                        <c:v>2.9246341999622581E-2</c:v>
                      </c:pt>
                      <c:pt idx="59">
                        <c:v>2.9750584332615741E-2</c:v>
                      </c:pt>
                      <c:pt idx="60">
                        <c:v>3.0254826665608896E-2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1.7296241604757826E-14</c:v>
                      </c:pt>
                      <c:pt idx="1">
                        <c:v>1.1536908205579963E-2</c:v>
                      </c:pt>
                      <c:pt idx="2">
                        <c:v>2.3075074162289964E-2</c:v>
                      </c:pt>
                      <c:pt idx="3">
                        <c:v>3.4609771073940712E-2</c:v>
                      </c:pt>
                      <c:pt idx="4">
                        <c:v>4.6144642190396747E-2</c:v>
                      </c:pt>
                      <c:pt idx="5">
                        <c:v>5.7679688597544118E-2</c:v>
                      </c:pt>
                      <c:pt idx="6">
                        <c:v>6.921423742069753E-2</c:v>
                      </c:pt>
                      <c:pt idx="7">
                        <c:v>8.074842506304486E-2</c:v>
                      </c:pt>
                      <c:pt idx="8">
                        <c:v>9.2281884562823852E-2</c:v>
                      </c:pt>
                      <c:pt idx="9">
                        <c:v>0.1038130786985873</c:v>
                      </c:pt>
                      <c:pt idx="10">
                        <c:v>0.11534085523508085</c:v>
                      </c:pt>
                      <c:pt idx="11">
                        <c:v>0.12686848865358852</c:v>
                      </c:pt>
                      <c:pt idx="12">
                        <c:v>0.13839499314379217</c:v>
                      </c:pt>
                      <c:pt idx="13">
                        <c:v>0.14991796145473635</c:v>
                      </c:pt>
                      <c:pt idx="14">
                        <c:v>0.16144152252908908</c:v>
                      </c:pt>
                      <c:pt idx="15">
                        <c:v>0.17296304903528503</c:v>
                      </c:pt>
                      <c:pt idx="16">
                        <c:v>0.18448390675309639</c:v>
                      </c:pt>
                      <c:pt idx="17">
                        <c:v>0.19600063056560249</c:v>
                      </c:pt>
                      <c:pt idx="18">
                        <c:v>0.20751697036925218</c:v>
                      </c:pt>
                      <c:pt idx="19">
                        <c:v>0.21903315895536596</c:v>
                      </c:pt>
                      <c:pt idx="20">
                        <c:v>0.23054983783236935</c:v>
                      </c:pt>
                      <c:pt idx="21">
                        <c:v>0.24206686403695804</c:v>
                      </c:pt>
                      <c:pt idx="22">
                        <c:v>0.25358429337712124</c:v>
                      </c:pt>
                      <c:pt idx="23">
                        <c:v>0.26510183565664097</c:v>
                      </c:pt>
                      <c:pt idx="24">
                        <c:v>0.27661927257096208</c:v>
                      </c:pt>
                      <c:pt idx="25">
                        <c:v>0.28813761587013398</c:v>
                      </c:pt>
                      <c:pt idx="26">
                        <c:v>0.29965993274115255</c:v>
                      </c:pt>
                      <c:pt idx="27">
                        <c:v>0.31118040392147045</c:v>
                      </c:pt>
                      <c:pt idx="28">
                        <c:v>0.32270023116679641</c:v>
                      </c:pt>
                      <c:pt idx="29">
                        <c:v>0.33422120605138511</c:v>
                      </c:pt>
                      <c:pt idx="30">
                        <c:v>0.34574522086186643</c:v>
                      </c:pt>
                      <c:pt idx="31">
                        <c:v>0.35726945640680657</c:v>
                      </c:pt>
                      <c:pt idx="32">
                        <c:v>0.36879319121865228</c:v>
                      </c:pt>
                      <c:pt idx="33">
                        <c:v>0.38031741900222354</c:v>
                      </c:pt>
                      <c:pt idx="34">
                        <c:v>0.39182942977571772</c:v>
                      </c:pt>
                      <c:pt idx="35">
                        <c:v>0.40334450399003335</c:v>
                      </c:pt>
                      <c:pt idx="36">
                        <c:v>0.41485949293294588</c:v>
                      </c:pt>
                      <c:pt idx="37">
                        <c:v>0.42634678098491074</c:v>
                      </c:pt>
                      <c:pt idx="38">
                        <c:v>0.43782892334728168</c:v>
                      </c:pt>
                      <c:pt idx="39">
                        <c:v>0.44929905536601905</c:v>
                      </c:pt>
                      <c:pt idx="40">
                        <c:v>0.46077710002983263</c:v>
                      </c:pt>
                      <c:pt idx="41">
                        <c:v>0.47223946840907</c:v>
                      </c:pt>
                      <c:pt idx="42">
                        <c:v>0.48369696048693517</c:v>
                      </c:pt>
                      <c:pt idx="43">
                        <c:v>0.49513843744085895</c:v>
                      </c:pt>
                      <c:pt idx="44">
                        <c:v>0.5065837945272742</c:v>
                      </c:pt>
                      <c:pt idx="45">
                        <c:v>0.51800607657610664</c:v>
                      </c:pt>
                      <c:pt idx="46">
                        <c:v>0.52943080077425742</c:v>
                      </c:pt>
                      <c:pt idx="47">
                        <c:v>0.54079951957127659</c:v>
                      </c:pt>
                      <c:pt idx="48">
                        <c:v>0.55203409218087773</c:v>
                      </c:pt>
                      <c:pt idx="49">
                        <c:v>0.56328346681084995</c:v>
                      </c:pt>
                      <c:pt idx="50">
                        <c:v>0.57445485678915886</c:v>
                      </c:pt>
                      <c:pt idx="51">
                        <c:v>0.5852778147880503</c:v>
                      </c:pt>
                      <c:pt idx="52">
                        <c:v>0.5961168551714966</c:v>
                      </c:pt>
                      <c:pt idx="53">
                        <c:v>0.6070138469362677</c:v>
                      </c:pt>
                      <c:pt idx="54">
                        <c:v>0.61790999019319626</c:v>
                      </c:pt>
                      <c:pt idx="55">
                        <c:v>0.62880601840684791</c:v>
                      </c:pt>
                      <c:pt idx="56">
                        <c:v>0.63970113299460318</c:v>
                      </c:pt>
                      <c:pt idx="57">
                        <c:v>0.65059635103463409</c:v>
                      </c:pt>
                      <c:pt idx="58">
                        <c:v>0.66149031089712818</c:v>
                      </c:pt>
                      <c:pt idx="59">
                        <c:v>0.67238330284259429</c:v>
                      </c:pt>
                      <c:pt idx="60">
                        <c:v>0.68282520189847185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3.025454001634054E-2</c:v>
                      </c:pt>
                      <c:pt idx="2">
                        <c:v>3.025454001634054E-2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0.69640420646984036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12.xml><?xml version="1.0" encoding="utf-8"?>
<formControlPr xmlns="http://schemas.microsoft.com/office/spreadsheetml/2009/9/main" objectType="CheckBox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</xdr:rowOff>
        </xdr:from>
        <xdr:to>
          <xdr:col>2</xdr:col>
          <xdr:colOff>619125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1581150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5</xdr:row>
          <xdr:rowOff>19050</xdr:rowOff>
        </xdr:from>
        <xdr:to>
          <xdr:col>2</xdr:col>
          <xdr:colOff>619125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19050</xdr:rowOff>
        </xdr:from>
        <xdr:to>
          <xdr:col>2</xdr:col>
          <xdr:colOff>619125</xdr:colOff>
          <xdr:row>7</xdr:row>
          <xdr:rowOff>171450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133350</xdr:rowOff>
        </xdr:from>
        <xdr:to>
          <xdr:col>4</xdr:col>
          <xdr:colOff>447675</xdr:colOff>
          <xdr:row>37</xdr:row>
          <xdr:rowOff>47625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19050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19050</xdr:rowOff>
        </xdr:from>
        <xdr:to>
          <xdr:col>5</xdr:col>
          <xdr:colOff>0</xdr:colOff>
          <xdr:row>35</xdr:row>
          <xdr:rowOff>19050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19050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40625" defaultRowHeight="13.9" customHeight="1" x14ac:dyDescent="0.25"/>
  <cols>
    <col min="1" max="1" width="3.7109375" style="4" customWidth="1"/>
    <col min="2" max="2" width="36.7109375" style="4" customWidth="1"/>
    <col min="3" max="3" width="9.140625" style="4"/>
    <col min="4" max="4" width="3.7109375" style="4" customWidth="1"/>
    <col min="5" max="6" width="18.7109375" style="4" customWidth="1"/>
    <col min="7" max="7" width="9.140625" style="4"/>
    <col min="8" max="8" width="5.7109375" style="4" customWidth="1"/>
    <col min="9" max="16384" width="9.140625" style="4"/>
  </cols>
  <sheetData>
    <row r="1" spans="1:19" ht="13.9" customHeight="1" x14ac:dyDescent="0.25">
      <c r="A1" s="4" t="s">
        <v>55</v>
      </c>
    </row>
    <row r="2" spans="1:19" ht="13.9" customHeight="1" x14ac:dyDescent="0.25">
      <c r="B2" s="5" t="s">
        <v>914</v>
      </c>
      <c r="C2" s="6">
        <v>0.34699999999999998</v>
      </c>
      <c r="E2" s="54" t="s">
        <v>30</v>
      </c>
      <c r="F2" s="54"/>
    </row>
    <row r="3" spans="1:19" ht="13.9" customHeight="1" x14ac:dyDescent="0.25">
      <c r="B3" s="5" t="s">
        <v>915</v>
      </c>
      <c r="C3" s="6">
        <v>9.2999999999999999E-2</v>
      </c>
      <c r="E3" s="7" t="s">
        <v>31</v>
      </c>
      <c r="F3" s="7" t="s">
        <v>32</v>
      </c>
    </row>
    <row r="4" spans="1:19" ht="13.9" customHeight="1" x14ac:dyDescent="0.25">
      <c r="B4" s="5" t="s">
        <v>15</v>
      </c>
      <c r="C4" s="8">
        <v>0.3</v>
      </c>
      <c r="E4" s="6" t="s">
        <v>33</v>
      </c>
      <c r="F4" s="6" t="s">
        <v>34</v>
      </c>
    </row>
    <row r="5" spans="1:19" ht="13.9" customHeight="1" x14ac:dyDescent="0.2">
      <c r="B5" s="9" t="s">
        <v>122</v>
      </c>
      <c r="C5" s="10">
        <v>122</v>
      </c>
      <c r="E5" s="6"/>
      <c r="F5" s="6"/>
      <c r="S5" s="11"/>
    </row>
    <row r="6" spans="1:19" ht="13.9" customHeight="1" x14ac:dyDescent="0.25">
      <c r="B6" s="21" t="s">
        <v>130</v>
      </c>
      <c r="C6" s="12"/>
      <c r="E6" s="6"/>
      <c r="F6" s="6"/>
    </row>
    <row r="7" spans="1:19" ht="13.9" customHeight="1" x14ac:dyDescent="0.25">
      <c r="B7" s="13"/>
      <c r="C7" s="14"/>
      <c r="E7" s="6"/>
      <c r="F7" s="6"/>
    </row>
    <row r="8" spans="1:19" ht="13.9" customHeight="1" x14ac:dyDescent="0.25">
      <c r="B8" s="15"/>
      <c r="C8" s="16"/>
      <c r="E8" s="6"/>
      <c r="F8" s="6"/>
    </row>
    <row r="9" spans="1:19" ht="13.9" customHeight="1" x14ac:dyDescent="0.2">
      <c r="S9" s="11"/>
    </row>
    <row r="10" spans="1:19" ht="13.9" customHeight="1" x14ac:dyDescent="0.25">
      <c r="B10" s="51" t="s">
        <v>16</v>
      </c>
      <c r="C10" s="53"/>
      <c r="D10" s="53"/>
      <c r="E10" s="53"/>
      <c r="F10" s="53"/>
      <c r="G10" s="52"/>
    </row>
    <row r="11" spans="1:19" ht="13.9" customHeight="1" x14ac:dyDescent="0.25">
      <c r="B11" s="51" t="s">
        <v>17</v>
      </c>
      <c r="C11" s="52"/>
      <c r="E11" s="51" t="s">
        <v>18</v>
      </c>
      <c r="F11" s="53"/>
      <c r="G11" s="52"/>
    </row>
    <row r="12" spans="1:19" ht="13.9" customHeight="1" x14ac:dyDescent="0.25">
      <c r="B12" s="17" t="s">
        <v>916</v>
      </c>
      <c r="C12" s="18">
        <v>2298.992918176747</v>
      </c>
      <c r="E12" s="49" t="s">
        <v>916</v>
      </c>
      <c r="F12" s="50"/>
      <c r="G12" s="18">
        <v>2298.992918176747</v>
      </c>
    </row>
    <row r="13" spans="1:19" ht="13.9" customHeight="1" x14ac:dyDescent="0.2">
      <c r="B13" s="17" t="s">
        <v>917</v>
      </c>
      <c r="C13" s="18">
        <v>42.176178134896702</v>
      </c>
      <c r="E13" s="49" t="s">
        <v>918</v>
      </c>
      <c r="F13" s="50"/>
      <c r="G13" s="18">
        <v>41.721935928613881</v>
      </c>
      <c r="S13" s="11"/>
    </row>
    <row r="14" spans="1:19" ht="13.9" customHeight="1" x14ac:dyDescent="0.25">
      <c r="B14" s="17" t="s">
        <v>2</v>
      </c>
      <c r="C14" s="18">
        <v>1778.8300020665386</v>
      </c>
      <c r="E14" s="49" t="s">
        <v>2</v>
      </c>
      <c r="F14" s="50"/>
      <c r="G14" s="18">
        <v>1740.7199376313617</v>
      </c>
    </row>
    <row r="15" spans="1:19" ht="13.9" customHeight="1" x14ac:dyDescent="0.25">
      <c r="B15" s="17" t="s">
        <v>3</v>
      </c>
      <c r="C15" s="18">
        <v>0.77374314118256093</v>
      </c>
      <c r="E15" s="49" t="s">
        <v>3</v>
      </c>
      <c r="F15" s="50"/>
      <c r="G15" s="18">
        <v>0.7571662895820781</v>
      </c>
    </row>
    <row r="16" spans="1:19" ht="13.9" customHeight="1" x14ac:dyDescent="0.25">
      <c r="B16" s="17" t="s">
        <v>919</v>
      </c>
      <c r="C16" s="18">
        <v>3.2149416386473076E-2</v>
      </c>
      <c r="E16" s="49" t="s">
        <v>920</v>
      </c>
      <c r="F16" s="50"/>
      <c r="G16" s="18">
        <v>3.3049219512640282E-2</v>
      </c>
    </row>
    <row r="17" spans="2:19" ht="13.9" customHeight="1" x14ac:dyDescent="0.2">
      <c r="B17" s="17" t="s">
        <v>921</v>
      </c>
      <c r="C17" s="18">
        <v>1.3559395124488556</v>
      </c>
      <c r="E17" s="49" t="s">
        <v>922</v>
      </c>
      <c r="F17" s="50"/>
      <c r="G17" s="18">
        <v>1.3788774189970736</v>
      </c>
      <c r="S17" s="11"/>
    </row>
    <row r="18" spans="2:19" ht="13.9" customHeight="1" x14ac:dyDescent="0.25">
      <c r="B18" s="17" t="s">
        <v>923</v>
      </c>
      <c r="C18" s="18">
        <v>1.307092793578384</v>
      </c>
      <c r="E18" s="49" t="s">
        <v>924</v>
      </c>
      <c r="F18" s="50"/>
      <c r="G18" s="18">
        <v>1.3096174484975596</v>
      </c>
    </row>
    <row r="19" spans="2:19" ht="13.9" customHeight="1" x14ac:dyDescent="0.25">
      <c r="B19" s="17" t="s">
        <v>925</v>
      </c>
      <c r="C19" s="18">
        <v>5.3602305475504333E-2</v>
      </c>
      <c r="E19" s="49" t="s">
        <v>925</v>
      </c>
      <c r="F19" s="50"/>
      <c r="G19" s="18">
        <v>5.3602305475504333E-2</v>
      </c>
    </row>
    <row r="20" spans="2:19" ht="13.9" customHeight="1" x14ac:dyDescent="0.25">
      <c r="B20" s="17" t="s">
        <v>926</v>
      </c>
      <c r="C20" s="18">
        <v>0.26801152737752165</v>
      </c>
      <c r="E20" s="49" t="s">
        <v>926</v>
      </c>
      <c r="F20" s="50"/>
      <c r="G20" s="18">
        <v>0.26801152737752165</v>
      </c>
    </row>
    <row r="21" spans="2:19" ht="13.9" customHeight="1" x14ac:dyDescent="0.2">
      <c r="B21" s="17" t="s">
        <v>927</v>
      </c>
      <c r="C21" s="18">
        <v>0.69774931395894624</v>
      </c>
      <c r="E21" s="49" t="s">
        <v>928</v>
      </c>
      <c r="F21" s="50"/>
      <c r="G21" s="18">
        <v>0.69640420646984036</v>
      </c>
      <c r="S21" s="11"/>
    </row>
    <row r="22" spans="2:19" ht="13.9" customHeight="1" x14ac:dyDescent="0.25">
      <c r="B22" s="17" t="s">
        <v>1</v>
      </c>
      <c r="C22" s="18">
        <v>4.8069925395107722</v>
      </c>
      <c r="E22" s="49" t="s">
        <v>1</v>
      </c>
      <c r="F22" s="50"/>
      <c r="G22" s="18">
        <v>4.7977257132515172</v>
      </c>
    </row>
    <row r="23" spans="2:19" ht="13.9" customHeight="1" x14ac:dyDescent="0.25">
      <c r="B23" s="17" t="s">
        <v>929</v>
      </c>
      <c r="C23" s="18">
        <v>23.107177274912225</v>
      </c>
      <c r="E23" s="49" t="s">
        <v>929</v>
      </c>
      <c r="F23" s="50"/>
      <c r="G23" s="18">
        <v>23.018172019594779</v>
      </c>
    </row>
    <row r="24" spans="2:19" ht="13.9" customHeight="1" x14ac:dyDescent="0.25">
      <c r="B24" s="17" t="s">
        <v>930</v>
      </c>
      <c r="C24" s="19">
        <v>3.0196215905458176E-2</v>
      </c>
      <c r="E24" s="49" t="s">
        <v>931</v>
      </c>
      <c r="F24" s="50"/>
      <c r="G24" s="19">
        <v>3.025454001634054E-2</v>
      </c>
    </row>
    <row r="25" spans="2:19" ht="13.9" customHeight="1" x14ac:dyDescent="0.2">
      <c r="B25" s="17" t="s">
        <v>932</v>
      </c>
      <c r="C25" s="19">
        <v>4.0944242272647334E-2</v>
      </c>
      <c r="E25" s="49" t="s">
        <v>933</v>
      </c>
      <c r="F25" s="50"/>
      <c r="G25" s="19">
        <v>4.1717302050675323E-2</v>
      </c>
      <c r="S25" s="11"/>
    </row>
    <row r="26" spans="2:19" ht="13.9" customHeight="1" x14ac:dyDescent="0.25">
      <c r="B26" s="17" t="s">
        <v>49</v>
      </c>
      <c r="C26" s="20">
        <v>60</v>
      </c>
      <c r="E26" s="49" t="s">
        <v>52</v>
      </c>
      <c r="F26" s="50"/>
      <c r="G26" s="20">
        <v>60</v>
      </c>
    </row>
    <row r="27" spans="2:19" ht="13.9" customHeight="1" x14ac:dyDescent="0.25">
      <c r="B27" s="17" t="s">
        <v>50</v>
      </c>
      <c r="C27" s="20">
        <v>5</v>
      </c>
      <c r="E27" s="49" t="s">
        <v>53</v>
      </c>
      <c r="F27" s="50"/>
      <c r="G27" s="20">
        <v>5</v>
      </c>
    </row>
    <row r="28" spans="2:19" ht="13.9" customHeight="1" x14ac:dyDescent="0.25">
      <c r="B28" s="17" t="s">
        <v>51</v>
      </c>
      <c r="C28" s="20">
        <v>10</v>
      </c>
      <c r="E28" s="49" t="s">
        <v>54</v>
      </c>
      <c r="F28" s="50"/>
      <c r="G28" s="20">
        <v>10</v>
      </c>
    </row>
  </sheetData>
  <mergeCells count="21"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  <mergeCell ref="E18:F18"/>
    <mergeCell ref="B11:C11"/>
    <mergeCell ref="E11:G11"/>
    <mergeCell ref="E12:F12"/>
    <mergeCell ref="E13:F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1590675</xdr:colOff>
                    <xdr:row>5</xdr:row>
                    <xdr:rowOff>19050</xdr:rowOff>
                  </from>
                  <to>
                    <xdr:col>2</xdr:col>
                    <xdr:colOff>619125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19050</xdr:colOff>
                    <xdr:row>7</xdr:row>
                    <xdr:rowOff>19050</xdr:rowOff>
                  </from>
                  <to>
                    <xdr:col>2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12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19</v>
      </c>
      <c r="L2" s="59"/>
      <c r="M2" s="59"/>
      <c r="N2" s="59"/>
      <c r="O2" s="59"/>
      <c r="P2" s="59"/>
      <c r="Q2" s="60"/>
      <c r="S2" s="58" t="s">
        <v>96</v>
      </c>
      <c r="T2" s="59"/>
      <c r="U2" s="59"/>
      <c r="V2" s="59"/>
      <c r="W2" s="59"/>
      <c r="X2" s="59"/>
      <c r="Y2" s="60"/>
    </row>
    <row r="3" spans="2:25" ht="14.45" customHeight="1" x14ac:dyDescent="0.2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2">
      <c r="B4" s="54"/>
      <c r="C4" s="7" t="s">
        <v>934</v>
      </c>
      <c r="D4" s="7" t="s">
        <v>935</v>
      </c>
      <c r="E4" s="7" t="s">
        <v>936</v>
      </c>
      <c r="F4" s="7" t="s">
        <v>937</v>
      </c>
      <c r="G4" s="7" t="s">
        <v>938</v>
      </c>
      <c r="H4" s="7" t="s">
        <v>939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2">
      <c r="B5" s="26" t="s">
        <v>127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  <c r="K5" s="27">
        <v>189</v>
      </c>
      <c r="L5" s="28" t="s">
        <v>127</v>
      </c>
      <c r="M5" s="29">
        <v>300</v>
      </c>
      <c r="N5" s="29">
        <v>275</v>
      </c>
      <c r="O5" s="30">
        <v>-21.863</v>
      </c>
      <c r="P5" s="30">
        <v>0.15143203463203464</v>
      </c>
      <c r="Q5" s="29">
        <v>1</v>
      </c>
      <c r="S5" s="27">
        <v>189</v>
      </c>
      <c r="T5" s="28" t="s">
        <v>127</v>
      </c>
      <c r="U5" s="29">
        <v>300</v>
      </c>
      <c r="V5" s="29">
        <v>275</v>
      </c>
      <c r="W5" s="30">
        <v>-21.846299999999999</v>
      </c>
      <c r="X5" s="30">
        <v>0.15131636363636364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  <c r="K6" s="27">
        <v>201</v>
      </c>
      <c r="L6" s="28" t="s">
        <v>128</v>
      </c>
      <c r="M6" s="29">
        <v>300</v>
      </c>
      <c r="N6" s="29">
        <v>675</v>
      </c>
      <c r="O6" s="30">
        <v>-15.8354</v>
      </c>
      <c r="P6" s="30">
        <v>4.468543209876543E-2</v>
      </c>
      <c r="Q6" s="29">
        <v>1</v>
      </c>
      <c r="S6" s="27">
        <v>201</v>
      </c>
      <c r="T6" s="28" t="s">
        <v>128</v>
      </c>
      <c r="U6" s="29">
        <v>300</v>
      </c>
      <c r="V6" s="29">
        <v>675</v>
      </c>
      <c r="W6" s="30">
        <v>-15.8009</v>
      </c>
      <c r="X6" s="30">
        <v>4.4588077601410932E-2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  <c r="K7" s="27">
        <v>197</v>
      </c>
      <c r="L7" s="28" t="s">
        <v>129</v>
      </c>
      <c r="M7" s="29">
        <v>700</v>
      </c>
      <c r="N7" s="29">
        <v>275</v>
      </c>
      <c r="O7" s="30">
        <v>-1.3762000000000001</v>
      </c>
      <c r="P7" s="30">
        <v>4.0851948051948053E-3</v>
      </c>
      <c r="Q7" s="29">
        <v>1</v>
      </c>
      <c r="S7" s="27">
        <v>197</v>
      </c>
      <c r="T7" s="28" t="s">
        <v>129</v>
      </c>
      <c r="U7" s="29">
        <v>700</v>
      </c>
      <c r="V7" s="29">
        <v>275</v>
      </c>
      <c r="W7" s="30">
        <v>-1.3394999999999999</v>
      </c>
      <c r="X7" s="30">
        <v>3.9762523191094624E-3</v>
      </c>
      <c r="Y7" s="29">
        <v>1</v>
      </c>
    </row>
    <row r="8" spans="2:25" x14ac:dyDescent="0.2">
      <c r="K8" s="27">
        <v>198</v>
      </c>
      <c r="L8" s="28" t="s">
        <v>129</v>
      </c>
      <c r="M8" s="29">
        <v>700</v>
      </c>
      <c r="N8" s="29">
        <v>275</v>
      </c>
      <c r="O8" s="30">
        <v>-1.1957</v>
      </c>
      <c r="P8" s="30">
        <v>3.549387755102041E-3</v>
      </c>
      <c r="Q8" s="29">
        <v>1</v>
      </c>
      <c r="S8" s="27">
        <v>198</v>
      </c>
      <c r="T8" s="28" t="s">
        <v>129</v>
      </c>
      <c r="U8" s="29">
        <v>700</v>
      </c>
      <c r="V8" s="29">
        <v>275</v>
      </c>
      <c r="W8" s="30">
        <v>-1.1576</v>
      </c>
      <c r="X8" s="30">
        <v>3.436289424860853E-3</v>
      </c>
      <c r="Y8" s="29">
        <v>1</v>
      </c>
    </row>
    <row r="9" spans="2:25" x14ac:dyDescent="0.2">
      <c r="K9" s="27">
        <v>202</v>
      </c>
      <c r="L9" s="28" t="s">
        <v>128</v>
      </c>
      <c r="M9" s="29">
        <v>300</v>
      </c>
      <c r="N9" s="29">
        <v>675</v>
      </c>
      <c r="O9" s="30">
        <v>-19.070699999999999</v>
      </c>
      <c r="P9" s="30">
        <v>5.3815026455026449E-2</v>
      </c>
      <c r="Q9" s="29">
        <v>1</v>
      </c>
      <c r="S9" s="27">
        <v>202</v>
      </c>
      <c r="T9" s="28" t="s">
        <v>128</v>
      </c>
      <c r="U9" s="29">
        <v>300</v>
      </c>
      <c r="V9" s="29">
        <v>675</v>
      </c>
      <c r="W9" s="30">
        <v>-19.039000000000001</v>
      </c>
      <c r="X9" s="30">
        <v>5.3725573192239862E-2</v>
      </c>
      <c r="Y9" s="29">
        <v>1</v>
      </c>
    </row>
    <row r="10" spans="2:25" x14ac:dyDescent="0.2">
      <c r="K10" s="27">
        <v>190</v>
      </c>
      <c r="L10" s="28" t="s">
        <v>127</v>
      </c>
      <c r="M10" s="29">
        <v>300</v>
      </c>
      <c r="N10" s="29">
        <v>275</v>
      </c>
      <c r="O10" s="30">
        <v>4.6262999999999996</v>
      </c>
      <c r="P10" s="30">
        <v>3.2043636363636357E-2</v>
      </c>
      <c r="Q10" s="29">
        <v>1</v>
      </c>
      <c r="S10" s="27">
        <v>190</v>
      </c>
      <c r="T10" s="28" t="s">
        <v>127</v>
      </c>
      <c r="U10" s="29">
        <v>300</v>
      </c>
      <c r="V10" s="29">
        <v>275</v>
      </c>
      <c r="W10" s="30">
        <v>4.6435000000000004</v>
      </c>
      <c r="X10" s="30">
        <v>3.216277056277056E-2</v>
      </c>
      <c r="Y10" s="29">
        <v>1</v>
      </c>
    </row>
    <row r="11" spans="2:25" x14ac:dyDescent="0.2">
      <c r="K11" s="27">
        <v>206</v>
      </c>
      <c r="L11" s="28" t="s">
        <v>128</v>
      </c>
      <c r="M11" s="29">
        <v>300</v>
      </c>
      <c r="N11" s="29">
        <v>675</v>
      </c>
      <c r="O11" s="30">
        <v>-42.519799999999996</v>
      </c>
      <c r="P11" s="30">
        <v>0.1199853262786596</v>
      </c>
      <c r="Q11" s="29">
        <v>1</v>
      </c>
      <c r="S11" s="27">
        <v>206</v>
      </c>
      <c r="T11" s="28" t="s">
        <v>128</v>
      </c>
      <c r="U11" s="29">
        <v>300</v>
      </c>
      <c r="V11" s="29">
        <v>675</v>
      </c>
      <c r="W11" s="30">
        <v>-42.491500000000002</v>
      </c>
      <c r="X11" s="30">
        <v>0.11990546737213403</v>
      </c>
      <c r="Y11" s="29">
        <v>1</v>
      </c>
    </row>
    <row r="12" spans="2:25" x14ac:dyDescent="0.2">
      <c r="K12" s="27">
        <v>191</v>
      </c>
      <c r="L12" s="28" t="s">
        <v>129</v>
      </c>
      <c r="M12" s="29">
        <v>700</v>
      </c>
      <c r="N12" s="29">
        <v>275</v>
      </c>
      <c r="O12" s="30">
        <v>-11.0556</v>
      </c>
      <c r="P12" s="30">
        <v>3.2818107606679039E-2</v>
      </c>
      <c r="Q12" s="29">
        <v>1</v>
      </c>
      <c r="S12" s="27">
        <v>191</v>
      </c>
      <c r="T12" s="28" t="s">
        <v>129</v>
      </c>
      <c r="U12" s="29">
        <v>700</v>
      </c>
      <c r="V12" s="29">
        <v>275</v>
      </c>
      <c r="W12" s="30">
        <v>-10.9968</v>
      </c>
      <c r="X12" s="30">
        <v>3.2643562152133584E-2</v>
      </c>
      <c r="Y12" s="29">
        <v>1</v>
      </c>
    </row>
    <row r="13" spans="2:25" x14ac:dyDescent="0.2">
      <c r="K13" s="27">
        <v>209</v>
      </c>
      <c r="L13" s="28" t="s">
        <v>128</v>
      </c>
      <c r="M13" s="29">
        <v>300</v>
      </c>
      <c r="N13" s="29">
        <v>675</v>
      </c>
      <c r="O13" s="30">
        <v>-27.863399999999999</v>
      </c>
      <c r="P13" s="30">
        <v>7.8626878306878298E-2</v>
      </c>
      <c r="Q13" s="29">
        <v>1</v>
      </c>
      <c r="S13" s="27">
        <v>209</v>
      </c>
      <c r="T13" s="28" t="s">
        <v>128</v>
      </c>
      <c r="U13" s="29">
        <v>300</v>
      </c>
      <c r="V13" s="29">
        <v>675</v>
      </c>
      <c r="W13" s="30">
        <v>-27.819600000000001</v>
      </c>
      <c r="X13" s="30">
        <v>7.8503280423280433E-2</v>
      </c>
      <c r="Y13" s="29">
        <v>1</v>
      </c>
    </row>
    <row r="14" spans="2:25" x14ac:dyDescent="0.2">
      <c r="K14" s="27">
        <v>210</v>
      </c>
      <c r="L14" s="28" t="s">
        <v>128</v>
      </c>
      <c r="M14" s="29">
        <v>300</v>
      </c>
      <c r="N14" s="29">
        <v>675</v>
      </c>
      <c r="O14" s="30">
        <v>-26.959599999999998</v>
      </c>
      <c r="P14" s="30">
        <v>7.6076472663139327E-2</v>
      </c>
      <c r="Q14" s="29">
        <v>1</v>
      </c>
      <c r="S14" s="27">
        <v>210</v>
      </c>
      <c r="T14" s="28" t="s">
        <v>128</v>
      </c>
      <c r="U14" s="29">
        <v>300</v>
      </c>
      <c r="V14" s="29">
        <v>675</v>
      </c>
      <c r="W14" s="30">
        <v>-26.913</v>
      </c>
      <c r="X14" s="30">
        <v>7.5944973544973551E-2</v>
      </c>
      <c r="Y14" s="29">
        <v>1</v>
      </c>
    </row>
    <row r="15" spans="2:25" x14ac:dyDescent="0.2">
      <c r="K15" s="27">
        <v>193</v>
      </c>
      <c r="L15" s="28" t="s">
        <v>129</v>
      </c>
      <c r="M15" s="29">
        <v>700</v>
      </c>
      <c r="N15" s="29">
        <v>275</v>
      </c>
      <c r="O15" s="30">
        <v>-11.8483</v>
      </c>
      <c r="P15" s="30">
        <v>3.5171205936920219E-2</v>
      </c>
      <c r="Q15" s="29">
        <v>1</v>
      </c>
      <c r="S15" s="27">
        <v>193</v>
      </c>
      <c r="T15" s="28" t="s">
        <v>129</v>
      </c>
      <c r="U15" s="29">
        <v>700</v>
      </c>
      <c r="V15" s="29">
        <v>275</v>
      </c>
      <c r="W15" s="30">
        <v>-11.7902</v>
      </c>
      <c r="X15" s="30">
        <v>3.4998738404452695E-2</v>
      </c>
      <c r="Y15" s="29">
        <v>1</v>
      </c>
    </row>
    <row r="16" spans="2:25" x14ac:dyDescent="0.2">
      <c r="K16" s="27">
        <v>204</v>
      </c>
      <c r="L16" s="28" t="s">
        <v>128</v>
      </c>
      <c r="M16" s="29">
        <v>300</v>
      </c>
      <c r="N16" s="29">
        <v>675</v>
      </c>
      <c r="O16" s="30">
        <v>14.1531</v>
      </c>
      <c r="P16" s="30">
        <v>3.9938201058201062E-2</v>
      </c>
      <c r="Q16" s="29">
        <v>1</v>
      </c>
      <c r="S16" s="27">
        <v>204</v>
      </c>
      <c r="T16" s="28" t="s">
        <v>128</v>
      </c>
      <c r="U16" s="29">
        <v>300</v>
      </c>
      <c r="V16" s="29">
        <v>675</v>
      </c>
      <c r="W16" s="30">
        <v>14.1791</v>
      </c>
      <c r="X16" s="30">
        <v>4.0011569664902998E-2</v>
      </c>
      <c r="Y16" s="29">
        <v>1</v>
      </c>
    </row>
    <row r="17" spans="11:25" x14ac:dyDescent="0.2">
      <c r="K17" s="27">
        <v>205</v>
      </c>
      <c r="L17" s="28" t="s">
        <v>128</v>
      </c>
      <c r="M17" s="29">
        <v>300</v>
      </c>
      <c r="N17" s="29">
        <v>675</v>
      </c>
      <c r="O17" s="30">
        <v>-42.548299999999998</v>
      </c>
      <c r="P17" s="30">
        <v>0.12006574955908288</v>
      </c>
      <c r="Q17" s="29">
        <v>1</v>
      </c>
      <c r="S17" s="27">
        <v>205</v>
      </c>
      <c r="T17" s="28" t="s">
        <v>128</v>
      </c>
      <c r="U17" s="29">
        <v>300</v>
      </c>
      <c r="V17" s="29">
        <v>675</v>
      </c>
      <c r="W17" s="30">
        <v>-42.520899999999997</v>
      </c>
      <c r="X17" s="30">
        <v>0.11998843033509698</v>
      </c>
      <c r="Y17" s="29">
        <v>1</v>
      </c>
    </row>
    <row r="18" spans="11:25" x14ac:dyDescent="0.2">
      <c r="K18" s="27">
        <v>192</v>
      </c>
      <c r="L18" s="28" t="s">
        <v>129</v>
      </c>
      <c r="M18" s="29">
        <v>700</v>
      </c>
      <c r="N18" s="29">
        <v>275</v>
      </c>
      <c r="O18" s="30">
        <v>-11.114699999999999</v>
      </c>
      <c r="P18" s="30">
        <v>3.299354359925788E-2</v>
      </c>
      <c r="Q18" s="29">
        <v>1</v>
      </c>
      <c r="S18" s="27">
        <v>192</v>
      </c>
      <c r="T18" s="28" t="s">
        <v>129</v>
      </c>
      <c r="U18" s="29">
        <v>700</v>
      </c>
      <c r="V18" s="29">
        <v>275</v>
      </c>
      <c r="W18" s="30">
        <v>-11.0579</v>
      </c>
      <c r="X18" s="30">
        <v>3.2824935064935064E-2</v>
      </c>
      <c r="Y18" s="29">
        <v>1</v>
      </c>
    </row>
    <row r="19" spans="11:25" x14ac:dyDescent="0.2">
      <c r="K19" s="27">
        <v>207</v>
      </c>
      <c r="L19" s="28" t="s">
        <v>128</v>
      </c>
      <c r="M19" s="29">
        <v>300</v>
      </c>
      <c r="N19" s="29">
        <v>675</v>
      </c>
      <c r="O19" s="30">
        <v>-27.908200000000001</v>
      </c>
      <c r="P19" s="30">
        <v>7.8753298059964727E-2</v>
      </c>
      <c r="Q19" s="29">
        <v>1</v>
      </c>
      <c r="S19" s="27">
        <v>207</v>
      </c>
      <c r="T19" s="28" t="s">
        <v>128</v>
      </c>
      <c r="U19" s="29">
        <v>300</v>
      </c>
      <c r="V19" s="29">
        <v>675</v>
      </c>
      <c r="W19" s="30">
        <v>-27.862500000000001</v>
      </c>
      <c r="X19" s="30">
        <v>7.8624338624338624E-2</v>
      </c>
      <c r="Y19" s="29">
        <v>1</v>
      </c>
    </row>
    <row r="20" spans="11:25" x14ac:dyDescent="0.2">
      <c r="K20" s="27">
        <v>208</v>
      </c>
      <c r="L20" s="28" t="s">
        <v>128</v>
      </c>
      <c r="M20" s="29">
        <v>300</v>
      </c>
      <c r="N20" s="29">
        <v>675</v>
      </c>
      <c r="O20" s="30">
        <v>-27.008199999999999</v>
      </c>
      <c r="P20" s="30">
        <v>7.6213615520282177E-2</v>
      </c>
      <c r="Q20" s="29">
        <v>1</v>
      </c>
      <c r="S20" s="27">
        <v>208</v>
      </c>
      <c r="T20" s="28" t="s">
        <v>128</v>
      </c>
      <c r="U20" s="29">
        <v>300</v>
      </c>
      <c r="V20" s="29">
        <v>675</v>
      </c>
      <c r="W20" s="30">
        <v>-26.9636</v>
      </c>
      <c r="X20" s="30">
        <v>7.6087760141093475E-2</v>
      </c>
      <c r="Y20" s="29">
        <v>1</v>
      </c>
    </row>
    <row r="21" spans="11:25" x14ac:dyDescent="0.2">
      <c r="K21" s="27">
        <v>194</v>
      </c>
      <c r="L21" s="28" t="s">
        <v>129</v>
      </c>
      <c r="M21" s="29">
        <v>700</v>
      </c>
      <c r="N21" s="29">
        <v>275</v>
      </c>
      <c r="O21" s="30">
        <v>-12.558999999999999</v>
      </c>
      <c r="P21" s="30">
        <v>3.7280890538033393E-2</v>
      </c>
      <c r="Q21" s="29">
        <v>1</v>
      </c>
      <c r="S21" s="27">
        <v>194</v>
      </c>
      <c r="T21" s="28" t="s">
        <v>129</v>
      </c>
      <c r="U21" s="29">
        <v>700</v>
      </c>
      <c r="V21" s="29">
        <v>275</v>
      </c>
      <c r="W21" s="30">
        <v>-12.501300000000001</v>
      </c>
      <c r="X21" s="30">
        <v>3.7109610389610394E-2</v>
      </c>
      <c r="Y21" s="29">
        <v>1</v>
      </c>
    </row>
    <row r="22" spans="11:25" x14ac:dyDescent="0.2">
      <c r="K22" s="27">
        <v>203</v>
      </c>
      <c r="L22" s="28" t="s">
        <v>128</v>
      </c>
      <c r="M22" s="29">
        <v>300</v>
      </c>
      <c r="N22" s="29">
        <v>675</v>
      </c>
      <c r="O22" s="30">
        <v>14.531599999999999</v>
      </c>
      <c r="P22" s="30">
        <v>4.100627865961199E-2</v>
      </c>
      <c r="Q22" s="29">
        <v>1</v>
      </c>
      <c r="S22" s="27">
        <v>203</v>
      </c>
      <c r="T22" s="28" t="s">
        <v>128</v>
      </c>
      <c r="U22" s="29">
        <v>300</v>
      </c>
      <c r="V22" s="29">
        <v>675</v>
      </c>
      <c r="W22" s="30">
        <v>14.5596</v>
      </c>
      <c r="X22" s="30">
        <v>4.1085291005291007E-2</v>
      </c>
      <c r="Y22" s="29">
        <v>1</v>
      </c>
    </row>
    <row r="23" spans="11:25" x14ac:dyDescent="0.2">
      <c r="K23" s="27">
        <v>187</v>
      </c>
      <c r="L23" s="28" t="s">
        <v>127</v>
      </c>
      <c r="M23" s="29">
        <v>300</v>
      </c>
      <c r="N23" s="29">
        <v>275</v>
      </c>
      <c r="O23" s="30">
        <v>-21.918399999999998</v>
      </c>
      <c r="P23" s="30">
        <v>0.15181575757575755</v>
      </c>
      <c r="Q23" s="29">
        <v>1</v>
      </c>
      <c r="S23" s="27">
        <v>187</v>
      </c>
      <c r="T23" s="28" t="s">
        <v>127</v>
      </c>
      <c r="U23" s="29">
        <v>300</v>
      </c>
      <c r="V23" s="29">
        <v>275</v>
      </c>
      <c r="W23" s="30">
        <v>-21.904900000000001</v>
      </c>
      <c r="X23" s="30">
        <v>0.1517222510822511</v>
      </c>
      <c r="Y23" s="29">
        <v>1</v>
      </c>
    </row>
    <row r="24" spans="11:25" x14ac:dyDescent="0.2">
      <c r="K24" s="27">
        <v>199</v>
      </c>
      <c r="L24" s="28" t="s">
        <v>128</v>
      </c>
      <c r="M24" s="29">
        <v>300</v>
      </c>
      <c r="N24" s="29">
        <v>675</v>
      </c>
      <c r="O24" s="30">
        <v>-15.9435</v>
      </c>
      <c r="P24" s="30">
        <v>4.4990476190476192E-2</v>
      </c>
      <c r="Q24" s="29">
        <v>1</v>
      </c>
      <c r="S24" s="27">
        <v>199</v>
      </c>
      <c r="T24" s="28" t="s">
        <v>128</v>
      </c>
      <c r="U24" s="29">
        <v>300</v>
      </c>
      <c r="V24" s="29">
        <v>675</v>
      </c>
      <c r="W24" s="30">
        <v>-15.9132</v>
      </c>
      <c r="X24" s="30">
        <v>4.4904973544973539E-2</v>
      </c>
      <c r="Y24" s="29">
        <v>1</v>
      </c>
    </row>
    <row r="25" spans="11:25" x14ac:dyDescent="0.2">
      <c r="K25" s="27">
        <v>195</v>
      </c>
      <c r="L25" s="28" t="s">
        <v>129</v>
      </c>
      <c r="M25" s="29">
        <v>700</v>
      </c>
      <c r="N25" s="29">
        <v>275</v>
      </c>
      <c r="O25" s="30">
        <v>-1.5005999999999999</v>
      </c>
      <c r="P25" s="30">
        <v>4.4544712430426717E-3</v>
      </c>
      <c r="Q25" s="29">
        <v>1</v>
      </c>
      <c r="S25" s="27">
        <v>195</v>
      </c>
      <c r="T25" s="28" t="s">
        <v>129</v>
      </c>
      <c r="U25" s="29">
        <v>700</v>
      </c>
      <c r="V25" s="29">
        <v>275</v>
      </c>
      <c r="W25" s="30">
        <v>-1.4536</v>
      </c>
      <c r="X25" s="30">
        <v>4.3149536178107607E-3</v>
      </c>
      <c r="Y25" s="29">
        <v>1</v>
      </c>
    </row>
    <row r="26" spans="11:25" x14ac:dyDescent="0.2">
      <c r="K26" s="27">
        <v>196</v>
      </c>
      <c r="L26" s="28" t="s">
        <v>129</v>
      </c>
      <c r="M26" s="29">
        <v>700</v>
      </c>
      <c r="N26" s="29">
        <v>275</v>
      </c>
      <c r="O26" s="30">
        <v>-1.298</v>
      </c>
      <c r="P26" s="30">
        <v>3.8530612244897957E-3</v>
      </c>
      <c r="Q26" s="29">
        <v>1</v>
      </c>
      <c r="S26" s="27">
        <v>196</v>
      </c>
      <c r="T26" s="28" t="s">
        <v>129</v>
      </c>
      <c r="U26" s="29">
        <v>700</v>
      </c>
      <c r="V26" s="29">
        <v>275</v>
      </c>
      <c r="W26" s="30">
        <v>-1.2544999999999999</v>
      </c>
      <c r="X26" s="30">
        <v>3.7239332096474956E-3</v>
      </c>
      <c r="Y26" s="29">
        <v>1</v>
      </c>
    </row>
    <row r="27" spans="11:25" x14ac:dyDescent="0.2">
      <c r="K27" s="27">
        <v>200</v>
      </c>
      <c r="L27" s="28" t="s">
        <v>128</v>
      </c>
      <c r="M27" s="29">
        <v>300</v>
      </c>
      <c r="N27" s="29">
        <v>675</v>
      </c>
      <c r="O27" s="30">
        <v>-19.648700000000002</v>
      </c>
      <c r="P27" s="30">
        <v>5.5446067019400358E-2</v>
      </c>
      <c r="Q27" s="29">
        <v>1</v>
      </c>
      <c r="S27" s="27">
        <v>200</v>
      </c>
      <c r="T27" s="28" t="s">
        <v>128</v>
      </c>
      <c r="U27" s="29">
        <v>300</v>
      </c>
      <c r="V27" s="29">
        <v>675</v>
      </c>
      <c r="W27" s="30">
        <v>-19.616900000000001</v>
      </c>
      <c r="X27" s="30">
        <v>5.5356331569664907E-2</v>
      </c>
      <c r="Y27" s="29">
        <v>1</v>
      </c>
    </row>
    <row r="28" spans="11:25" x14ac:dyDescent="0.2">
      <c r="K28" s="27">
        <v>188</v>
      </c>
      <c r="L28" s="28" t="s">
        <v>127</v>
      </c>
      <c r="M28" s="29">
        <v>300</v>
      </c>
      <c r="N28" s="29">
        <v>275</v>
      </c>
      <c r="O28" s="30">
        <v>4.9638999999999998</v>
      </c>
      <c r="P28" s="30">
        <v>3.4381991341991339E-2</v>
      </c>
      <c r="Q28" s="29">
        <v>1</v>
      </c>
      <c r="S28" s="27">
        <v>188</v>
      </c>
      <c r="T28" s="28" t="s">
        <v>127</v>
      </c>
      <c r="U28" s="29">
        <v>300</v>
      </c>
      <c r="V28" s="29">
        <v>275</v>
      </c>
      <c r="W28" s="30">
        <v>4.9775999999999998</v>
      </c>
      <c r="X28" s="30">
        <v>3.4476883116883114E-2</v>
      </c>
      <c r="Y28" s="29">
        <v>1</v>
      </c>
    </row>
    <row r="29" spans="11:25" x14ac:dyDescent="0.2">
      <c r="K29" s="27">
        <v>251</v>
      </c>
      <c r="L29" s="28" t="s">
        <v>127</v>
      </c>
      <c r="M29" s="29">
        <v>300</v>
      </c>
      <c r="N29" s="29">
        <v>275</v>
      </c>
      <c r="O29" s="30">
        <v>-22.683900000000001</v>
      </c>
      <c r="P29" s="30">
        <v>0.15711792207792208</v>
      </c>
      <c r="Q29" s="29">
        <v>1</v>
      </c>
      <c r="S29" s="27">
        <v>251</v>
      </c>
      <c r="T29" s="28" t="s">
        <v>127</v>
      </c>
      <c r="U29" s="29">
        <v>300</v>
      </c>
      <c r="V29" s="29">
        <v>275</v>
      </c>
      <c r="W29" s="30">
        <v>-22.670999999999999</v>
      </c>
      <c r="X29" s="30">
        <v>0.15702857142857143</v>
      </c>
      <c r="Y29" s="29">
        <v>1</v>
      </c>
    </row>
    <row r="30" spans="11:25" x14ac:dyDescent="0.2">
      <c r="K30" s="27">
        <v>263</v>
      </c>
      <c r="L30" s="28" t="s">
        <v>128</v>
      </c>
      <c r="M30" s="29">
        <v>300</v>
      </c>
      <c r="N30" s="29">
        <v>675</v>
      </c>
      <c r="O30" s="30">
        <v>-24.553699999999999</v>
      </c>
      <c r="P30" s="30">
        <v>6.9287336860670193E-2</v>
      </c>
      <c r="Q30" s="29">
        <v>1</v>
      </c>
      <c r="S30" s="27">
        <v>263</v>
      </c>
      <c r="T30" s="28" t="s">
        <v>128</v>
      </c>
      <c r="U30" s="29">
        <v>300</v>
      </c>
      <c r="V30" s="29">
        <v>675</v>
      </c>
      <c r="W30" s="30">
        <v>-24.522099999999998</v>
      </c>
      <c r="X30" s="30">
        <v>6.9198165784832441E-2</v>
      </c>
      <c r="Y30" s="29">
        <v>1</v>
      </c>
    </row>
    <row r="31" spans="11:25" x14ac:dyDescent="0.2">
      <c r="K31" s="27">
        <v>259</v>
      </c>
      <c r="L31" s="28" t="s">
        <v>129</v>
      </c>
      <c r="M31" s="29">
        <v>700</v>
      </c>
      <c r="N31" s="29">
        <v>275</v>
      </c>
      <c r="O31" s="30">
        <v>-37.215800000000002</v>
      </c>
      <c r="P31" s="30">
        <v>0.11047361781076068</v>
      </c>
      <c r="Q31" s="29">
        <v>1</v>
      </c>
      <c r="S31" s="27">
        <v>259</v>
      </c>
      <c r="T31" s="28" t="s">
        <v>129</v>
      </c>
      <c r="U31" s="29">
        <v>700</v>
      </c>
      <c r="V31" s="29">
        <v>275</v>
      </c>
      <c r="W31" s="30">
        <v>-37.124699999999997</v>
      </c>
      <c r="X31" s="30">
        <v>0.11020319109461965</v>
      </c>
      <c r="Y31" s="29">
        <v>1</v>
      </c>
    </row>
    <row r="32" spans="11:25" x14ac:dyDescent="0.2">
      <c r="K32" s="27">
        <v>260</v>
      </c>
      <c r="L32" s="28" t="s">
        <v>129</v>
      </c>
      <c r="M32" s="29">
        <v>700</v>
      </c>
      <c r="N32" s="29">
        <v>275</v>
      </c>
      <c r="O32" s="30">
        <v>-37.1203</v>
      </c>
      <c r="P32" s="30">
        <v>0.11019012987012988</v>
      </c>
      <c r="Q32" s="29">
        <v>1</v>
      </c>
      <c r="S32" s="27">
        <v>260</v>
      </c>
      <c r="T32" s="28" t="s">
        <v>129</v>
      </c>
      <c r="U32" s="29">
        <v>700</v>
      </c>
      <c r="V32" s="29">
        <v>275</v>
      </c>
      <c r="W32" s="30">
        <v>-37.028199999999998</v>
      </c>
      <c r="X32" s="30">
        <v>0.10991673469387754</v>
      </c>
      <c r="Y32" s="29">
        <v>1</v>
      </c>
    </row>
    <row r="33" spans="11:25" x14ac:dyDescent="0.2">
      <c r="K33" s="27">
        <v>264</v>
      </c>
      <c r="L33" s="28" t="s">
        <v>128</v>
      </c>
      <c r="M33" s="29">
        <v>300</v>
      </c>
      <c r="N33" s="29">
        <v>675</v>
      </c>
      <c r="O33" s="30">
        <v>-27.325399999999998</v>
      </c>
      <c r="P33" s="30">
        <v>7.7108712522045847E-2</v>
      </c>
      <c r="Q33" s="29">
        <v>1</v>
      </c>
      <c r="S33" s="27">
        <v>264</v>
      </c>
      <c r="T33" s="28" t="s">
        <v>128</v>
      </c>
      <c r="U33" s="29">
        <v>300</v>
      </c>
      <c r="V33" s="29">
        <v>675</v>
      </c>
      <c r="W33" s="30">
        <v>-27.2959</v>
      </c>
      <c r="X33" s="30">
        <v>7.7025467372134032E-2</v>
      </c>
      <c r="Y33" s="29">
        <v>1</v>
      </c>
    </row>
    <row r="34" spans="11:25" x14ac:dyDescent="0.2">
      <c r="K34" s="27">
        <v>252</v>
      </c>
      <c r="L34" s="28" t="s">
        <v>127</v>
      </c>
      <c r="M34" s="29">
        <v>300</v>
      </c>
      <c r="N34" s="29">
        <v>275</v>
      </c>
      <c r="O34" s="30">
        <v>-0.78639999999999999</v>
      </c>
      <c r="P34" s="30">
        <v>5.446926406926407E-3</v>
      </c>
      <c r="Q34" s="29">
        <v>1</v>
      </c>
      <c r="S34" s="27">
        <v>252</v>
      </c>
      <c r="T34" s="28" t="s">
        <v>127</v>
      </c>
      <c r="U34" s="29">
        <v>300</v>
      </c>
      <c r="V34" s="29">
        <v>275</v>
      </c>
      <c r="W34" s="30">
        <v>-0.77049999999999996</v>
      </c>
      <c r="X34" s="30">
        <v>5.3367965367965365E-3</v>
      </c>
      <c r="Y34" s="29">
        <v>1</v>
      </c>
    </row>
    <row r="35" spans="11:25" x14ac:dyDescent="0.2">
      <c r="K35" s="27">
        <v>268</v>
      </c>
      <c r="L35" s="28" t="s">
        <v>128</v>
      </c>
      <c r="M35" s="29">
        <v>300</v>
      </c>
      <c r="N35" s="29">
        <v>675</v>
      </c>
      <c r="O35" s="30">
        <v>-37.884599999999999</v>
      </c>
      <c r="P35" s="30">
        <v>0.10690539682539682</v>
      </c>
      <c r="Q35" s="29">
        <v>1</v>
      </c>
      <c r="S35" s="27">
        <v>268</v>
      </c>
      <c r="T35" s="28" t="s">
        <v>128</v>
      </c>
      <c r="U35" s="29">
        <v>300</v>
      </c>
      <c r="V35" s="29">
        <v>675</v>
      </c>
      <c r="W35" s="30">
        <v>-37.8566</v>
      </c>
      <c r="X35" s="30">
        <v>0.1068263844797178</v>
      </c>
      <c r="Y35" s="29">
        <v>1</v>
      </c>
    </row>
    <row r="36" spans="11:25" x14ac:dyDescent="0.2">
      <c r="K36" s="27">
        <v>253</v>
      </c>
      <c r="L36" s="28" t="s">
        <v>129</v>
      </c>
      <c r="M36" s="29">
        <v>700</v>
      </c>
      <c r="N36" s="29">
        <v>275</v>
      </c>
      <c r="O36" s="30">
        <v>-46.631399999999999</v>
      </c>
      <c r="P36" s="30">
        <v>0.13842345083487942</v>
      </c>
      <c r="Q36" s="29">
        <v>1</v>
      </c>
      <c r="S36" s="27">
        <v>253</v>
      </c>
      <c r="T36" s="28" t="s">
        <v>129</v>
      </c>
      <c r="U36" s="29">
        <v>700</v>
      </c>
      <c r="V36" s="29">
        <v>275</v>
      </c>
      <c r="W36" s="30">
        <v>-46.541200000000003</v>
      </c>
      <c r="X36" s="30">
        <v>0.13815569573283859</v>
      </c>
      <c r="Y36" s="29">
        <v>1</v>
      </c>
    </row>
    <row r="37" spans="11:25" x14ac:dyDescent="0.2">
      <c r="K37" s="27">
        <v>271</v>
      </c>
      <c r="L37" s="28" t="s">
        <v>128</v>
      </c>
      <c r="M37" s="29">
        <v>300</v>
      </c>
      <c r="N37" s="29">
        <v>675</v>
      </c>
      <c r="O37" s="30">
        <v>-35.104799999999997</v>
      </c>
      <c r="P37" s="30">
        <v>9.9061164021164008E-2</v>
      </c>
      <c r="Q37" s="29">
        <v>1</v>
      </c>
      <c r="S37" s="27">
        <v>271</v>
      </c>
      <c r="T37" s="28" t="s">
        <v>128</v>
      </c>
      <c r="U37" s="29">
        <v>300</v>
      </c>
      <c r="V37" s="29">
        <v>675</v>
      </c>
      <c r="W37" s="30">
        <v>-35.067999999999998</v>
      </c>
      <c r="X37" s="30">
        <v>9.8957319223985887E-2</v>
      </c>
      <c r="Y37" s="29">
        <v>1</v>
      </c>
    </row>
    <row r="38" spans="11:25" x14ac:dyDescent="0.2">
      <c r="K38" s="27">
        <v>272</v>
      </c>
      <c r="L38" s="28" t="s">
        <v>128</v>
      </c>
      <c r="M38" s="29">
        <v>300</v>
      </c>
      <c r="N38" s="29">
        <v>675</v>
      </c>
      <c r="O38" s="30">
        <v>-33.688400000000001</v>
      </c>
      <c r="P38" s="30">
        <v>9.5064268077601419E-2</v>
      </c>
      <c r="Q38" s="29">
        <v>1</v>
      </c>
      <c r="S38" s="27">
        <v>272</v>
      </c>
      <c r="T38" s="28" t="s">
        <v>128</v>
      </c>
      <c r="U38" s="29">
        <v>300</v>
      </c>
      <c r="V38" s="29">
        <v>675</v>
      </c>
      <c r="W38" s="30">
        <v>-33.6496</v>
      </c>
      <c r="X38" s="30">
        <v>9.495477954144621E-2</v>
      </c>
      <c r="Y38" s="29">
        <v>1</v>
      </c>
    </row>
    <row r="39" spans="11:25" x14ac:dyDescent="0.2">
      <c r="K39" s="27">
        <v>255</v>
      </c>
      <c r="L39" s="28" t="s">
        <v>129</v>
      </c>
      <c r="M39" s="29">
        <v>700</v>
      </c>
      <c r="N39" s="29">
        <v>275</v>
      </c>
      <c r="O39" s="30">
        <v>-47.597299999999997</v>
      </c>
      <c r="P39" s="30">
        <v>0.14129068645640072</v>
      </c>
      <c r="Q39" s="29">
        <v>1</v>
      </c>
      <c r="S39" s="27">
        <v>255</v>
      </c>
      <c r="T39" s="28" t="s">
        <v>129</v>
      </c>
      <c r="U39" s="29">
        <v>700</v>
      </c>
      <c r="V39" s="29">
        <v>275</v>
      </c>
      <c r="W39" s="30">
        <v>-47.5077</v>
      </c>
      <c r="X39" s="30">
        <v>0.14102471243042672</v>
      </c>
      <c r="Y39" s="29">
        <v>1</v>
      </c>
    </row>
    <row r="40" spans="11:25" x14ac:dyDescent="0.2">
      <c r="K40" s="27">
        <v>266</v>
      </c>
      <c r="L40" s="28" t="s">
        <v>128</v>
      </c>
      <c r="M40" s="29">
        <v>300</v>
      </c>
      <c r="N40" s="29">
        <v>675</v>
      </c>
      <c r="O40" s="30">
        <v>-1.8329</v>
      </c>
      <c r="P40" s="30">
        <v>5.1722045855379182E-3</v>
      </c>
      <c r="Q40" s="29">
        <v>1</v>
      </c>
      <c r="S40" s="27">
        <v>266</v>
      </c>
      <c r="T40" s="28" t="s">
        <v>128</v>
      </c>
      <c r="U40" s="29">
        <v>300</v>
      </c>
      <c r="V40" s="29">
        <v>675</v>
      </c>
      <c r="W40" s="30">
        <v>-1.8070999999999999</v>
      </c>
      <c r="X40" s="30">
        <v>5.0994003527336856E-3</v>
      </c>
      <c r="Y40" s="29">
        <v>1</v>
      </c>
    </row>
    <row r="41" spans="11:25" x14ac:dyDescent="0.2">
      <c r="K41" s="27">
        <v>267</v>
      </c>
      <c r="L41" s="28" t="s">
        <v>128</v>
      </c>
      <c r="M41" s="29">
        <v>300</v>
      </c>
      <c r="N41" s="29">
        <v>675</v>
      </c>
      <c r="O41" s="30">
        <v>-37.904000000000003</v>
      </c>
      <c r="P41" s="30">
        <v>0.10696014109347443</v>
      </c>
      <c r="Q41" s="29">
        <v>1</v>
      </c>
      <c r="S41" s="27">
        <v>267</v>
      </c>
      <c r="T41" s="28" t="s">
        <v>128</v>
      </c>
      <c r="U41" s="29">
        <v>300</v>
      </c>
      <c r="V41" s="29">
        <v>675</v>
      </c>
      <c r="W41" s="30">
        <v>-37.876199999999997</v>
      </c>
      <c r="X41" s="30">
        <v>0.10688169312169311</v>
      </c>
      <c r="Y41" s="29">
        <v>1</v>
      </c>
    </row>
    <row r="42" spans="11:25" x14ac:dyDescent="0.2">
      <c r="K42" s="27">
        <v>254</v>
      </c>
      <c r="L42" s="28" t="s">
        <v>129</v>
      </c>
      <c r="M42" s="29">
        <v>700</v>
      </c>
      <c r="N42" s="29">
        <v>275</v>
      </c>
      <c r="O42" s="30">
        <v>-46.672400000000003</v>
      </c>
      <c r="P42" s="30">
        <v>0.13854515769944342</v>
      </c>
      <c r="Q42" s="29">
        <v>1</v>
      </c>
      <c r="S42" s="27">
        <v>254</v>
      </c>
      <c r="T42" s="28" t="s">
        <v>129</v>
      </c>
      <c r="U42" s="29">
        <v>700</v>
      </c>
      <c r="V42" s="29">
        <v>275</v>
      </c>
      <c r="W42" s="30">
        <v>-46.581000000000003</v>
      </c>
      <c r="X42" s="30">
        <v>0.13827384044526903</v>
      </c>
      <c r="Y42" s="29">
        <v>1</v>
      </c>
    </row>
    <row r="43" spans="11:25" x14ac:dyDescent="0.2">
      <c r="K43" s="27">
        <v>269</v>
      </c>
      <c r="L43" s="28" t="s">
        <v>128</v>
      </c>
      <c r="M43" s="29">
        <v>300</v>
      </c>
      <c r="N43" s="29">
        <v>675</v>
      </c>
      <c r="O43" s="30">
        <v>-35.136899999999997</v>
      </c>
      <c r="P43" s="30">
        <v>9.9151746031746021E-2</v>
      </c>
      <c r="Q43" s="29">
        <v>1</v>
      </c>
      <c r="S43" s="27">
        <v>269</v>
      </c>
      <c r="T43" s="28" t="s">
        <v>128</v>
      </c>
      <c r="U43" s="29">
        <v>300</v>
      </c>
      <c r="V43" s="29">
        <v>675</v>
      </c>
      <c r="W43" s="30">
        <v>-35.097999999999999</v>
      </c>
      <c r="X43" s="30">
        <v>9.9041975308641977E-2</v>
      </c>
      <c r="Y43" s="29">
        <v>1</v>
      </c>
    </row>
    <row r="44" spans="11:25" x14ac:dyDescent="0.2">
      <c r="K44" s="27">
        <v>270</v>
      </c>
      <c r="L44" s="28" t="s">
        <v>128</v>
      </c>
      <c r="M44" s="29">
        <v>300</v>
      </c>
      <c r="N44" s="29">
        <v>675</v>
      </c>
      <c r="O44" s="30">
        <v>-33.7151</v>
      </c>
      <c r="P44" s="30">
        <v>9.5139611992945322E-2</v>
      </c>
      <c r="Q44" s="29">
        <v>1</v>
      </c>
      <c r="S44" s="27">
        <v>270</v>
      </c>
      <c r="T44" s="28" t="s">
        <v>128</v>
      </c>
      <c r="U44" s="29">
        <v>300</v>
      </c>
      <c r="V44" s="29">
        <v>675</v>
      </c>
      <c r="W44" s="30">
        <v>-33.676900000000003</v>
      </c>
      <c r="X44" s="30">
        <v>9.5031816578483252E-2</v>
      </c>
      <c r="Y44" s="29">
        <v>1</v>
      </c>
    </row>
    <row r="45" spans="11:25" x14ac:dyDescent="0.2">
      <c r="K45" s="27">
        <v>256</v>
      </c>
      <c r="L45" s="28" t="s">
        <v>129</v>
      </c>
      <c r="M45" s="29">
        <v>700</v>
      </c>
      <c r="N45" s="29">
        <v>275</v>
      </c>
      <c r="O45" s="30">
        <v>-46.858499999999999</v>
      </c>
      <c r="P45" s="30">
        <v>0.13909758812615955</v>
      </c>
      <c r="Q45" s="29">
        <v>1</v>
      </c>
      <c r="S45" s="27">
        <v>256</v>
      </c>
      <c r="T45" s="28" t="s">
        <v>129</v>
      </c>
      <c r="U45" s="29">
        <v>700</v>
      </c>
      <c r="V45" s="29">
        <v>275</v>
      </c>
      <c r="W45" s="30">
        <v>-46.766800000000003</v>
      </c>
      <c r="X45" s="30">
        <v>0.13882538033395178</v>
      </c>
      <c r="Y45" s="29">
        <v>1</v>
      </c>
    </row>
    <row r="46" spans="11:25" x14ac:dyDescent="0.2">
      <c r="K46" s="27">
        <v>265</v>
      </c>
      <c r="L46" s="28" t="s">
        <v>128</v>
      </c>
      <c r="M46" s="29">
        <v>300</v>
      </c>
      <c r="N46" s="29">
        <v>675</v>
      </c>
      <c r="O46" s="30">
        <v>-2.4769000000000001</v>
      </c>
      <c r="P46" s="30">
        <v>6.989488536155203E-3</v>
      </c>
      <c r="Q46" s="29">
        <v>1</v>
      </c>
      <c r="S46" s="27">
        <v>265</v>
      </c>
      <c r="T46" s="28" t="s">
        <v>128</v>
      </c>
      <c r="U46" s="29">
        <v>300</v>
      </c>
      <c r="V46" s="29">
        <v>675</v>
      </c>
      <c r="W46" s="30">
        <v>-2.4493999999999998</v>
      </c>
      <c r="X46" s="30">
        <v>6.9118871252204575E-3</v>
      </c>
      <c r="Y46" s="29">
        <v>1</v>
      </c>
    </row>
    <row r="47" spans="11:25" x14ac:dyDescent="0.2">
      <c r="K47" s="27">
        <v>249</v>
      </c>
      <c r="L47" s="28" t="s">
        <v>127</v>
      </c>
      <c r="M47" s="29">
        <v>300</v>
      </c>
      <c r="N47" s="29">
        <v>275</v>
      </c>
      <c r="O47" s="30">
        <v>-22.723800000000001</v>
      </c>
      <c r="P47" s="30">
        <v>0.15739428571428571</v>
      </c>
      <c r="Q47" s="29">
        <v>1</v>
      </c>
      <c r="S47" s="27">
        <v>249</v>
      </c>
      <c r="T47" s="28" t="s">
        <v>127</v>
      </c>
      <c r="U47" s="29">
        <v>300</v>
      </c>
      <c r="V47" s="29">
        <v>275</v>
      </c>
      <c r="W47" s="30">
        <v>-22.7119</v>
      </c>
      <c r="X47" s="30">
        <v>0.15731186147186149</v>
      </c>
      <c r="Y47" s="29">
        <v>1</v>
      </c>
    </row>
    <row r="48" spans="11:25" x14ac:dyDescent="0.2">
      <c r="K48" s="27">
        <v>261</v>
      </c>
      <c r="L48" s="28" t="s">
        <v>128</v>
      </c>
      <c r="M48" s="29">
        <v>300</v>
      </c>
      <c r="N48" s="29">
        <v>675</v>
      </c>
      <c r="O48" s="30">
        <v>-24.6343</v>
      </c>
      <c r="P48" s="30">
        <v>6.9514779541446206E-2</v>
      </c>
      <c r="Q48" s="29">
        <v>1</v>
      </c>
      <c r="S48" s="27">
        <v>261</v>
      </c>
      <c r="T48" s="28" t="s">
        <v>128</v>
      </c>
      <c r="U48" s="29">
        <v>300</v>
      </c>
      <c r="V48" s="29">
        <v>675</v>
      </c>
      <c r="W48" s="30">
        <v>-24.603300000000001</v>
      </c>
      <c r="X48" s="30">
        <v>6.9427301587301579E-2</v>
      </c>
      <c r="Y48" s="29">
        <v>1</v>
      </c>
    </row>
    <row r="49" spans="11:25" x14ac:dyDescent="0.2">
      <c r="K49" s="27">
        <v>257</v>
      </c>
      <c r="L49" s="28" t="s">
        <v>129</v>
      </c>
      <c r="M49" s="29">
        <v>700</v>
      </c>
      <c r="N49" s="29">
        <v>275</v>
      </c>
      <c r="O49" s="30">
        <v>-37.316299999999998</v>
      </c>
      <c r="P49" s="30">
        <v>0.11077194805194804</v>
      </c>
      <c r="Q49" s="29">
        <v>1</v>
      </c>
      <c r="S49" s="27">
        <v>257</v>
      </c>
      <c r="T49" s="28" t="s">
        <v>129</v>
      </c>
      <c r="U49" s="29">
        <v>700</v>
      </c>
      <c r="V49" s="29">
        <v>275</v>
      </c>
      <c r="W49" s="30">
        <v>-37.235100000000003</v>
      </c>
      <c r="X49" s="30">
        <v>0.11053090909090911</v>
      </c>
      <c r="Y49" s="29">
        <v>1</v>
      </c>
    </row>
    <row r="50" spans="11:25" x14ac:dyDescent="0.2">
      <c r="K50" s="27">
        <v>258</v>
      </c>
      <c r="L50" s="28" t="s">
        <v>129</v>
      </c>
      <c r="M50" s="29">
        <v>700</v>
      </c>
      <c r="N50" s="29">
        <v>275</v>
      </c>
      <c r="O50" s="30">
        <v>-37.238199999999999</v>
      </c>
      <c r="P50" s="30">
        <v>0.11054011131725416</v>
      </c>
      <c r="Q50" s="29">
        <v>1</v>
      </c>
      <c r="S50" s="27">
        <v>258</v>
      </c>
      <c r="T50" s="28" t="s">
        <v>129</v>
      </c>
      <c r="U50" s="29">
        <v>700</v>
      </c>
      <c r="V50" s="29">
        <v>275</v>
      </c>
      <c r="W50" s="30">
        <v>-37.159199999999998</v>
      </c>
      <c r="X50" s="30">
        <v>0.11030560296846011</v>
      </c>
      <c r="Y50" s="29">
        <v>1</v>
      </c>
    </row>
    <row r="51" spans="11:25" x14ac:dyDescent="0.2">
      <c r="K51" s="27">
        <v>262</v>
      </c>
      <c r="L51" s="28" t="s">
        <v>128</v>
      </c>
      <c r="M51" s="29">
        <v>300</v>
      </c>
      <c r="N51" s="29">
        <v>675</v>
      </c>
      <c r="O51" s="30">
        <v>-26.729399999999998</v>
      </c>
      <c r="P51" s="30">
        <v>7.5426878306878303E-2</v>
      </c>
      <c r="Q51" s="29">
        <v>1</v>
      </c>
      <c r="S51" s="27">
        <v>262</v>
      </c>
      <c r="T51" s="28" t="s">
        <v>128</v>
      </c>
      <c r="U51" s="29">
        <v>300</v>
      </c>
      <c r="V51" s="29">
        <v>675</v>
      </c>
      <c r="W51" s="30">
        <v>-26.697099999999999</v>
      </c>
      <c r="X51" s="30">
        <v>7.5335731922398591E-2</v>
      </c>
      <c r="Y51" s="29">
        <v>1</v>
      </c>
    </row>
    <row r="52" spans="11:25" x14ac:dyDescent="0.2">
      <c r="K52" s="27">
        <v>250</v>
      </c>
      <c r="L52" s="28" t="s">
        <v>127</v>
      </c>
      <c r="M52" s="29">
        <v>300</v>
      </c>
      <c r="N52" s="29">
        <v>275</v>
      </c>
      <c r="O52" s="30">
        <v>-1.4357</v>
      </c>
      <c r="P52" s="30">
        <v>9.9442424242424249E-3</v>
      </c>
      <c r="Q52" s="29">
        <v>1</v>
      </c>
      <c r="S52" s="27">
        <v>250</v>
      </c>
      <c r="T52" s="28" t="s">
        <v>127</v>
      </c>
      <c r="U52" s="29">
        <v>300</v>
      </c>
      <c r="V52" s="29">
        <v>275</v>
      </c>
      <c r="W52" s="30">
        <v>-1.4222999999999999</v>
      </c>
      <c r="X52" s="30">
        <v>9.8514285714285717E-3</v>
      </c>
      <c r="Y52" s="29">
        <v>1</v>
      </c>
    </row>
    <row r="53" spans="11:25" x14ac:dyDescent="0.2">
      <c r="K53" s="27">
        <v>65</v>
      </c>
      <c r="L53" s="28" t="s">
        <v>127</v>
      </c>
      <c r="M53" s="29">
        <v>300</v>
      </c>
      <c r="N53" s="29">
        <v>275</v>
      </c>
      <c r="O53" s="30">
        <v>-27.139900000000001</v>
      </c>
      <c r="P53" s="30">
        <v>0.18798199134199134</v>
      </c>
      <c r="Q53" s="29">
        <v>1</v>
      </c>
      <c r="S53" s="27">
        <v>65</v>
      </c>
      <c r="T53" s="28" t="s">
        <v>127</v>
      </c>
      <c r="U53" s="29">
        <v>300</v>
      </c>
      <c r="V53" s="29">
        <v>275</v>
      </c>
      <c r="W53" s="30">
        <v>-27.136399999999998</v>
      </c>
      <c r="X53" s="30">
        <v>0.18795774891774891</v>
      </c>
      <c r="Y53" s="29">
        <v>1</v>
      </c>
    </row>
    <row r="54" spans="11:25" x14ac:dyDescent="0.2">
      <c r="K54" s="27">
        <v>77</v>
      </c>
      <c r="L54" s="28" t="s">
        <v>128</v>
      </c>
      <c r="M54" s="29">
        <v>300</v>
      </c>
      <c r="N54" s="29">
        <v>675</v>
      </c>
      <c r="O54" s="30">
        <v>-33.093699999999998</v>
      </c>
      <c r="P54" s="30">
        <v>9.3386102292768947E-2</v>
      </c>
      <c r="Q54" s="29">
        <v>1</v>
      </c>
      <c r="S54" s="27">
        <v>77</v>
      </c>
      <c r="T54" s="28" t="s">
        <v>128</v>
      </c>
      <c r="U54" s="29">
        <v>300</v>
      </c>
      <c r="V54" s="29">
        <v>675</v>
      </c>
      <c r="W54" s="30">
        <v>-33.083799999999997</v>
      </c>
      <c r="X54" s="30">
        <v>9.3358165784832442E-2</v>
      </c>
      <c r="Y54" s="29">
        <v>1</v>
      </c>
    </row>
    <row r="55" spans="11:25" x14ac:dyDescent="0.2">
      <c r="K55" s="27">
        <v>73</v>
      </c>
      <c r="L55" s="28" t="s">
        <v>129</v>
      </c>
      <c r="M55" s="29">
        <v>700</v>
      </c>
      <c r="N55" s="29">
        <v>275</v>
      </c>
      <c r="O55" s="30">
        <v>-55.9283</v>
      </c>
      <c r="P55" s="30">
        <v>0.16602092764378479</v>
      </c>
      <c r="Q55" s="29">
        <v>1</v>
      </c>
      <c r="S55" s="27">
        <v>73</v>
      </c>
      <c r="T55" s="28" t="s">
        <v>129</v>
      </c>
      <c r="U55" s="29">
        <v>700</v>
      </c>
      <c r="V55" s="29">
        <v>275</v>
      </c>
      <c r="W55" s="30">
        <v>-55.898200000000003</v>
      </c>
      <c r="X55" s="30">
        <v>0.16593157699443414</v>
      </c>
      <c r="Y55" s="29">
        <v>1</v>
      </c>
    </row>
    <row r="56" spans="11:25" x14ac:dyDescent="0.2">
      <c r="K56" s="27">
        <v>74</v>
      </c>
      <c r="L56" s="28" t="s">
        <v>129</v>
      </c>
      <c r="M56" s="29">
        <v>700</v>
      </c>
      <c r="N56" s="29">
        <v>275</v>
      </c>
      <c r="O56" s="30">
        <v>-55.834400000000002</v>
      </c>
      <c r="P56" s="30">
        <v>0.16574218923933209</v>
      </c>
      <c r="Q56" s="29">
        <v>1</v>
      </c>
      <c r="S56" s="27">
        <v>74</v>
      </c>
      <c r="T56" s="28" t="s">
        <v>129</v>
      </c>
      <c r="U56" s="29">
        <v>700</v>
      </c>
      <c r="V56" s="29">
        <v>275</v>
      </c>
      <c r="W56" s="30">
        <v>-55.802199999999999</v>
      </c>
      <c r="X56" s="30">
        <v>0.16564660482374768</v>
      </c>
      <c r="Y56" s="29">
        <v>1</v>
      </c>
    </row>
    <row r="57" spans="11:25" x14ac:dyDescent="0.2">
      <c r="K57" s="27">
        <v>78</v>
      </c>
      <c r="L57" s="28" t="s">
        <v>128</v>
      </c>
      <c r="M57" s="29">
        <v>300</v>
      </c>
      <c r="N57" s="29">
        <v>675</v>
      </c>
      <c r="O57" s="30">
        <v>-35.207799999999999</v>
      </c>
      <c r="P57" s="30">
        <v>9.9351816578483229E-2</v>
      </c>
      <c r="Q57" s="29">
        <v>1</v>
      </c>
      <c r="S57" s="27">
        <v>78</v>
      </c>
      <c r="T57" s="28" t="s">
        <v>128</v>
      </c>
      <c r="U57" s="29">
        <v>300</v>
      </c>
      <c r="V57" s="29">
        <v>675</v>
      </c>
      <c r="W57" s="30">
        <v>-35.197400000000002</v>
      </c>
      <c r="X57" s="30">
        <v>9.9322469135802477E-2</v>
      </c>
      <c r="Y57" s="29">
        <v>1</v>
      </c>
    </row>
    <row r="58" spans="11:25" x14ac:dyDescent="0.2">
      <c r="K58" s="27">
        <v>66</v>
      </c>
      <c r="L58" s="28" t="s">
        <v>127</v>
      </c>
      <c r="M58" s="29">
        <v>300</v>
      </c>
      <c r="N58" s="29">
        <v>275</v>
      </c>
      <c r="O58" s="30">
        <v>-5.2249999999999996</v>
      </c>
      <c r="P58" s="30">
        <v>3.619047619047619E-2</v>
      </c>
      <c r="Q58" s="29">
        <v>1</v>
      </c>
      <c r="S58" s="27">
        <v>66</v>
      </c>
      <c r="T58" s="28" t="s">
        <v>127</v>
      </c>
      <c r="U58" s="29">
        <v>300</v>
      </c>
      <c r="V58" s="29">
        <v>275</v>
      </c>
      <c r="W58" s="30">
        <v>-5.2178000000000004</v>
      </c>
      <c r="X58" s="30">
        <v>3.6140606060606061E-2</v>
      </c>
      <c r="Y58" s="29">
        <v>1</v>
      </c>
    </row>
    <row r="59" spans="11:25" x14ac:dyDescent="0.2">
      <c r="K59" s="27">
        <v>82</v>
      </c>
      <c r="L59" s="28" t="s">
        <v>128</v>
      </c>
      <c r="M59" s="29">
        <v>300</v>
      </c>
      <c r="N59" s="29">
        <v>675</v>
      </c>
      <c r="O59" s="30">
        <v>-46.978400000000001</v>
      </c>
      <c r="P59" s="30">
        <v>0.13256691358024691</v>
      </c>
      <c r="Q59" s="29">
        <v>1</v>
      </c>
      <c r="S59" s="27">
        <v>82</v>
      </c>
      <c r="T59" s="28" t="s">
        <v>128</v>
      </c>
      <c r="U59" s="29">
        <v>300</v>
      </c>
      <c r="V59" s="29">
        <v>675</v>
      </c>
      <c r="W59" s="30">
        <v>-46.9696</v>
      </c>
      <c r="X59" s="30">
        <v>0.1325420811287478</v>
      </c>
      <c r="Y59" s="29">
        <v>1</v>
      </c>
    </row>
    <row r="60" spans="11:25" x14ac:dyDescent="0.2">
      <c r="K60" s="27">
        <v>67</v>
      </c>
      <c r="L60" s="28" t="s">
        <v>129</v>
      </c>
      <c r="M60" s="29">
        <v>700</v>
      </c>
      <c r="N60" s="29">
        <v>275</v>
      </c>
      <c r="O60" s="30">
        <v>-67.572800000000001</v>
      </c>
      <c r="P60" s="30">
        <v>0.20058716141001856</v>
      </c>
      <c r="Q60" s="29">
        <v>1</v>
      </c>
      <c r="S60" s="27">
        <v>67</v>
      </c>
      <c r="T60" s="28" t="s">
        <v>129</v>
      </c>
      <c r="U60" s="29">
        <v>700</v>
      </c>
      <c r="V60" s="29">
        <v>275</v>
      </c>
      <c r="W60" s="30">
        <v>-67.534499999999994</v>
      </c>
      <c r="X60" s="30">
        <v>0.20047346938775509</v>
      </c>
      <c r="Y60" s="29">
        <v>1</v>
      </c>
    </row>
    <row r="61" spans="11:25" x14ac:dyDescent="0.2">
      <c r="K61" s="27">
        <v>85</v>
      </c>
      <c r="L61" s="28" t="s">
        <v>128</v>
      </c>
      <c r="M61" s="29">
        <v>300</v>
      </c>
      <c r="N61" s="29">
        <v>675</v>
      </c>
      <c r="O61" s="30">
        <v>-45.8964</v>
      </c>
      <c r="P61" s="30">
        <v>0.12951365079365079</v>
      </c>
      <c r="Q61" s="29">
        <v>1</v>
      </c>
      <c r="S61" s="27">
        <v>85</v>
      </c>
      <c r="T61" s="28" t="s">
        <v>128</v>
      </c>
      <c r="U61" s="29">
        <v>300</v>
      </c>
      <c r="V61" s="29">
        <v>675</v>
      </c>
      <c r="W61" s="30">
        <v>-45.888199999999998</v>
      </c>
      <c r="X61" s="30">
        <v>0.1294905114638448</v>
      </c>
      <c r="Y61" s="29">
        <v>1</v>
      </c>
    </row>
    <row r="62" spans="11:25" x14ac:dyDescent="0.2">
      <c r="K62" s="27">
        <v>86</v>
      </c>
      <c r="L62" s="28" t="s">
        <v>128</v>
      </c>
      <c r="M62" s="29">
        <v>300</v>
      </c>
      <c r="N62" s="29">
        <v>675</v>
      </c>
      <c r="O62" s="30">
        <v>-44.560400000000001</v>
      </c>
      <c r="P62" s="30">
        <v>0.12574363315696649</v>
      </c>
      <c r="Q62" s="29">
        <v>1</v>
      </c>
      <c r="S62" s="27">
        <v>86</v>
      </c>
      <c r="T62" s="28" t="s">
        <v>128</v>
      </c>
      <c r="U62" s="29">
        <v>300</v>
      </c>
      <c r="V62" s="29">
        <v>675</v>
      </c>
      <c r="W62" s="30">
        <v>-44.55</v>
      </c>
      <c r="X62" s="30">
        <v>0.12571428571428572</v>
      </c>
      <c r="Y62" s="29">
        <v>1</v>
      </c>
    </row>
    <row r="63" spans="11:25" x14ac:dyDescent="0.2">
      <c r="K63" s="27">
        <v>69</v>
      </c>
      <c r="L63" s="28" t="s">
        <v>129</v>
      </c>
      <c r="M63" s="29">
        <v>700</v>
      </c>
      <c r="N63" s="29">
        <v>275</v>
      </c>
      <c r="O63" s="30">
        <v>-68.273600000000002</v>
      </c>
      <c r="P63" s="30">
        <v>0.20266745825602969</v>
      </c>
      <c r="Q63" s="29">
        <v>1</v>
      </c>
      <c r="S63" s="27">
        <v>69</v>
      </c>
      <c r="T63" s="28" t="s">
        <v>129</v>
      </c>
      <c r="U63" s="29">
        <v>700</v>
      </c>
      <c r="V63" s="29">
        <v>275</v>
      </c>
      <c r="W63" s="30">
        <v>-68.236000000000004</v>
      </c>
      <c r="X63" s="30">
        <v>0.20255584415584416</v>
      </c>
      <c r="Y63" s="29">
        <v>1</v>
      </c>
    </row>
    <row r="64" spans="11:25" x14ac:dyDescent="0.2">
      <c r="K64" s="27">
        <v>80</v>
      </c>
      <c r="L64" s="28" t="s">
        <v>128</v>
      </c>
      <c r="M64" s="29">
        <v>300</v>
      </c>
      <c r="N64" s="29">
        <v>675</v>
      </c>
      <c r="O64" s="30">
        <v>-8.7296999999999993</v>
      </c>
      <c r="P64" s="30">
        <v>2.4634074074074072E-2</v>
      </c>
      <c r="Q64" s="29">
        <v>1</v>
      </c>
      <c r="S64" s="27">
        <v>80</v>
      </c>
      <c r="T64" s="28" t="s">
        <v>128</v>
      </c>
      <c r="U64" s="29">
        <v>300</v>
      </c>
      <c r="V64" s="29">
        <v>675</v>
      </c>
      <c r="W64" s="30">
        <v>-8.7231000000000005</v>
      </c>
      <c r="X64" s="30">
        <v>2.4615449735449737E-2</v>
      </c>
      <c r="Y64" s="29">
        <v>1</v>
      </c>
    </row>
    <row r="65" spans="11:25" x14ac:dyDescent="0.2">
      <c r="K65" s="27">
        <v>81</v>
      </c>
      <c r="L65" s="28" t="s">
        <v>128</v>
      </c>
      <c r="M65" s="29">
        <v>300</v>
      </c>
      <c r="N65" s="29">
        <v>675</v>
      </c>
      <c r="O65" s="30">
        <v>-47.000900000000001</v>
      </c>
      <c r="P65" s="30">
        <v>0.13263040564373899</v>
      </c>
      <c r="Q65" s="29">
        <v>1</v>
      </c>
      <c r="S65" s="27">
        <v>81</v>
      </c>
      <c r="T65" s="28" t="s">
        <v>128</v>
      </c>
      <c r="U65" s="29">
        <v>300</v>
      </c>
      <c r="V65" s="29">
        <v>675</v>
      </c>
      <c r="W65" s="30">
        <v>-46.992800000000003</v>
      </c>
      <c r="X65" s="30">
        <v>0.13260754850088186</v>
      </c>
      <c r="Y65" s="29">
        <v>1</v>
      </c>
    </row>
    <row r="66" spans="11:25" x14ac:dyDescent="0.2">
      <c r="K66" s="27">
        <v>68</v>
      </c>
      <c r="L66" s="28" t="s">
        <v>129</v>
      </c>
      <c r="M66" s="29">
        <v>700</v>
      </c>
      <c r="N66" s="29">
        <v>275</v>
      </c>
      <c r="O66" s="30">
        <v>-67.621899999999997</v>
      </c>
      <c r="P66" s="30">
        <v>0.20073291280148423</v>
      </c>
      <c r="Q66" s="29">
        <v>1</v>
      </c>
      <c r="S66" s="27">
        <v>68</v>
      </c>
      <c r="T66" s="28" t="s">
        <v>129</v>
      </c>
      <c r="U66" s="29">
        <v>700</v>
      </c>
      <c r="V66" s="29">
        <v>275</v>
      </c>
      <c r="W66" s="30">
        <v>-67.583500000000001</v>
      </c>
      <c r="X66" s="30">
        <v>0.20061892393320965</v>
      </c>
      <c r="Y66" s="29">
        <v>1</v>
      </c>
    </row>
    <row r="67" spans="11:25" x14ac:dyDescent="0.2">
      <c r="K67" s="27">
        <v>83</v>
      </c>
      <c r="L67" s="28" t="s">
        <v>128</v>
      </c>
      <c r="M67" s="29">
        <v>300</v>
      </c>
      <c r="N67" s="29">
        <v>675</v>
      </c>
      <c r="O67" s="30">
        <v>-45.932200000000002</v>
      </c>
      <c r="P67" s="30">
        <v>0.12961467372134039</v>
      </c>
      <c r="Q67" s="29">
        <v>1</v>
      </c>
      <c r="S67" s="27">
        <v>83</v>
      </c>
      <c r="T67" s="28" t="s">
        <v>128</v>
      </c>
      <c r="U67" s="29">
        <v>300</v>
      </c>
      <c r="V67" s="29">
        <v>675</v>
      </c>
      <c r="W67" s="30">
        <v>-45.921599999999998</v>
      </c>
      <c r="X67" s="30">
        <v>0.1295847619047619</v>
      </c>
      <c r="Y67" s="29">
        <v>1</v>
      </c>
    </row>
    <row r="68" spans="11:25" x14ac:dyDescent="0.2">
      <c r="K68" s="27">
        <v>84</v>
      </c>
      <c r="L68" s="28" t="s">
        <v>128</v>
      </c>
      <c r="M68" s="29">
        <v>300</v>
      </c>
      <c r="N68" s="29">
        <v>675</v>
      </c>
      <c r="O68" s="30">
        <v>-44.595700000000001</v>
      </c>
      <c r="P68" s="30">
        <v>0.12584324514991183</v>
      </c>
      <c r="Q68" s="29">
        <v>1</v>
      </c>
      <c r="S68" s="27">
        <v>84</v>
      </c>
      <c r="T68" s="28" t="s">
        <v>128</v>
      </c>
      <c r="U68" s="29">
        <v>300</v>
      </c>
      <c r="V68" s="29">
        <v>675</v>
      </c>
      <c r="W68" s="30">
        <v>-44.586100000000002</v>
      </c>
      <c r="X68" s="30">
        <v>0.12581615520282186</v>
      </c>
      <c r="Y68" s="29">
        <v>1</v>
      </c>
    </row>
    <row r="69" spans="11:25" x14ac:dyDescent="0.2">
      <c r="K69" s="27">
        <v>70</v>
      </c>
      <c r="L69" s="28" t="s">
        <v>129</v>
      </c>
      <c r="M69" s="29">
        <v>700</v>
      </c>
      <c r="N69" s="29">
        <v>275</v>
      </c>
      <c r="O69" s="30">
        <v>-68.487799999999993</v>
      </c>
      <c r="P69" s="30">
        <v>0.2033033024118738</v>
      </c>
      <c r="Q69" s="29">
        <v>1</v>
      </c>
      <c r="S69" s="27">
        <v>70</v>
      </c>
      <c r="T69" s="28" t="s">
        <v>129</v>
      </c>
      <c r="U69" s="29">
        <v>700</v>
      </c>
      <c r="V69" s="29">
        <v>275</v>
      </c>
      <c r="W69" s="30">
        <v>-68.448499999999996</v>
      </c>
      <c r="X69" s="30">
        <v>0.20318664192949906</v>
      </c>
      <c r="Y69" s="29">
        <v>1</v>
      </c>
    </row>
    <row r="70" spans="11:25" x14ac:dyDescent="0.2">
      <c r="K70" s="27">
        <v>79</v>
      </c>
      <c r="L70" s="28" t="s">
        <v>128</v>
      </c>
      <c r="M70" s="29">
        <v>300</v>
      </c>
      <c r="N70" s="29">
        <v>675</v>
      </c>
      <c r="O70" s="30">
        <v>-8.6281999999999996</v>
      </c>
      <c r="P70" s="30">
        <v>2.4347654320987653E-2</v>
      </c>
      <c r="Q70" s="29">
        <v>1</v>
      </c>
      <c r="S70" s="27">
        <v>79</v>
      </c>
      <c r="T70" s="28" t="s">
        <v>128</v>
      </c>
      <c r="U70" s="29">
        <v>300</v>
      </c>
      <c r="V70" s="29">
        <v>675</v>
      </c>
      <c r="W70" s="30">
        <v>-8.6196000000000002</v>
      </c>
      <c r="X70" s="30">
        <v>2.4323386243386244E-2</v>
      </c>
      <c r="Y70" s="29">
        <v>1</v>
      </c>
    </row>
    <row r="71" spans="11:25" x14ac:dyDescent="0.2">
      <c r="K71" s="27">
        <v>63</v>
      </c>
      <c r="L71" s="28" t="s">
        <v>127</v>
      </c>
      <c r="M71" s="29">
        <v>300</v>
      </c>
      <c r="N71" s="29">
        <v>275</v>
      </c>
      <c r="O71" s="30">
        <v>-27.186599999999999</v>
      </c>
      <c r="P71" s="30">
        <v>0.18830545454545453</v>
      </c>
      <c r="Q71" s="29">
        <v>1</v>
      </c>
      <c r="S71" s="27">
        <v>63</v>
      </c>
      <c r="T71" s="28" t="s">
        <v>127</v>
      </c>
      <c r="U71" s="29">
        <v>300</v>
      </c>
      <c r="V71" s="29">
        <v>275</v>
      </c>
      <c r="W71" s="30">
        <v>-27.18</v>
      </c>
      <c r="X71" s="30">
        <v>0.18825974025974027</v>
      </c>
      <c r="Y71" s="29">
        <v>1</v>
      </c>
    </row>
    <row r="72" spans="11:25" x14ac:dyDescent="0.2">
      <c r="K72" s="27">
        <v>75</v>
      </c>
      <c r="L72" s="28" t="s">
        <v>128</v>
      </c>
      <c r="M72" s="29">
        <v>300</v>
      </c>
      <c r="N72" s="29">
        <v>675</v>
      </c>
      <c r="O72" s="30">
        <v>-33.183999999999997</v>
      </c>
      <c r="P72" s="30">
        <v>9.3640917107583779E-2</v>
      </c>
      <c r="Q72" s="29">
        <v>1</v>
      </c>
      <c r="S72" s="27">
        <v>75</v>
      </c>
      <c r="T72" s="28" t="s">
        <v>128</v>
      </c>
      <c r="U72" s="29">
        <v>300</v>
      </c>
      <c r="V72" s="29">
        <v>675</v>
      </c>
      <c r="W72" s="30">
        <v>-33.177100000000003</v>
      </c>
      <c r="X72" s="30">
        <v>9.3621446208112885E-2</v>
      </c>
      <c r="Y72" s="29">
        <v>1</v>
      </c>
    </row>
    <row r="73" spans="11:25" x14ac:dyDescent="0.2">
      <c r="K73" s="27">
        <v>71</v>
      </c>
      <c r="L73" s="28" t="s">
        <v>129</v>
      </c>
      <c r="M73" s="29">
        <v>700</v>
      </c>
      <c r="N73" s="29">
        <v>275</v>
      </c>
      <c r="O73" s="30">
        <v>-56.047199999999997</v>
      </c>
      <c r="P73" s="30">
        <v>0.1663738775510204</v>
      </c>
      <c r="Q73" s="29">
        <v>1</v>
      </c>
      <c r="S73" s="27">
        <v>71</v>
      </c>
      <c r="T73" s="28" t="s">
        <v>129</v>
      </c>
      <c r="U73" s="29">
        <v>700</v>
      </c>
      <c r="V73" s="29">
        <v>275</v>
      </c>
      <c r="W73" s="30">
        <v>-56.016599999999997</v>
      </c>
      <c r="X73" s="30">
        <v>0.16628304267161409</v>
      </c>
      <c r="Y73" s="29">
        <v>1</v>
      </c>
    </row>
    <row r="74" spans="11:25" x14ac:dyDescent="0.2">
      <c r="K74" s="27">
        <v>72</v>
      </c>
      <c r="L74" s="28" t="s">
        <v>129</v>
      </c>
      <c r="M74" s="29">
        <v>700</v>
      </c>
      <c r="N74" s="29">
        <v>275</v>
      </c>
      <c r="O74" s="30">
        <v>-55.945</v>
      </c>
      <c r="P74" s="30">
        <v>0.16607050092764378</v>
      </c>
      <c r="Q74" s="29">
        <v>1</v>
      </c>
      <c r="S74" s="27">
        <v>72</v>
      </c>
      <c r="T74" s="28" t="s">
        <v>129</v>
      </c>
      <c r="U74" s="29">
        <v>700</v>
      </c>
      <c r="V74" s="29">
        <v>275</v>
      </c>
      <c r="W74" s="30">
        <v>-55.912199999999999</v>
      </c>
      <c r="X74" s="30">
        <v>0.16597313543599257</v>
      </c>
      <c r="Y74" s="29">
        <v>1</v>
      </c>
    </row>
    <row r="75" spans="11:25" x14ac:dyDescent="0.2">
      <c r="K75" s="27">
        <v>76</v>
      </c>
      <c r="L75" s="28" t="s">
        <v>128</v>
      </c>
      <c r="M75" s="29">
        <v>300</v>
      </c>
      <c r="N75" s="29">
        <v>675</v>
      </c>
      <c r="O75" s="30">
        <v>-35.435000000000002</v>
      </c>
      <c r="P75" s="30">
        <v>9.9992945326278657E-2</v>
      </c>
      <c r="Q75" s="29">
        <v>1</v>
      </c>
      <c r="S75" s="27">
        <v>76</v>
      </c>
      <c r="T75" s="28" t="s">
        <v>128</v>
      </c>
      <c r="U75" s="29">
        <v>300</v>
      </c>
      <c r="V75" s="29">
        <v>675</v>
      </c>
      <c r="W75" s="30">
        <v>-35.427300000000002</v>
      </c>
      <c r="X75" s="30">
        <v>9.9971216931216939E-2</v>
      </c>
      <c r="Y75" s="29">
        <v>1</v>
      </c>
    </row>
    <row r="76" spans="11:25" x14ac:dyDescent="0.2">
      <c r="K76" s="27">
        <v>64</v>
      </c>
      <c r="L76" s="28" t="s">
        <v>127</v>
      </c>
      <c r="M76" s="29">
        <v>300</v>
      </c>
      <c r="N76" s="29">
        <v>275</v>
      </c>
      <c r="O76" s="30">
        <v>-5.1494</v>
      </c>
      <c r="P76" s="30">
        <v>3.5666839826839825E-2</v>
      </c>
      <c r="Q76" s="29">
        <v>1</v>
      </c>
      <c r="S76" s="27">
        <v>64</v>
      </c>
      <c r="T76" s="28" t="s">
        <v>127</v>
      </c>
      <c r="U76" s="29">
        <v>300</v>
      </c>
      <c r="V76" s="29">
        <v>275</v>
      </c>
      <c r="W76" s="30">
        <v>-5.149</v>
      </c>
      <c r="X76" s="30">
        <v>3.5664069264069266E-2</v>
      </c>
      <c r="Y76" s="29">
        <v>1</v>
      </c>
    </row>
    <row r="77" spans="11:25" x14ac:dyDescent="0.2">
      <c r="K77" s="27">
        <v>127</v>
      </c>
      <c r="L77" s="28" t="s">
        <v>127</v>
      </c>
      <c r="M77" s="29">
        <v>300</v>
      </c>
      <c r="N77" s="29">
        <v>275</v>
      </c>
      <c r="O77" s="30">
        <v>-28.706399999999999</v>
      </c>
      <c r="P77" s="30">
        <v>0.19883220779220778</v>
      </c>
      <c r="Q77" s="29">
        <v>1</v>
      </c>
      <c r="S77" s="27">
        <v>127</v>
      </c>
      <c r="T77" s="28" t="s">
        <v>127</v>
      </c>
      <c r="U77" s="29">
        <v>300</v>
      </c>
      <c r="V77" s="29">
        <v>275</v>
      </c>
      <c r="W77" s="30">
        <v>-28.716899999999999</v>
      </c>
      <c r="X77" s="30">
        <v>0.19890493506493506</v>
      </c>
      <c r="Y77" s="29">
        <v>1</v>
      </c>
    </row>
    <row r="78" spans="11:25" x14ac:dyDescent="0.2">
      <c r="K78" s="27">
        <v>139</v>
      </c>
      <c r="L78" s="28" t="s">
        <v>128</v>
      </c>
      <c r="M78" s="29">
        <v>300</v>
      </c>
      <c r="N78" s="29">
        <v>675</v>
      </c>
      <c r="O78" s="30">
        <v>-34.887900000000002</v>
      </c>
      <c r="P78" s="30">
        <v>9.8449100529100539E-2</v>
      </c>
      <c r="Q78" s="29">
        <v>1</v>
      </c>
      <c r="S78" s="27">
        <v>139</v>
      </c>
      <c r="T78" s="28" t="s">
        <v>128</v>
      </c>
      <c r="U78" s="29">
        <v>300</v>
      </c>
      <c r="V78" s="29">
        <v>675</v>
      </c>
      <c r="W78" s="30">
        <v>-34.913499999999999</v>
      </c>
      <c r="X78" s="30">
        <v>9.8521340388007056E-2</v>
      </c>
      <c r="Y78" s="29">
        <v>1</v>
      </c>
    </row>
    <row r="79" spans="11:25" x14ac:dyDescent="0.2">
      <c r="K79" s="27">
        <v>135</v>
      </c>
      <c r="L79" s="28" t="s">
        <v>129</v>
      </c>
      <c r="M79" s="29">
        <v>700</v>
      </c>
      <c r="N79" s="29">
        <v>275</v>
      </c>
      <c r="O79" s="30">
        <v>-74.877700000000004</v>
      </c>
      <c r="P79" s="30">
        <v>0.22227146567718001</v>
      </c>
      <c r="Q79" s="29">
        <v>1</v>
      </c>
      <c r="S79" s="27">
        <v>135</v>
      </c>
      <c r="T79" s="28" t="s">
        <v>129</v>
      </c>
      <c r="U79" s="29">
        <v>700</v>
      </c>
      <c r="V79" s="29">
        <v>275</v>
      </c>
      <c r="W79" s="30">
        <v>-74.950500000000005</v>
      </c>
      <c r="X79" s="30">
        <v>0.22248756957328386</v>
      </c>
      <c r="Y79" s="29">
        <v>1</v>
      </c>
    </row>
    <row r="80" spans="11:25" x14ac:dyDescent="0.2">
      <c r="K80" s="27">
        <v>136</v>
      </c>
      <c r="L80" s="28" t="s">
        <v>129</v>
      </c>
      <c r="M80" s="29">
        <v>700</v>
      </c>
      <c r="N80" s="29">
        <v>275</v>
      </c>
      <c r="O80" s="30">
        <v>-74.760800000000003</v>
      </c>
      <c r="P80" s="30">
        <v>0.22192445269016697</v>
      </c>
      <c r="Q80" s="29">
        <v>1</v>
      </c>
      <c r="S80" s="27">
        <v>136</v>
      </c>
      <c r="T80" s="28" t="s">
        <v>129</v>
      </c>
      <c r="U80" s="29">
        <v>700</v>
      </c>
      <c r="V80" s="29">
        <v>275</v>
      </c>
      <c r="W80" s="30">
        <v>-74.834000000000003</v>
      </c>
      <c r="X80" s="30">
        <v>0.22214174397031539</v>
      </c>
      <c r="Y80" s="29">
        <v>1</v>
      </c>
    </row>
    <row r="81" spans="11:25" x14ac:dyDescent="0.2">
      <c r="K81" s="27">
        <v>140</v>
      </c>
      <c r="L81" s="28" t="s">
        <v>128</v>
      </c>
      <c r="M81" s="29">
        <v>300</v>
      </c>
      <c r="N81" s="29">
        <v>675</v>
      </c>
      <c r="O81" s="30">
        <v>-37.214500000000001</v>
      </c>
      <c r="P81" s="30">
        <v>0.10501446208112875</v>
      </c>
      <c r="Q81" s="29">
        <v>1</v>
      </c>
      <c r="S81" s="27">
        <v>140</v>
      </c>
      <c r="T81" s="28" t="s">
        <v>128</v>
      </c>
      <c r="U81" s="29">
        <v>300</v>
      </c>
      <c r="V81" s="29">
        <v>675</v>
      </c>
      <c r="W81" s="30">
        <v>-37.252600000000001</v>
      </c>
      <c r="X81" s="30">
        <v>0.10512197530864197</v>
      </c>
      <c r="Y81" s="29">
        <v>1</v>
      </c>
    </row>
    <row r="82" spans="11:25" x14ac:dyDescent="0.2">
      <c r="K82" s="27">
        <v>128</v>
      </c>
      <c r="L82" s="28" t="s">
        <v>127</v>
      </c>
      <c r="M82" s="29">
        <v>300</v>
      </c>
      <c r="N82" s="29">
        <v>275</v>
      </c>
      <c r="O82" s="30">
        <v>-4.9263000000000003</v>
      </c>
      <c r="P82" s="30">
        <v>3.4121558441558446E-2</v>
      </c>
      <c r="Q82" s="29">
        <v>1</v>
      </c>
      <c r="S82" s="27">
        <v>128</v>
      </c>
      <c r="T82" s="28" t="s">
        <v>127</v>
      </c>
      <c r="U82" s="29">
        <v>300</v>
      </c>
      <c r="V82" s="29">
        <v>275</v>
      </c>
      <c r="W82" s="30">
        <v>-4.9363999999999999</v>
      </c>
      <c r="X82" s="30">
        <v>3.4191515151515146E-2</v>
      </c>
      <c r="Y82" s="29">
        <v>1</v>
      </c>
    </row>
    <row r="83" spans="11:25" x14ac:dyDescent="0.2">
      <c r="K83" s="27">
        <v>144</v>
      </c>
      <c r="L83" s="28" t="s">
        <v>128</v>
      </c>
      <c r="M83" s="29">
        <v>300</v>
      </c>
      <c r="N83" s="29">
        <v>675</v>
      </c>
      <c r="O83" s="30">
        <v>-49.911200000000001</v>
      </c>
      <c r="P83" s="30">
        <v>0.14084289241622577</v>
      </c>
      <c r="Q83" s="29">
        <v>1</v>
      </c>
      <c r="S83" s="27">
        <v>144</v>
      </c>
      <c r="T83" s="28" t="s">
        <v>128</v>
      </c>
      <c r="U83" s="29">
        <v>300</v>
      </c>
      <c r="V83" s="29">
        <v>675</v>
      </c>
      <c r="W83" s="30">
        <v>-49.932000000000002</v>
      </c>
      <c r="X83" s="30">
        <v>0.14090158730158731</v>
      </c>
      <c r="Y83" s="29">
        <v>1</v>
      </c>
    </row>
    <row r="84" spans="11:25" x14ac:dyDescent="0.2">
      <c r="K84" s="27">
        <v>129</v>
      </c>
      <c r="L84" s="28" t="s">
        <v>129</v>
      </c>
      <c r="M84" s="29">
        <v>700</v>
      </c>
      <c r="N84" s="29">
        <v>275</v>
      </c>
      <c r="O84" s="30">
        <v>-84.077299999999994</v>
      </c>
      <c r="P84" s="30">
        <v>0.24958011131725413</v>
      </c>
      <c r="Q84" s="29">
        <v>1</v>
      </c>
      <c r="S84" s="27">
        <v>129</v>
      </c>
      <c r="T84" s="28" t="s">
        <v>129</v>
      </c>
      <c r="U84" s="29">
        <v>700</v>
      </c>
      <c r="V84" s="29">
        <v>275</v>
      </c>
      <c r="W84" s="30">
        <v>-84.181200000000004</v>
      </c>
      <c r="X84" s="30">
        <v>0.24988853432282002</v>
      </c>
      <c r="Y84" s="29">
        <v>1</v>
      </c>
    </row>
    <row r="85" spans="11:25" x14ac:dyDescent="0.2">
      <c r="K85" s="27">
        <v>147</v>
      </c>
      <c r="L85" s="28" t="s">
        <v>128</v>
      </c>
      <c r="M85" s="29">
        <v>300</v>
      </c>
      <c r="N85" s="29">
        <v>675</v>
      </c>
      <c r="O85" s="30">
        <v>-47.6004</v>
      </c>
      <c r="P85" s="30">
        <v>0.13432211640211641</v>
      </c>
      <c r="Q85" s="29">
        <v>1</v>
      </c>
      <c r="S85" s="27">
        <v>147</v>
      </c>
      <c r="T85" s="28" t="s">
        <v>128</v>
      </c>
      <c r="U85" s="29">
        <v>300</v>
      </c>
      <c r="V85" s="29">
        <v>675</v>
      </c>
      <c r="W85" s="30">
        <v>-47.639000000000003</v>
      </c>
      <c r="X85" s="30">
        <v>0.13443104056437391</v>
      </c>
      <c r="Y85" s="29">
        <v>1</v>
      </c>
    </row>
    <row r="86" spans="11:25" x14ac:dyDescent="0.2">
      <c r="K86" s="27">
        <v>148</v>
      </c>
      <c r="L86" s="28" t="s">
        <v>128</v>
      </c>
      <c r="M86" s="29">
        <v>300</v>
      </c>
      <c r="N86" s="29">
        <v>675</v>
      </c>
      <c r="O86" s="30">
        <v>-46.089500000000001</v>
      </c>
      <c r="P86" s="30">
        <v>0.13005855379188713</v>
      </c>
      <c r="Q86" s="29">
        <v>1</v>
      </c>
      <c r="S86" s="27">
        <v>148</v>
      </c>
      <c r="T86" s="28" t="s">
        <v>128</v>
      </c>
      <c r="U86" s="29">
        <v>300</v>
      </c>
      <c r="V86" s="29">
        <v>675</v>
      </c>
      <c r="W86" s="30">
        <v>-46.125500000000002</v>
      </c>
      <c r="X86" s="30">
        <v>0.13016014109347443</v>
      </c>
      <c r="Y86" s="29">
        <v>1</v>
      </c>
    </row>
    <row r="87" spans="11:25" x14ac:dyDescent="0.2">
      <c r="K87" s="27">
        <v>131</v>
      </c>
      <c r="L87" s="28" t="s">
        <v>129</v>
      </c>
      <c r="M87" s="29">
        <v>700</v>
      </c>
      <c r="N87" s="29">
        <v>275</v>
      </c>
      <c r="O87" s="30">
        <v>-85.718299999999999</v>
      </c>
      <c r="P87" s="30">
        <v>0.25445135435992577</v>
      </c>
      <c r="Q87" s="29">
        <v>1</v>
      </c>
      <c r="S87" s="27">
        <v>131</v>
      </c>
      <c r="T87" s="28" t="s">
        <v>129</v>
      </c>
      <c r="U87" s="29">
        <v>700</v>
      </c>
      <c r="V87" s="29">
        <v>275</v>
      </c>
      <c r="W87" s="30">
        <v>-85.822999999999993</v>
      </c>
      <c r="X87" s="30">
        <v>0.25476215213358072</v>
      </c>
      <c r="Y87" s="29">
        <v>1</v>
      </c>
    </row>
    <row r="88" spans="11:25" x14ac:dyDescent="0.2">
      <c r="K88" s="27">
        <v>142</v>
      </c>
      <c r="L88" s="28" t="s">
        <v>128</v>
      </c>
      <c r="M88" s="29">
        <v>300</v>
      </c>
      <c r="N88" s="29">
        <v>675</v>
      </c>
      <c r="O88" s="30">
        <v>-9.5399999999999991</v>
      </c>
      <c r="P88" s="30">
        <v>2.6920634920634921E-2</v>
      </c>
      <c r="Q88" s="29">
        <v>1</v>
      </c>
      <c r="S88" s="27">
        <v>142</v>
      </c>
      <c r="T88" s="28" t="s">
        <v>128</v>
      </c>
      <c r="U88" s="29">
        <v>300</v>
      </c>
      <c r="V88" s="29">
        <v>675</v>
      </c>
      <c r="W88" s="30">
        <v>-9.5634999999999994</v>
      </c>
      <c r="X88" s="30">
        <v>2.6986948853615519E-2</v>
      </c>
      <c r="Y88" s="29">
        <v>1</v>
      </c>
    </row>
    <row r="89" spans="11:25" x14ac:dyDescent="0.2">
      <c r="K89" s="27">
        <v>143</v>
      </c>
      <c r="L89" s="28" t="s">
        <v>128</v>
      </c>
      <c r="M89" s="29">
        <v>300</v>
      </c>
      <c r="N89" s="29">
        <v>675</v>
      </c>
      <c r="O89" s="30">
        <v>-49.933500000000002</v>
      </c>
      <c r="P89" s="30">
        <v>0.14090582010582012</v>
      </c>
      <c r="Q89" s="29">
        <v>1</v>
      </c>
      <c r="S89" s="27">
        <v>143</v>
      </c>
      <c r="T89" s="28" t="s">
        <v>128</v>
      </c>
      <c r="U89" s="29">
        <v>300</v>
      </c>
      <c r="V89" s="29">
        <v>675</v>
      </c>
      <c r="W89" s="30">
        <v>-49.954000000000001</v>
      </c>
      <c r="X89" s="30">
        <v>0.14096366843033509</v>
      </c>
      <c r="Y89" s="29">
        <v>1</v>
      </c>
    </row>
    <row r="90" spans="11:25" x14ac:dyDescent="0.2">
      <c r="K90" s="27">
        <v>130</v>
      </c>
      <c r="L90" s="28" t="s">
        <v>129</v>
      </c>
      <c r="M90" s="29">
        <v>700</v>
      </c>
      <c r="N90" s="29">
        <v>275</v>
      </c>
      <c r="O90" s="30">
        <v>-84.148399999999995</v>
      </c>
      <c r="P90" s="30">
        <v>0.24979116883116881</v>
      </c>
      <c r="Q90" s="29">
        <v>1</v>
      </c>
      <c r="S90" s="27">
        <v>130</v>
      </c>
      <c r="T90" s="28" t="s">
        <v>129</v>
      </c>
      <c r="U90" s="29">
        <v>700</v>
      </c>
      <c r="V90" s="29">
        <v>275</v>
      </c>
      <c r="W90" s="30">
        <v>-84.2483</v>
      </c>
      <c r="X90" s="30">
        <v>0.25008771799628943</v>
      </c>
      <c r="Y90" s="29">
        <v>1</v>
      </c>
    </row>
    <row r="91" spans="11:25" x14ac:dyDescent="0.2">
      <c r="K91" s="27">
        <v>145</v>
      </c>
      <c r="L91" s="28" t="s">
        <v>128</v>
      </c>
      <c r="M91" s="29">
        <v>300</v>
      </c>
      <c r="N91" s="29">
        <v>675</v>
      </c>
      <c r="O91" s="30">
        <v>-47.634799999999998</v>
      </c>
      <c r="P91" s="30">
        <v>0.13441918871252204</v>
      </c>
      <c r="Q91" s="29">
        <v>1</v>
      </c>
      <c r="S91" s="27">
        <v>145</v>
      </c>
      <c r="T91" s="28" t="s">
        <v>128</v>
      </c>
      <c r="U91" s="29">
        <v>300</v>
      </c>
      <c r="V91" s="29">
        <v>675</v>
      </c>
      <c r="W91" s="30">
        <v>-47.6706</v>
      </c>
      <c r="X91" s="30">
        <v>0.13452021164021163</v>
      </c>
      <c r="Y91" s="29">
        <v>1</v>
      </c>
    </row>
    <row r="92" spans="11:25" x14ac:dyDescent="0.2">
      <c r="K92" s="27">
        <v>146</v>
      </c>
      <c r="L92" s="28" t="s">
        <v>128</v>
      </c>
      <c r="M92" s="29">
        <v>300</v>
      </c>
      <c r="N92" s="29">
        <v>675</v>
      </c>
      <c r="O92" s="30">
        <v>-46.123899999999999</v>
      </c>
      <c r="P92" s="30">
        <v>0.13015562610229278</v>
      </c>
      <c r="Q92" s="29">
        <v>1</v>
      </c>
      <c r="S92" s="27">
        <v>146</v>
      </c>
      <c r="T92" s="28" t="s">
        <v>128</v>
      </c>
      <c r="U92" s="29">
        <v>300</v>
      </c>
      <c r="V92" s="29">
        <v>675</v>
      </c>
      <c r="W92" s="30">
        <v>-46.160200000000003</v>
      </c>
      <c r="X92" s="30">
        <v>0.13025805996472664</v>
      </c>
      <c r="Y92" s="29">
        <v>1</v>
      </c>
    </row>
    <row r="93" spans="11:25" x14ac:dyDescent="0.2">
      <c r="K93" s="27">
        <v>132</v>
      </c>
      <c r="L93" s="28" t="s">
        <v>129</v>
      </c>
      <c r="M93" s="29">
        <v>700</v>
      </c>
      <c r="N93" s="29">
        <v>275</v>
      </c>
      <c r="O93" s="30">
        <v>-85.754000000000005</v>
      </c>
      <c r="P93" s="30">
        <v>0.25455732838589984</v>
      </c>
      <c r="Q93" s="29">
        <v>1</v>
      </c>
      <c r="S93" s="27">
        <v>132</v>
      </c>
      <c r="T93" s="28" t="s">
        <v>129</v>
      </c>
      <c r="U93" s="29">
        <v>700</v>
      </c>
      <c r="V93" s="29">
        <v>275</v>
      </c>
      <c r="W93" s="30">
        <v>-85.853999999999999</v>
      </c>
      <c r="X93" s="30">
        <v>0.25485417439703156</v>
      </c>
      <c r="Y93" s="29">
        <v>1</v>
      </c>
    </row>
    <row r="94" spans="11:25" x14ac:dyDescent="0.2">
      <c r="K94" s="27">
        <v>141</v>
      </c>
      <c r="L94" s="28" t="s">
        <v>128</v>
      </c>
      <c r="M94" s="29">
        <v>300</v>
      </c>
      <c r="N94" s="29">
        <v>675</v>
      </c>
      <c r="O94" s="30">
        <v>-9.5886999999999993</v>
      </c>
      <c r="P94" s="30">
        <v>2.7058059964726627E-2</v>
      </c>
      <c r="Q94" s="29">
        <v>1</v>
      </c>
      <c r="S94" s="27">
        <v>141</v>
      </c>
      <c r="T94" s="28" t="s">
        <v>128</v>
      </c>
      <c r="U94" s="29">
        <v>300</v>
      </c>
      <c r="V94" s="29">
        <v>675</v>
      </c>
      <c r="W94" s="30">
        <v>-9.6096000000000004</v>
      </c>
      <c r="X94" s="30">
        <v>2.7117037037037037E-2</v>
      </c>
      <c r="Y94" s="29">
        <v>1</v>
      </c>
    </row>
    <row r="95" spans="11:25" x14ac:dyDescent="0.2">
      <c r="K95" s="27">
        <v>125</v>
      </c>
      <c r="L95" s="28" t="s">
        <v>127</v>
      </c>
      <c r="M95" s="29">
        <v>300</v>
      </c>
      <c r="N95" s="29">
        <v>275</v>
      </c>
      <c r="O95" s="30">
        <v>-28.742100000000001</v>
      </c>
      <c r="P95" s="30">
        <v>0.19907948051948055</v>
      </c>
      <c r="Q95" s="29">
        <v>1</v>
      </c>
      <c r="S95" s="27">
        <v>125</v>
      </c>
      <c r="T95" s="28" t="s">
        <v>127</v>
      </c>
      <c r="U95" s="29">
        <v>300</v>
      </c>
      <c r="V95" s="29">
        <v>275</v>
      </c>
      <c r="W95" s="30">
        <v>-28.761500000000002</v>
      </c>
      <c r="X95" s="30">
        <v>0.19921385281385282</v>
      </c>
      <c r="Y95" s="29">
        <v>1</v>
      </c>
    </row>
    <row r="96" spans="11:25" x14ac:dyDescent="0.2">
      <c r="K96" s="27">
        <v>137</v>
      </c>
      <c r="L96" s="28" t="s">
        <v>128</v>
      </c>
      <c r="M96" s="29">
        <v>300</v>
      </c>
      <c r="N96" s="29">
        <v>675</v>
      </c>
      <c r="O96" s="30">
        <v>-34.973500000000001</v>
      </c>
      <c r="P96" s="30">
        <v>9.8690652557319222E-2</v>
      </c>
      <c r="Q96" s="29">
        <v>1</v>
      </c>
      <c r="S96" s="27">
        <v>137</v>
      </c>
      <c r="T96" s="28" t="s">
        <v>128</v>
      </c>
      <c r="U96" s="29">
        <v>300</v>
      </c>
      <c r="V96" s="29">
        <v>675</v>
      </c>
      <c r="W96" s="30">
        <v>-35.001300000000001</v>
      </c>
      <c r="X96" s="30">
        <v>9.876910052910054E-2</v>
      </c>
      <c r="Y96" s="29">
        <v>1</v>
      </c>
    </row>
    <row r="97" spans="11:25" x14ac:dyDescent="0.2">
      <c r="K97" s="27">
        <v>133</v>
      </c>
      <c r="L97" s="28" t="s">
        <v>129</v>
      </c>
      <c r="M97" s="29">
        <v>700</v>
      </c>
      <c r="N97" s="29">
        <v>275</v>
      </c>
      <c r="O97" s="30">
        <v>-75.051199999999994</v>
      </c>
      <c r="P97" s="30">
        <v>0.22278649350649349</v>
      </c>
      <c r="Q97" s="29">
        <v>1</v>
      </c>
      <c r="S97" s="27">
        <v>133</v>
      </c>
      <c r="T97" s="28" t="s">
        <v>129</v>
      </c>
      <c r="U97" s="29">
        <v>700</v>
      </c>
      <c r="V97" s="29">
        <v>275</v>
      </c>
      <c r="W97" s="30">
        <v>-75.147599999999997</v>
      </c>
      <c r="X97" s="30">
        <v>0.22307265306122445</v>
      </c>
      <c r="Y97" s="29">
        <v>1</v>
      </c>
    </row>
    <row r="98" spans="11:25" x14ac:dyDescent="0.2">
      <c r="K98" s="27">
        <v>134</v>
      </c>
      <c r="L98" s="28" t="s">
        <v>129</v>
      </c>
      <c r="M98" s="29">
        <v>700</v>
      </c>
      <c r="N98" s="29">
        <v>275</v>
      </c>
      <c r="O98" s="30">
        <v>-74.935699999999997</v>
      </c>
      <c r="P98" s="30">
        <v>0.22244363636363634</v>
      </c>
      <c r="Q98" s="29">
        <v>1</v>
      </c>
      <c r="S98" s="27">
        <v>134</v>
      </c>
      <c r="T98" s="28" t="s">
        <v>129</v>
      </c>
      <c r="U98" s="29">
        <v>700</v>
      </c>
      <c r="V98" s="29">
        <v>275</v>
      </c>
      <c r="W98" s="30">
        <v>-75.039599999999993</v>
      </c>
      <c r="X98" s="30">
        <v>0.2227520593692022</v>
      </c>
      <c r="Y98" s="29">
        <v>1</v>
      </c>
    </row>
    <row r="99" spans="11:25" x14ac:dyDescent="0.2">
      <c r="K99" s="27">
        <v>138</v>
      </c>
      <c r="L99" s="28" t="s">
        <v>128</v>
      </c>
      <c r="M99" s="29">
        <v>300</v>
      </c>
      <c r="N99" s="29">
        <v>675</v>
      </c>
      <c r="O99" s="30">
        <v>-37.273299999999999</v>
      </c>
      <c r="P99" s="30">
        <v>0.10518038800705466</v>
      </c>
      <c r="Q99" s="29">
        <v>1</v>
      </c>
      <c r="S99" s="27">
        <v>138</v>
      </c>
      <c r="T99" s="28" t="s">
        <v>128</v>
      </c>
      <c r="U99" s="29">
        <v>300</v>
      </c>
      <c r="V99" s="29">
        <v>675</v>
      </c>
      <c r="W99" s="30">
        <v>-37.3065</v>
      </c>
      <c r="X99" s="30">
        <v>0.10527407407407408</v>
      </c>
      <c r="Y99" s="29">
        <v>1</v>
      </c>
    </row>
    <row r="100" spans="11:25" x14ac:dyDescent="0.2">
      <c r="K100" s="27">
        <v>126</v>
      </c>
      <c r="L100" s="28" t="s">
        <v>127</v>
      </c>
      <c r="M100" s="29">
        <v>300</v>
      </c>
      <c r="N100" s="29">
        <v>275</v>
      </c>
      <c r="O100" s="30">
        <v>-4.9946999999999999</v>
      </c>
      <c r="P100" s="30">
        <v>3.4595324675324675E-2</v>
      </c>
      <c r="Q100" s="29">
        <v>1</v>
      </c>
      <c r="S100" s="27">
        <v>126</v>
      </c>
      <c r="T100" s="28" t="s">
        <v>127</v>
      </c>
      <c r="U100" s="29">
        <v>300</v>
      </c>
      <c r="V100" s="29">
        <v>275</v>
      </c>
      <c r="W100" s="30">
        <v>-5.0082000000000004</v>
      </c>
      <c r="X100" s="30">
        <v>3.4688831168831175E-2</v>
      </c>
      <c r="Y100" s="29">
        <v>1</v>
      </c>
    </row>
    <row r="101" spans="11:25" x14ac:dyDescent="0.2">
      <c r="K101" s="27">
        <v>3</v>
      </c>
      <c r="L101" s="28" t="s">
        <v>127</v>
      </c>
      <c r="M101" s="29">
        <v>300</v>
      </c>
      <c r="N101" s="29">
        <v>275</v>
      </c>
      <c r="O101" s="30">
        <v>-22.383500000000002</v>
      </c>
      <c r="P101" s="30">
        <v>0.15503722943722945</v>
      </c>
      <c r="Q101" s="29">
        <v>1</v>
      </c>
      <c r="S101" s="27">
        <v>3</v>
      </c>
      <c r="T101" s="28" t="s">
        <v>127</v>
      </c>
      <c r="U101" s="29">
        <v>300</v>
      </c>
      <c r="V101" s="29">
        <v>275</v>
      </c>
      <c r="W101" s="30">
        <v>-22.4298</v>
      </c>
      <c r="X101" s="30">
        <v>0.15535792207792207</v>
      </c>
      <c r="Y101" s="29">
        <v>1</v>
      </c>
    </row>
    <row r="102" spans="11:25" x14ac:dyDescent="0.2">
      <c r="K102" s="27">
        <v>15</v>
      </c>
      <c r="L102" s="28" t="s">
        <v>128</v>
      </c>
      <c r="M102" s="29">
        <v>300</v>
      </c>
      <c r="N102" s="29">
        <v>675</v>
      </c>
      <c r="O102" s="30">
        <v>-32.552700000000002</v>
      </c>
      <c r="P102" s="30">
        <v>9.1859470899470899E-2</v>
      </c>
      <c r="Q102" s="29">
        <v>1</v>
      </c>
      <c r="S102" s="27">
        <v>15</v>
      </c>
      <c r="T102" s="28" t="s">
        <v>128</v>
      </c>
      <c r="U102" s="29">
        <v>300</v>
      </c>
      <c r="V102" s="29">
        <v>675</v>
      </c>
      <c r="W102" s="30">
        <v>-32.626100000000001</v>
      </c>
      <c r="X102" s="30">
        <v>9.2066596119929456E-2</v>
      </c>
      <c r="Y102" s="29">
        <v>1</v>
      </c>
    </row>
    <row r="103" spans="11:25" x14ac:dyDescent="0.2">
      <c r="K103" s="27">
        <v>11</v>
      </c>
      <c r="L103" s="28" t="s">
        <v>129</v>
      </c>
      <c r="M103" s="29">
        <v>700</v>
      </c>
      <c r="N103" s="29">
        <v>275</v>
      </c>
      <c r="O103" s="30">
        <v>-83.439499999999995</v>
      </c>
      <c r="P103" s="30">
        <v>0.24768682745825604</v>
      </c>
      <c r="Q103" s="29">
        <v>1</v>
      </c>
      <c r="S103" s="27">
        <v>11</v>
      </c>
      <c r="T103" s="28" t="s">
        <v>129</v>
      </c>
      <c r="U103" s="29">
        <v>700</v>
      </c>
      <c r="V103" s="29">
        <v>275</v>
      </c>
      <c r="W103" s="30">
        <v>-83.661900000000003</v>
      </c>
      <c r="X103" s="30">
        <v>0.248347012987013</v>
      </c>
      <c r="Y103" s="29">
        <v>1</v>
      </c>
    </row>
    <row r="104" spans="11:25" x14ac:dyDescent="0.2">
      <c r="K104" s="27">
        <v>12</v>
      </c>
      <c r="L104" s="28" t="s">
        <v>129</v>
      </c>
      <c r="M104" s="29">
        <v>700</v>
      </c>
      <c r="N104" s="29">
        <v>275</v>
      </c>
      <c r="O104" s="30">
        <v>-83.017099999999999</v>
      </c>
      <c r="P104" s="30">
        <v>0.24643294990723563</v>
      </c>
      <c r="Q104" s="29">
        <v>1</v>
      </c>
      <c r="S104" s="27">
        <v>12</v>
      </c>
      <c r="T104" s="28" t="s">
        <v>129</v>
      </c>
      <c r="U104" s="29">
        <v>700</v>
      </c>
      <c r="V104" s="29">
        <v>275</v>
      </c>
      <c r="W104" s="30">
        <v>-83.237300000000005</v>
      </c>
      <c r="X104" s="30">
        <v>0.2470866048237477</v>
      </c>
      <c r="Y104" s="29">
        <v>1</v>
      </c>
    </row>
    <row r="105" spans="11:25" x14ac:dyDescent="0.2">
      <c r="K105" s="27">
        <v>16</v>
      </c>
      <c r="L105" s="28" t="s">
        <v>128</v>
      </c>
      <c r="M105" s="29">
        <v>300</v>
      </c>
      <c r="N105" s="29">
        <v>675</v>
      </c>
      <c r="O105" s="30">
        <v>-33.979700000000001</v>
      </c>
      <c r="P105" s="30">
        <v>9.5886278659612009E-2</v>
      </c>
      <c r="Q105" s="29">
        <v>1</v>
      </c>
      <c r="S105" s="27">
        <v>16</v>
      </c>
      <c r="T105" s="28" t="s">
        <v>128</v>
      </c>
      <c r="U105" s="29">
        <v>300</v>
      </c>
      <c r="V105" s="29">
        <v>675</v>
      </c>
      <c r="W105" s="30">
        <v>-34.043199999999999</v>
      </c>
      <c r="X105" s="30">
        <v>9.6065467372134034E-2</v>
      </c>
      <c r="Y105" s="29">
        <v>1</v>
      </c>
    </row>
    <row r="106" spans="11:25" x14ac:dyDescent="0.2">
      <c r="K106" s="27">
        <v>4</v>
      </c>
      <c r="L106" s="28" t="s">
        <v>127</v>
      </c>
      <c r="M106" s="29">
        <v>300</v>
      </c>
      <c r="N106" s="29">
        <v>275</v>
      </c>
      <c r="O106" s="30">
        <v>-8.6656999999999993</v>
      </c>
      <c r="P106" s="30">
        <v>6.0022164502164493E-2</v>
      </c>
      <c r="Q106" s="29">
        <v>1</v>
      </c>
      <c r="S106" s="27">
        <v>4</v>
      </c>
      <c r="T106" s="28" t="s">
        <v>127</v>
      </c>
      <c r="U106" s="29">
        <v>300</v>
      </c>
      <c r="V106" s="29">
        <v>275</v>
      </c>
      <c r="W106" s="30">
        <v>-8.6949000000000005</v>
      </c>
      <c r="X106" s="30">
        <v>6.0224415584415582E-2</v>
      </c>
      <c r="Y106" s="29">
        <v>1</v>
      </c>
    </row>
    <row r="107" spans="11:25" x14ac:dyDescent="0.2">
      <c r="K107" s="27">
        <v>20</v>
      </c>
      <c r="L107" s="28" t="s">
        <v>128</v>
      </c>
      <c r="M107" s="29">
        <v>300</v>
      </c>
      <c r="N107" s="29">
        <v>675</v>
      </c>
      <c r="O107" s="30">
        <v>-41.481699999999996</v>
      </c>
      <c r="P107" s="30">
        <v>0.11705594356261022</v>
      </c>
      <c r="Q107" s="29">
        <v>1</v>
      </c>
      <c r="S107" s="27">
        <v>20</v>
      </c>
      <c r="T107" s="28" t="s">
        <v>128</v>
      </c>
      <c r="U107" s="29">
        <v>300</v>
      </c>
      <c r="V107" s="29">
        <v>675</v>
      </c>
      <c r="W107" s="30">
        <v>-41.5764</v>
      </c>
      <c r="X107" s="30">
        <v>0.11732317460317461</v>
      </c>
      <c r="Y107" s="29">
        <v>1</v>
      </c>
    </row>
    <row r="108" spans="11:25" x14ac:dyDescent="0.2">
      <c r="K108" s="27">
        <v>5</v>
      </c>
      <c r="L108" s="28" t="s">
        <v>129</v>
      </c>
      <c r="M108" s="29">
        <v>700</v>
      </c>
      <c r="N108" s="29">
        <v>275</v>
      </c>
      <c r="O108" s="30">
        <v>-102.1164</v>
      </c>
      <c r="P108" s="30">
        <v>0.30312846011131722</v>
      </c>
      <c r="Q108" s="29">
        <v>1</v>
      </c>
      <c r="S108" s="27">
        <v>5</v>
      </c>
      <c r="T108" s="28" t="s">
        <v>129</v>
      </c>
      <c r="U108" s="29">
        <v>700</v>
      </c>
      <c r="V108" s="29">
        <v>275</v>
      </c>
      <c r="W108" s="30">
        <v>-102.29689999999999</v>
      </c>
      <c r="X108" s="30">
        <v>0.30366426716140998</v>
      </c>
      <c r="Y108" s="29">
        <v>1</v>
      </c>
    </row>
    <row r="109" spans="11:25" x14ac:dyDescent="0.2">
      <c r="K109" s="27">
        <v>23</v>
      </c>
      <c r="L109" s="28" t="s">
        <v>128</v>
      </c>
      <c r="M109" s="29">
        <v>300</v>
      </c>
      <c r="N109" s="29">
        <v>675</v>
      </c>
      <c r="O109" s="30">
        <v>-38.726799999999997</v>
      </c>
      <c r="P109" s="30">
        <v>0.10928197530864196</v>
      </c>
      <c r="Q109" s="29">
        <v>1</v>
      </c>
      <c r="S109" s="27">
        <v>23</v>
      </c>
      <c r="T109" s="28" t="s">
        <v>128</v>
      </c>
      <c r="U109" s="29">
        <v>300</v>
      </c>
      <c r="V109" s="29">
        <v>675</v>
      </c>
      <c r="W109" s="30">
        <v>-38.818600000000004</v>
      </c>
      <c r="X109" s="30">
        <v>0.10954102292768961</v>
      </c>
      <c r="Y109" s="29">
        <v>1</v>
      </c>
    </row>
    <row r="110" spans="11:25" x14ac:dyDescent="0.2">
      <c r="K110" s="27">
        <v>24</v>
      </c>
      <c r="L110" s="28" t="s">
        <v>128</v>
      </c>
      <c r="M110" s="29">
        <v>300</v>
      </c>
      <c r="N110" s="29">
        <v>675</v>
      </c>
      <c r="O110" s="30">
        <v>-37.847900000000003</v>
      </c>
      <c r="P110" s="30">
        <v>0.10680183421516755</v>
      </c>
      <c r="Q110" s="29">
        <v>1</v>
      </c>
      <c r="S110" s="27">
        <v>24</v>
      </c>
      <c r="T110" s="28" t="s">
        <v>128</v>
      </c>
      <c r="U110" s="29">
        <v>300</v>
      </c>
      <c r="V110" s="29">
        <v>675</v>
      </c>
      <c r="W110" s="30">
        <v>-37.940800000000003</v>
      </c>
      <c r="X110" s="30">
        <v>0.10706398589065257</v>
      </c>
      <c r="Y110" s="29">
        <v>1</v>
      </c>
    </row>
    <row r="111" spans="11:25" x14ac:dyDescent="0.2">
      <c r="K111" s="27">
        <v>7</v>
      </c>
      <c r="L111" s="28" t="s">
        <v>129</v>
      </c>
      <c r="M111" s="29">
        <v>700</v>
      </c>
      <c r="N111" s="29">
        <v>275</v>
      </c>
      <c r="O111" s="30">
        <v>-103.55200000000001</v>
      </c>
      <c r="P111" s="30">
        <v>0.30738998144712432</v>
      </c>
      <c r="Q111" s="29">
        <v>1</v>
      </c>
      <c r="S111" s="27">
        <v>7</v>
      </c>
      <c r="T111" s="28" t="s">
        <v>129</v>
      </c>
      <c r="U111" s="29">
        <v>700</v>
      </c>
      <c r="V111" s="29">
        <v>275</v>
      </c>
      <c r="W111" s="30">
        <v>-103.73269999999999</v>
      </c>
      <c r="X111" s="30">
        <v>0.30792638218923934</v>
      </c>
      <c r="Y111" s="29">
        <v>1</v>
      </c>
    </row>
    <row r="112" spans="11:25" x14ac:dyDescent="0.2">
      <c r="K112" s="27">
        <v>18</v>
      </c>
      <c r="L112" s="28" t="s">
        <v>128</v>
      </c>
      <c r="M112" s="29">
        <v>300</v>
      </c>
      <c r="N112" s="29">
        <v>675</v>
      </c>
      <c r="O112" s="30">
        <v>-18.957899999999999</v>
      </c>
      <c r="P112" s="30">
        <v>5.3496719576719573E-2</v>
      </c>
      <c r="Q112" s="29">
        <v>1</v>
      </c>
      <c r="S112" s="27">
        <v>18</v>
      </c>
      <c r="T112" s="28" t="s">
        <v>128</v>
      </c>
      <c r="U112" s="29">
        <v>300</v>
      </c>
      <c r="V112" s="29">
        <v>675</v>
      </c>
      <c r="W112" s="30">
        <v>-19.0289</v>
      </c>
      <c r="X112" s="30">
        <v>5.3697072310405651E-2</v>
      </c>
      <c r="Y112" s="29">
        <v>1</v>
      </c>
    </row>
    <row r="113" spans="11:25" x14ac:dyDescent="0.2">
      <c r="K113" s="27">
        <v>19</v>
      </c>
      <c r="L113" s="28" t="s">
        <v>128</v>
      </c>
      <c r="M113" s="29">
        <v>300</v>
      </c>
      <c r="N113" s="29">
        <v>675</v>
      </c>
      <c r="O113" s="30">
        <v>-41.504600000000003</v>
      </c>
      <c r="P113" s="30">
        <v>0.11712056437389773</v>
      </c>
      <c r="Q113" s="29">
        <v>1</v>
      </c>
      <c r="S113" s="27">
        <v>19</v>
      </c>
      <c r="T113" s="28" t="s">
        <v>128</v>
      </c>
      <c r="U113" s="29">
        <v>300</v>
      </c>
      <c r="V113" s="29">
        <v>675</v>
      </c>
      <c r="W113" s="30">
        <v>-41.6</v>
      </c>
      <c r="X113" s="30">
        <v>0.11738977072310405</v>
      </c>
      <c r="Y113" s="29">
        <v>1</v>
      </c>
    </row>
    <row r="114" spans="11:25" x14ac:dyDescent="0.2">
      <c r="K114" s="27">
        <v>6</v>
      </c>
      <c r="L114" s="28" t="s">
        <v>129</v>
      </c>
      <c r="M114" s="29">
        <v>700</v>
      </c>
      <c r="N114" s="29">
        <v>275</v>
      </c>
      <c r="O114" s="30">
        <v>-102.1375</v>
      </c>
      <c r="P114" s="30">
        <v>0.30319109461966604</v>
      </c>
      <c r="Q114" s="29">
        <v>1</v>
      </c>
      <c r="S114" s="27">
        <v>6</v>
      </c>
      <c r="T114" s="28" t="s">
        <v>129</v>
      </c>
      <c r="U114" s="29">
        <v>700</v>
      </c>
      <c r="V114" s="29">
        <v>275</v>
      </c>
      <c r="W114" s="30">
        <v>-102.3219</v>
      </c>
      <c r="X114" s="30">
        <v>0.30373847866419296</v>
      </c>
      <c r="Y114" s="29">
        <v>1</v>
      </c>
    </row>
    <row r="115" spans="11:25" x14ac:dyDescent="0.2">
      <c r="K115" s="27">
        <v>21</v>
      </c>
      <c r="L115" s="28" t="s">
        <v>128</v>
      </c>
      <c r="M115" s="29">
        <v>300</v>
      </c>
      <c r="N115" s="29">
        <v>675</v>
      </c>
      <c r="O115" s="30">
        <v>-38.755400000000002</v>
      </c>
      <c r="P115" s="30">
        <v>0.10936268077601412</v>
      </c>
      <c r="Q115" s="29">
        <v>1</v>
      </c>
      <c r="S115" s="27">
        <v>21</v>
      </c>
      <c r="T115" s="28" t="s">
        <v>128</v>
      </c>
      <c r="U115" s="29">
        <v>300</v>
      </c>
      <c r="V115" s="29">
        <v>675</v>
      </c>
      <c r="W115" s="30">
        <v>-38.846699999999998</v>
      </c>
      <c r="X115" s="30">
        <v>0.10962031746031745</v>
      </c>
      <c r="Y115" s="29">
        <v>1</v>
      </c>
    </row>
    <row r="116" spans="11:25" x14ac:dyDescent="0.2">
      <c r="K116" s="27">
        <v>22</v>
      </c>
      <c r="L116" s="28" t="s">
        <v>128</v>
      </c>
      <c r="M116" s="29">
        <v>300</v>
      </c>
      <c r="N116" s="29">
        <v>675</v>
      </c>
      <c r="O116" s="30">
        <v>-37.876199999999997</v>
      </c>
      <c r="P116" s="30">
        <v>0.10688169312169311</v>
      </c>
      <c r="Q116" s="29">
        <v>1</v>
      </c>
      <c r="S116" s="27">
        <v>22</v>
      </c>
      <c r="T116" s="28" t="s">
        <v>128</v>
      </c>
      <c r="U116" s="29">
        <v>300</v>
      </c>
      <c r="V116" s="29">
        <v>675</v>
      </c>
      <c r="W116" s="30">
        <v>-37.970100000000002</v>
      </c>
      <c r="X116" s="30">
        <v>0.10714666666666668</v>
      </c>
      <c r="Y116" s="29">
        <v>1</v>
      </c>
    </row>
    <row r="117" spans="11:25" x14ac:dyDescent="0.2">
      <c r="K117" s="27">
        <v>8</v>
      </c>
      <c r="L117" s="28" t="s">
        <v>129</v>
      </c>
      <c r="M117" s="29">
        <v>700</v>
      </c>
      <c r="N117" s="29">
        <v>275</v>
      </c>
      <c r="O117" s="30">
        <v>-103.5847</v>
      </c>
      <c r="P117" s="30">
        <v>0.30748705009276439</v>
      </c>
      <c r="Q117" s="29">
        <v>1</v>
      </c>
      <c r="S117" s="27">
        <v>8</v>
      </c>
      <c r="T117" s="28" t="s">
        <v>129</v>
      </c>
      <c r="U117" s="29">
        <v>700</v>
      </c>
      <c r="V117" s="29">
        <v>275</v>
      </c>
      <c r="W117" s="30">
        <v>-103.7687</v>
      </c>
      <c r="X117" s="30">
        <v>0.30803324675324673</v>
      </c>
      <c r="Y117" s="29">
        <v>1</v>
      </c>
    </row>
    <row r="118" spans="11:25" x14ac:dyDescent="0.2">
      <c r="K118" s="27">
        <v>17</v>
      </c>
      <c r="L118" s="28" t="s">
        <v>128</v>
      </c>
      <c r="M118" s="29">
        <v>300</v>
      </c>
      <c r="N118" s="29">
        <v>675</v>
      </c>
      <c r="O118" s="30">
        <v>-18.975300000000001</v>
      </c>
      <c r="P118" s="30">
        <v>5.3545820105820104E-2</v>
      </c>
      <c r="Q118" s="29">
        <v>1</v>
      </c>
      <c r="S118" s="27">
        <v>17</v>
      </c>
      <c r="T118" s="28" t="s">
        <v>128</v>
      </c>
      <c r="U118" s="29">
        <v>300</v>
      </c>
      <c r="V118" s="29">
        <v>675</v>
      </c>
      <c r="W118" s="30">
        <v>-19.0458</v>
      </c>
      <c r="X118" s="30">
        <v>5.3744761904761899E-2</v>
      </c>
      <c r="Y118" s="29">
        <v>1</v>
      </c>
    </row>
    <row r="119" spans="11:25" x14ac:dyDescent="0.2">
      <c r="K119" s="27">
        <v>1</v>
      </c>
      <c r="L119" s="28" t="s">
        <v>127</v>
      </c>
      <c r="M119" s="29">
        <v>300</v>
      </c>
      <c r="N119" s="29">
        <v>275</v>
      </c>
      <c r="O119" s="30">
        <v>-22.425599999999999</v>
      </c>
      <c r="P119" s="30">
        <v>0.15532883116883117</v>
      </c>
      <c r="Q119" s="29">
        <v>1</v>
      </c>
      <c r="S119" s="27">
        <v>1</v>
      </c>
      <c r="T119" s="28" t="s">
        <v>127</v>
      </c>
      <c r="U119" s="29">
        <v>300</v>
      </c>
      <c r="V119" s="29">
        <v>275</v>
      </c>
      <c r="W119" s="30">
        <v>-22.465800000000002</v>
      </c>
      <c r="X119" s="30">
        <v>0.15560727272727276</v>
      </c>
      <c r="Y119" s="29">
        <v>1</v>
      </c>
    </row>
    <row r="120" spans="11:25" x14ac:dyDescent="0.2">
      <c r="K120" s="27">
        <v>13</v>
      </c>
      <c r="L120" s="28" t="s">
        <v>128</v>
      </c>
      <c r="M120" s="29">
        <v>300</v>
      </c>
      <c r="N120" s="29">
        <v>675</v>
      </c>
      <c r="O120" s="30">
        <v>-32.630499999999998</v>
      </c>
      <c r="P120" s="30">
        <v>9.2079012345679001E-2</v>
      </c>
      <c r="Q120" s="29">
        <v>1</v>
      </c>
      <c r="S120" s="27">
        <v>13</v>
      </c>
      <c r="T120" s="28" t="s">
        <v>128</v>
      </c>
      <c r="U120" s="29">
        <v>300</v>
      </c>
      <c r="V120" s="29">
        <v>675</v>
      </c>
      <c r="W120" s="30">
        <v>-32.749699999999997</v>
      </c>
      <c r="X120" s="30">
        <v>9.241537918871251E-2</v>
      </c>
      <c r="Y120" s="29">
        <v>1</v>
      </c>
    </row>
    <row r="121" spans="11:25" x14ac:dyDescent="0.2">
      <c r="K121" s="27">
        <v>9</v>
      </c>
      <c r="L121" s="28" t="s">
        <v>129</v>
      </c>
      <c r="M121" s="29">
        <v>700</v>
      </c>
      <c r="N121" s="29">
        <v>275</v>
      </c>
      <c r="O121" s="30">
        <v>-83.518799999999999</v>
      </c>
      <c r="P121" s="30">
        <v>0.24792222634508349</v>
      </c>
      <c r="Q121" s="29">
        <v>1</v>
      </c>
      <c r="S121" s="27">
        <v>9</v>
      </c>
      <c r="T121" s="28" t="s">
        <v>129</v>
      </c>
      <c r="U121" s="29">
        <v>700</v>
      </c>
      <c r="V121" s="29">
        <v>275</v>
      </c>
      <c r="W121" s="30">
        <v>-83.681100000000001</v>
      </c>
      <c r="X121" s="30">
        <v>0.24840400742115029</v>
      </c>
      <c r="Y121" s="29">
        <v>1</v>
      </c>
    </row>
    <row r="122" spans="11:25" x14ac:dyDescent="0.2">
      <c r="K122" s="27">
        <v>10</v>
      </c>
      <c r="L122" s="28" t="s">
        <v>129</v>
      </c>
      <c r="M122" s="29">
        <v>700</v>
      </c>
      <c r="N122" s="29">
        <v>275</v>
      </c>
      <c r="O122" s="30">
        <v>-83.098699999999994</v>
      </c>
      <c r="P122" s="30">
        <v>0.24667517625231911</v>
      </c>
      <c r="Q122" s="29">
        <v>1</v>
      </c>
      <c r="S122" s="27">
        <v>10</v>
      </c>
      <c r="T122" s="28" t="s">
        <v>129</v>
      </c>
      <c r="U122" s="29">
        <v>700</v>
      </c>
      <c r="V122" s="29">
        <v>275</v>
      </c>
      <c r="W122" s="30">
        <v>-83.259399999999999</v>
      </c>
      <c r="X122" s="30">
        <v>0.24715220779220778</v>
      </c>
      <c r="Y122" s="29">
        <v>1</v>
      </c>
    </row>
    <row r="123" spans="11:25" x14ac:dyDescent="0.2">
      <c r="K123" s="27">
        <v>14</v>
      </c>
      <c r="L123" s="28" t="s">
        <v>128</v>
      </c>
      <c r="M123" s="29">
        <v>300</v>
      </c>
      <c r="N123" s="29">
        <v>675</v>
      </c>
      <c r="O123" s="30">
        <v>-34.058599999999998</v>
      </c>
      <c r="P123" s="30">
        <v>9.6108924162257497E-2</v>
      </c>
      <c r="Q123" s="29">
        <v>1</v>
      </c>
      <c r="S123" s="27">
        <v>14</v>
      </c>
      <c r="T123" s="28" t="s">
        <v>128</v>
      </c>
      <c r="U123" s="29">
        <v>300</v>
      </c>
      <c r="V123" s="29">
        <v>675</v>
      </c>
      <c r="W123" s="30">
        <v>-34.151699999999998</v>
      </c>
      <c r="X123" s="30">
        <v>9.63716402116402E-2</v>
      </c>
      <c r="Y123" s="29">
        <v>1</v>
      </c>
    </row>
    <row r="124" spans="11:25" x14ac:dyDescent="0.2">
      <c r="K124" s="27">
        <v>2</v>
      </c>
      <c r="L124" s="28" t="s">
        <v>127</v>
      </c>
      <c r="M124" s="29">
        <v>300</v>
      </c>
      <c r="N124" s="29">
        <v>275</v>
      </c>
      <c r="O124" s="30">
        <v>-8.6959</v>
      </c>
      <c r="P124" s="30">
        <v>6.0231341991341988E-2</v>
      </c>
      <c r="Q124" s="29">
        <v>1</v>
      </c>
      <c r="S124" s="27">
        <v>2</v>
      </c>
      <c r="T124" s="28" t="s">
        <v>127</v>
      </c>
      <c r="U124" s="29">
        <v>300</v>
      </c>
      <c r="V124" s="29">
        <v>275</v>
      </c>
      <c r="W124" s="30">
        <v>-8.7406000000000006</v>
      </c>
      <c r="X124" s="30">
        <v>6.0540952380952383E-2</v>
      </c>
      <c r="Y124" s="29">
        <v>1</v>
      </c>
    </row>
  </sheetData>
  <mergeCells count="14">
    <mergeCell ref="S2:Y2"/>
    <mergeCell ref="S3:S4"/>
    <mergeCell ref="T3:T4"/>
    <mergeCell ref="Y3:Y4"/>
    <mergeCell ref="L3:L4"/>
    <mergeCell ref="X3:X4"/>
    <mergeCell ref="F3:H3"/>
    <mergeCell ref="C3:E3"/>
    <mergeCell ref="C2:H2"/>
    <mergeCell ref="B2:B4"/>
    <mergeCell ref="Q3:Q4"/>
    <mergeCell ref="K2:Q2"/>
    <mergeCell ref="K3:K4"/>
    <mergeCell ref="P3:P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12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2.85546875" style="26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89</v>
      </c>
      <c r="L2" s="59"/>
      <c r="M2" s="59"/>
      <c r="N2" s="59"/>
      <c r="O2" s="59"/>
      <c r="P2" s="59"/>
      <c r="Q2" s="60"/>
      <c r="S2" s="58" t="s">
        <v>103</v>
      </c>
      <c r="T2" s="59"/>
      <c r="U2" s="59"/>
      <c r="V2" s="59"/>
      <c r="W2" s="59"/>
      <c r="X2" s="59"/>
      <c r="Y2" s="60"/>
    </row>
    <row r="3" spans="2:25" ht="14.45" customHeight="1" x14ac:dyDescent="0.2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2">
      <c r="B4" s="54"/>
      <c r="C4" s="7" t="s">
        <v>934</v>
      </c>
      <c r="D4" s="7" t="s">
        <v>935</v>
      </c>
      <c r="E4" s="7" t="s">
        <v>936</v>
      </c>
      <c r="F4" s="7" t="s">
        <v>937</v>
      </c>
      <c r="G4" s="7" t="s">
        <v>938</v>
      </c>
      <c r="H4" s="7" t="s">
        <v>939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2">
      <c r="B5" s="26" t="s">
        <v>127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  <c r="K5" s="27">
        <v>189</v>
      </c>
      <c r="L5" s="28" t="s">
        <v>127</v>
      </c>
      <c r="M5" s="29">
        <v>300</v>
      </c>
      <c r="N5" s="29">
        <v>275</v>
      </c>
      <c r="O5" s="30">
        <v>-30.5197</v>
      </c>
      <c r="P5" s="30">
        <v>0.21139186147186148</v>
      </c>
      <c r="Q5" s="29">
        <v>1</v>
      </c>
      <c r="S5" s="27">
        <v>189</v>
      </c>
      <c r="T5" s="28" t="s">
        <v>127</v>
      </c>
      <c r="U5" s="29">
        <v>300</v>
      </c>
      <c r="V5" s="29">
        <v>275</v>
      </c>
      <c r="W5" s="30">
        <v>-30.5121</v>
      </c>
      <c r="X5" s="30">
        <v>0.21133922077922077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  <c r="K6" s="27">
        <v>201</v>
      </c>
      <c r="L6" s="28" t="s">
        <v>128</v>
      </c>
      <c r="M6" s="29">
        <v>300</v>
      </c>
      <c r="N6" s="29">
        <v>675</v>
      </c>
      <c r="O6" s="30">
        <v>-60.701900000000002</v>
      </c>
      <c r="P6" s="30">
        <v>0.17129283950617286</v>
      </c>
      <c r="Q6" s="29">
        <v>1</v>
      </c>
      <c r="S6" s="27">
        <v>201</v>
      </c>
      <c r="T6" s="28" t="s">
        <v>128</v>
      </c>
      <c r="U6" s="29">
        <v>300</v>
      </c>
      <c r="V6" s="29">
        <v>675</v>
      </c>
      <c r="W6" s="30">
        <v>-60.676600000000001</v>
      </c>
      <c r="X6" s="30">
        <v>0.17122144620811286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  <c r="K7" s="27">
        <v>197</v>
      </c>
      <c r="L7" s="28" t="s">
        <v>129</v>
      </c>
      <c r="M7" s="29">
        <v>700</v>
      </c>
      <c r="N7" s="29">
        <v>275</v>
      </c>
      <c r="O7" s="30">
        <v>-57.0871</v>
      </c>
      <c r="P7" s="30">
        <v>0.16946077922077921</v>
      </c>
      <c r="Q7" s="29">
        <v>1</v>
      </c>
      <c r="S7" s="27">
        <v>197</v>
      </c>
      <c r="T7" s="28" t="s">
        <v>129</v>
      </c>
      <c r="U7" s="29">
        <v>700</v>
      </c>
      <c r="V7" s="29">
        <v>275</v>
      </c>
      <c r="W7" s="30">
        <v>-57.0745</v>
      </c>
      <c r="X7" s="30">
        <v>0.16942337662337661</v>
      </c>
      <c r="Y7" s="29">
        <v>1</v>
      </c>
    </row>
    <row r="8" spans="2:25" x14ac:dyDescent="0.2">
      <c r="K8" s="27">
        <v>198</v>
      </c>
      <c r="L8" s="28" t="s">
        <v>129</v>
      </c>
      <c r="M8" s="29">
        <v>700</v>
      </c>
      <c r="N8" s="29">
        <v>275</v>
      </c>
      <c r="O8" s="30">
        <v>-57.036900000000003</v>
      </c>
      <c r="P8" s="30">
        <v>0.16931176252319111</v>
      </c>
      <c r="Q8" s="29">
        <v>1</v>
      </c>
      <c r="S8" s="27">
        <v>198</v>
      </c>
      <c r="T8" s="28" t="s">
        <v>129</v>
      </c>
      <c r="U8" s="29">
        <v>700</v>
      </c>
      <c r="V8" s="29">
        <v>275</v>
      </c>
      <c r="W8" s="30">
        <v>-57.023800000000001</v>
      </c>
      <c r="X8" s="30">
        <v>0.16927287569573285</v>
      </c>
      <c r="Y8" s="29">
        <v>1</v>
      </c>
    </row>
    <row r="9" spans="2:25" x14ac:dyDescent="0.2">
      <c r="K9" s="27">
        <v>202</v>
      </c>
      <c r="L9" s="28" t="s">
        <v>128</v>
      </c>
      <c r="M9" s="29">
        <v>300</v>
      </c>
      <c r="N9" s="29">
        <v>675</v>
      </c>
      <c r="O9" s="30">
        <v>-59.392699999999998</v>
      </c>
      <c r="P9" s="30">
        <v>0.16759844797178131</v>
      </c>
      <c r="Q9" s="29">
        <v>1</v>
      </c>
      <c r="S9" s="27">
        <v>202</v>
      </c>
      <c r="T9" s="28" t="s">
        <v>128</v>
      </c>
      <c r="U9" s="29">
        <v>300</v>
      </c>
      <c r="V9" s="29">
        <v>675</v>
      </c>
      <c r="W9" s="30">
        <v>-59.366199999999999</v>
      </c>
      <c r="X9" s="30">
        <v>0.16752366843033509</v>
      </c>
      <c r="Y9" s="29">
        <v>1</v>
      </c>
    </row>
    <row r="10" spans="2:25" x14ac:dyDescent="0.2">
      <c r="K10" s="27">
        <v>190</v>
      </c>
      <c r="L10" s="28" t="s">
        <v>127</v>
      </c>
      <c r="M10" s="29">
        <v>300</v>
      </c>
      <c r="N10" s="29">
        <v>275</v>
      </c>
      <c r="O10" s="30">
        <v>-29.9589</v>
      </c>
      <c r="P10" s="30">
        <v>0.20750753246753248</v>
      </c>
      <c r="Q10" s="29">
        <v>1</v>
      </c>
      <c r="S10" s="27">
        <v>190</v>
      </c>
      <c r="T10" s="28" t="s">
        <v>127</v>
      </c>
      <c r="U10" s="29">
        <v>300</v>
      </c>
      <c r="V10" s="29">
        <v>275</v>
      </c>
      <c r="W10" s="30">
        <v>-29.9528</v>
      </c>
      <c r="X10" s="30">
        <v>0.20746528138528139</v>
      </c>
      <c r="Y10" s="29">
        <v>1</v>
      </c>
    </row>
    <row r="11" spans="2:25" x14ac:dyDescent="0.2">
      <c r="K11" s="27">
        <v>206</v>
      </c>
      <c r="L11" s="28" t="s">
        <v>128</v>
      </c>
      <c r="M11" s="29">
        <v>300</v>
      </c>
      <c r="N11" s="29">
        <v>675</v>
      </c>
      <c r="O11" s="30">
        <v>-7.2168999999999999</v>
      </c>
      <c r="P11" s="30">
        <v>2.0365149911816576E-2</v>
      </c>
      <c r="Q11" s="29">
        <v>1</v>
      </c>
      <c r="S11" s="27">
        <v>206</v>
      </c>
      <c r="T11" s="28" t="s">
        <v>128</v>
      </c>
      <c r="U11" s="29">
        <v>300</v>
      </c>
      <c r="V11" s="29">
        <v>675</v>
      </c>
      <c r="W11" s="30">
        <v>-7.1862000000000004</v>
      </c>
      <c r="X11" s="30">
        <v>2.0278518518518522E-2</v>
      </c>
      <c r="Y11" s="29">
        <v>1</v>
      </c>
    </row>
    <row r="12" spans="2:25" x14ac:dyDescent="0.2">
      <c r="K12" s="27">
        <v>191</v>
      </c>
      <c r="L12" s="28" t="s">
        <v>129</v>
      </c>
      <c r="M12" s="29">
        <v>700</v>
      </c>
      <c r="N12" s="29">
        <v>275</v>
      </c>
      <c r="O12" s="30">
        <v>-27.5366</v>
      </c>
      <c r="P12" s="30">
        <v>8.1741298701298704E-2</v>
      </c>
      <c r="Q12" s="29">
        <v>1</v>
      </c>
      <c r="S12" s="27">
        <v>191</v>
      </c>
      <c r="T12" s="28" t="s">
        <v>129</v>
      </c>
      <c r="U12" s="29">
        <v>700</v>
      </c>
      <c r="V12" s="29">
        <v>275</v>
      </c>
      <c r="W12" s="30">
        <v>-27.511299999999999</v>
      </c>
      <c r="X12" s="30">
        <v>8.1666196660482374E-2</v>
      </c>
      <c r="Y12" s="29">
        <v>1</v>
      </c>
    </row>
    <row r="13" spans="2:25" x14ac:dyDescent="0.2">
      <c r="K13" s="27">
        <v>209</v>
      </c>
      <c r="L13" s="28" t="s">
        <v>128</v>
      </c>
      <c r="M13" s="29">
        <v>300</v>
      </c>
      <c r="N13" s="29">
        <v>675</v>
      </c>
      <c r="O13" s="30">
        <v>-19.909099999999999</v>
      </c>
      <c r="P13" s="30">
        <v>5.6180881834215164E-2</v>
      </c>
      <c r="Q13" s="29">
        <v>1</v>
      </c>
      <c r="S13" s="27">
        <v>209</v>
      </c>
      <c r="T13" s="28" t="s">
        <v>128</v>
      </c>
      <c r="U13" s="29">
        <v>300</v>
      </c>
      <c r="V13" s="29">
        <v>675</v>
      </c>
      <c r="W13" s="30">
        <v>-19.87</v>
      </c>
      <c r="X13" s="30">
        <v>5.6070546737213407E-2</v>
      </c>
      <c r="Y13" s="29">
        <v>1</v>
      </c>
    </row>
    <row r="14" spans="2:25" x14ac:dyDescent="0.2">
      <c r="K14" s="27">
        <v>210</v>
      </c>
      <c r="L14" s="28" t="s">
        <v>128</v>
      </c>
      <c r="M14" s="29">
        <v>300</v>
      </c>
      <c r="N14" s="29">
        <v>675</v>
      </c>
      <c r="O14" s="30">
        <v>-20.0017</v>
      </c>
      <c r="P14" s="30">
        <v>5.6442186948853619E-2</v>
      </c>
      <c r="Q14" s="29">
        <v>1</v>
      </c>
      <c r="S14" s="27">
        <v>210</v>
      </c>
      <c r="T14" s="28" t="s">
        <v>128</v>
      </c>
      <c r="U14" s="29">
        <v>300</v>
      </c>
      <c r="V14" s="29">
        <v>675</v>
      </c>
      <c r="W14" s="30">
        <v>-19.963899999999999</v>
      </c>
      <c r="X14" s="30">
        <v>5.6335520282186941E-2</v>
      </c>
      <c r="Y14" s="29">
        <v>1</v>
      </c>
    </row>
    <row r="15" spans="2:25" x14ac:dyDescent="0.2">
      <c r="K15" s="27">
        <v>193</v>
      </c>
      <c r="L15" s="28" t="s">
        <v>129</v>
      </c>
      <c r="M15" s="29">
        <v>700</v>
      </c>
      <c r="N15" s="29">
        <v>275</v>
      </c>
      <c r="O15" s="30">
        <v>-27.908999999999999</v>
      </c>
      <c r="P15" s="30">
        <v>8.2846753246753252E-2</v>
      </c>
      <c r="Q15" s="29">
        <v>1</v>
      </c>
      <c r="S15" s="27">
        <v>193</v>
      </c>
      <c r="T15" s="28" t="s">
        <v>129</v>
      </c>
      <c r="U15" s="29">
        <v>700</v>
      </c>
      <c r="V15" s="29">
        <v>275</v>
      </c>
      <c r="W15" s="30">
        <v>-27.8871</v>
      </c>
      <c r="X15" s="30">
        <v>8.2781743970315388E-2</v>
      </c>
      <c r="Y15" s="29">
        <v>1</v>
      </c>
    </row>
    <row r="16" spans="2:25" x14ac:dyDescent="0.2">
      <c r="K16" s="27">
        <v>204</v>
      </c>
      <c r="L16" s="28" t="s">
        <v>128</v>
      </c>
      <c r="M16" s="29">
        <v>300</v>
      </c>
      <c r="N16" s="29">
        <v>675</v>
      </c>
      <c r="O16" s="30">
        <v>-8.1120999999999999</v>
      </c>
      <c r="P16" s="30">
        <v>2.2891287477954145E-2</v>
      </c>
      <c r="Q16" s="29">
        <v>1</v>
      </c>
      <c r="S16" s="27">
        <v>204</v>
      </c>
      <c r="T16" s="28" t="s">
        <v>128</v>
      </c>
      <c r="U16" s="29">
        <v>300</v>
      </c>
      <c r="V16" s="29">
        <v>675</v>
      </c>
      <c r="W16" s="30">
        <v>-8.0830000000000002</v>
      </c>
      <c r="X16" s="30">
        <v>2.2809171075837742E-2</v>
      </c>
      <c r="Y16" s="29">
        <v>1</v>
      </c>
    </row>
    <row r="17" spans="11:25" x14ac:dyDescent="0.2">
      <c r="K17" s="27">
        <v>205</v>
      </c>
      <c r="L17" s="28" t="s">
        <v>128</v>
      </c>
      <c r="M17" s="29">
        <v>300</v>
      </c>
      <c r="N17" s="29">
        <v>675</v>
      </c>
      <c r="O17" s="30">
        <v>-11.7828</v>
      </c>
      <c r="P17" s="30">
        <v>3.3249523809523805E-2</v>
      </c>
      <c r="Q17" s="29">
        <v>1</v>
      </c>
      <c r="S17" s="27">
        <v>205</v>
      </c>
      <c r="T17" s="28" t="s">
        <v>128</v>
      </c>
      <c r="U17" s="29">
        <v>300</v>
      </c>
      <c r="V17" s="29">
        <v>675</v>
      </c>
      <c r="W17" s="30">
        <v>-11.7523</v>
      </c>
      <c r="X17" s="30">
        <v>3.3163456790123454E-2</v>
      </c>
      <c r="Y17" s="29">
        <v>1</v>
      </c>
    </row>
    <row r="18" spans="11:25" x14ac:dyDescent="0.2">
      <c r="K18" s="27">
        <v>192</v>
      </c>
      <c r="L18" s="28" t="s">
        <v>129</v>
      </c>
      <c r="M18" s="29">
        <v>700</v>
      </c>
      <c r="N18" s="29">
        <v>275</v>
      </c>
      <c r="O18" s="30">
        <v>-28.011800000000001</v>
      </c>
      <c r="P18" s="30">
        <v>8.3151910946196658E-2</v>
      </c>
      <c r="Q18" s="29">
        <v>1</v>
      </c>
      <c r="S18" s="27">
        <v>192</v>
      </c>
      <c r="T18" s="28" t="s">
        <v>129</v>
      </c>
      <c r="U18" s="29">
        <v>700</v>
      </c>
      <c r="V18" s="29">
        <v>275</v>
      </c>
      <c r="W18" s="30">
        <v>-27.986699999999999</v>
      </c>
      <c r="X18" s="30">
        <v>8.3077402597402594E-2</v>
      </c>
      <c r="Y18" s="29">
        <v>1</v>
      </c>
    </row>
    <row r="19" spans="11:25" x14ac:dyDescent="0.2">
      <c r="K19" s="27">
        <v>207</v>
      </c>
      <c r="L19" s="28" t="s">
        <v>128</v>
      </c>
      <c r="M19" s="29">
        <v>300</v>
      </c>
      <c r="N19" s="29">
        <v>675</v>
      </c>
      <c r="O19" s="30">
        <v>-22.847000000000001</v>
      </c>
      <c r="P19" s="30">
        <v>6.4471252204585536E-2</v>
      </c>
      <c r="Q19" s="29">
        <v>1</v>
      </c>
      <c r="S19" s="27">
        <v>207</v>
      </c>
      <c r="T19" s="28" t="s">
        <v>128</v>
      </c>
      <c r="U19" s="29">
        <v>300</v>
      </c>
      <c r="V19" s="29">
        <v>675</v>
      </c>
      <c r="W19" s="30">
        <v>-22.808499999999999</v>
      </c>
      <c r="X19" s="30">
        <v>6.436261022927689E-2</v>
      </c>
      <c r="Y19" s="29">
        <v>1</v>
      </c>
    </row>
    <row r="20" spans="11:25" x14ac:dyDescent="0.2">
      <c r="K20" s="27">
        <v>208</v>
      </c>
      <c r="L20" s="28" t="s">
        <v>128</v>
      </c>
      <c r="M20" s="29">
        <v>300</v>
      </c>
      <c r="N20" s="29">
        <v>675</v>
      </c>
      <c r="O20" s="30">
        <v>-22.776399999999999</v>
      </c>
      <c r="P20" s="30">
        <v>6.4272028218694877E-2</v>
      </c>
      <c r="Q20" s="29">
        <v>1</v>
      </c>
      <c r="S20" s="27">
        <v>208</v>
      </c>
      <c r="T20" s="28" t="s">
        <v>128</v>
      </c>
      <c r="U20" s="29">
        <v>300</v>
      </c>
      <c r="V20" s="29">
        <v>675</v>
      </c>
      <c r="W20" s="30">
        <v>-22.7377</v>
      </c>
      <c r="X20" s="30">
        <v>6.4162821869488532E-2</v>
      </c>
      <c r="Y20" s="29">
        <v>1</v>
      </c>
    </row>
    <row r="21" spans="11:25" x14ac:dyDescent="0.2">
      <c r="K21" s="27">
        <v>194</v>
      </c>
      <c r="L21" s="28" t="s">
        <v>129</v>
      </c>
      <c r="M21" s="29">
        <v>700</v>
      </c>
      <c r="N21" s="29">
        <v>275</v>
      </c>
      <c r="O21" s="30">
        <v>-27.8721</v>
      </c>
      <c r="P21" s="30">
        <v>8.2737217068645633E-2</v>
      </c>
      <c r="Q21" s="29">
        <v>1</v>
      </c>
      <c r="S21" s="27">
        <v>194</v>
      </c>
      <c r="T21" s="28" t="s">
        <v>129</v>
      </c>
      <c r="U21" s="29">
        <v>700</v>
      </c>
      <c r="V21" s="29">
        <v>275</v>
      </c>
      <c r="W21" s="30">
        <v>-27.849299999999999</v>
      </c>
      <c r="X21" s="30">
        <v>8.26695361781076E-2</v>
      </c>
      <c r="Y21" s="29">
        <v>1</v>
      </c>
    </row>
    <row r="22" spans="11:25" x14ac:dyDescent="0.2">
      <c r="K22" s="27">
        <v>203</v>
      </c>
      <c r="L22" s="28" t="s">
        <v>128</v>
      </c>
      <c r="M22" s="29">
        <v>300</v>
      </c>
      <c r="N22" s="29">
        <v>675</v>
      </c>
      <c r="O22" s="30">
        <v>-11.5525</v>
      </c>
      <c r="P22" s="30">
        <v>3.2599647266313932E-2</v>
      </c>
      <c r="Q22" s="29">
        <v>1</v>
      </c>
      <c r="S22" s="27">
        <v>203</v>
      </c>
      <c r="T22" s="28" t="s">
        <v>128</v>
      </c>
      <c r="U22" s="29">
        <v>300</v>
      </c>
      <c r="V22" s="29">
        <v>675</v>
      </c>
      <c r="W22" s="30">
        <v>-11.5229</v>
      </c>
      <c r="X22" s="30">
        <v>3.251611992945326E-2</v>
      </c>
      <c r="Y22" s="29">
        <v>1</v>
      </c>
    </row>
    <row r="23" spans="11:25" x14ac:dyDescent="0.2">
      <c r="K23" s="27">
        <v>187</v>
      </c>
      <c r="L23" s="28" t="s">
        <v>127</v>
      </c>
      <c r="M23" s="29">
        <v>300</v>
      </c>
      <c r="N23" s="29">
        <v>275</v>
      </c>
      <c r="O23" s="30">
        <v>12.9977</v>
      </c>
      <c r="P23" s="30">
        <v>9.0027359307359306E-2</v>
      </c>
      <c r="Q23" s="29">
        <v>1</v>
      </c>
      <c r="S23" s="27">
        <v>187</v>
      </c>
      <c r="T23" s="28" t="s">
        <v>127</v>
      </c>
      <c r="U23" s="29">
        <v>300</v>
      </c>
      <c r="V23" s="29">
        <v>275</v>
      </c>
      <c r="W23" s="30">
        <v>13.0091</v>
      </c>
      <c r="X23" s="30">
        <v>9.0106320346320351E-2</v>
      </c>
      <c r="Y23" s="29">
        <v>1</v>
      </c>
    </row>
    <row r="24" spans="11:25" x14ac:dyDescent="0.2">
      <c r="K24" s="27">
        <v>199</v>
      </c>
      <c r="L24" s="28" t="s">
        <v>128</v>
      </c>
      <c r="M24" s="29">
        <v>300</v>
      </c>
      <c r="N24" s="29">
        <v>675</v>
      </c>
      <c r="O24" s="30">
        <v>58.055700000000002</v>
      </c>
      <c r="P24" s="30">
        <v>0.16382560846560848</v>
      </c>
      <c r="Q24" s="29">
        <v>1</v>
      </c>
      <c r="S24" s="27">
        <v>199</v>
      </c>
      <c r="T24" s="28" t="s">
        <v>128</v>
      </c>
      <c r="U24" s="29">
        <v>300</v>
      </c>
      <c r="V24" s="29">
        <v>675</v>
      </c>
      <c r="W24" s="30">
        <v>58.080599999999997</v>
      </c>
      <c r="X24" s="30">
        <v>0.16389587301587302</v>
      </c>
      <c r="Y24" s="29">
        <v>1</v>
      </c>
    </row>
    <row r="25" spans="11:25" x14ac:dyDescent="0.2">
      <c r="K25" s="27">
        <v>195</v>
      </c>
      <c r="L25" s="28" t="s">
        <v>129</v>
      </c>
      <c r="M25" s="29">
        <v>700</v>
      </c>
      <c r="N25" s="29">
        <v>275</v>
      </c>
      <c r="O25" s="30">
        <v>29.9328</v>
      </c>
      <c r="P25" s="30">
        <v>8.8854322820037107E-2</v>
      </c>
      <c r="Q25" s="29">
        <v>1</v>
      </c>
      <c r="S25" s="27">
        <v>195</v>
      </c>
      <c r="T25" s="28" t="s">
        <v>129</v>
      </c>
      <c r="U25" s="29">
        <v>700</v>
      </c>
      <c r="V25" s="29">
        <v>275</v>
      </c>
      <c r="W25" s="30">
        <v>29.947600000000001</v>
      </c>
      <c r="X25" s="30">
        <v>8.8898256029684611E-2</v>
      </c>
      <c r="Y25" s="29">
        <v>1</v>
      </c>
    </row>
    <row r="26" spans="11:25" x14ac:dyDescent="0.2">
      <c r="K26" s="27">
        <v>196</v>
      </c>
      <c r="L26" s="28" t="s">
        <v>129</v>
      </c>
      <c r="M26" s="29">
        <v>700</v>
      </c>
      <c r="N26" s="29">
        <v>275</v>
      </c>
      <c r="O26" s="30">
        <v>29.950700000000001</v>
      </c>
      <c r="P26" s="30">
        <v>8.8907458256029692E-2</v>
      </c>
      <c r="Q26" s="29">
        <v>1</v>
      </c>
      <c r="S26" s="27">
        <v>196</v>
      </c>
      <c r="T26" s="28" t="s">
        <v>129</v>
      </c>
      <c r="U26" s="29">
        <v>700</v>
      </c>
      <c r="V26" s="29">
        <v>275</v>
      </c>
      <c r="W26" s="30">
        <v>29.965199999999999</v>
      </c>
      <c r="X26" s="30">
        <v>8.8950500927643783E-2</v>
      </c>
      <c r="Y26" s="29">
        <v>1</v>
      </c>
    </row>
    <row r="27" spans="11:25" x14ac:dyDescent="0.2">
      <c r="K27" s="27">
        <v>200</v>
      </c>
      <c r="L27" s="28" t="s">
        <v>128</v>
      </c>
      <c r="M27" s="29">
        <v>300</v>
      </c>
      <c r="N27" s="29">
        <v>675</v>
      </c>
      <c r="O27" s="30">
        <v>58.127899999999997</v>
      </c>
      <c r="P27" s="30">
        <v>0.16402934744268077</v>
      </c>
      <c r="Q27" s="29">
        <v>1</v>
      </c>
      <c r="S27" s="27">
        <v>200</v>
      </c>
      <c r="T27" s="28" t="s">
        <v>128</v>
      </c>
      <c r="U27" s="29">
        <v>300</v>
      </c>
      <c r="V27" s="29">
        <v>675</v>
      </c>
      <c r="W27" s="30">
        <v>58.152500000000003</v>
      </c>
      <c r="X27" s="30">
        <v>0.16409876543209875</v>
      </c>
      <c r="Y27" s="29">
        <v>1</v>
      </c>
    </row>
    <row r="28" spans="11:25" x14ac:dyDescent="0.2">
      <c r="K28" s="27">
        <v>188</v>
      </c>
      <c r="L28" s="28" t="s">
        <v>127</v>
      </c>
      <c r="M28" s="29">
        <v>300</v>
      </c>
      <c r="N28" s="29">
        <v>275</v>
      </c>
      <c r="O28" s="30">
        <v>13.073499999999999</v>
      </c>
      <c r="P28" s="30">
        <v>9.0552380952380954E-2</v>
      </c>
      <c r="Q28" s="29">
        <v>1</v>
      </c>
      <c r="S28" s="27">
        <v>188</v>
      </c>
      <c r="T28" s="28" t="s">
        <v>127</v>
      </c>
      <c r="U28" s="29">
        <v>300</v>
      </c>
      <c r="V28" s="29">
        <v>275</v>
      </c>
      <c r="W28" s="30">
        <v>13.079499999999999</v>
      </c>
      <c r="X28" s="30">
        <v>9.0593939393939393E-2</v>
      </c>
      <c r="Y28" s="29">
        <v>1</v>
      </c>
    </row>
    <row r="29" spans="11:25" x14ac:dyDescent="0.2">
      <c r="K29" s="27">
        <v>251</v>
      </c>
      <c r="L29" s="28" t="s">
        <v>127</v>
      </c>
      <c r="M29" s="29">
        <v>300</v>
      </c>
      <c r="N29" s="29">
        <v>275</v>
      </c>
      <c r="O29" s="30">
        <v>-31.500399999999999</v>
      </c>
      <c r="P29" s="30">
        <v>0.21818458874458874</v>
      </c>
      <c r="Q29" s="29">
        <v>1</v>
      </c>
      <c r="S29" s="27">
        <v>251</v>
      </c>
      <c r="T29" s="28" t="s">
        <v>127</v>
      </c>
      <c r="U29" s="29">
        <v>300</v>
      </c>
      <c r="V29" s="29">
        <v>275</v>
      </c>
      <c r="W29" s="30">
        <v>-31.495000000000001</v>
      </c>
      <c r="X29" s="30">
        <v>0.21814718614718615</v>
      </c>
      <c r="Y29" s="29">
        <v>1</v>
      </c>
    </row>
    <row r="30" spans="11:25" x14ac:dyDescent="0.2">
      <c r="K30" s="27">
        <v>263</v>
      </c>
      <c r="L30" s="28" t="s">
        <v>128</v>
      </c>
      <c r="M30" s="29">
        <v>300</v>
      </c>
      <c r="N30" s="29">
        <v>675</v>
      </c>
      <c r="O30" s="30">
        <v>-64.698400000000007</v>
      </c>
      <c r="P30" s="30">
        <v>0.18257044091710761</v>
      </c>
      <c r="Q30" s="29">
        <v>1</v>
      </c>
      <c r="S30" s="27">
        <v>263</v>
      </c>
      <c r="T30" s="28" t="s">
        <v>128</v>
      </c>
      <c r="U30" s="29">
        <v>300</v>
      </c>
      <c r="V30" s="29">
        <v>675</v>
      </c>
      <c r="W30" s="30">
        <v>-64.655199999999994</v>
      </c>
      <c r="X30" s="30">
        <v>0.18244853615520282</v>
      </c>
      <c r="Y30" s="29">
        <v>1</v>
      </c>
    </row>
    <row r="31" spans="11:25" x14ac:dyDescent="0.2">
      <c r="K31" s="27">
        <v>259</v>
      </c>
      <c r="L31" s="28" t="s">
        <v>129</v>
      </c>
      <c r="M31" s="29">
        <v>700</v>
      </c>
      <c r="N31" s="29">
        <v>275</v>
      </c>
      <c r="O31" s="30">
        <v>-48.691099999999999</v>
      </c>
      <c r="P31" s="30">
        <v>0.14453758812615955</v>
      </c>
      <c r="Q31" s="29">
        <v>1</v>
      </c>
      <c r="S31" s="27">
        <v>259</v>
      </c>
      <c r="T31" s="28" t="s">
        <v>129</v>
      </c>
      <c r="U31" s="29">
        <v>700</v>
      </c>
      <c r="V31" s="29">
        <v>275</v>
      </c>
      <c r="W31" s="30">
        <v>-48.678100000000001</v>
      </c>
      <c r="X31" s="30">
        <v>0.14449899814471243</v>
      </c>
      <c r="Y31" s="29">
        <v>1</v>
      </c>
    </row>
    <row r="32" spans="11:25" x14ac:dyDescent="0.2">
      <c r="K32" s="27">
        <v>260</v>
      </c>
      <c r="L32" s="28" t="s">
        <v>129</v>
      </c>
      <c r="M32" s="29">
        <v>700</v>
      </c>
      <c r="N32" s="29">
        <v>275</v>
      </c>
      <c r="O32" s="30">
        <v>-48.716799999999999</v>
      </c>
      <c r="P32" s="30">
        <v>0.1446138775510204</v>
      </c>
      <c r="Q32" s="29">
        <v>1</v>
      </c>
      <c r="S32" s="27">
        <v>260</v>
      </c>
      <c r="T32" s="28" t="s">
        <v>129</v>
      </c>
      <c r="U32" s="29">
        <v>700</v>
      </c>
      <c r="V32" s="29">
        <v>275</v>
      </c>
      <c r="W32" s="30">
        <v>-48.704500000000003</v>
      </c>
      <c r="X32" s="30">
        <v>0.14457736549165121</v>
      </c>
      <c r="Y32" s="29">
        <v>1</v>
      </c>
    </row>
    <row r="33" spans="11:25" x14ac:dyDescent="0.2">
      <c r="K33" s="27">
        <v>264</v>
      </c>
      <c r="L33" s="28" t="s">
        <v>128</v>
      </c>
      <c r="M33" s="29">
        <v>300</v>
      </c>
      <c r="N33" s="29">
        <v>675</v>
      </c>
      <c r="O33" s="30">
        <v>-66.045100000000005</v>
      </c>
      <c r="P33" s="30">
        <v>0.18637065255731924</v>
      </c>
      <c r="Q33" s="29">
        <v>1</v>
      </c>
      <c r="S33" s="27">
        <v>264</v>
      </c>
      <c r="T33" s="28" t="s">
        <v>128</v>
      </c>
      <c r="U33" s="29">
        <v>300</v>
      </c>
      <c r="V33" s="29">
        <v>675</v>
      </c>
      <c r="W33" s="30">
        <v>-66.003699999999995</v>
      </c>
      <c r="X33" s="30">
        <v>0.18625382716049382</v>
      </c>
      <c r="Y33" s="29">
        <v>1</v>
      </c>
    </row>
    <row r="34" spans="11:25" x14ac:dyDescent="0.2">
      <c r="K34" s="27">
        <v>252</v>
      </c>
      <c r="L34" s="28" t="s">
        <v>127</v>
      </c>
      <c r="M34" s="29">
        <v>300</v>
      </c>
      <c r="N34" s="29">
        <v>275</v>
      </c>
      <c r="O34" s="30">
        <v>-32.264499999999998</v>
      </c>
      <c r="P34" s="30">
        <v>0.22347705627705627</v>
      </c>
      <c r="Q34" s="29">
        <v>1</v>
      </c>
      <c r="S34" s="27">
        <v>252</v>
      </c>
      <c r="T34" s="28" t="s">
        <v>127</v>
      </c>
      <c r="U34" s="29">
        <v>300</v>
      </c>
      <c r="V34" s="29">
        <v>275</v>
      </c>
      <c r="W34" s="30">
        <v>-32.258000000000003</v>
      </c>
      <c r="X34" s="30">
        <v>0.22343203463203465</v>
      </c>
      <c r="Y34" s="29">
        <v>1</v>
      </c>
    </row>
    <row r="35" spans="11:25" x14ac:dyDescent="0.2">
      <c r="K35" s="27">
        <v>268</v>
      </c>
      <c r="L35" s="28" t="s">
        <v>128</v>
      </c>
      <c r="M35" s="29">
        <v>300</v>
      </c>
      <c r="N35" s="29">
        <v>675</v>
      </c>
      <c r="O35" s="30">
        <v>-35.497700000000002</v>
      </c>
      <c r="P35" s="30">
        <v>0.10016987654320988</v>
      </c>
      <c r="Q35" s="29">
        <v>1</v>
      </c>
      <c r="S35" s="27">
        <v>268</v>
      </c>
      <c r="T35" s="28" t="s">
        <v>128</v>
      </c>
      <c r="U35" s="29">
        <v>300</v>
      </c>
      <c r="V35" s="29">
        <v>675</v>
      </c>
      <c r="W35" s="30">
        <v>-35.448500000000003</v>
      </c>
      <c r="X35" s="30">
        <v>0.1000310405643739</v>
      </c>
      <c r="Y35" s="29">
        <v>1</v>
      </c>
    </row>
    <row r="36" spans="11:25" x14ac:dyDescent="0.2">
      <c r="K36" s="27">
        <v>253</v>
      </c>
      <c r="L36" s="28" t="s">
        <v>129</v>
      </c>
      <c r="M36" s="29">
        <v>700</v>
      </c>
      <c r="N36" s="29">
        <v>275</v>
      </c>
      <c r="O36" s="30">
        <v>-33.818600000000004</v>
      </c>
      <c r="P36" s="30">
        <v>0.1003891651205937</v>
      </c>
      <c r="Q36" s="29">
        <v>1</v>
      </c>
      <c r="S36" s="27">
        <v>253</v>
      </c>
      <c r="T36" s="28" t="s">
        <v>129</v>
      </c>
      <c r="U36" s="29">
        <v>700</v>
      </c>
      <c r="V36" s="29">
        <v>275</v>
      </c>
      <c r="W36" s="30">
        <v>-33.7971</v>
      </c>
      <c r="X36" s="30">
        <v>0.10032534322820037</v>
      </c>
      <c r="Y36" s="29">
        <v>1</v>
      </c>
    </row>
    <row r="37" spans="11:25" x14ac:dyDescent="0.2">
      <c r="K37" s="27">
        <v>271</v>
      </c>
      <c r="L37" s="28" t="s">
        <v>128</v>
      </c>
      <c r="M37" s="29">
        <v>300</v>
      </c>
      <c r="N37" s="29">
        <v>675</v>
      </c>
      <c r="O37" s="30">
        <v>-47.298000000000002</v>
      </c>
      <c r="P37" s="30">
        <v>0.13346878306878307</v>
      </c>
      <c r="Q37" s="29">
        <v>1</v>
      </c>
      <c r="S37" s="27">
        <v>271</v>
      </c>
      <c r="T37" s="28" t="s">
        <v>128</v>
      </c>
      <c r="U37" s="29">
        <v>300</v>
      </c>
      <c r="V37" s="29">
        <v>675</v>
      </c>
      <c r="W37" s="30">
        <v>-47.247799999999998</v>
      </c>
      <c r="X37" s="30">
        <v>0.13332712522045853</v>
      </c>
      <c r="Y37" s="29">
        <v>1</v>
      </c>
    </row>
    <row r="38" spans="11:25" x14ac:dyDescent="0.2">
      <c r="K38" s="27">
        <v>272</v>
      </c>
      <c r="L38" s="28" t="s">
        <v>128</v>
      </c>
      <c r="M38" s="29">
        <v>300</v>
      </c>
      <c r="N38" s="29">
        <v>675</v>
      </c>
      <c r="O38" s="30">
        <v>-47.152900000000002</v>
      </c>
      <c r="P38" s="30">
        <v>0.13305932980599647</v>
      </c>
      <c r="Q38" s="29">
        <v>1</v>
      </c>
      <c r="S38" s="27">
        <v>272</v>
      </c>
      <c r="T38" s="28" t="s">
        <v>128</v>
      </c>
      <c r="U38" s="29">
        <v>300</v>
      </c>
      <c r="V38" s="29">
        <v>675</v>
      </c>
      <c r="W38" s="30">
        <v>-47.104799999999997</v>
      </c>
      <c r="X38" s="30">
        <v>0.13292359788359787</v>
      </c>
      <c r="Y38" s="29">
        <v>1</v>
      </c>
    </row>
    <row r="39" spans="11:25" x14ac:dyDescent="0.2">
      <c r="K39" s="27">
        <v>255</v>
      </c>
      <c r="L39" s="28" t="s">
        <v>129</v>
      </c>
      <c r="M39" s="29">
        <v>700</v>
      </c>
      <c r="N39" s="29">
        <v>275</v>
      </c>
      <c r="O39" s="30">
        <v>-32.912399999999998</v>
      </c>
      <c r="P39" s="30">
        <v>9.7699146567717998E-2</v>
      </c>
      <c r="Q39" s="29">
        <v>1</v>
      </c>
      <c r="S39" s="27">
        <v>255</v>
      </c>
      <c r="T39" s="28" t="s">
        <v>129</v>
      </c>
      <c r="U39" s="29">
        <v>700</v>
      </c>
      <c r="V39" s="29">
        <v>275</v>
      </c>
      <c r="W39" s="30">
        <v>-32.8949</v>
      </c>
      <c r="X39" s="30">
        <v>9.7647198515769945E-2</v>
      </c>
      <c r="Y39" s="29">
        <v>1</v>
      </c>
    </row>
    <row r="40" spans="11:25" x14ac:dyDescent="0.2">
      <c r="K40" s="27">
        <v>266</v>
      </c>
      <c r="L40" s="28" t="s">
        <v>128</v>
      </c>
      <c r="M40" s="29">
        <v>300</v>
      </c>
      <c r="N40" s="29">
        <v>675</v>
      </c>
      <c r="O40" s="30">
        <v>-34.081200000000003</v>
      </c>
      <c r="P40" s="30">
        <v>9.6172698412698432E-2</v>
      </c>
      <c r="Q40" s="29">
        <v>1</v>
      </c>
      <c r="S40" s="27">
        <v>266</v>
      </c>
      <c r="T40" s="28" t="s">
        <v>128</v>
      </c>
      <c r="U40" s="29">
        <v>300</v>
      </c>
      <c r="V40" s="29">
        <v>675</v>
      </c>
      <c r="W40" s="30">
        <v>-34.040500000000002</v>
      </c>
      <c r="X40" s="30">
        <v>9.6057848324514986E-2</v>
      </c>
      <c r="Y40" s="29">
        <v>1</v>
      </c>
    </row>
    <row r="41" spans="11:25" x14ac:dyDescent="0.2">
      <c r="K41" s="27">
        <v>267</v>
      </c>
      <c r="L41" s="28" t="s">
        <v>128</v>
      </c>
      <c r="M41" s="29">
        <v>300</v>
      </c>
      <c r="N41" s="29">
        <v>675</v>
      </c>
      <c r="O41" s="30">
        <v>-37.559800000000003</v>
      </c>
      <c r="P41" s="30">
        <v>0.1059888536155203</v>
      </c>
      <c r="Q41" s="29">
        <v>1</v>
      </c>
      <c r="S41" s="27">
        <v>267</v>
      </c>
      <c r="T41" s="28" t="s">
        <v>128</v>
      </c>
      <c r="U41" s="29">
        <v>300</v>
      </c>
      <c r="V41" s="29">
        <v>675</v>
      </c>
      <c r="W41" s="30">
        <v>-37.509099999999997</v>
      </c>
      <c r="X41" s="30">
        <v>0.10584578483245149</v>
      </c>
      <c r="Y41" s="29">
        <v>1</v>
      </c>
    </row>
    <row r="42" spans="11:25" x14ac:dyDescent="0.2">
      <c r="K42" s="27">
        <v>254</v>
      </c>
      <c r="L42" s="28" t="s">
        <v>129</v>
      </c>
      <c r="M42" s="29">
        <v>700</v>
      </c>
      <c r="N42" s="29">
        <v>275</v>
      </c>
      <c r="O42" s="30">
        <v>-33.491500000000002</v>
      </c>
      <c r="P42" s="30">
        <v>9.9418181818181822E-2</v>
      </c>
      <c r="Q42" s="29">
        <v>1</v>
      </c>
      <c r="S42" s="27">
        <v>254</v>
      </c>
      <c r="T42" s="28" t="s">
        <v>129</v>
      </c>
      <c r="U42" s="29">
        <v>700</v>
      </c>
      <c r="V42" s="29">
        <v>275</v>
      </c>
      <c r="W42" s="30">
        <v>-33.469700000000003</v>
      </c>
      <c r="X42" s="30">
        <v>9.9353469387755119E-2</v>
      </c>
      <c r="Y42" s="29">
        <v>1</v>
      </c>
    </row>
    <row r="43" spans="11:25" x14ac:dyDescent="0.2">
      <c r="K43" s="27">
        <v>269</v>
      </c>
      <c r="L43" s="28" t="s">
        <v>128</v>
      </c>
      <c r="M43" s="29">
        <v>300</v>
      </c>
      <c r="N43" s="29">
        <v>675</v>
      </c>
      <c r="O43" s="30">
        <v>-45.872399999999999</v>
      </c>
      <c r="P43" s="30">
        <v>0.12944592592592594</v>
      </c>
      <c r="Q43" s="29">
        <v>1</v>
      </c>
      <c r="S43" s="27">
        <v>269</v>
      </c>
      <c r="T43" s="28" t="s">
        <v>128</v>
      </c>
      <c r="U43" s="29">
        <v>300</v>
      </c>
      <c r="V43" s="29">
        <v>675</v>
      </c>
      <c r="W43" s="30">
        <v>-45.822800000000001</v>
      </c>
      <c r="X43" s="30">
        <v>0.12930596119929455</v>
      </c>
      <c r="Y43" s="29">
        <v>1</v>
      </c>
    </row>
    <row r="44" spans="11:25" x14ac:dyDescent="0.2">
      <c r="K44" s="27">
        <v>270</v>
      </c>
      <c r="L44" s="28" t="s">
        <v>128</v>
      </c>
      <c r="M44" s="29">
        <v>300</v>
      </c>
      <c r="N44" s="29">
        <v>675</v>
      </c>
      <c r="O44" s="30">
        <v>-45.847799999999999</v>
      </c>
      <c r="P44" s="30">
        <v>0.12937650793650796</v>
      </c>
      <c r="Q44" s="29">
        <v>1</v>
      </c>
      <c r="S44" s="27">
        <v>270</v>
      </c>
      <c r="T44" s="28" t="s">
        <v>128</v>
      </c>
      <c r="U44" s="29">
        <v>300</v>
      </c>
      <c r="V44" s="29">
        <v>675</v>
      </c>
      <c r="W44" s="30">
        <v>-45.799700000000001</v>
      </c>
      <c r="X44" s="30">
        <v>0.12924077601410935</v>
      </c>
      <c r="Y44" s="29">
        <v>1</v>
      </c>
    </row>
    <row r="45" spans="11:25" x14ac:dyDescent="0.2">
      <c r="K45" s="27">
        <v>256</v>
      </c>
      <c r="L45" s="28" t="s">
        <v>129</v>
      </c>
      <c r="M45" s="29">
        <v>700</v>
      </c>
      <c r="N45" s="29">
        <v>275</v>
      </c>
      <c r="O45" s="30">
        <v>-33.441099999999999</v>
      </c>
      <c r="P45" s="30">
        <v>9.9268571428571428E-2</v>
      </c>
      <c r="Q45" s="29">
        <v>1</v>
      </c>
      <c r="S45" s="27">
        <v>256</v>
      </c>
      <c r="T45" s="28" t="s">
        <v>129</v>
      </c>
      <c r="U45" s="29">
        <v>700</v>
      </c>
      <c r="V45" s="29">
        <v>275</v>
      </c>
      <c r="W45" s="30">
        <v>-33.422899999999998</v>
      </c>
      <c r="X45" s="30">
        <v>9.9214545454545458E-2</v>
      </c>
      <c r="Y45" s="29">
        <v>1</v>
      </c>
    </row>
    <row r="46" spans="11:25" x14ac:dyDescent="0.2">
      <c r="K46" s="27">
        <v>265</v>
      </c>
      <c r="L46" s="28" t="s">
        <v>128</v>
      </c>
      <c r="M46" s="29">
        <v>300</v>
      </c>
      <c r="N46" s="29">
        <v>675</v>
      </c>
      <c r="O46" s="30">
        <v>-37.444499999999998</v>
      </c>
      <c r="P46" s="30">
        <v>0.10566349206349206</v>
      </c>
      <c r="Q46" s="29">
        <v>1</v>
      </c>
      <c r="S46" s="27">
        <v>265</v>
      </c>
      <c r="T46" s="28" t="s">
        <v>128</v>
      </c>
      <c r="U46" s="29">
        <v>300</v>
      </c>
      <c r="V46" s="29">
        <v>675</v>
      </c>
      <c r="W46" s="30">
        <v>-37.4026</v>
      </c>
      <c r="X46" s="30">
        <v>0.10554525573192239</v>
      </c>
      <c r="Y46" s="29">
        <v>1</v>
      </c>
    </row>
    <row r="47" spans="11:25" x14ac:dyDescent="0.2">
      <c r="K47" s="27">
        <v>249</v>
      </c>
      <c r="L47" s="28" t="s">
        <v>127</v>
      </c>
      <c r="M47" s="29">
        <v>300</v>
      </c>
      <c r="N47" s="29">
        <v>275</v>
      </c>
      <c r="O47" s="30">
        <v>8.2175999999999991</v>
      </c>
      <c r="P47" s="30">
        <v>5.691844155844155E-2</v>
      </c>
      <c r="Q47" s="29">
        <v>1</v>
      </c>
      <c r="S47" s="27">
        <v>249</v>
      </c>
      <c r="T47" s="28" t="s">
        <v>127</v>
      </c>
      <c r="U47" s="29">
        <v>300</v>
      </c>
      <c r="V47" s="29">
        <v>275</v>
      </c>
      <c r="W47" s="30">
        <v>8.2286000000000001</v>
      </c>
      <c r="X47" s="30">
        <v>5.6994632034632037E-2</v>
      </c>
      <c r="Y47" s="29">
        <v>1</v>
      </c>
    </row>
    <row r="48" spans="11:25" x14ac:dyDescent="0.2">
      <c r="K48" s="27">
        <v>261</v>
      </c>
      <c r="L48" s="28" t="s">
        <v>128</v>
      </c>
      <c r="M48" s="29">
        <v>300</v>
      </c>
      <c r="N48" s="29">
        <v>675</v>
      </c>
      <c r="O48" s="30">
        <v>5.5640999999999998</v>
      </c>
      <c r="P48" s="30">
        <v>1.5701164021164019E-2</v>
      </c>
      <c r="Q48" s="29">
        <v>1</v>
      </c>
      <c r="S48" s="27">
        <v>261</v>
      </c>
      <c r="T48" s="28" t="s">
        <v>128</v>
      </c>
      <c r="U48" s="29">
        <v>300</v>
      </c>
      <c r="V48" s="29">
        <v>675</v>
      </c>
      <c r="W48" s="30">
        <v>5.6085000000000003</v>
      </c>
      <c r="X48" s="30">
        <v>1.5826455026455025E-2</v>
      </c>
      <c r="Y48" s="29">
        <v>1</v>
      </c>
    </row>
    <row r="49" spans="11:25" x14ac:dyDescent="0.2">
      <c r="K49" s="27">
        <v>257</v>
      </c>
      <c r="L49" s="28" t="s">
        <v>129</v>
      </c>
      <c r="M49" s="29">
        <v>700</v>
      </c>
      <c r="N49" s="29">
        <v>275</v>
      </c>
      <c r="O49" s="30">
        <v>11.1288</v>
      </c>
      <c r="P49" s="30">
        <v>3.3035398886827459E-2</v>
      </c>
      <c r="Q49" s="29">
        <v>1</v>
      </c>
      <c r="S49" s="27">
        <v>257</v>
      </c>
      <c r="T49" s="28" t="s">
        <v>129</v>
      </c>
      <c r="U49" s="29">
        <v>700</v>
      </c>
      <c r="V49" s="29">
        <v>275</v>
      </c>
      <c r="W49" s="30">
        <v>11.142799999999999</v>
      </c>
      <c r="X49" s="30">
        <v>3.3076957328385899E-2</v>
      </c>
      <c r="Y49" s="29">
        <v>1</v>
      </c>
    </row>
    <row r="50" spans="11:25" x14ac:dyDescent="0.2">
      <c r="K50" s="27">
        <v>258</v>
      </c>
      <c r="L50" s="28" t="s">
        <v>129</v>
      </c>
      <c r="M50" s="29">
        <v>700</v>
      </c>
      <c r="N50" s="29">
        <v>275</v>
      </c>
      <c r="O50" s="30">
        <v>11.143800000000001</v>
      </c>
      <c r="P50" s="30">
        <v>3.3079925788497222E-2</v>
      </c>
      <c r="Q50" s="29">
        <v>1</v>
      </c>
      <c r="S50" s="27">
        <v>258</v>
      </c>
      <c r="T50" s="28" t="s">
        <v>129</v>
      </c>
      <c r="U50" s="29">
        <v>700</v>
      </c>
      <c r="V50" s="29">
        <v>275</v>
      </c>
      <c r="W50" s="30">
        <v>11.1572</v>
      </c>
      <c r="X50" s="30">
        <v>3.3119703153988864E-2</v>
      </c>
      <c r="Y50" s="29">
        <v>1</v>
      </c>
    </row>
    <row r="51" spans="11:25" x14ac:dyDescent="0.2">
      <c r="K51" s="27">
        <v>262</v>
      </c>
      <c r="L51" s="28" t="s">
        <v>128</v>
      </c>
      <c r="M51" s="29">
        <v>300</v>
      </c>
      <c r="N51" s="29">
        <v>675</v>
      </c>
      <c r="O51" s="30">
        <v>5.6253000000000002</v>
      </c>
      <c r="P51" s="30">
        <v>1.5873862433862435E-2</v>
      </c>
      <c r="Q51" s="29">
        <v>1</v>
      </c>
      <c r="S51" s="27">
        <v>262</v>
      </c>
      <c r="T51" s="28" t="s">
        <v>128</v>
      </c>
      <c r="U51" s="29">
        <v>300</v>
      </c>
      <c r="V51" s="29">
        <v>675</v>
      </c>
      <c r="W51" s="30">
        <v>5.6658999999999997</v>
      </c>
      <c r="X51" s="30">
        <v>1.5988430335097E-2</v>
      </c>
      <c r="Y51" s="29">
        <v>1</v>
      </c>
    </row>
    <row r="52" spans="11:25" x14ac:dyDescent="0.2">
      <c r="K52" s="27">
        <v>250</v>
      </c>
      <c r="L52" s="28" t="s">
        <v>127</v>
      </c>
      <c r="M52" s="29">
        <v>300</v>
      </c>
      <c r="N52" s="29">
        <v>275</v>
      </c>
      <c r="O52" s="30">
        <v>8.2756000000000007</v>
      </c>
      <c r="P52" s="30">
        <v>5.7320173160173161E-2</v>
      </c>
      <c r="Q52" s="29">
        <v>1</v>
      </c>
      <c r="S52" s="27">
        <v>250</v>
      </c>
      <c r="T52" s="28" t="s">
        <v>127</v>
      </c>
      <c r="U52" s="29">
        <v>300</v>
      </c>
      <c r="V52" s="29">
        <v>275</v>
      </c>
      <c r="W52" s="30">
        <v>8.2798999999999996</v>
      </c>
      <c r="X52" s="30">
        <v>5.7349956709956705E-2</v>
      </c>
      <c r="Y52" s="29">
        <v>1</v>
      </c>
    </row>
    <row r="53" spans="11:25" x14ac:dyDescent="0.2">
      <c r="K53" s="27">
        <v>65</v>
      </c>
      <c r="L53" s="28" t="s">
        <v>127</v>
      </c>
      <c r="M53" s="29">
        <v>300</v>
      </c>
      <c r="N53" s="29">
        <v>275</v>
      </c>
      <c r="O53" s="30">
        <v>-34.756399999999999</v>
      </c>
      <c r="P53" s="30">
        <v>0.2407369696969697</v>
      </c>
      <c r="Q53" s="29">
        <v>1</v>
      </c>
      <c r="S53" s="27">
        <v>65</v>
      </c>
      <c r="T53" s="28" t="s">
        <v>127</v>
      </c>
      <c r="U53" s="29">
        <v>300</v>
      </c>
      <c r="V53" s="29">
        <v>275</v>
      </c>
      <c r="W53" s="30">
        <v>-34.755099999999999</v>
      </c>
      <c r="X53" s="30">
        <v>0.24072796536796537</v>
      </c>
      <c r="Y53" s="29">
        <v>1</v>
      </c>
    </row>
    <row r="54" spans="11:25" x14ac:dyDescent="0.2">
      <c r="K54" s="27">
        <v>77</v>
      </c>
      <c r="L54" s="28" t="s">
        <v>128</v>
      </c>
      <c r="M54" s="29">
        <v>300</v>
      </c>
      <c r="N54" s="29">
        <v>675</v>
      </c>
      <c r="O54" s="30">
        <v>-83.727099999999993</v>
      </c>
      <c r="P54" s="30">
        <v>0.23626694885361549</v>
      </c>
      <c r="Q54" s="29">
        <v>1</v>
      </c>
      <c r="S54" s="27">
        <v>77</v>
      </c>
      <c r="T54" s="28" t="s">
        <v>128</v>
      </c>
      <c r="U54" s="29">
        <v>300</v>
      </c>
      <c r="V54" s="29">
        <v>675</v>
      </c>
      <c r="W54" s="30">
        <v>-83.709699999999998</v>
      </c>
      <c r="X54" s="30">
        <v>0.23621784832451498</v>
      </c>
      <c r="Y54" s="29">
        <v>1</v>
      </c>
    </row>
    <row r="55" spans="11:25" x14ac:dyDescent="0.2">
      <c r="K55" s="27">
        <v>73</v>
      </c>
      <c r="L55" s="28" t="s">
        <v>129</v>
      </c>
      <c r="M55" s="29">
        <v>700</v>
      </c>
      <c r="N55" s="29">
        <v>275</v>
      </c>
      <c r="O55" s="30">
        <v>-56.005600000000001</v>
      </c>
      <c r="P55" s="30">
        <v>0.1662503896103896</v>
      </c>
      <c r="Q55" s="29">
        <v>1</v>
      </c>
      <c r="S55" s="27">
        <v>73</v>
      </c>
      <c r="T55" s="28" t="s">
        <v>129</v>
      </c>
      <c r="U55" s="29">
        <v>700</v>
      </c>
      <c r="V55" s="29">
        <v>275</v>
      </c>
      <c r="W55" s="30">
        <v>-56.000399999999999</v>
      </c>
      <c r="X55" s="30">
        <v>0.16623495361781077</v>
      </c>
      <c r="Y55" s="29">
        <v>1</v>
      </c>
    </row>
    <row r="56" spans="11:25" x14ac:dyDescent="0.2">
      <c r="K56" s="27">
        <v>74</v>
      </c>
      <c r="L56" s="28" t="s">
        <v>129</v>
      </c>
      <c r="M56" s="29">
        <v>700</v>
      </c>
      <c r="N56" s="29">
        <v>275</v>
      </c>
      <c r="O56" s="30">
        <v>-55.978999999999999</v>
      </c>
      <c r="P56" s="30">
        <v>0.16617142857142858</v>
      </c>
      <c r="Q56" s="29">
        <v>1</v>
      </c>
      <c r="S56" s="27">
        <v>74</v>
      </c>
      <c r="T56" s="28" t="s">
        <v>129</v>
      </c>
      <c r="U56" s="29">
        <v>700</v>
      </c>
      <c r="V56" s="29">
        <v>275</v>
      </c>
      <c r="W56" s="30">
        <v>-55.974899999999998</v>
      </c>
      <c r="X56" s="30">
        <v>0.16615925788497218</v>
      </c>
      <c r="Y56" s="29">
        <v>1</v>
      </c>
    </row>
    <row r="57" spans="11:25" x14ac:dyDescent="0.2">
      <c r="K57" s="27">
        <v>78</v>
      </c>
      <c r="L57" s="28" t="s">
        <v>128</v>
      </c>
      <c r="M57" s="29">
        <v>300</v>
      </c>
      <c r="N57" s="29">
        <v>675</v>
      </c>
      <c r="O57" s="30">
        <v>-83.328199999999995</v>
      </c>
      <c r="P57" s="30">
        <v>0.23514130511463843</v>
      </c>
      <c r="Q57" s="29">
        <v>1</v>
      </c>
      <c r="S57" s="27">
        <v>78</v>
      </c>
      <c r="T57" s="28" t="s">
        <v>128</v>
      </c>
      <c r="U57" s="29">
        <v>300</v>
      </c>
      <c r="V57" s="29">
        <v>675</v>
      </c>
      <c r="W57" s="30">
        <v>-83.314599999999999</v>
      </c>
      <c r="X57" s="30">
        <v>0.23510292768959437</v>
      </c>
      <c r="Y57" s="29">
        <v>1</v>
      </c>
    </row>
    <row r="58" spans="11:25" x14ac:dyDescent="0.2">
      <c r="K58" s="27">
        <v>66</v>
      </c>
      <c r="L58" s="28" t="s">
        <v>127</v>
      </c>
      <c r="M58" s="29">
        <v>300</v>
      </c>
      <c r="N58" s="29">
        <v>275</v>
      </c>
      <c r="O58" s="30">
        <v>-34.567500000000003</v>
      </c>
      <c r="P58" s="30">
        <v>0.23942857142857144</v>
      </c>
      <c r="Q58" s="29">
        <v>1</v>
      </c>
      <c r="S58" s="27">
        <v>66</v>
      </c>
      <c r="T58" s="28" t="s">
        <v>127</v>
      </c>
      <c r="U58" s="29">
        <v>300</v>
      </c>
      <c r="V58" s="29">
        <v>275</v>
      </c>
      <c r="W58" s="30">
        <v>-34.570700000000002</v>
      </c>
      <c r="X58" s="30">
        <v>0.23945073593073596</v>
      </c>
      <c r="Y58" s="29">
        <v>1</v>
      </c>
    </row>
    <row r="59" spans="11:25" x14ac:dyDescent="0.2">
      <c r="K59" s="27">
        <v>82</v>
      </c>
      <c r="L59" s="28" t="s">
        <v>128</v>
      </c>
      <c r="M59" s="29">
        <v>300</v>
      </c>
      <c r="N59" s="29">
        <v>675</v>
      </c>
      <c r="O59" s="30">
        <v>-52.493899999999996</v>
      </c>
      <c r="P59" s="30">
        <v>0.14813093474426806</v>
      </c>
      <c r="Q59" s="29">
        <v>1</v>
      </c>
      <c r="S59" s="27">
        <v>82</v>
      </c>
      <c r="T59" s="28" t="s">
        <v>128</v>
      </c>
      <c r="U59" s="29">
        <v>300</v>
      </c>
      <c r="V59" s="29">
        <v>675</v>
      </c>
      <c r="W59" s="30">
        <v>-52.479799999999997</v>
      </c>
      <c r="X59" s="30">
        <v>0.1480911463844797</v>
      </c>
      <c r="Y59" s="29">
        <v>1</v>
      </c>
    </row>
    <row r="60" spans="11:25" x14ac:dyDescent="0.2">
      <c r="K60" s="27">
        <v>67</v>
      </c>
      <c r="L60" s="28" t="s">
        <v>129</v>
      </c>
      <c r="M60" s="29">
        <v>700</v>
      </c>
      <c r="N60" s="29">
        <v>275</v>
      </c>
      <c r="O60" s="30">
        <v>-41.4574</v>
      </c>
      <c r="P60" s="30">
        <v>0.12306463821892394</v>
      </c>
      <c r="Q60" s="29">
        <v>1</v>
      </c>
      <c r="S60" s="27">
        <v>67</v>
      </c>
      <c r="T60" s="28" t="s">
        <v>129</v>
      </c>
      <c r="U60" s="29">
        <v>700</v>
      </c>
      <c r="V60" s="29">
        <v>275</v>
      </c>
      <c r="W60" s="30">
        <v>-41.453600000000002</v>
      </c>
      <c r="X60" s="30">
        <v>0.12305335807050093</v>
      </c>
      <c r="Y60" s="29">
        <v>1</v>
      </c>
    </row>
    <row r="61" spans="11:25" x14ac:dyDescent="0.2">
      <c r="K61" s="27">
        <v>85</v>
      </c>
      <c r="L61" s="28" t="s">
        <v>128</v>
      </c>
      <c r="M61" s="29">
        <v>300</v>
      </c>
      <c r="N61" s="29">
        <v>675</v>
      </c>
      <c r="O61" s="30">
        <v>-66.240399999999994</v>
      </c>
      <c r="P61" s="30">
        <v>0.18692176366843033</v>
      </c>
      <c r="Q61" s="29">
        <v>1</v>
      </c>
      <c r="S61" s="27">
        <v>85</v>
      </c>
      <c r="T61" s="28" t="s">
        <v>128</v>
      </c>
      <c r="U61" s="29">
        <v>300</v>
      </c>
      <c r="V61" s="29">
        <v>675</v>
      </c>
      <c r="W61" s="30">
        <v>-66.227199999999996</v>
      </c>
      <c r="X61" s="30">
        <v>0.18688451499118164</v>
      </c>
      <c r="Y61" s="29">
        <v>1</v>
      </c>
    </row>
    <row r="62" spans="11:25" x14ac:dyDescent="0.2">
      <c r="K62" s="27">
        <v>86</v>
      </c>
      <c r="L62" s="28" t="s">
        <v>128</v>
      </c>
      <c r="M62" s="29">
        <v>300</v>
      </c>
      <c r="N62" s="29">
        <v>675</v>
      </c>
      <c r="O62" s="30">
        <v>-66.225200000000001</v>
      </c>
      <c r="P62" s="30">
        <v>0.18687887125220456</v>
      </c>
      <c r="Q62" s="29">
        <v>1</v>
      </c>
      <c r="S62" s="27">
        <v>86</v>
      </c>
      <c r="T62" s="28" t="s">
        <v>128</v>
      </c>
      <c r="U62" s="29">
        <v>300</v>
      </c>
      <c r="V62" s="29">
        <v>675</v>
      </c>
      <c r="W62" s="30">
        <v>-66.215000000000003</v>
      </c>
      <c r="X62" s="30">
        <v>0.18685008818342153</v>
      </c>
      <c r="Y62" s="29">
        <v>1</v>
      </c>
    </row>
    <row r="63" spans="11:25" x14ac:dyDescent="0.2">
      <c r="K63" s="27">
        <v>69</v>
      </c>
      <c r="L63" s="28" t="s">
        <v>129</v>
      </c>
      <c r="M63" s="29">
        <v>700</v>
      </c>
      <c r="N63" s="29">
        <v>275</v>
      </c>
      <c r="O63" s="30">
        <v>-41.501300000000001</v>
      </c>
      <c r="P63" s="30">
        <v>0.12319495361781077</v>
      </c>
      <c r="Q63" s="29">
        <v>1</v>
      </c>
      <c r="S63" s="27">
        <v>69</v>
      </c>
      <c r="T63" s="28" t="s">
        <v>129</v>
      </c>
      <c r="U63" s="29">
        <v>700</v>
      </c>
      <c r="V63" s="29">
        <v>275</v>
      </c>
      <c r="W63" s="30">
        <v>-41.5032</v>
      </c>
      <c r="X63" s="30">
        <v>0.12320059369202226</v>
      </c>
      <c r="Y63" s="29">
        <v>1</v>
      </c>
    </row>
    <row r="64" spans="11:25" x14ac:dyDescent="0.2">
      <c r="K64" s="27">
        <v>80</v>
      </c>
      <c r="L64" s="28" t="s">
        <v>128</v>
      </c>
      <c r="M64" s="29">
        <v>300</v>
      </c>
      <c r="N64" s="29">
        <v>675</v>
      </c>
      <c r="O64" s="30">
        <v>-52.5777</v>
      </c>
      <c r="P64" s="30">
        <v>0.14836740740740739</v>
      </c>
      <c r="Q64" s="29">
        <v>1</v>
      </c>
      <c r="S64" s="27">
        <v>80</v>
      </c>
      <c r="T64" s="28" t="s">
        <v>128</v>
      </c>
      <c r="U64" s="29">
        <v>300</v>
      </c>
      <c r="V64" s="29">
        <v>675</v>
      </c>
      <c r="W64" s="30">
        <v>-52.573300000000003</v>
      </c>
      <c r="X64" s="30">
        <v>0.14835499118165785</v>
      </c>
      <c r="Y64" s="29">
        <v>1</v>
      </c>
    </row>
    <row r="65" spans="11:25" x14ac:dyDescent="0.2">
      <c r="K65" s="27">
        <v>81</v>
      </c>
      <c r="L65" s="28" t="s">
        <v>128</v>
      </c>
      <c r="M65" s="29">
        <v>300</v>
      </c>
      <c r="N65" s="29">
        <v>675</v>
      </c>
      <c r="O65" s="30">
        <v>-55.125900000000001</v>
      </c>
      <c r="P65" s="30">
        <v>0.15555809523809525</v>
      </c>
      <c r="Q65" s="29">
        <v>1</v>
      </c>
      <c r="S65" s="27">
        <v>81</v>
      </c>
      <c r="T65" s="28" t="s">
        <v>128</v>
      </c>
      <c r="U65" s="29">
        <v>300</v>
      </c>
      <c r="V65" s="29">
        <v>675</v>
      </c>
      <c r="W65" s="30">
        <v>-55.118499999999997</v>
      </c>
      <c r="X65" s="30">
        <v>0.15553721340388008</v>
      </c>
      <c r="Y65" s="29">
        <v>1</v>
      </c>
    </row>
    <row r="66" spans="11:25" x14ac:dyDescent="0.2">
      <c r="K66" s="27">
        <v>68</v>
      </c>
      <c r="L66" s="28" t="s">
        <v>129</v>
      </c>
      <c r="M66" s="29">
        <v>700</v>
      </c>
      <c r="N66" s="29">
        <v>275</v>
      </c>
      <c r="O66" s="30">
        <v>-41.468400000000003</v>
      </c>
      <c r="P66" s="30">
        <v>0.12309729128014843</v>
      </c>
      <c r="Q66" s="29">
        <v>1</v>
      </c>
      <c r="S66" s="27">
        <v>68</v>
      </c>
      <c r="T66" s="28" t="s">
        <v>129</v>
      </c>
      <c r="U66" s="29">
        <v>700</v>
      </c>
      <c r="V66" s="29">
        <v>275</v>
      </c>
      <c r="W66" s="30">
        <v>-41.465600000000002</v>
      </c>
      <c r="X66" s="30">
        <v>0.12308897959183673</v>
      </c>
      <c r="Y66" s="29">
        <v>1</v>
      </c>
    </row>
    <row r="67" spans="11:25" x14ac:dyDescent="0.2">
      <c r="K67" s="27">
        <v>83</v>
      </c>
      <c r="L67" s="28" t="s">
        <v>128</v>
      </c>
      <c r="M67" s="29">
        <v>300</v>
      </c>
      <c r="N67" s="29">
        <v>675</v>
      </c>
      <c r="O67" s="30">
        <v>-66.169899999999998</v>
      </c>
      <c r="P67" s="30">
        <v>0.18672282186948852</v>
      </c>
      <c r="Q67" s="29">
        <v>1</v>
      </c>
      <c r="S67" s="27">
        <v>83</v>
      </c>
      <c r="T67" s="28" t="s">
        <v>128</v>
      </c>
      <c r="U67" s="29">
        <v>300</v>
      </c>
      <c r="V67" s="29">
        <v>675</v>
      </c>
      <c r="W67" s="30">
        <v>-66.157300000000006</v>
      </c>
      <c r="X67" s="30">
        <v>0.18668726631393298</v>
      </c>
      <c r="Y67" s="29">
        <v>1</v>
      </c>
    </row>
    <row r="68" spans="11:25" x14ac:dyDescent="0.2">
      <c r="K68" s="27">
        <v>84</v>
      </c>
      <c r="L68" s="28" t="s">
        <v>128</v>
      </c>
      <c r="M68" s="29">
        <v>300</v>
      </c>
      <c r="N68" s="29">
        <v>675</v>
      </c>
      <c r="O68" s="30">
        <v>-66.117800000000003</v>
      </c>
      <c r="P68" s="30">
        <v>0.1865758024691358</v>
      </c>
      <c r="Q68" s="29">
        <v>1</v>
      </c>
      <c r="S68" s="27">
        <v>84</v>
      </c>
      <c r="T68" s="28" t="s">
        <v>128</v>
      </c>
      <c r="U68" s="29">
        <v>300</v>
      </c>
      <c r="V68" s="29">
        <v>675</v>
      </c>
      <c r="W68" s="30">
        <v>-66.107100000000003</v>
      </c>
      <c r="X68" s="30">
        <v>0.18654560846560847</v>
      </c>
      <c r="Y68" s="29">
        <v>1</v>
      </c>
    </row>
    <row r="69" spans="11:25" x14ac:dyDescent="0.2">
      <c r="K69" s="27">
        <v>70</v>
      </c>
      <c r="L69" s="28" t="s">
        <v>129</v>
      </c>
      <c r="M69" s="29">
        <v>700</v>
      </c>
      <c r="N69" s="29">
        <v>275</v>
      </c>
      <c r="O69" s="30">
        <v>-41.360700000000001</v>
      </c>
      <c r="P69" s="30">
        <v>0.12277758812615956</v>
      </c>
      <c r="Q69" s="29">
        <v>1</v>
      </c>
      <c r="S69" s="27">
        <v>70</v>
      </c>
      <c r="T69" s="28" t="s">
        <v>129</v>
      </c>
      <c r="U69" s="29">
        <v>700</v>
      </c>
      <c r="V69" s="29">
        <v>275</v>
      </c>
      <c r="W69" s="30">
        <v>-41.362099999999998</v>
      </c>
      <c r="X69" s="30">
        <v>0.1227817439703154</v>
      </c>
      <c r="Y69" s="29">
        <v>1</v>
      </c>
    </row>
    <row r="70" spans="11:25" x14ac:dyDescent="0.2">
      <c r="K70" s="27">
        <v>79</v>
      </c>
      <c r="L70" s="28" t="s">
        <v>128</v>
      </c>
      <c r="M70" s="29">
        <v>300</v>
      </c>
      <c r="N70" s="29">
        <v>675</v>
      </c>
      <c r="O70" s="30">
        <v>-54.923000000000002</v>
      </c>
      <c r="P70" s="30">
        <v>0.15498553791887126</v>
      </c>
      <c r="Q70" s="29">
        <v>1</v>
      </c>
      <c r="S70" s="27">
        <v>79</v>
      </c>
      <c r="T70" s="28" t="s">
        <v>128</v>
      </c>
      <c r="U70" s="29">
        <v>300</v>
      </c>
      <c r="V70" s="29">
        <v>675</v>
      </c>
      <c r="W70" s="30">
        <v>-54.921500000000002</v>
      </c>
      <c r="X70" s="30">
        <v>0.15498130511463845</v>
      </c>
      <c r="Y70" s="29">
        <v>1</v>
      </c>
    </row>
    <row r="71" spans="11:25" x14ac:dyDescent="0.2">
      <c r="K71" s="27">
        <v>63</v>
      </c>
      <c r="L71" s="28" t="s">
        <v>127</v>
      </c>
      <c r="M71" s="29">
        <v>300</v>
      </c>
      <c r="N71" s="29">
        <v>275</v>
      </c>
      <c r="O71" s="30">
        <v>4.8174999999999999</v>
      </c>
      <c r="P71" s="30">
        <v>3.3367965367965366E-2</v>
      </c>
      <c r="Q71" s="29">
        <v>1</v>
      </c>
      <c r="S71" s="27">
        <v>63</v>
      </c>
      <c r="T71" s="28" t="s">
        <v>127</v>
      </c>
      <c r="U71" s="29">
        <v>300</v>
      </c>
      <c r="V71" s="29">
        <v>275</v>
      </c>
      <c r="W71" s="30">
        <v>4.8231000000000002</v>
      </c>
      <c r="X71" s="30">
        <v>3.3406753246753247E-2</v>
      </c>
      <c r="Y71" s="29">
        <v>1</v>
      </c>
    </row>
    <row r="72" spans="11:25" x14ac:dyDescent="0.2">
      <c r="K72" s="27">
        <v>75</v>
      </c>
      <c r="L72" s="28" t="s">
        <v>128</v>
      </c>
      <c r="M72" s="29">
        <v>300</v>
      </c>
      <c r="N72" s="29">
        <v>675</v>
      </c>
      <c r="O72" s="30">
        <v>-5.5776000000000003</v>
      </c>
      <c r="P72" s="30">
        <v>1.5739259259259262E-2</v>
      </c>
      <c r="Q72" s="29">
        <v>1</v>
      </c>
      <c r="S72" s="27">
        <v>75</v>
      </c>
      <c r="T72" s="28" t="s">
        <v>128</v>
      </c>
      <c r="U72" s="29">
        <v>300</v>
      </c>
      <c r="V72" s="29">
        <v>675</v>
      </c>
      <c r="W72" s="30">
        <v>-5.5629999999999997</v>
      </c>
      <c r="X72" s="30">
        <v>1.5698059964726632E-2</v>
      </c>
      <c r="Y72" s="29">
        <v>1</v>
      </c>
    </row>
    <row r="73" spans="11:25" x14ac:dyDescent="0.2">
      <c r="K73" s="27">
        <v>71</v>
      </c>
      <c r="L73" s="28" t="s">
        <v>129</v>
      </c>
      <c r="M73" s="29">
        <v>700</v>
      </c>
      <c r="N73" s="29">
        <v>275</v>
      </c>
      <c r="O73" s="30">
        <v>7.5347</v>
      </c>
      <c r="P73" s="30">
        <v>2.2366456400742113E-2</v>
      </c>
      <c r="Q73" s="29">
        <v>1</v>
      </c>
      <c r="S73" s="27">
        <v>71</v>
      </c>
      <c r="T73" s="28" t="s">
        <v>129</v>
      </c>
      <c r="U73" s="29">
        <v>700</v>
      </c>
      <c r="V73" s="29">
        <v>275</v>
      </c>
      <c r="W73" s="30">
        <v>7.5365000000000002</v>
      </c>
      <c r="X73" s="30">
        <v>2.2371799628942486E-2</v>
      </c>
      <c r="Y73" s="29">
        <v>1</v>
      </c>
    </row>
    <row r="74" spans="11:25" x14ac:dyDescent="0.2">
      <c r="K74" s="27">
        <v>72</v>
      </c>
      <c r="L74" s="28" t="s">
        <v>129</v>
      </c>
      <c r="M74" s="29">
        <v>700</v>
      </c>
      <c r="N74" s="29">
        <v>275</v>
      </c>
      <c r="O74" s="30">
        <v>7.5518999999999998</v>
      </c>
      <c r="P74" s="30">
        <v>2.241751391465677E-2</v>
      </c>
      <c r="Q74" s="29">
        <v>1</v>
      </c>
      <c r="S74" s="27">
        <v>72</v>
      </c>
      <c r="T74" s="28" t="s">
        <v>129</v>
      </c>
      <c r="U74" s="29">
        <v>700</v>
      </c>
      <c r="V74" s="29">
        <v>275</v>
      </c>
      <c r="W74" s="30">
        <v>7.5529000000000002</v>
      </c>
      <c r="X74" s="30">
        <v>2.242048237476809E-2</v>
      </c>
      <c r="Y74" s="29">
        <v>1</v>
      </c>
    </row>
    <row r="75" spans="11:25" x14ac:dyDescent="0.2">
      <c r="K75" s="27">
        <v>76</v>
      </c>
      <c r="L75" s="28" t="s">
        <v>128</v>
      </c>
      <c r="M75" s="29">
        <v>300</v>
      </c>
      <c r="N75" s="29">
        <v>675</v>
      </c>
      <c r="O75" s="30">
        <v>-5.4936999999999996</v>
      </c>
      <c r="P75" s="30">
        <v>1.5502504409171076E-2</v>
      </c>
      <c r="Q75" s="29">
        <v>1</v>
      </c>
      <c r="S75" s="27">
        <v>76</v>
      </c>
      <c r="T75" s="28" t="s">
        <v>128</v>
      </c>
      <c r="U75" s="29">
        <v>300</v>
      </c>
      <c r="V75" s="29">
        <v>675</v>
      </c>
      <c r="W75" s="30">
        <v>-5.4842000000000004</v>
      </c>
      <c r="X75" s="30">
        <v>1.5475696649029985E-2</v>
      </c>
      <c r="Y75" s="29">
        <v>1</v>
      </c>
    </row>
    <row r="76" spans="11:25" x14ac:dyDescent="0.2">
      <c r="K76" s="27">
        <v>64</v>
      </c>
      <c r="L76" s="28" t="s">
        <v>127</v>
      </c>
      <c r="M76" s="29">
        <v>300</v>
      </c>
      <c r="N76" s="29">
        <v>275</v>
      </c>
      <c r="O76" s="30">
        <v>4.8855000000000004</v>
      </c>
      <c r="P76" s="30">
        <v>3.3838961038961037E-2</v>
      </c>
      <c r="Q76" s="29">
        <v>1</v>
      </c>
      <c r="S76" s="27">
        <v>64</v>
      </c>
      <c r="T76" s="28" t="s">
        <v>127</v>
      </c>
      <c r="U76" s="29">
        <v>300</v>
      </c>
      <c r="V76" s="29">
        <v>275</v>
      </c>
      <c r="W76" s="30">
        <v>4.8821000000000003</v>
      </c>
      <c r="X76" s="30">
        <v>3.3815411255411258E-2</v>
      </c>
      <c r="Y76" s="29">
        <v>1</v>
      </c>
    </row>
    <row r="77" spans="11:25" x14ac:dyDescent="0.2">
      <c r="K77" s="27">
        <v>127</v>
      </c>
      <c r="L77" s="28" t="s">
        <v>127</v>
      </c>
      <c r="M77" s="29">
        <v>300</v>
      </c>
      <c r="N77" s="29">
        <v>275</v>
      </c>
      <c r="O77" s="30">
        <v>-36.316499999999998</v>
      </c>
      <c r="P77" s="30">
        <v>0.25154285714285712</v>
      </c>
      <c r="Q77" s="29">
        <v>1</v>
      </c>
      <c r="S77" s="27">
        <v>127</v>
      </c>
      <c r="T77" s="28" t="s">
        <v>127</v>
      </c>
      <c r="U77" s="29">
        <v>300</v>
      </c>
      <c r="V77" s="29">
        <v>275</v>
      </c>
      <c r="W77" s="30">
        <v>-36.324399999999997</v>
      </c>
      <c r="X77" s="30">
        <v>0.25159757575757574</v>
      </c>
      <c r="Y77" s="29">
        <v>1</v>
      </c>
    </row>
    <row r="78" spans="11:25" x14ac:dyDescent="0.2">
      <c r="K78" s="27">
        <v>139</v>
      </c>
      <c r="L78" s="28" t="s">
        <v>128</v>
      </c>
      <c r="M78" s="29">
        <v>300</v>
      </c>
      <c r="N78" s="29">
        <v>675</v>
      </c>
      <c r="O78" s="30">
        <v>-101.50879999999999</v>
      </c>
      <c r="P78" s="30">
        <v>0.28644458553791885</v>
      </c>
      <c r="Q78" s="29">
        <v>1</v>
      </c>
      <c r="S78" s="27">
        <v>139</v>
      </c>
      <c r="T78" s="28" t="s">
        <v>128</v>
      </c>
      <c r="U78" s="29">
        <v>300</v>
      </c>
      <c r="V78" s="29">
        <v>675</v>
      </c>
      <c r="W78" s="30">
        <v>-101.57989999999999</v>
      </c>
      <c r="X78" s="30">
        <v>0.28664522045855378</v>
      </c>
      <c r="Y78" s="29">
        <v>1</v>
      </c>
    </row>
    <row r="79" spans="11:25" x14ac:dyDescent="0.2">
      <c r="K79" s="27">
        <v>135</v>
      </c>
      <c r="L79" s="28" t="s">
        <v>129</v>
      </c>
      <c r="M79" s="29">
        <v>700</v>
      </c>
      <c r="N79" s="29">
        <v>275</v>
      </c>
      <c r="O79" s="30">
        <v>-58.476900000000001</v>
      </c>
      <c r="P79" s="30">
        <v>0.17358634508348794</v>
      </c>
      <c r="Q79" s="29">
        <v>1</v>
      </c>
      <c r="S79" s="27">
        <v>135</v>
      </c>
      <c r="T79" s="28" t="s">
        <v>129</v>
      </c>
      <c r="U79" s="29">
        <v>700</v>
      </c>
      <c r="V79" s="29">
        <v>275</v>
      </c>
      <c r="W79" s="30">
        <v>-58.504300000000001</v>
      </c>
      <c r="X79" s="30">
        <v>0.17366768089053805</v>
      </c>
      <c r="Y79" s="29">
        <v>1</v>
      </c>
    </row>
    <row r="80" spans="11:25" x14ac:dyDescent="0.2">
      <c r="K80" s="27">
        <v>136</v>
      </c>
      <c r="L80" s="28" t="s">
        <v>129</v>
      </c>
      <c r="M80" s="29">
        <v>700</v>
      </c>
      <c r="N80" s="29">
        <v>275</v>
      </c>
      <c r="O80" s="30">
        <v>-58.463799999999999</v>
      </c>
      <c r="P80" s="30">
        <v>0.17354745825602969</v>
      </c>
      <c r="Q80" s="29">
        <v>1</v>
      </c>
      <c r="S80" s="27">
        <v>136</v>
      </c>
      <c r="T80" s="28" t="s">
        <v>129</v>
      </c>
      <c r="U80" s="29">
        <v>700</v>
      </c>
      <c r="V80" s="29">
        <v>275</v>
      </c>
      <c r="W80" s="30">
        <v>-58.491199999999999</v>
      </c>
      <c r="X80" s="30">
        <v>0.17362879406307977</v>
      </c>
      <c r="Y80" s="29">
        <v>1</v>
      </c>
    </row>
    <row r="81" spans="11:25" x14ac:dyDescent="0.2">
      <c r="K81" s="27">
        <v>140</v>
      </c>
      <c r="L81" s="28" t="s">
        <v>128</v>
      </c>
      <c r="M81" s="29">
        <v>300</v>
      </c>
      <c r="N81" s="29">
        <v>675</v>
      </c>
      <c r="O81" s="30">
        <v>-101.4439</v>
      </c>
      <c r="P81" s="30">
        <v>0.28626144620811284</v>
      </c>
      <c r="Q81" s="29">
        <v>1</v>
      </c>
      <c r="S81" s="27">
        <v>140</v>
      </c>
      <c r="T81" s="28" t="s">
        <v>128</v>
      </c>
      <c r="U81" s="29">
        <v>300</v>
      </c>
      <c r="V81" s="29">
        <v>675</v>
      </c>
      <c r="W81" s="30">
        <v>-101.5183</v>
      </c>
      <c r="X81" s="30">
        <v>0.28647139329805998</v>
      </c>
      <c r="Y81" s="29">
        <v>1</v>
      </c>
    </row>
    <row r="82" spans="11:25" x14ac:dyDescent="0.2">
      <c r="K82" s="27">
        <v>128</v>
      </c>
      <c r="L82" s="28" t="s">
        <v>127</v>
      </c>
      <c r="M82" s="29">
        <v>300</v>
      </c>
      <c r="N82" s="29">
        <v>275</v>
      </c>
      <c r="O82" s="30">
        <v>-36.2759</v>
      </c>
      <c r="P82" s="30">
        <v>0.25126164502164505</v>
      </c>
      <c r="Q82" s="29">
        <v>1</v>
      </c>
      <c r="S82" s="27">
        <v>128</v>
      </c>
      <c r="T82" s="28" t="s">
        <v>127</v>
      </c>
      <c r="U82" s="29">
        <v>300</v>
      </c>
      <c r="V82" s="29">
        <v>275</v>
      </c>
      <c r="W82" s="30">
        <v>-36.279699999999998</v>
      </c>
      <c r="X82" s="30">
        <v>0.25128796536796533</v>
      </c>
      <c r="Y82" s="29">
        <v>1</v>
      </c>
    </row>
    <row r="83" spans="11:25" x14ac:dyDescent="0.2">
      <c r="K83" s="27">
        <v>144</v>
      </c>
      <c r="L83" s="28" t="s">
        <v>128</v>
      </c>
      <c r="M83" s="29">
        <v>300</v>
      </c>
      <c r="N83" s="29">
        <v>675</v>
      </c>
      <c r="O83" s="30">
        <v>-66.419899999999998</v>
      </c>
      <c r="P83" s="30">
        <v>0.18742828924162255</v>
      </c>
      <c r="Q83" s="29">
        <v>1</v>
      </c>
      <c r="S83" s="27">
        <v>144</v>
      </c>
      <c r="T83" s="28" t="s">
        <v>128</v>
      </c>
      <c r="U83" s="29">
        <v>300</v>
      </c>
      <c r="V83" s="29">
        <v>675</v>
      </c>
      <c r="W83" s="30">
        <v>-66.462699999999998</v>
      </c>
      <c r="X83" s="30">
        <v>0.18754906525573192</v>
      </c>
      <c r="Y83" s="29">
        <v>1</v>
      </c>
    </row>
    <row r="84" spans="11:25" x14ac:dyDescent="0.2">
      <c r="K84" s="27">
        <v>129</v>
      </c>
      <c r="L84" s="28" t="s">
        <v>129</v>
      </c>
      <c r="M84" s="29">
        <v>700</v>
      </c>
      <c r="N84" s="29">
        <v>275</v>
      </c>
      <c r="O84" s="30">
        <v>-40.745800000000003</v>
      </c>
      <c r="P84" s="30">
        <v>0.12095228200371058</v>
      </c>
      <c r="Q84" s="29">
        <v>1</v>
      </c>
      <c r="S84" s="27">
        <v>129</v>
      </c>
      <c r="T84" s="28" t="s">
        <v>129</v>
      </c>
      <c r="U84" s="29">
        <v>700</v>
      </c>
      <c r="V84" s="29">
        <v>275</v>
      </c>
      <c r="W84" s="30">
        <v>-40.767299999999999</v>
      </c>
      <c r="X84" s="30">
        <v>0.12101610389610389</v>
      </c>
      <c r="Y84" s="29">
        <v>1</v>
      </c>
    </row>
    <row r="85" spans="11:25" x14ac:dyDescent="0.2">
      <c r="K85" s="27">
        <v>147</v>
      </c>
      <c r="L85" s="28" t="s">
        <v>128</v>
      </c>
      <c r="M85" s="29">
        <v>300</v>
      </c>
      <c r="N85" s="29">
        <v>675</v>
      </c>
      <c r="O85" s="30">
        <v>-76.107600000000005</v>
      </c>
      <c r="P85" s="30">
        <v>0.21476571428571431</v>
      </c>
      <c r="Q85" s="29">
        <v>1</v>
      </c>
      <c r="S85" s="27">
        <v>147</v>
      </c>
      <c r="T85" s="28" t="s">
        <v>128</v>
      </c>
      <c r="U85" s="29">
        <v>300</v>
      </c>
      <c r="V85" s="29">
        <v>675</v>
      </c>
      <c r="W85" s="30">
        <v>-76.177099999999996</v>
      </c>
      <c r="X85" s="30">
        <v>0.21496183421516751</v>
      </c>
      <c r="Y85" s="29">
        <v>1</v>
      </c>
    </row>
    <row r="86" spans="11:25" x14ac:dyDescent="0.2">
      <c r="K86" s="27">
        <v>148</v>
      </c>
      <c r="L86" s="28" t="s">
        <v>128</v>
      </c>
      <c r="M86" s="29">
        <v>300</v>
      </c>
      <c r="N86" s="29">
        <v>675</v>
      </c>
      <c r="O86" s="30">
        <v>-76.035700000000006</v>
      </c>
      <c r="P86" s="30">
        <v>0.21456282186948858</v>
      </c>
      <c r="Q86" s="29">
        <v>1</v>
      </c>
      <c r="S86" s="27">
        <v>148</v>
      </c>
      <c r="T86" s="28" t="s">
        <v>128</v>
      </c>
      <c r="U86" s="29">
        <v>300</v>
      </c>
      <c r="V86" s="29">
        <v>675</v>
      </c>
      <c r="W86" s="30">
        <v>-76.108199999999997</v>
      </c>
      <c r="X86" s="30">
        <v>0.21476740740740741</v>
      </c>
      <c r="Y86" s="29">
        <v>1</v>
      </c>
    </row>
    <row r="87" spans="11:25" x14ac:dyDescent="0.2">
      <c r="K87" s="27">
        <v>131</v>
      </c>
      <c r="L87" s="28" t="s">
        <v>129</v>
      </c>
      <c r="M87" s="29">
        <v>700</v>
      </c>
      <c r="N87" s="29">
        <v>275</v>
      </c>
      <c r="O87" s="30">
        <v>-40.629300000000001</v>
      </c>
      <c r="P87" s="30">
        <v>0.12060645640074212</v>
      </c>
      <c r="Q87" s="29">
        <v>1</v>
      </c>
      <c r="S87" s="27">
        <v>131</v>
      </c>
      <c r="T87" s="28" t="s">
        <v>129</v>
      </c>
      <c r="U87" s="29">
        <v>700</v>
      </c>
      <c r="V87" s="29">
        <v>275</v>
      </c>
      <c r="W87" s="30">
        <v>-40.655900000000003</v>
      </c>
      <c r="X87" s="30">
        <v>0.12068541743970315</v>
      </c>
      <c r="Y87" s="29">
        <v>1</v>
      </c>
    </row>
    <row r="88" spans="11:25" x14ac:dyDescent="0.2">
      <c r="K88" s="27">
        <v>142</v>
      </c>
      <c r="L88" s="28" t="s">
        <v>128</v>
      </c>
      <c r="M88" s="29">
        <v>300</v>
      </c>
      <c r="N88" s="29">
        <v>675</v>
      </c>
      <c r="O88" s="30">
        <v>-66.084900000000005</v>
      </c>
      <c r="P88" s="30">
        <v>0.18648296296296299</v>
      </c>
      <c r="Q88" s="29">
        <v>1</v>
      </c>
      <c r="S88" s="27">
        <v>142</v>
      </c>
      <c r="T88" s="28" t="s">
        <v>128</v>
      </c>
      <c r="U88" s="29">
        <v>300</v>
      </c>
      <c r="V88" s="29">
        <v>675</v>
      </c>
      <c r="W88" s="30">
        <v>-66.150199999999998</v>
      </c>
      <c r="X88" s="30">
        <v>0.18666723104056437</v>
      </c>
      <c r="Y88" s="29">
        <v>1</v>
      </c>
    </row>
    <row r="89" spans="11:25" x14ac:dyDescent="0.2">
      <c r="K89" s="27">
        <v>143</v>
      </c>
      <c r="L89" s="28" t="s">
        <v>128</v>
      </c>
      <c r="M89" s="29">
        <v>300</v>
      </c>
      <c r="N89" s="29">
        <v>675</v>
      </c>
      <c r="O89" s="30">
        <v>-69.474900000000005</v>
      </c>
      <c r="P89" s="30">
        <v>0.19604910052910055</v>
      </c>
      <c r="Q89" s="29">
        <v>1</v>
      </c>
      <c r="S89" s="27">
        <v>143</v>
      </c>
      <c r="T89" s="28" t="s">
        <v>128</v>
      </c>
      <c r="U89" s="29">
        <v>300</v>
      </c>
      <c r="V89" s="29">
        <v>675</v>
      </c>
      <c r="W89" s="30">
        <v>-69.483999999999995</v>
      </c>
      <c r="X89" s="30">
        <v>0.1960747795414462</v>
      </c>
      <c r="Y89" s="29">
        <v>1</v>
      </c>
    </row>
    <row r="90" spans="11:25" x14ac:dyDescent="0.2">
      <c r="K90" s="27">
        <v>130</v>
      </c>
      <c r="L90" s="28" t="s">
        <v>129</v>
      </c>
      <c r="M90" s="29">
        <v>700</v>
      </c>
      <c r="N90" s="29">
        <v>275</v>
      </c>
      <c r="O90" s="30">
        <v>-41.155999999999999</v>
      </c>
      <c r="P90" s="30">
        <v>0.12216994434137292</v>
      </c>
      <c r="Q90" s="29">
        <v>1</v>
      </c>
      <c r="S90" s="27">
        <v>130</v>
      </c>
      <c r="T90" s="28" t="s">
        <v>129</v>
      </c>
      <c r="U90" s="29">
        <v>700</v>
      </c>
      <c r="V90" s="29">
        <v>275</v>
      </c>
      <c r="W90" s="30">
        <v>-41.177100000000003</v>
      </c>
      <c r="X90" s="30">
        <v>0.12223257884972172</v>
      </c>
      <c r="Y90" s="29">
        <v>1</v>
      </c>
    </row>
    <row r="91" spans="11:25" x14ac:dyDescent="0.2">
      <c r="K91" s="27">
        <v>145</v>
      </c>
      <c r="L91" s="28" t="s">
        <v>128</v>
      </c>
      <c r="M91" s="29">
        <v>300</v>
      </c>
      <c r="N91" s="29">
        <v>675</v>
      </c>
      <c r="O91" s="30">
        <v>-76.600300000000004</v>
      </c>
      <c r="P91" s="30">
        <v>0.21615604938271607</v>
      </c>
      <c r="Q91" s="29">
        <v>1</v>
      </c>
      <c r="S91" s="27">
        <v>145</v>
      </c>
      <c r="T91" s="28" t="s">
        <v>128</v>
      </c>
      <c r="U91" s="29">
        <v>300</v>
      </c>
      <c r="V91" s="29">
        <v>675</v>
      </c>
      <c r="W91" s="30">
        <v>-76.670699999999997</v>
      </c>
      <c r="X91" s="30">
        <v>0.21635470899470899</v>
      </c>
      <c r="Y91" s="29">
        <v>1</v>
      </c>
    </row>
    <row r="92" spans="11:25" x14ac:dyDescent="0.2">
      <c r="K92" s="27">
        <v>146</v>
      </c>
      <c r="L92" s="28" t="s">
        <v>128</v>
      </c>
      <c r="M92" s="29">
        <v>300</v>
      </c>
      <c r="N92" s="29">
        <v>675</v>
      </c>
      <c r="O92" s="30">
        <v>-76.537300000000002</v>
      </c>
      <c r="P92" s="30">
        <v>0.21597827160493829</v>
      </c>
      <c r="Q92" s="29">
        <v>1</v>
      </c>
      <c r="S92" s="27">
        <v>146</v>
      </c>
      <c r="T92" s="28" t="s">
        <v>128</v>
      </c>
      <c r="U92" s="29">
        <v>300</v>
      </c>
      <c r="V92" s="29">
        <v>675</v>
      </c>
      <c r="W92" s="30">
        <v>-76.609499999999997</v>
      </c>
      <c r="X92" s="30">
        <v>0.21618201058201059</v>
      </c>
      <c r="Y92" s="29">
        <v>1</v>
      </c>
    </row>
    <row r="93" spans="11:25" x14ac:dyDescent="0.2">
      <c r="K93" s="27">
        <v>132</v>
      </c>
      <c r="L93" s="28" t="s">
        <v>129</v>
      </c>
      <c r="M93" s="29">
        <v>700</v>
      </c>
      <c r="N93" s="29">
        <v>275</v>
      </c>
      <c r="O93" s="30">
        <v>-41.067</v>
      </c>
      <c r="P93" s="30">
        <v>0.12190575139146567</v>
      </c>
      <c r="Q93" s="29">
        <v>1</v>
      </c>
      <c r="S93" s="27">
        <v>132</v>
      </c>
      <c r="T93" s="28" t="s">
        <v>129</v>
      </c>
      <c r="U93" s="29">
        <v>700</v>
      </c>
      <c r="V93" s="29">
        <v>275</v>
      </c>
      <c r="W93" s="30">
        <v>-41.092700000000001</v>
      </c>
      <c r="X93" s="30">
        <v>0.12198204081632652</v>
      </c>
      <c r="Y93" s="29">
        <v>1</v>
      </c>
    </row>
    <row r="94" spans="11:25" x14ac:dyDescent="0.2">
      <c r="K94" s="27">
        <v>141</v>
      </c>
      <c r="L94" s="28" t="s">
        <v>128</v>
      </c>
      <c r="M94" s="29">
        <v>300</v>
      </c>
      <c r="N94" s="29">
        <v>675</v>
      </c>
      <c r="O94" s="30">
        <v>-69.204800000000006</v>
      </c>
      <c r="P94" s="30">
        <v>0.19528691358024691</v>
      </c>
      <c r="Q94" s="29">
        <v>1</v>
      </c>
      <c r="S94" s="27">
        <v>141</v>
      </c>
      <c r="T94" s="28" t="s">
        <v>128</v>
      </c>
      <c r="U94" s="29">
        <v>300</v>
      </c>
      <c r="V94" s="29">
        <v>675</v>
      </c>
      <c r="W94" s="30">
        <v>-69.251199999999997</v>
      </c>
      <c r="X94" s="30">
        <v>0.19541784832451498</v>
      </c>
      <c r="Y94" s="29">
        <v>1</v>
      </c>
    </row>
    <row r="95" spans="11:25" x14ac:dyDescent="0.2">
      <c r="K95" s="27">
        <v>125</v>
      </c>
      <c r="L95" s="28" t="s">
        <v>127</v>
      </c>
      <c r="M95" s="29">
        <v>300</v>
      </c>
      <c r="N95" s="29">
        <v>275</v>
      </c>
      <c r="O95" s="30">
        <v>6.4611999999999998</v>
      </c>
      <c r="P95" s="30">
        <v>4.4752900432900429E-2</v>
      </c>
      <c r="Q95" s="29">
        <v>1</v>
      </c>
      <c r="S95" s="27">
        <v>125</v>
      </c>
      <c r="T95" s="28" t="s">
        <v>127</v>
      </c>
      <c r="U95" s="29">
        <v>300</v>
      </c>
      <c r="V95" s="29">
        <v>275</v>
      </c>
      <c r="W95" s="30">
        <v>6.4573999999999998</v>
      </c>
      <c r="X95" s="30">
        <v>4.4726580086580085E-2</v>
      </c>
      <c r="Y95" s="29">
        <v>1</v>
      </c>
    </row>
    <row r="96" spans="11:25" x14ac:dyDescent="0.2">
      <c r="K96" s="27">
        <v>137</v>
      </c>
      <c r="L96" s="28" t="s">
        <v>128</v>
      </c>
      <c r="M96" s="29">
        <v>300</v>
      </c>
      <c r="N96" s="29">
        <v>675</v>
      </c>
      <c r="O96" s="30">
        <v>-17.936399999999999</v>
      </c>
      <c r="P96" s="30">
        <v>5.0614179894179885E-2</v>
      </c>
      <c r="Q96" s="29">
        <v>1</v>
      </c>
      <c r="S96" s="27">
        <v>137</v>
      </c>
      <c r="T96" s="28" t="s">
        <v>128</v>
      </c>
      <c r="U96" s="29">
        <v>300</v>
      </c>
      <c r="V96" s="29">
        <v>675</v>
      </c>
      <c r="W96" s="30">
        <v>-17.9922</v>
      </c>
      <c r="X96" s="30">
        <v>5.0771640211640212E-2</v>
      </c>
      <c r="Y96" s="29">
        <v>1</v>
      </c>
    </row>
    <row r="97" spans="11:25" x14ac:dyDescent="0.2">
      <c r="K97" s="27">
        <v>133</v>
      </c>
      <c r="L97" s="28" t="s">
        <v>129</v>
      </c>
      <c r="M97" s="29">
        <v>700</v>
      </c>
      <c r="N97" s="29">
        <v>275</v>
      </c>
      <c r="O97" s="30">
        <v>8.8977000000000004</v>
      </c>
      <c r="P97" s="30">
        <v>2.6412467532467534E-2</v>
      </c>
      <c r="Q97" s="29">
        <v>1</v>
      </c>
      <c r="S97" s="27">
        <v>133</v>
      </c>
      <c r="T97" s="28" t="s">
        <v>129</v>
      </c>
      <c r="U97" s="29">
        <v>700</v>
      </c>
      <c r="V97" s="29">
        <v>275</v>
      </c>
      <c r="W97" s="30">
        <v>8.8838000000000008</v>
      </c>
      <c r="X97" s="30">
        <v>2.6371205936920227E-2</v>
      </c>
      <c r="Y97" s="29">
        <v>1</v>
      </c>
    </row>
    <row r="98" spans="11:25" x14ac:dyDescent="0.2">
      <c r="K98" s="27">
        <v>134</v>
      </c>
      <c r="L98" s="28" t="s">
        <v>129</v>
      </c>
      <c r="M98" s="29">
        <v>700</v>
      </c>
      <c r="N98" s="29">
        <v>275</v>
      </c>
      <c r="O98" s="30">
        <v>8.9151000000000007</v>
      </c>
      <c r="P98" s="30">
        <v>2.6464118738404454E-2</v>
      </c>
      <c r="Q98" s="29">
        <v>1</v>
      </c>
      <c r="S98" s="27">
        <v>134</v>
      </c>
      <c r="T98" s="28" t="s">
        <v>129</v>
      </c>
      <c r="U98" s="29">
        <v>700</v>
      </c>
      <c r="V98" s="29">
        <v>275</v>
      </c>
      <c r="W98" s="30">
        <v>8.9004999999999992</v>
      </c>
      <c r="X98" s="30">
        <v>2.642077922077922E-2</v>
      </c>
      <c r="Y98" s="29">
        <v>1</v>
      </c>
    </row>
    <row r="99" spans="11:25" x14ac:dyDescent="0.2">
      <c r="K99" s="27">
        <v>138</v>
      </c>
      <c r="L99" s="28" t="s">
        <v>128</v>
      </c>
      <c r="M99" s="29">
        <v>300</v>
      </c>
      <c r="N99" s="29">
        <v>675</v>
      </c>
      <c r="O99" s="30">
        <v>-17.7941</v>
      </c>
      <c r="P99" s="30">
        <v>5.0212627865961194E-2</v>
      </c>
      <c r="Q99" s="29">
        <v>1</v>
      </c>
      <c r="S99" s="27">
        <v>138</v>
      </c>
      <c r="T99" s="28" t="s">
        <v>128</v>
      </c>
      <c r="U99" s="29">
        <v>300</v>
      </c>
      <c r="V99" s="29">
        <v>675</v>
      </c>
      <c r="W99" s="30">
        <v>-17.856000000000002</v>
      </c>
      <c r="X99" s="30">
        <v>5.0387301587301585E-2</v>
      </c>
      <c r="Y99" s="29">
        <v>1</v>
      </c>
    </row>
    <row r="100" spans="11:25" x14ac:dyDescent="0.2">
      <c r="K100" s="27">
        <v>126</v>
      </c>
      <c r="L100" s="28" t="s">
        <v>127</v>
      </c>
      <c r="M100" s="29">
        <v>300</v>
      </c>
      <c r="N100" s="29">
        <v>275</v>
      </c>
      <c r="O100" s="30">
        <v>6.5252999999999997</v>
      </c>
      <c r="P100" s="30">
        <v>4.5196883116883114E-2</v>
      </c>
      <c r="Q100" s="29">
        <v>1</v>
      </c>
      <c r="S100" s="27">
        <v>126</v>
      </c>
      <c r="T100" s="28" t="s">
        <v>127</v>
      </c>
      <c r="U100" s="29">
        <v>300</v>
      </c>
      <c r="V100" s="29">
        <v>275</v>
      </c>
      <c r="W100" s="30">
        <v>6.5129000000000001</v>
      </c>
      <c r="X100" s="30">
        <v>4.5110995670995677E-2</v>
      </c>
      <c r="Y100" s="29">
        <v>1</v>
      </c>
    </row>
    <row r="101" spans="11:25" x14ac:dyDescent="0.2">
      <c r="K101" s="27">
        <v>3</v>
      </c>
      <c r="L101" s="28" t="s">
        <v>127</v>
      </c>
      <c r="M101" s="29">
        <v>300</v>
      </c>
      <c r="N101" s="29">
        <v>275</v>
      </c>
      <c r="O101" s="30">
        <v>-24.832100000000001</v>
      </c>
      <c r="P101" s="30">
        <v>0.17199722943722945</v>
      </c>
      <c r="Q101" s="29">
        <v>1</v>
      </c>
      <c r="S101" s="27">
        <v>3</v>
      </c>
      <c r="T101" s="28" t="s">
        <v>127</v>
      </c>
      <c r="U101" s="29">
        <v>300</v>
      </c>
      <c r="V101" s="29">
        <v>275</v>
      </c>
      <c r="W101" s="30">
        <v>-24.8522</v>
      </c>
      <c r="X101" s="30">
        <v>0.17213645021645022</v>
      </c>
      <c r="Y101" s="29">
        <v>1</v>
      </c>
    </row>
    <row r="102" spans="11:25" x14ac:dyDescent="0.2">
      <c r="K102" s="27">
        <v>15</v>
      </c>
      <c r="L102" s="28" t="s">
        <v>128</v>
      </c>
      <c r="M102" s="29">
        <v>300</v>
      </c>
      <c r="N102" s="29">
        <v>675</v>
      </c>
      <c r="O102" s="30">
        <v>-90.266499999999994</v>
      </c>
      <c r="P102" s="30">
        <v>0.25472028218694887</v>
      </c>
      <c r="Q102" s="29">
        <v>1</v>
      </c>
      <c r="S102" s="27">
        <v>15</v>
      </c>
      <c r="T102" s="28" t="s">
        <v>128</v>
      </c>
      <c r="U102" s="29">
        <v>300</v>
      </c>
      <c r="V102" s="29">
        <v>675</v>
      </c>
      <c r="W102" s="30">
        <v>-90.332999999999998</v>
      </c>
      <c r="X102" s="30">
        <v>0.25490793650793653</v>
      </c>
      <c r="Y102" s="29">
        <v>1</v>
      </c>
    </row>
    <row r="103" spans="11:25" x14ac:dyDescent="0.2">
      <c r="K103" s="27">
        <v>11</v>
      </c>
      <c r="L103" s="28" t="s">
        <v>129</v>
      </c>
      <c r="M103" s="29">
        <v>700</v>
      </c>
      <c r="N103" s="29">
        <v>275</v>
      </c>
      <c r="O103" s="30">
        <v>-43.332599999999999</v>
      </c>
      <c r="P103" s="30">
        <v>0.12863109461966604</v>
      </c>
      <c r="Q103" s="29">
        <v>1</v>
      </c>
      <c r="S103" s="27">
        <v>11</v>
      </c>
      <c r="T103" s="28" t="s">
        <v>129</v>
      </c>
      <c r="U103" s="29">
        <v>700</v>
      </c>
      <c r="V103" s="29">
        <v>275</v>
      </c>
      <c r="W103" s="30">
        <v>-43.365600000000001</v>
      </c>
      <c r="X103" s="30">
        <v>0.12872905380333952</v>
      </c>
      <c r="Y103" s="29">
        <v>1</v>
      </c>
    </row>
    <row r="104" spans="11:25" x14ac:dyDescent="0.2">
      <c r="K104" s="27">
        <v>12</v>
      </c>
      <c r="L104" s="28" t="s">
        <v>129</v>
      </c>
      <c r="M104" s="29">
        <v>700</v>
      </c>
      <c r="N104" s="29">
        <v>275</v>
      </c>
      <c r="O104" s="30">
        <v>-43.307699999999997</v>
      </c>
      <c r="P104" s="30">
        <v>0.12855717996289423</v>
      </c>
      <c r="Q104" s="29">
        <v>1</v>
      </c>
      <c r="S104" s="27">
        <v>12</v>
      </c>
      <c r="T104" s="28" t="s">
        <v>129</v>
      </c>
      <c r="U104" s="29">
        <v>700</v>
      </c>
      <c r="V104" s="29">
        <v>275</v>
      </c>
      <c r="W104" s="30">
        <v>-43.343899999999998</v>
      </c>
      <c r="X104" s="30">
        <v>0.12866463821892393</v>
      </c>
      <c r="Y104" s="29">
        <v>1</v>
      </c>
    </row>
    <row r="105" spans="11:25" x14ac:dyDescent="0.2">
      <c r="K105" s="27">
        <v>16</v>
      </c>
      <c r="L105" s="28" t="s">
        <v>128</v>
      </c>
      <c r="M105" s="29">
        <v>300</v>
      </c>
      <c r="N105" s="29">
        <v>675</v>
      </c>
      <c r="O105" s="30">
        <v>-90.160399999999996</v>
      </c>
      <c r="P105" s="30">
        <v>0.25442088183421513</v>
      </c>
      <c r="Q105" s="29">
        <v>1</v>
      </c>
      <c r="S105" s="27">
        <v>16</v>
      </c>
      <c r="T105" s="28" t="s">
        <v>128</v>
      </c>
      <c r="U105" s="29">
        <v>300</v>
      </c>
      <c r="V105" s="29">
        <v>675</v>
      </c>
      <c r="W105" s="30">
        <v>-90.242500000000007</v>
      </c>
      <c r="X105" s="30">
        <v>0.25465255731922398</v>
      </c>
      <c r="Y105" s="29">
        <v>1</v>
      </c>
    </row>
    <row r="106" spans="11:25" x14ac:dyDescent="0.2">
      <c r="K106" s="27">
        <v>4</v>
      </c>
      <c r="L106" s="28" t="s">
        <v>127</v>
      </c>
      <c r="M106" s="29">
        <v>300</v>
      </c>
      <c r="N106" s="29">
        <v>275</v>
      </c>
      <c r="O106" s="30">
        <v>-24.760899999999999</v>
      </c>
      <c r="P106" s="30">
        <v>0.17150406926406925</v>
      </c>
      <c r="Q106" s="29">
        <v>1</v>
      </c>
      <c r="S106" s="27">
        <v>4</v>
      </c>
      <c r="T106" s="28" t="s">
        <v>127</v>
      </c>
      <c r="U106" s="29">
        <v>300</v>
      </c>
      <c r="V106" s="29">
        <v>275</v>
      </c>
      <c r="W106" s="30">
        <v>-24.787199999999999</v>
      </c>
      <c r="X106" s="30">
        <v>0.17168623376623374</v>
      </c>
      <c r="Y106" s="29">
        <v>1</v>
      </c>
    </row>
    <row r="107" spans="11:25" x14ac:dyDescent="0.2">
      <c r="K107" s="27">
        <v>20</v>
      </c>
      <c r="L107" s="28" t="s">
        <v>128</v>
      </c>
      <c r="M107" s="29">
        <v>300</v>
      </c>
      <c r="N107" s="29">
        <v>675</v>
      </c>
      <c r="O107" s="30">
        <v>-71.418400000000005</v>
      </c>
      <c r="P107" s="30">
        <v>0.20153340388007057</v>
      </c>
      <c r="Q107" s="29">
        <v>1</v>
      </c>
      <c r="S107" s="27">
        <v>20</v>
      </c>
      <c r="T107" s="28" t="s">
        <v>128</v>
      </c>
      <c r="U107" s="29">
        <v>300</v>
      </c>
      <c r="V107" s="29">
        <v>675</v>
      </c>
      <c r="W107" s="30">
        <v>-71.568299999999994</v>
      </c>
      <c r="X107" s="30">
        <v>0.20195640211640209</v>
      </c>
      <c r="Y107" s="29">
        <v>1</v>
      </c>
    </row>
    <row r="108" spans="11:25" x14ac:dyDescent="0.2">
      <c r="K108" s="27">
        <v>5</v>
      </c>
      <c r="L108" s="28" t="s">
        <v>129</v>
      </c>
      <c r="M108" s="29">
        <v>700</v>
      </c>
      <c r="N108" s="29">
        <v>275</v>
      </c>
      <c r="O108" s="30">
        <v>-30.664200000000001</v>
      </c>
      <c r="P108" s="30">
        <v>9.1025454545454548E-2</v>
      </c>
      <c r="Q108" s="29">
        <v>1</v>
      </c>
      <c r="S108" s="27">
        <v>5</v>
      </c>
      <c r="T108" s="28" t="s">
        <v>129</v>
      </c>
      <c r="U108" s="29">
        <v>700</v>
      </c>
      <c r="V108" s="29">
        <v>275</v>
      </c>
      <c r="W108" s="30">
        <v>-30.704899999999999</v>
      </c>
      <c r="X108" s="30">
        <v>9.1146270871985152E-2</v>
      </c>
      <c r="Y108" s="29">
        <v>1</v>
      </c>
    </row>
    <row r="109" spans="11:25" x14ac:dyDescent="0.2">
      <c r="K109" s="27">
        <v>23</v>
      </c>
      <c r="L109" s="28" t="s">
        <v>128</v>
      </c>
      <c r="M109" s="29">
        <v>300</v>
      </c>
      <c r="N109" s="29">
        <v>675</v>
      </c>
      <c r="O109" s="30">
        <v>-90.491600000000005</v>
      </c>
      <c r="P109" s="30">
        <v>0.25535548500881838</v>
      </c>
      <c r="Q109" s="29">
        <v>1</v>
      </c>
      <c r="S109" s="27">
        <v>23</v>
      </c>
      <c r="T109" s="28" t="s">
        <v>128</v>
      </c>
      <c r="U109" s="29">
        <v>300</v>
      </c>
      <c r="V109" s="29">
        <v>675</v>
      </c>
      <c r="W109" s="30">
        <v>-90.577100000000002</v>
      </c>
      <c r="X109" s="30">
        <v>0.2555967548500882</v>
      </c>
      <c r="Y109" s="29">
        <v>1</v>
      </c>
    </row>
    <row r="110" spans="11:25" x14ac:dyDescent="0.2">
      <c r="K110" s="27">
        <v>24</v>
      </c>
      <c r="L110" s="28" t="s">
        <v>128</v>
      </c>
      <c r="M110" s="29">
        <v>300</v>
      </c>
      <c r="N110" s="29">
        <v>675</v>
      </c>
      <c r="O110" s="30">
        <v>-90.461399999999998</v>
      </c>
      <c r="P110" s="30">
        <v>0.25527026455026453</v>
      </c>
      <c r="Q110" s="29">
        <v>1</v>
      </c>
      <c r="S110" s="27">
        <v>24</v>
      </c>
      <c r="T110" s="28" t="s">
        <v>128</v>
      </c>
      <c r="U110" s="29">
        <v>300</v>
      </c>
      <c r="V110" s="29">
        <v>675</v>
      </c>
      <c r="W110" s="30">
        <v>-90.553899999999999</v>
      </c>
      <c r="X110" s="30">
        <v>0.25553128747795412</v>
      </c>
      <c r="Y110" s="29">
        <v>1</v>
      </c>
    </row>
    <row r="111" spans="11:25" x14ac:dyDescent="0.2">
      <c r="K111" s="27">
        <v>7</v>
      </c>
      <c r="L111" s="28" t="s">
        <v>129</v>
      </c>
      <c r="M111" s="29">
        <v>700</v>
      </c>
      <c r="N111" s="29">
        <v>275</v>
      </c>
      <c r="O111" s="30">
        <v>-30.579799999999999</v>
      </c>
      <c r="P111" s="30">
        <v>9.0774916512059364E-2</v>
      </c>
      <c r="Q111" s="29">
        <v>1</v>
      </c>
      <c r="S111" s="27">
        <v>7</v>
      </c>
      <c r="T111" s="28" t="s">
        <v>129</v>
      </c>
      <c r="U111" s="29">
        <v>700</v>
      </c>
      <c r="V111" s="29">
        <v>275</v>
      </c>
      <c r="W111" s="30">
        <v>-30.629899999999999</v>
      </c>
      <c r="X111" s="30">
        <v>9.0923636363636359E-2</v>
      </c>
      <c r="Y111" s="29">
        <v>1</v>
      </c>
    </row>
    <row r="112" spans="11:25" x14ac:dyDescent="0.2">
      <c r="K112" s="27">
        <v>18</v>
      </c>
      <c r="L112" s="28" t="s">
        <v>128</v>
      </c>
      <c r="M112" s="29">
        <v>300</v>
      </c>
      <c r="N112" s="29">
        <v>675</v>
      </c>
      <c r="O112" s="30">
        <v>-71.284899999999993</v>
      </c>
      <c r="P112" s="30">
        <v>0.20115668430335096</v>
      </c>
      <c r="Q112" s="29">
        <v>1</v>
      </c>
      <c r="S112" s="27">
        <v>18</v>
      </c>
      <c r="T112" s="28" t="s">
        <v>128</v>
      </c>
      <c r="U112" s="29">
        <v>300</v>
      </c>
      <c r="V112" s="29">
        <v>675</v>
      </c>
      <c r="W112" s="30">
        <v>-71.421999999999997</v>
      </c>
      <c r="X112" s="30">
        <v>0.20154356261022927</v>
      </c>
      <c r="Y112" s="29">
        <v>1</v>
      </c>
    </row>
    <row r="113" spans="11:25" x14ac:dyDescent="0.2">
      <c r="K113" s="27">
        <v>19</v>
      </c>
      <c r="L113" s="28" t="s">
        <v>128</v>
      </c>
      <c r="M113" s="29">
        <v>300</v>
      </c>
      <c r="N113" s="29">
        <v>675</v>
      </c>
      <c r="O113" s="30">
        <v>-72.531199999999998</v>
      </c>
      <c r="P113" s="30">
        <v>0.20467358024691357</v>
      </c>
      <c r="Q113" s="29">
        <v>1</v>
      </c>
      <c r="S113" s="27">
        <v>19</v>
      </c>
      <c r="T113" s="28" t="s">
        <v>128</v>
      </c>
      <c r="U113" s="29">
        <v>300</v>
      </c>
      <c r="V113" s="29">
        <v>675</v>
      </c>
      <c r="W113" s="30">
        <v>-72.854500000000002</v>
      </c>
      <c r="X113" s="30">
        <v>0.20558589065255731</v>
      </c>
      <c r="Y113" s="29">
        <v>1</v>
      </c>
    </row>
    <row r="114" spans="11:25" x14ac:dyDescent="0.2">
      <c r="K114" s="27">
        <v>6</v>
      </c>
      <c r="L114" s="28" t="s">
        <v>129</v>
      </c>
      <c r="M114" s="29">
        <v>700</v>
      </c>
      <c r="N114" s="29">
        <v>275</v>
      </c>
      <c r="O114" s="30">
        <v>-31.152899999999999</v>
      </c>
      <c r="P114" s="30">
        <v>9.2476141001855278E-2</v>
      </c>
      <c r="Q114" s="29">
        <v>1</v>
      </c>
      <c r="S114" s="27">
        <v>6</v>
      </c>
      <c r="T114" s="28" t="s">
        <v>129</v>
      </c>
      <c r="U114" s="29">
        <v>700</v>
      </c>
      <c r="V114" s="29">
        <v>275</v>
      </c>
      <c r="W114" s="30">
        <v>-31.1935</v>
      </c>
      <c r="X114" s="30">
        <v>9.2596660482374762E-2</v>
      </c>
      <c r="Y114" s="29">
        <v>1</v>
      </c>
    </row>
    <row r="115" spans="11:25" x14ac:dyDescent="0.2">
      <c r="K115" s="27">
        <v>21</v>
      </c>
      <c r="L115" s="28" t="s">
        <v>128</v>
      </c>
      <c r="M115" s="29">
        <v>300</v>
      </c>
      <c r="N115" s="29">
        <v>675</v>
      </c>
      <c r="O115" s="30">
        <v>-90.876000000000005</v>
      </c>
      <c r="P115" s="30">
        <v>0.25644021164021163</v>
      </c>
      <c r="Q115" s="29">
        <v>1</v>
      </c>
      <c r="S115" s="27">
        <v>21</v>
      </c>
      <c r="T115" s="28" t="s">
        <v>128</v>
      </c>
      <c r="U115" s="29">
        <v>300</v>
      </c>
      <c r="V115" s="29">
        <v>675</v>
      </c>
      <c r="W115" s="30">
        <v>-90.960400000000007</v>
      </c>
      <c r="X115" s="30">
        <v>0.25667837742504412</v>
      </c>
      <c r="Y115" s="29">
        <v>1</v>
      </c>
    </row>
    <row r="116" spans="11:25" x14ac:dyDescent="0.2">
      <c r="K116" s="27">
        <v>22</v>
      </c>
      <c r="L116" s="28" t="s">
        <v>128</v>
      </c>
      <c r="M116" s="29">
        <v>300</v>
      </c>
      <c r="N116" s="29">
        <v>675</v>
      </c>
      <c r="O116" s="30">
        <v>-90.844300000000004</v>
      </c>
      <c r="P116" s="30">
        <v>0.25635075837742505</v>
      </c>
      <c r="Q116" s="29">
        <v>1</v>
      </c>
      <c r="S116" s="27">
        <v>22</v>
      </c>
      <c r="T116" s="28" t="s">
        <v>128</v>
      </c>
      <c r="U116" s="29">
        <v>300</v>
      </c>
      <c r="V116" s="29">
        <v>675</v>
      </c>
      <c r="W116" s="30">
        <v>-90.935299999999998</v>
      </c>
      <c r="X116" s="30">
        <v>0.25660754850088185</v>
      </c>
      <c r="Y116" s="29">
        <v>1</v>
      </c>
    </row>
    <row r="117" spans="11:25" x14ac:dyDescent="0.2">
      <c r="K117" s="27">
        <v>8</v>
      </c>
      <c r="L117" s="28" t="s">
        <v>129</v>
      </c>
      <c r="M117" s="29">
        <v>700</v>
      </c>
      <c r="N117" s="29">
        <v>275</v>
      </c>
      <c r="O117" s="30">
        <v>-31.062799999999999</v>
      </c>
      <c r="P117" s="30">
        <v>9.2208682745825596E-2</v>
      </c>
      <c r="Q117" s="29">
        <v>1</v>
      </c>
      <c r="S117" s="27">
        <v>8</v>
      </c>
      <c r="T117" s="28" t="s">
        <v>129</v>
      </c>
      <c r="U117" s="29">
        <v>700</v>
      </c>
      <c r="V117" s="29">
        <v>275</v>
      </c>
      <c r="W117" s="30">
        <v>-31.1126</v>
      </c>
      <c r="X117" s="30">
        <v>9.2356512059369206E-2</v>
      </c>
      <c r="Y117" s="29">
        <v>1</v>
      </c>
    </row>
    <row r="118" spans="11:25" x14ac:dyDescent="0.2">
      <c r="K118" s="27">
        <v>17</v>
      </c>
      <c r="L118" s="28" t="s">
        <v>128</v>
      </c>
      <c r="M118" s="29">
        <v>300</v>
      </c>
      <c r="N118" s="29">
        <v>675</v>
      </c>
      <c r="O118" s="30">
        <v>-72.373500000000007</v>
      </c>
      <c r="P118" s="30">
        <v>0.20422857142857143</v>
      </c>
      <c r="Q118" s="29">
        <v>1</v>
      </c>
      <c r="S118" s="27">
        <v>17</v>
      </c>
      <c r="T118" s="28" t="s">
        <v>128</v>
      </c>
      <c r="U118" s="29">
        <v>300</v>
      </c>
      <c r="V118" s="29">
        <v>675</v>
      </c>
      <c r="W118" s="30">
        <v>-72.61</v>
      </c>
      <c r="X118" s="30">
        <v>0.20489594356261023</v>
      </c>
      <c r="Y118" s="29">
        <v>1</v>
      </c>
    </row>
    <row r="119" spans="11:25" x14ac:dyDescent="0.2">
      <c r="K119" s="27">
        <v>1</v>
      </c>
      <c r="L119" s="28" t="s">
        <v>127</v>
      </c>
      <c r="M119" s="29">
        <v>300</v>
      </c>
      <c r="N119" s="29">
        <v>275</v>
      </c>
      <c r="O119" s="30">
        <v>-0.18970000000000001</v>
      </c>
      <c r="P119" s="30">
        <v>1.313939393939394E-3</v>
      </c>
      <c r="Q119" s="29">
        <v>1</v>
      </c>
      <c r="S119" s="27">
        <v>1</v>
      </c>
      <c r="T119" s="28" t="s">
        <v>127</v>
      </c>
      <c r="U119" s="29">
        <v>300</v>
      </c>
      <c r="V119" s="29">
        <v>275</v>
      </c>
      <c r="W119" s="30">
        <v>-0.20019999999999999</v>
      </c>
      <c r="X119" s="30">
        <v>1.3866666666666667E-3</v>
      </c>
      <c r="Y119" s="29">
        <v>1</v>
      </c>
    </row>
    <row r="120" spans="11:25" x14ac:dyDescent="0.2">
      <c r="K120" s="27">
        <v>13</v>
      </c>
      <c r="L120" s="28" t="s">
        <v>128</v>
      </c>
      <c r="M120" s="29">
        <v>300</v>
      </c>
      <c r="N120" s="29">
        <v>675</v>
      </c>
      <c r="O120" s="30">
        <v>-44.2883</v>
      </c>
      <c r="P120" s="30">
        <v>0.12497580246913581</v>
      </c>
      <c r="Q120" s="29">
        <v>1</v>
      </c>
      <c r="S120" s="27">
        <v>13</v>
      </c>
      <c r="T120" s="28" t="s">
        <v>128</v>
      </c>
      <c r="U120" s="29">
        <v>300</v>
      </c>
      <c r="V120" s="29">
        <v>675</v>
      </c>
      <c r="W120" s="30">
        <v>-44.357700000000001</v>
      </c>
      <c r="X120" s="30">
        <v>0.12517164021164023</v>
      </c>
      <c r="Y120" s="29">
        <v>1</v>
      </c>
    </row>
    <row r="121" spans="11:25" x14ac:dyDescent="0.2">
      <c r="K121" s="27">
        <v>9</v>
      </c>
      <c r="L121" s="28" t="s">
        <v>129</v>
      </c>
      <c r="M121" s="29">
        <v>700</v>
      </c>
      <c r="N121" s="29">
        <v>275</v>
      </c>
      <c r="O121" s="30">
        <v>-4.7042000000000002</v>
      </c>
      <c r="P121" s="30">
        <v>1.3964230055658626E-2</v>
      </c>
      <c r="Q121" s="29">
        <v>1</v>
      </c>
      <c r="S121" s="27">
        <v>9</v>
      </c>
      <c r="T121" s="28" t="s">
        <v>129</v>
      </c>
      <c r="U121" s="29">
        <v>700</v>
      </c>
      <c r="V121" s="29">
        <v>275</v>
      </c>
      <c r="W121" s="30">
        <v>-4.7359</v>
      </c>
      <c r="X121" s="30">
        <v>1.4058330241187383E-2</v>
      </c>
      <c r="Y121" s="29">
        <v>1</v>
      </c>
    </row>
    <row r="122" spans="11:25" x14ac:dyDescent="0.2">
      <c r="K122" s="27">
        <v>10</v>
      </c>
      <c r="L122" s="28" t="s">
        <v>129</v>
      </c>
      <c r="M122" s="29">
        <v>700</v>
      </c>
      <c r="N122" s="29">
        <v>275</v>
      </c>
      <c r="O122" s="30">
        <v>-4.6806000000000001</v>
      </c>
      <c r="P122" s="30">
        <v>1.3894174397031542E-2</v>
      </c>
      <c r="Q122" s="29">
        <v>1</v>
      </c>
      <c r="S122" s="27">
        <v>10</v>
      </c>
      <c r="T122" s="28" t="s">
        <v>129</v>
      </c>
      <c r="U122" s="29">
        <v>700</v>
      </c>
      <c r="V122" s="29">
        <v>275</v>
      </c>
      <c r="W122" s="30">
        <v>-4.7149999999999999</v>
      </c>
      <c r="X122" s="30">
        <v>1.3996289424860853E-2</v>
      </c>
      <c r="Y122" s="29">
        <v>1</v>
      </c>
    </row>
    <row r="123" spans="11:25" x14ac:dyDescent="0.2">
      <c r="K123" s="27">
        <v>14</v>
      </c>
      <c r="L123" s="28" t="s">
        <v>128</v>
      </c>
      <c r="M123" s="29">
        <v>300</v>
      </c>
      <c r="N123" s="29">
        <v>675</v>
      </c>
      <c r="O123" s="30">
        <v>-44.217500000000001</v>
      </c>
      <c r="P123" s="30">
        <v>0.12477601410934744</v>
      </c>
      <c r="Q123" s="29">
        <v>1</v>
      </c>
      <c r="S123" s="27">
        <v>14</v>
      </c>
      <c r="T123" s="28" t="s">
        <v>128</v>
      </c>
      <c r="U123" s="29">
        <v>300</v>
      </c>
      <c r="V123" s="29">
        <v>675</v>
      </c>
      <c r="W123" s="30">
        <v>-44.3005</v>
      </c>
      <c r="X123" s="30">
        <v>0.12501022927689595</v>
      </c>
      <c r="Y123" s="29">
        <v>1</v>
      </c>
    </row>
    <row r="124" spans="11:25" x14ac:dyDescent="0.2">
      <c r="K124" s="27">
        <v>2</v>
      </c>
      <c r="L124" s="28" t="s">
        <v>127</v>
      </c>
      <c r="M124" s="29">
        <v>300</v>
      </c>
      <c r="N124" s="29">
        <v>275</v>
      </c>
      <c r="O124" s="30">
        <v>-0.1258</v>
      </c>
      <c r="P124" s="30">
        <v>8.7134199134199133E-4</v>
      </c>
      <c r="Q124" s="29">
        <v>1</v>
      </c>
      <c r="S124" s="27">
        <v>2</v>
      </c>
      <c r="T124" s="28" t="s">
        <v>127</v>
      </c>
      <c r="U124" s="29">
        <v>300</v>
      </c>
      <c r="V124" s="29">
        <v>275</v>
      </c>
      <c r="W124" s="30">
        <v>-0.14580000000000001</v>
      </c>
      <c r="X124" s="30">
        <v>1.00987012987013E-3</v>
      </c>
      <c r="Y124" s="29">
        <v>1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38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0" style="27" bestFit="1" customWidth="1"/>
    <col min="3" max="3" width="10.28515625" style="28" bestFit="1" customWidth="1"/>
    <col min="4" max="4" width="13.85546875" style="28" bestFit="1" customWidth="1"/>
    <col min="5" max="7" width="7.140625" style="28" bestFit="1" customWidth="1"/>
    <col min="8" max="10" width="7.7109375" style="28" bestFit="1" customWidth="1"/>
    <col min="11" max="12" width="7.140625" style="29" bestFit="1" customWidth="1"/>
    <col min="13" max="13" width="7.7109375" style="30" bestFit="1" customWidth="1"/>
    <col min="14" max="14" width="12.140625" style="30" bestFit="1" customWidth="1"/>
    <col min="15" max="15" width="16.7109375" style="29" bestFit="1" customWidth="1"/>
    <col min="16" max="17" width="9.140625" style="11"/>
    <col min="18" max="18" width="10" style="27" bestFit="1" customWidth="1"/>
    <col min="19" max="19" width="10.28515625" style="28" bestFit="1" customWidth="1"/>
    <col min="20" max="20" width="13.85546875" style="28" bestFit="1" customWidth="1"/>
    <col min="21" max="23" width="7.140625" style="28" bestFit="1" customWidth="1"/>
    <col min="24" max="26" width="7.7109375" style="28" bestFit="1" customWidth="1"/>
    <col min="27" max="28" width="7.140625" style="29" bestFit="1" customWidth="1"/>
    <col min="29" max="29" width="7.7109375" style="30" bestFit="1" customWidth="1"/>
    <col min="30" max="30" width="12.140625" style="30" bestFit="1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96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5" customHeight="1" x14ac:dyDescent="0.2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2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2">
      <c r="B4" s="27">
        <v>229</v>
      </c>
      <c r="C4" s="28" t="s">
        <v>379</v>
      </c>
      <c r="D4" s="28" t="s">
        <v>380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-29.2255</v>
      </c>
      <c r="N4" s="30">
        <v>0.11719498746867169</v>
      </c>
      <c r="O4" s="29">
        <v>1</v>
      </c>
      <c r="R4" s="27">
        <v>229</v>
      </c>
      <c r="S4" s="28" t="s">
        <v>379</v>
      </c>
      <c r="T4" s="28" t="s">
        <v>380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-29.218599999999999</v>
      </c>
      <c r="AD4" s="30">
        <v>0.11716731829573934</v>
      </c>
      <c r="AE4" s="29">
        <v>1</v>
      </c>
    </row>
    <row r="5" spans="2:31" x14ac:dyDescent="0.2">
      <c r="B5" s="27">
        <v>229</v>
      </c>
      <c r="C5" s="28" t="s">
        <v>381</v>
      </c>
      <c r="D5" s="28" t="s">
        <v>382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22.014099999999999</v>
      </c>
      <c r="N5" s="30">
        <v>8.8277092731829571E-2</v>
      </c>
      <c r="O5" s="29">
        <v>1</v>
      </c>
      <c r="R5" s="27">
        <v>229</v>
      </c>
      <c r="S5" s="28" t="s">
        <v>381</v>
      </c>
      <c r="T5" s="28" t="s">
        <v>382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22.0288</v>
      </c>
      <c r="AD5" s="30">
        <v>8.8336040100250618E-2</v>
      </c>
      <c r="AE5" s="29">
        <v>1</v>
      </c>
    </row>
    <row r="6" spans="2:31" x14ac:dyDescent="0.2">
      <c r="B6" s="27">
        <v>230</v>
      </c>
      <c r="C6" s="28" t="s">
        <v>384</v>
      </c>
      <c r="D6" s="28" t="s">
        <v>380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-32.801699999999997</v>
      </c>
      <c r="N6" s="30">
        <v>0.13153563909774435</v>
      </c>
      <c r="O6" s="29">
        <v>1</v>
      </c>
      <c r="R6" s="27">
        <v>230</v>
      </c>
      <c r="S6" s="28" t="s">
        <v>384</v>
      </c>
      <c r="T6" s="28" t="s">
        <v>380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-32.795400000000001</v>
      </c>
      <c r="AD6" s="30">
        <v>0.13151037593984963</v>
      </c>
      <c r="AE6" s="29">
        <v>1</v>
      </c>
    </row>
    <row r="7" spans="2:31" x14ac:dyDescent="0.2">
      <c r="B7" s="27">
        <v>230</v>
      </c>
      <c r="C7" s="28" t="s">
        <v>385</v>
      </c>
      <c r="D7" s="28" t="s">
        <v>382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17.159800000000001</v>
      </c>
      <c r="N7" s="30">
        <v>6.8811228070175437E-2</v>
      </c>
      <c r="O7" s="29">
        <v>1</v>
      </c>
      <c r="R7" s="27">
        <v>230</v>
      </c>
      <c r="S7" s="28" t="s">
        <v>385</v>
      </c>
      <c r="T7" s="28" t="s">
        <v>382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17.1738</v>
      </c>
      <c r="AD7" s="30">
        <v>6.8867368421052635E-2</v>
      </c>
      <c r="AE7" s="29">
        <v>1</v>
      </c>
    </row>
    <row r="8" spans="2:31" x14ac:dyDescent="0.2">
      <c r="B8" s="27">
        <v>231</v>
      </c>
      <c r="C8" s="28" t="s">
        <v>386</v>
      </c>
      <c r="D8" s="28" t="s">
        <v>380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-31.854399999999998</v>
      </c>
      <c r="N8" s="30">
        <v>0.12773694235588973</v>
      </c>
      <c r="O8" s="29">
        <v>1</v>
      </c>
      <c r="R8" s="27">
        <v>231</v>
      </c>
      <c r="S8" s="28" t="s">
        <v>386</v>
      </c>
      <c r="T8" s="28" t="s">
        <v>380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-31.847200000000001</v>
      </c>
      <c r="AD8" s="30">
        <v>0.12770807017543859</v>
      </c>
      <c r="AE8" s="29">
        <v>1</v>
      </c>
    </row>
    <row r="9" spans="2:31" x14ac:dyDescent="0.2">
      <c r="B9" s="27">
        <v>231</v>
      </c>
      <c r="C9" s="28" t="s">
        <v>387</v>
      </c>
      <c r="D9" s="28" t="s">
        <v>382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16.985399999999998</v>
      </c>
      <c r="N9" s="30">
        <v>6.8111879699248118E-2</v>
      </c>
      <c r="O9" s="29">
        <v>1</v>
      </c>
      <c r="R9" s="27">
        <v>231</v>
      </c>
      <c r="S9" s="28" t="s">
        <v>387</v>
      </c>
      <c r="T9" s="28" t="s">
        <v>382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17.000299999999999</v>
      </c>
      <c r="AD9" s="30">
        <v>6.8171629072681705E-2</v>
      </c>
      <c r="AE9" s="29">
        <v>1</v>
      </c>
    </row>
    <row r="10" spans="2:31" x14ac:dyDescent="0.2">
      <c r="B10" s="27">
        <v>232</v>
      </c>
      <c r="C10" s="28" t="s">
        <v>388</v>
      </c>
      <c r="D10" s="28" t="s">
        <v>380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-31.399699999999999</v>
      </c>
      <c r="N10" s="30">
        <v>0.12591358395989974</v>
      </c>
      <c r="O10" s="29">
        <v>1</v>
      </c>
      <c r="R10" s="27">
        <v>232</v>
      </c>
      <c r="S10" s="28" t="s">
        <v>388</v>
      </c>
      <c r="T10" s="28" t="s">
        <v>380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-31.393000000000001</v>
      </c>
      <c r="AD10" s="30">
        <v>0.12588671679197996</v>
      </c>
      <c r="AE10" s="29">
        <v>1</v>
      </c>
    </row>
    <row r="11" spans="2:31" x14ac:dyDescent="0.2">
      <c r="B11" s="27">
        <v>232</v>
      </c>
      <c r="C11" s="28" t="s">
        <v>389</v>
      </c>
      <c r="D11" s="28" t="s">
        <v>382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18.511800000000001</v>
      </c>
      <c r="N11" s="30">
        <v>7.4232781954887209E-2</v>
      </c>
      <c r="O11" s="29">
        <v>1</v>
      </c>
      <c r="R11" s="27">
        <v>232</v>
      </c>
      <c r="S11" s="28" t="s">
        <v>389</v>
      </c>
      <c r="T11" s="28" t="s">
        <v>382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18.526199999999999</v>
      </c>
      <c r="AD11" s="30">
        <v>7.4290526315789474E-2</v>
      </c>
      <c r="AE11" s="29">
        <v>1</v>
      </c>
    </row>
    <row r="12" spans="2:31" x14ac:dyDescent="0.2">
      <c r="B12" s="27">
        <v>233</v>
      </c>
      <c r="C12" s="28" t="s">
        <v>391</v>
      </c>
      <c r="D12" s="28" t="s">
        <v>380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-32.613599999999998</v>
      </c>
      <c r="N12" s="30">
        <v>0.13078135338345864</v>
      </c>
      <c r="O12" s="29">
        <v>1</v>
      </c>
      <c r="R12" s="27">
        <v>233</v>
      </c>
      <c r="S12" s="28" t="s">
        <v>391</v>
      </c>
      <c r="T12" s="28" t="s">
        <v>380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-32.609400000000001</v>
      </c>
      <c r="AD12" s="30">
        <v>0.13076451127819549</v>
      </c>
      <c r="AE12" s="29">
        <v>1</v>
      </c>
    </row>
    <row r="13" spans="2:31" x14ac:dyDescent="0.2">
      <c r="B13" s="27">
        <v>233</v>
      </c>
      <c r="C13" s="28" t="s">
        <v>392</v>
      </c>
      <c r="D13" s="28" t="s">
        <v>382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15.081300000000001</v>
      </c>
      <c r="N13" s="30">
        <v>6.047639097744361E-2</v>
      </c>
      <c r="O13" s="29">
        <v>1</v>
      </c>
      <c r="R13" s="27">
        <v>233</v>
      </c>
      <c r="S13" s="28" t="s">
        <v>392</v>
      </c>
      <c r="T13" s="28" t="s">
        <v>382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15.093500000000001</v>
      </c>
      <c r="AD13" s="30">
        <v>6.0525313283208017E-2</v>
      </c>
      <c r="AE13" s="29">
        <v>1</v>
      </c>
    </row>
    <row r="14" spans="2:31" x14ac:dyDescent="0.2">
      <c r="B14" s="27">
        <v>211</v>
      </c>
      <c r="C14" s="28" t="s">
        <v>394</v>
      </c>
      <c r="D14" s="28" t="s">
        <v>380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-2.8199999999999999E-2</v>
      </c>
      <c r="J14" s="28">
        <v>-3.7600000000000001E-2</v>
      </c>
      <c r="K14" s="29">
        <v>300</v>
      </c>
      <c r="L14" s="29">
        <v>475</v>
      </c>
      <c r="M14" s="30">
        <v>-38.308199999999999</v>
      </c>
      <c r="N14" s="30">
        <v>0.15361684210526313</v>
      </c>
      <c r="O14" s="29">
        <v>1</v>
      </c>
      <c r="R14" s="27">
        <v>211</v>
      </c>
      <c r="S14" s="28" t="s">
        <v>394</v>
      </c>
      <c r="T14" s="28" t="s">
        <v>380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-2.8199999999999999E-2</v>
      </c>
      <c r="Z14" s="28">
        <v>-3.7600000000000001E-2</v>
      </c>
      <c r="AA14" s="29">
        <v>300</v>
      </c>
      <c r="AB14" s="29">
        <v>475</v>
      </c>
      <c r="AC14" s="30">
        <v>-38.348700000000001</v>
      </c>
      <c r="AD14" s="30">
        <v>0.15377924812030078</v>
      </c>
      <c r="AE14" s="29">
        <v>1</v>
      </c>
    </row>
    <row r="15" spans="2:31" x14ac:dyDescent="0.2">
      <c r="B15" s="27">
        <v>211</v>
      </c>
      <c r="C15" s="28" t="s">
        <v>395</v>
      </c>
      <c r="D15" s="28" t="s">
        <v>382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41.256900000000002</v>
      </c>
      <c r="N15" s="30">
        <v>0.1654412030075188</v>
      </c>
      <c r="O15" s="29">
        <v>1</v>
      </c>
      <c r="R15" s="27">
        <v>211</v>
      </c>
      <c r="S15" s="28" t="s">
        <v>395</v>
      </c>
      <c r="T15" s="28" t="s">
        <v>382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41.211100000000002</v>
      </c>
      <c r="AD15" s="30">
        <v>0.16525754385964911</v>
      </c>
      <c r="AE15" s="29">
        <v>1</v>
      </c>
    </row>
    <row r="16" spans="2:31" x14ac:dyDescent="0.2">
      <c r="B16" s="27">
        <v>214</v>
      </c>
      <c r="C16" s="28" t="s">
        <v>397</v>
      </c>
      <c r="D16" s="28" t="s">
        <v>380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-55.743899999999996</v>
      </c>
      <c r="N16" s="30">
        <v>0.22353443609022555</v>
      </c>
      <c r="O16" s="29">
        <v>1</v>
      </c>
      <c r="R16" s="27">
        <v>214</v>
      </c>
      <c r="S16" s="28" t="s">
        <v>397</v>
      </c>
      <c r="T16" s="28" t="s">
        <v>380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-55.799599999999998</v>
      </c>
      <c r="AD16" s="30">
        <v>0.22375779448621552</v>
      </c>
      <c r="AE16" s="29">
        <v>1</v>
      </c>
    </row>
    <row r="17" spans="2:31" x14ac:dyDescent="0.2">
      <c r="B17" s="27">
        <v>214</v>
      </c>
      <c r="C17" s="28" t="s">
        <v>398</v>
      </c>
      <c r="D17" s="28" t="s">
        <v>382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-2.8899999999999999E-2</v>
      </c>
      <c r="J17" s="28">
        <v>-3.85E-2</v>
      </c>
      <c r="K17" s="29">
        <v>300</v>
      </c>
      <c r="L17" s="29">
        <v>475</v>
      </c>
      <c r="M17" s="30">
        <v>58.630099999999999</v>
      </c>
      <c r="N17" s="30">
        <v>0.23510817042606516</v>
      </c>
      <c r="O17" s="29">
        <v>1</v>
      </c>
      <c r="R17" s="27">
        <v>214</v>
      </c>
      <c r="S17" s="28" t="s">
        <v>398</v>
      </c>
      <c r="T17" s="28" t="s">
        <v>382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-2.8899999999999999E-2</v>
      </c>
      <c r="Z17" s="28">
        <v>-3.85E-2</v>
      </c>
      <c r="AA17" s="29">
        <v>300</v>
      </c>
      <c r="AB17" s="29">
        <v>475</v>
      </c>
      <c r="AC17" s="30">
        <v>58.574800000000003</v>
      </c>
      <c r="AD17" s="30">
        <v>0.23488641604010027</v>
      </c>
      <c r="AE17" s="29">
        <v>1</v>
      </c>
    </row>
    <row r="18" spans="2:31" x14ac:dyDescent="0.2">
      <c r="B18" s="27">
        <v>217</v>
      </c>
      <c r="C18" s="28" t="s">
        <v>400</v>
      </c>
      <c r="D18" s="28" t="s">
        <v>380</v>
      </c>
      <c r="E18" s="28">
        <v>1E-4</v>
      </c>
      <c r="F18" s="28">
        <v>2.86E-2</v>
      </c>
      <c r="G18" s="28">
        <v>3.8100000000000002E-2</v>
      </c>
      <c r="H18" s="28">
        <v>-1E-4</v>
      </c>
      <c r="I18" s="28">
        <v>-2.8400000000000002E-2</v>
      </c>
      <c r="J18" s="28">
        <v>-3.78E-2</v>
      </c>
      <c r="K18" s="29">
        <v>300</v>
      </c>
      <c r="L18" s="29">
        <v>475</v>
      </c>
      <c r="M18" s="30">
        <v>-57.056399999999996</v>
      </c>
      <c r="N18" s="30">
        <v>0.22879759398496238</v>
      </c>
      <c r="O18" s="29">
        <v>1</v>
      </c>
      <c r="R18" s="27">
        <v>217</v>
      </c>
      <c r="S18" s="28" t="s">
        <v>400</v>
      </c>
      <c r="T18" s="28" t="s">
        <v>380</v>
      </c>
      <c r="U18" s="28">
        <v>1E-4</v>
      </c>
      <c r="V18" s="28">
        <v>2.86E-2</v>
      </c>
      <c r="W18" s="28">
        <v>3.8100000000000002E-2</v>
      </c>
      <c r="X18" s="28">
        <v>-1E-4</v>
      </c>
      <c r="Y18" s="28">
        <v>-2.8400000000000002E-2</v>
      </c>
      <c r="Z18" s="28">
        <v>-3.78E-2</v>
      </c>
      <c r="AA18" s="29">
        <v>300</v>
      </c>
      <c r="AB18" s="29">
        <v>475</v>
      </c>
      <c r="AC18" s="30">
        <v>-57.112900000000003</v>
      </c>
      <c r="AD18" s="30">
        <v>0.22902416040100251</v>
      </c>
      <c r="AE18" s="29">
        <v>1</v>
      </c>
    </row>
    <row r="19" spans="2:31" x14ac:dyDescent="0.2">
      <c r="B19" s="27">
        <v>217</v>
      </c>
      <c r="C19" s="28" t="s">
        <v>401</v>
      </c>
      <c r="D19" s="28" t="s">
        <v>382</v>
      </c>
      <c r="E19" s="28">
        <v>1E-4</v>
      </c>
      <c r="F19" s="28">
        <v>2.8500000000000001E-2</v>
      </c>
      <c r="G19" s="28">
        <v>3.7999999999999999E-2</v>
      </c>
      <c r="H19" s="28">
        <v>-1E-4</v>
      </c>
      <c r="I19" s="28">
        <v>-2.8500000000000001E-2</v>
      </c>
      <c r="J19" s="28">
        <v>-3.7999999999999999E-2</v>
      </c>
      <c r="K19" s="29">
        <v>300</v>
      </c>
      <c r="L19" s="29">
        <v>475</v>
      </c>
      <c r="M19" s="30">
        <v>58.503799999999998</v>
      </c>
      <c r="N19" s="30">
        <v>0.23460170426065161</v>
      </c>
      <c r="O19" s="29">
        <v>1</v>
      </c>
      <c r="R19" s="27">
        <v>217</v>
      </c>
      <c r="S19" s="28" t="s">
        <v>401</v>
      </c>
      <c r="T19" s="28" t="s">
        <v>382</v>
      </c>
      <c r="U19" s="28">
        <v>1E-4</v>
      </c>
      <c r="V19" s="28">
        <v>2.8500000000000001E-2</v>
      </c>
      <c r="W19" s="28">
        <v>3.7999999999999999E-2</v>
      </c>
      <c r="X19" s="28">
        <v>-1E-4</v>
      </c>
      <c r="Y19" s="28">
        <v>-2.8500000000000001E-2</v>
      </c>
      <c r="Z19" s="28">
        <v>-3.7999999999999999E-2</v>
      </c>
      <c r="AA19" s="29">
        <v>300</v>
      </c>
      <c r="AB19" s="29">
        <v>475</v>
      </c>
      <c r="AC19" s="30">
        <v>58.447099999999999</v>
      </c>
      <c r="AD19" s="30">
        <v>0.23437433583959899</v>
      </c>
      <c r="AE19" s="29">
        <v>1</v>
      </c>
    </row>
    <row r="20" spans="2:31" x14ac:dyDescent="0.2">
      <c r="B20" s="27">
        <v>220</v>
      </c>
      <c r="C20" s="28" t="s">
        <v>403</v>
      </c>
      <c r="D20" s="28" t="s">
        <v>380</v>
      </c>
      <c r="E20" s="28">
        <v>1E-4</v>
      </c>
      <c r="F20" s="28">
        <v>2.86E-2</v>
      </c>
      <c r="G20" s="28">
        <v>3.8100000000000002E-2</v>
      </c>
      <c r="H20" s="28">
        <v>-1E-4</v>
      </c>
      <c r="I20" s="28">
        <v>-2.8400000000000002E-2</v>
      </c>
      <c r="J20" s="28">
        <v>-3.78E-2</v>
      </c>
      <c r="K20" s="29">
        <v>300</v>
      </c>
      <c r="L20" s="29">
        <v>475</v>
      </c>
      <c r="M20" s="30">
        <v>-56.193100000000001</v>
      </c>
      <c r="N20" s="30">
        <v>0.22533573934837092</v>
      </c>
      <c r="O20" s="29">
        <v>1</v>
      </c>
      <c r="R20" s="27">
        <v>220</v>
      </c>
      <c r="S20" s="28" t="s">
        <v>403</v>
      </c>
      <c r="T20" s="28" t="s">
        <v>380</v>
      </c>
      <c r="U20" s="28">
        <v>1E-4</v>
      </c>
      <c r="V20" s="28">
        <v>2.86E-2</v>
      </c>
      <c r="W20" s="28">
        <v>3.8100000000000002E-2</v>
      </c>
      <c r="X20" s="28">
        <v>-1E-4</v>
      </c>
      <c r="Y20" s="28">
        <v>-2.8400000000000002E-2</v>
      </c>
      <c r="Z20" s="28">
        <v>-3.78E-2</v>
      </c>
      <c r="AA20" s="29">
        <v>300</v>
      </c>
      <c r="AB20" s="29">
        <v>475</v>
      </c>
      <c r="AC20" s="30">
        <v>-56.250399999999999</v>
      </c>
      <c r="AD20" s="30">
        <v>0.22556551378446116</v>
      </c>
      <c r="AE20" s="29">
        <v>1</v>
      </c>
    </row>
    <row r="21" spans="2:31" x14ac:dyDescent="0.2">
      <c r="B21" s="27">
        <v>220</v>
      </c>
      <c r="C21" s="28" t="s">
        <v>404</v>
      </c>
      <c r="D21" s="28" t="s">
        <v>382</v>
      </c>
      <c r="E21" s="28">
        <v>1E-4</v>
      </c>
      <c r="F21" s="28">
        <v>2.8500000000000001E-2</v>
      </c>
      <c r="G21" s="28">
        <v>3.7999999999999999E-2</v>
      </c>
      <c r="H21" s="28">
        <v>-1E-4</v>
      </c>
      <c r="I21" s="28">
        <v>-2.8500000000000001E-2</v>
      </c>
      <c r="J21" s="28">
        <v>-3.7999999999999999E-2</v>
      </c>
      <c r="K21" s="29">
        <v>300</v>
      </c>
      <c r="L21" s="29">
        <v>475</v>
      </c>
      <c r="M21" s="30">
        <v>58.570500000000003</v>
      </c>
      <c r="N21" s="30">
        <v>0.23486917293233084</v>
      </c>
      <c r="O21" s="29">
        <v>1</v>
      </c>
      <c r="R21" s="27">
        <v>220</v>
      </c>
      <c r="S21" s="28" t="s">
        <v>404</v>
      </c>
      <c r="T21" s="28" t="s">
        <v>382</v>
      </c>
      <c r="U21" s="28">
        <v>1E-4</v>
      </c>
      <c r="V21" s="28">
        <v>2.8500000000000001E-2</v>
      </c>
      <c r="W21" s="28">
        <v>3.7999999999999999E-2</v>
      </c>
      <c r="X21" s="28">
        <v>-1E-4</v>
      </c>
      <c r="Y21" s="28">
        <v>-2.8500000000000001E-2</v>
      </c>
      <c r="Z21" s="28">
        <v>-3.7999999999999999E-2</v>
      </c>
      <c r="AA21" s="29">
        <v>300</v>
      </c>
      <c r="AB21" s="29">
        <v>475</v>
      </c>
      <c r="AC21" s="30">
        <v>58.513100000000001</v>
      </c>
      <c r="AD21" s="30">
        <v>0.23463899749373432</v>
      </c>
      <c r="AE21" s="29">
        <v>1</v>
      </c>
    </row>
    <row r="22" spans="2:31" x14ac:dyDescent="0.2">
      <c r="B22" s="27">
        <v>223</v>
      </c>
      <c r="C22" s="28" t="s">
        <v>406</v>
      </c>
      <c r="D22" s="28" t="s">
        <v>380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-52.372500000000002</v>
      </c>
      <c r="N22" s="30">
        <v>0.21001503759398496</v>
      </c>
      <c r="O22" s="29">
        <v>1</v>
      </c>
      <c r="R22" s="27">
        <v>223</v>
      </c>
      <c r="S22" s="28" t="s">
        <v>406</v>
      </c>
      <c r="T22" s="28" t="s">
        <v>380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-52.429900000000004</v>
      </c>
      <c r="AD22" s="30">
        <v>0.21024521303258145</v>
      </c>
      <c r="AE22" s="29">
        <v>1</v>
      </c>
    </row>
    <row r="23" spans="2:31" x14ac:dyDescent="0.2">
      <c r="B23" s="27">
        <v>223</v>
      </c>
      <c r="C23" s="28" t="s">
        <v>407</v>
      </c>
      <c r="D23" s="28" t="s">
        <v>382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-2.8899999999999999E-2</v>
      </c>
      <c r="J23" s="28">
        <v>-3.85E-2</v>
      </c>
      <c r="K23" s="29">
        <v>300</v>
      </c>
      <c r="L23" s="29">
        <v>475</v>
      </c>
      <c r="M23" s="30">
        <v>56.052700000000002</v>
      </c>
      <c r="N23" s="30">
        <v>0.22477273182957394</v>
      </c>
      <c r="O23" s="29">
        <v>1</v>
      </c>
      <c r="R23" s="27">
        <v>223</v>
      </c>
      <c r="S23" s="28" t="s">
        <v>407</v>
      </c>
      <c r="T23" s="28" t="s">
        <v>382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-2.8899999999999999E-2</v>
      </c>
      <c r="Z23" s="28">
        <v>-3.85E-2</v>
      </c>
      <c r="AA23" s="29">
        <v>300</v>
      </c>
      <c r="AB23" s="29">
        <v>475</v>
      </c>
      <c r="AC23" s="30">
        <v>55.997799999999998</v>
      </c>
      <c r="AD23" s="30">
        <v>0.22455258145363408</v>
      </c>
      <c r="AE23" s="29">
        <v>1</v>
      </c>
    </row>
    <row r="24" spans="2:31" x14ac:dyDescent="0.2">
      <c r="B24" s="27">
        <v>226</v>
      </c>
      <c r="C24" s="28" t="s">
        <v>409</v>
      </c>
      <c r="D24" s="28" t="s">
        <v>380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-2.8199999999999999E-2</v>
      </c>
      <c r="J24" s="28">
        <v>-3.7600000000000001E-2</v>
      </c>
      <c r="K24" s="29">
        <v>300</v>
      </c>
      <c r="L24" s="29">
        <v>475</v>
      </c>
      <c r="M24" s="30">
        <v>-33.464399999999998</v>
      </c>
      <c r="N24" s="30">
        <v>0.13419308270676689</v>
      </c>
      <c r="O24" s="29">
        <v>1</v>
      </c>
      <c r="R24" s="27">
        <v>226</v>
      </c>
      <c r="S24" s="28" t="s">
        <v>409</v>
      </c>
      <c r="T24" s="28" t="s">
        <v>380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-2.8199999999999999E-2</v>
      </c>
      <c r="Z24" s="28">
        <v>-3.7600000000000001E-2</v>
      </c>
      <c r="AA24" s="29">
        <v>300</v>
      </c>
      <c r="AB24" s="29">
        <v>475</v>
      </c>
      <c r="AC24" s="30">
        <v>-33.509099999999997</v>
      </c>
      <c r="AD24" s="30">
        <v>0.13437233082706768</v>
      </c>
      <c r="AE24" s="29">
        <v>1</v>
      </c>
    </row>
    <row r="25" spans="2:31" x14ac:dyDescent="0.2">
      <c r="B25" s="27">
        <v>226</v>
      </c>
      <c r="C25" s="28" t="s">
        <v>410</v>
      </c>
      <c r="D25" s="28" t="s">
        <v>382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35.4574</v>
      </c>
      <c r="N25" s="30">
        <v>0.1421850626566416</v>
      </c>
      <c r="O25" s="29">
        <v>1</v>
      </c>
      <c r="R25" s="27">
        <v>226</v>
      </c>
      <c r="S25" s="28" t="s">
        <v>410</v>
      </c>
      <c r="T25" s="28" t="s">
        <v>382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35.416200000000003</v>
      </c>
      <c r="AD25" s="30">
        <v>0.14201984962406017</v>
      </c>
      <c r="AE25" s="29">
        <v>1</v>
      </c>
    </row>
    <row r="26" spans="2:31" x14ac:dyDescent="0.2">
      <c r="B26" s="27">
        <v>234</v>
      </c>
      <c r="C26" s="28" t="s">
        <v>412</v>
      </c>
      <c r="D26" s="28" t="s">
        <v>380</v>
      </c>
      <c r="E26" s="28">
        <v>1E-4</v>
      </c>
      <c r="F26" s="28">
        <v>2.8000000000000001E-2</v>
      </c>
      <c r="G26" s="28">
        <v>3.73E-2</v>
      </c>
      <c r="H26" s="28">
        <v>-1E-4</v>
      </c>
      <c r="I26" s="28">
        <v>-2.7799999999999998E-2</v>
      </c>
      <c r="J26" s="28">
        <v>-3.6999999999999998E-2</v>
      </c>
      <c r="K26" s="29">
        <v>300</v>
      </c>
      <c r="L26" s="29">
        <v>475</v>
      </c>
      <c r="M26" s="30">
        <v>-45.3444</v>
      </c>
      <c r="N26" s="30">
        <v>0.18183218045112781</v>
      </c>
      <c r="O26" s="29">
        <v>1</v>
      </c>
      <c r="R26" s="27">
        <v>234</v>
      </c>
      <c r="S26" s="28" t="s">
        <v>412</v>
      </c>
      <c r="T26" s="28" t="s">
        <v>380</v>
      </c>
      <c r="U26" s="28">
        <v>1E-4</v>
      </c>
      <c r="V26" s="28">
        <v>2.8000000000000001E-2</v>
      </c>
      <c r="W26" s="28">
        <v>3.73E-2</v>
      </c>
      <c r="X26" s="28">
        <v>-1E-4</v>
      </c>
      <c r="Y26" s="28">
        <v>-2.7799999999999998E-2</v>
      </c>
      <c r="Z26" s="28">
        <v>-3.6999999999999998E-2</v>
      </c>
      <c r="AA26" s="29">
        <v>300</v>
      </c>
      <c r="AB26" s="29">
        <v>475</v>
      </c>
      <c r="AC26" s="30">
        <v>-45.331600000000002</v>
      </c>
      <c r="AD26" s="30">
        <v>0.1817808521303258</v>
      </c>
      <c r="AE26" s="29">
        <v>1</v>
      </c>
    </row>
    <row r="27" spans="2:31" x14ac:dyDescent="0.2">
      <c r="B27" s="27">
        <v>234</v>
      </c>
      <c r="C27" s="28" t="s">
        <v>413</v>
      </c>
      <c r="D27" s="28" t="s">
        <v>382</v>
      </c>
      <c r="E27" s="28">
        <v>1E-4</v>
      </c>
      <c r="F27" s="28">
        <v>2.7900000000000001E-2</v>
      </c>
      <c r="G27" s="28">
        <v>3.7199999999999997E-2</v>
      </c>
      <c r="H27" s="28">
        <v>-1E-4</v>
      </c>
      <c r="I27" s="28">
        <v>-2.7900000000000001E-2</v>
      </c>
      <c r="J27" s="28">
        <v>-3.7199999999999997E-2</v>
      </c>
      <c r="K27" s="29">
        <v>300</v>
      </c>
      <c r="L27" s="29">
        <v>475</v>
      </c>
      <c r="M27" s="30">
        <v>35.4574</v>
      </c>
      <c r="N27" s="30">
        <v>0.1421850626566416</v>
      </c>
      <c r="O27" s="29">
        <v>1</v>
      </c>
      <c r="R27" s="27">
        <v>234</v>
      </c>
      <c r="S27" s="28" t="s">
        <v>413</v>
      </c>
      <c r="T27" s="28" t="s">
        <v>382</v>
      </c>
      <c r="U27" s="28">
        <v>1E-4</v>
      </c>
      <c r="V27" s="28">
        <v>2.7900000000000001E-2</v>
      </c>
      <c r="W27" s="28">
        <v>3.7199999999999997E-2</v>
      </c>
      <c r="X27" s="28">
        <v>-1E-4</v>
      </c>
      <c r="Y27" s="28">
        <v>-2.7900000000000001E-2</v>
      </c>
      <c r="Z27" s="28">
        <v>-3.7199999999999997E-2</v>
      </c>
      <c r="AA27" s="29">
        <v>300</v>
      </c>
      <c r="AB27" s="29">
        <v>475</v>
      </c>
      <c r="AC27" s="30">
        <v>35.416200000000003</v>
      </c>
      <c r="AD27" s="30">
        <v>0.14201984962406017</v>
      </c>
      <c r="AE27" s="29">
        <v>1</v>
      </c>
    </row>
    <row r="28" spans="2:31" x14ac:dyDescent="0.2">
      <c r="B28" s="27">
        <v>235</v>
      </c>
      <c r="C28" s="28" t="s">
        <v>415</v>
      </c>
      <c r="D28" s="28" t="s">
        <v>380</v>
      </c>
      <c r="E28" s="28">
        <v>1E-4</v>
      </c>
      <c r="F28" s="28">
        <v>2.7900000000000001E-2</v>
      </c>
      <c r="G28" s="28">
        <v>3.7199999999999997E-2</v>
      </c>
      <c r="H28" s="28">
        <v>-1E-4</v>
      </c>
      <c r="I28" s="28">
        <v>-2.7900000000000001E-2</v>
      </c>
      <c r="J28" s="28">
        <v>-3.7199999999999997E-2</v>
      </c>
      <c r="K28" s="29">
        <v>300</v>
      </c>
      <c r="L28" s="29">
        <v>475</v>
      </c>
      <c r="M28" s="30">
        <v>-47.165199999999999</v>
      </c>
      <c r="N28" s="30">
        <v>0.18913363408521303</v>
      </c>
      <c r="O28" s="29">
        <v>1</v>
      </c>
      <c r="R28" s="27">
        <v>235</v>
      </c>
      <c r="S28" s="28" t="s">
        <v>415</v>
      </c>
      <c r="T28" s="28" t="s">
        <v>380</v>
      </c>
      <c r="U28" s="28">
        <v>1E-4</v>
      </c>
      <c r="V28" s="28">
        <v>2.7900000000000001E-2</v>
      </c>
      <c r="W28" s="28">
        <v>3.7199999999999997E-2</v>
      </c>
      <c r="X28" s="28">
        <v>-1E-4</v>
      </c>
      <c r="Y28" s="28">
        <v>-2.7900000000000001E-2</v>
      </c>
      <c r="Z28" s="28">
        <v>-3.7199999999999997E-2</v>
      </c>
      <c r="AA28" s="29">
        <v>300</v>
      </c>
      <c r="AB28" s="29">
        <v>475</v>
      </c>
      <c r="AC28" s="30">
        <v>-47.151800000000001</v>
      </c>
      <c r="AD28" s="30">
        <v>0.18907989974937345</v>
      </c>
      <c r="AE28" s="29">
        <v>1</v>
      </c>
    </row>
    <row r="29" spans="2:31" x14ac:dyDescent="0.2">
      <c r="B29" s="27">
        <v>235</v>
      </c>
      <c r="C29" s="28" t="s">
        <v>416</v>
      </c>
      <c r="D29" s="28" t="s">
        <v>382</v>
      </c>
      <c r="E29" s="28">
        <v>1E-4</v>
      </c>
      <c r="F29" s="28">
        <v>2.7900000000000001E-2</v>
      </c>
      <c r="G29" s="28">
        <v>3.7199999999999997E-2</v>
      </c>
      <c r="H29" s="28">
        <v>-1E-4</v>
      </c>
      <c r="I29" s="28">
        <v>-2.7900000000000001E-2</v>
      </c>
      <c r="J29" s="28">
        <v>-3.7199999999999997E-2</v>
      </c>
      <c r="K29" s="29">
        <v>300</v>
      </c>
      <c r="L29" s="29">
        <v>475</v>
      </c>
      <c r="M29" s="30">
        <v>35.4574</v>
      </c>
      <c r="N29" s="30">
        <v>0.1421850626566416</v>
      </c>
      <c r="O29" s="29">
        <v>1</v>
      </c>
      <c r="R29" s="27">
        <v>235</v>
      </c>
      <c r="S29" s="28" t="s">
        <v>416</v>
      </c>
      <c r="T29" s="28" t="s">
        <v>382</v>
      </c>
      <c r="U29" s="28">
        <v>1E-4</v>
      </c>
      <c r="V29" s="28">
        <v>2.7900000000000001E-2</v>
      </c>
      <c r="W29" s="28">
        <v>3.7199999999999997E-2</v>
      </c>
      <c r="X29" s="28">
        <v>-1E-4</v>
      </c>
      <c r="Y29" s="28">
        <v>-2.7900000000000001E-2</v>
      </c>
      <c r="Z29" s="28">
        <v>-3.7199999999999997E-2</v>
      </c>
      <c r="AA29" s="29">
        <v>300</v>
      </c>
      <c r="AB29" s="29">
        <v>475</v>
      </c>
      <c r="AC29" s="30">
        <v>35.416200000000003</v>
      </c>
      <c r="AD29" s="30">
        <v>0.14201984962406017</v>
      </c>
      <c r="AE29" s="29">
        <v>1</v>
      </c>
    </row>
    <row r="30" spans="2:31" x14ac:dyDescent="0.2">
      <c r="B30" s="27">
        <v>236</v>
      </c>
      <c r="C30" s="28" t="s">
        <v>417</v>
      </c>
      <c r="D30" s="28" t="s">
        <v>380</v>
      </c>
      <c r="E30" s="28">
        <v>1E-4</v>
      </c>
      <c r="F30" s="28">
        <v>2.7900000000000001E-2</v>
      </c>
      <c r="G30" s="28">
        <v>3.7199999999999997E-2</v>
      </c>
      <c r="H30" s="28">
        <v>-1E-4</v>
      </c>
      <c r="I30" s="28">
        <v>-2.7900000000000001E-2</v>
      </c>
      <c r="J30" s="28">
        <v>-3.7199999999999997E-2</v>
      </c>
      <c r="K30" s="29">
        <v>300</v>
      </c>
      <c r="L30" s="29">
        <v>475</v>
      </c>
      <c r="M30" s="30">
        <v>-47.894399999999997</v>
      </c>
      <c r="N30" s="30">
        <v>0.19205774436090223</v>
      </c>
      <c r="O30" s="29">
        <v>1</v>
      </c>
      <c r="R30" s="27">
        <v>236</v>
      </c>
      <c r="S30" s="28" t="s">
        <v>417</v>
      </c>
      <c r="T30" s="28" t="s">
        <v>380</v>
      </c>
      <c r="U30" s="28">
        <v>1E-4</v>
      </c>
      <c r="V30" s="28">
        <v>2.7900000000000001E-2</v>
      </c>
      <c r="W30" s="28">
        <v>3.7199999999999997E-2</v>
      </c>
      <c r="X30" s="28">
        <v>-1E-4</v>
      </c>
      <c r="Y30" s="28">
        <v>-2.7900000000000001E-2</v>
      </c>
      <c r="Z30" s="28">
        <v>-3.7199999999999997E-2</v>
      </c>
      <c r="AA30" s="29">
        <v>300</v>
      </c>
      <c r="AB30" s="29">
        <v>475</v>
      </c>
      <c r="AC30" s="30">
        <v>-47.883200000000002</v>
      </c>
      <c r="AD30" s="30">
        <v>0.19201283208020051</v>
      </c>
      <c r="AE30" s="29">
        <v>1</v>
      </c>
    </row>
    <row r="31" spans="2:31" x14ac:dyDescent="0.2">
      <c r="B31" s="27">
        <v>236</v>
      </c>
      <c r="C31" s="28" t="s">
        <v>418</v>
      </c>
      <c r="D31" s="28" t="s">
        <v>382</v>
      </c>
      <c r="E31" s="28">
        <v>1E-4</v>
      </c>
      <c r="F31" s="28">
        <v>2.7900000000000001E-2</v>
      </c>
      <c r="G31" s="28">
        <v>3.7199999999999997E-2</v>
      </c>
      <c r="H31" s="28">
        <v>-1E-4</v>
      </c>
      <c r="I31" s="28">
        <v>-2.7900000000000001E-2</v>
      </c>
      <c r="J31" s="28">
        <v>-3.7199999999999997E-2</v>
      </c>
      <c r="K31" s="29">
        <v>300</v>
      </c>
      <c r="L31" s="29">
        <v>475</v>
      </c>
      <c r="M31" s="30">
        <v>35.4574</v>
      </c>
      <c r="N31" s="30">
        <v>0.1421850626566416</v>
      </c>
      <c r="O31" s="29">
        <v>1</v>
      </c>
      <c r="R31" s="27">
        <v>236</v>
      </c>
      <c r="S31" s="28" t="s">
        <v>418</v>
      </c>
      <c r="T31" s="28" t="s">
        <v>382</v>
      </c>
      <c r="U31" s="28">
        <v>1E-4</v>
      </c>
      <c r="V31" s="28">
        <v>2.7900000000000001E-2</v>
      </c>
      <c r="W31" s="28">
        <v>3.7199999999999997E-2</v>
      </c>
      <c r="X31" s="28">
        <v>-1E-4</v>
      </c>
      <c r="Y31" s="28">
        <v>-2.7900000000000001E-2</v>
      </c>
      <c r="Z31" s="28">
        <v>-3.7199999999999997E-2</v>
      </c>
      <c r="AA31" s="29">
        <v>300</v>
      </c>
      <c r="AB31" s="29">
        <v>475</v>
      </c>
      <c r="AC31" s="30">
        <v>35.416200000000003</v>
      </c>
      <c r="AD31" s="30">
        <v>0.14201984962406017</v>
      </c>
      <c r="AE31" s="29">
        <v>1</v>
      </c>
    </row>
    <row r="32" spans="2:31" x14ac:dyDescent="0.2">
      <c r="B32" s="27">
        <v>237</v>
      </c>
      <c r="C32" s="28" t="s">
        <v>419</v>
      </c>
      <c r="D32" s="28" t="s">
        <v>380</v>
      </c>
      <c r="E32" s="28">
        <v>1E-4</v>
      </c>
      <c r="F32" s="28">
        <v>2.7900000000000001E-2</v>
      </c>
      <c r="G32" s="28">
        <v>3.7199999999999997E-2</v>
      </c>
      <c r="H32" s="28">
        <v>-1E-4</v>
      </c>
      <c r="I32" s="28">
        <v>-2.7900000000000001E-2</v>
      </c>
      <c r="J32" s="28">
        <v>-3.7199999999999997E-2</v>
      </c>
      <c r="K32" s="29">
        <v>300</v>
      </c>
      <c r="L32" s="29">
        <v>475</v>
      </c>
      <c r="M32" s="30">
        <v>-49.3279</v>
      </c>
      <c r="N32" s="30">
        <v>0.19780611528822056</v>
      </c>
      <c r="O32" s="29">
        <v>1</v>
      </c>
      <c r="R32" s="27">
        <v>237</v>
      </c>
      <c r="S32" s="28" t="s">
        <v>419</v>
      </c>
      <c r="T32" s="28" t="s">
        <v>380</v>
      </c>
      <c r="U32" s="28">
        <v>1E-4</v>
      </c>
      <c r="V32" s="28">
        <v>2.7900000000000001E-2</v>
      </c>
      <c r="W32" s="28">
        <v>3.7199999999999997E-2</v>
      </c>
      <c r="X32" s="28">
        <v>-1E-4</v>
      </c>
      <c r="Y32" s="28">
        <v>-2.7900000000000001E-2</v>
      </c>
      <c r="Z32" s="28">
        <v>-3.7199999999999997E-2</v>
      </c>
      <c r="AA32" s="29">
        <v>300</v>
      </c>
      <c r="AB32" s="29">
        <v>475</v>
      </c>
      <c r="AC32" s="30">
        <v>-49.314700000000002</v>
      </c>
      <c r="AD32" s="30">
        <v>0.1977531829573935</v>
      </c>
      <c r="AE32" s="29">
        <v>1</v>
      </c>
    </row>
    <row r="33" spans="2:31" x14ac:dyDescent="0.2">
      <c r="B33" s="27">
        <v>237</v>
      </c>
      <c r="C33" s="28" t="s">
        <v>420</v>
      </c>
      <c r="D33" s="28" t="s">
        <v>382</v>
      </c>
      <c r="E33" s="28">
        <v>1E-4</v>
      </c>
      <c r="F33" s="28">
        <v>2.7900000000000001E-2</v>
      </c>
      <c r="G33" s="28">
        <v>3.7199999999999997E-2</v>
      </c>
      <c r="H33" s="28">
        <v>-1E-4</v>
      </c>
      <c r="I33" s="28">
        <v>-2.7900000000000001E-2</v>
      </c>
      <c r="J33" s="28">
        <v>-3.7199999999999997E-2</v>
      </c>
      <c r="K33" s="29">
        <v>300</v>
      </c>
      <c r="L33" s="29">
        <v>475</v>
      </c>
      <c r="M33" s="30">
        <v>35.4574</v>
      </c>
      <c r="N33" s="30">
        <v>0.1421850626566416</v>
      </c>
      <c r="O33" s="29">
        <v>1</v>
      </c>
      <c r="R33" s="27">
        <v>237</v>
      </c>
      <c r="S33" s="28" t="s">
        <v>420</v>
      </c>
      <c r="T33" s="28" t="s">
        <v>382</v>
      </c>
      <c r="U33" s="28">
        <v>1E-4</v>
      </c>
      <c r="V33" s="28">
        <v>2.7900000000000001E-2</v>
      </c>
      <c r="W33" s="28">
        <v>3.7199999999999997E-2</v>
      </c>
      <c r="X33" s="28">
        <v>-1E-4</v>
      </c>
      <c r="Y33" s="28">
        <v>-2.7900000000000001E-2</v>
      </c>
      <c r="Z33" s="28">
        <v>-3.7199999999999997E-2</v>
      </c>
      <c r="AA33" s="29">
        <v>300</v>
      </c>
      <c r="AB33" s="29">
        <v>475</v>
      </c>
      <c r="AC33" s="30">
        <v>35.416200000000003</v>
      </c>
      <c r="AD33" s="30">
        <v>0.14201984962406017</v>
      </c>
      <c r="AE33" s="29">
        <v>1</v>
      </c>
    </row>
    <row r="34" spans="2:31" x14ac:dyDescent="0.2">
      <c r="B34" s="27">
        <v>238</v>
      </c>
      <c r="C34" s="28" t="s">
        <v>422</v>
      </c>
      <c r="D34" s="28" t="s">
        <v>380</v>
      </c>
      <c r="E34" s="28">
        <v>1E-4</v>
      </c>
      <c r="F34" s="28">
        <v>2.7900000000000001E-2</v>
      </c>
      <c r="G34" s="28">
        <v>3.7199999999999997E-2</v>
      </c>
      <c r="H34" s="28">
        <v>-1E-4</v>
      </c>
      <c r="I34" s="28">
        <v>-2.7900000000000001E-2</v>
      </c>
      <c r="J34" s="28">
        <v>-3.7199999999999997E-2</v>
      </c>
      <c r="K34" s="29">
        <v>300</v>
      </c>
      <c r="L34" s="29">
        <v>475</v>
      </c>
      <c r="M34" s="30">
        <v>-46.0732</v>
      </c>
      <c r="N34" s="30">
        <v>0.18475468671679196</v>
      </c>
      <c r="O34" s="29">
        <v>1</v>
      </c>
      <c r="R34" s="27">
        <v>238</v>
      </c>
      <c r="S34" s="28" t="s">
        <v>422</v>
      </c>
      <c r="T34" s="28" t="s">
        <v>380</v>
      </c>
      <c r="U34" s="28">
        <v>1E-4</v>
      </c>
      <c r="V34" s="28">
        <v>2.7900000000000001E-2</v>
      </c>
      <c r="W34" s="28">
        <v>3.7199999999999997E-2</v>
      </c>
      <c r="X34" s="28">
        <v>-1E-4</v>
      </c>
      <c r="Y34" s="28">
        <v>-2.7900000000000001E-2</v>
      </c>
      <c r="Z34" s="28">
        <v>-3.7199999999999997E-2</v>
      </c>
      <c r="AA34" s="29">
        <v>300</v>
      </c>
      <c r="AB34" s="29">
        <v>475</v>
      </c>
      <c r="AC34" s="30">
        <v>-46.060099999999998</v>
      </c>
      <c r="AD34" s="30">
        <v>0.18470215538847118</v>
      </c>
      <c r="AE34" s="29">
        <v>1</v>
      </c>
    </row>
    <row r="35" spans="2:31" x14ac:dyDescent="0.2">
      <c r="B35" s="27">
        <v>238</v>
      </c>
      <c r="C35" s="28" t="s">
        <v>423</v>
      </c>
      <c r="D35" s="28" t="s">
        <v>382</v>
      </c>
      <c r="E35" s="28">
        <v>1E-4</v>
      </c>
      <c r="F35" s="28">
        <v>2.8000000000000001E-2</v>
      </c>
      <c r="G35" s="28">
        <v>3.73E-2</v>
      </c>
      <c r="H35" s="28">
        <v>-1E-4</v>
      </c>
      <c r="I35" s="28">
        <v>-2.7799999999999998E-2</v>
      </c>
      <c r="J35" s="28">
        <v>-3.6999999999999998E-2</v>
      </c>
      <c r="K35" s="29">
        <v>300</v>
      </c>
      <c r="L35" s="29">
        <v>475</v>
      </c>
      <c r="M35" s="30">
        <v>35.4574</v>
      </c>
      <c r="N35" s="30">
        <v>0.1421850626566416</v>
      </c>
      <c r="O35" s="29">
        <v>1</v>
      </c>
      <c r="R35" s="27">
        <v>238</v>
      </c>
      <c r="S35" s="28" t="s">
        <v>423</v>
      </c>
      <c r="T35" s="28" t="s">
        <v>382</v>
      </c>
      <c r="U35" s="28">
        <v>1E-4</v>
      </c>
      <c r="V35" s="28">
        <v>2.8000000000000001E-2</v>
      </c>
      <c r="W35" s="28">
        <v>3.73E-2</v>
      </c>
      <c r="X35" s="28">
        <v>-1E-4</v>
      </c>
      <c r="Y35" s="28">
        <v>-2.7799999999999998E-2</v>
      </c>
      <c r="Z35" s="28">
        <v>-3.6999999999999998E-2</v>
      </c>
      <c r="AA35" s="29">
        <v>300</v>
      </c>
      <c r="AB35" s="29">
        <v>475</v>
      </c>
      <c r="AC35" s="30">
        <v>35.416200000000003</v>
      </c>
      <c r="AD35" s="30">
        <v>0.14201984962406017</v>
      </c>
      <c r="AE35" s="29">
        <v>1</v>
      </c>
    </row>
    <row r="36" spans="2:31" x14ac:dyDescent="0.2">
      <c r="B36" s="27">
        <v>212</v>
      </c>
      <c r="C36" s="28" t="s">
        <v>425</v>
      </c>
      <c r="D36" s="28" t="s">
        <v>380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-40.173900000000003</v>
      </c>
      <c r="N36" s="30">
        <v>0.16109834586466165</v>
      </c>
      <c r="O36" s="29">
        <v>1</v>
      </c>
      <c r="R36" s="27">
        <v>212</v>
      </c>
      <c r="S36" s="28" t="s">
        <v>425</v>
      </c>
      <c r="T36" s="28" t="s">
        <v>380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-40.2209</v>
      </c>
      <c r="AD36" s="30">
        <v>0.16128681704260653</v>
      </c>
      <c r="AE36" s="29">
        <v>1</v>
      </c>
    </row>
    <row r="37" spans="2:31" x14ac:dyDescent="0.2">
      <c r="B37" s="27">
        <v>212</v>
      </c>
      <c r="C37" s="28" t="s">
        <v>426</v>
      </c>
      <c r="D37" s="28" t="s">
        <v>382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35.4574</v>
      </c>
      <c r="N37" s="30">
        <v>0.1421850626566416</v>
      </c>
      <c r="O37" s="29">
        <v>1</v>
      </c>
      <c r="R37" s="27">
        <v>212</v>
      </c>
      <c r="S37" s="28" t="s">
        <v>426</v>
      </c>
      <c r="T37" s="28" t="s">
        <v>382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40.103299999999997</v>
      </c>
      <c r="AD37" s="30">
        <v>0.16081523809523807</v>
      </c>
      <c r="AE37" s="29">
        <v>1</v>
      </c>
    </row>
    <row r="38" spans="2:31" x14ac:dyDescent="0.2">
      <c r="B38" s="27">
        <v>215</v>
      </c>
      <c r="C38" s="28" t="s">
        <v>428</v>
      </c>
      <c r="D38" s="28" t="s">
        <v>380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-2.8899999999999999E-2</v>
      </c>
      <c r="J38" s="28">
        <v>-3.85E-2</v>
      </c>
      <c r="K38" s="29">
        <v>300</v>
      </c>
      <c r="L38" s="29">
        <v>475</v>
      </c>
      <c r="M38" s="30">
        <v>-58.419800000000002</v>
      </c>
      <c r="N38" s="30">
        <v>0.23426486215538847</v>
      </c>
      <c r="O38" s="29">
        <v>1</v>
      </c>
      <c r="R38" s="27">
        <v>215</v>
      </c>
      <c r="S38" s="28" t="s">
        <v>428</v>
      </c>
      <c r="T38" s="28" t="s">
        <v>380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-2.8899999999999999E-2</v>
      </c>
      <c r="Z38" s="28">
        <v>-3.85E-2</v>
      </c>
      <c r="AA38" s="29">
        <v>300</v>
      </c>
      <c r="AB38" s="29">
        <v>475</v>
      </c>
      <c r="AC38" s="30">
        <v>-58.4754</v>
      </c>
      <c r="AD38" s="30">
        <v>0.23448781954887218</v>
      </c>
      <c r="AE38" s="29">
        <v>1</v>
      </c>
    </row>
    <row r="39" spans="2:31" x14ac:dyDescent="0.2">
      <c r="B39" s="27">
        <v>215</v>
      </c>
      <c r="C39" s="28" t="s">
        <v>429</v>
      </c>
      <c r="D39" s="28" t="s">
        <v>382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-2.8899999999999999E-2</v>
      </c>
      <c r="J39" s="28">
        <v>-3.85E-2</v>
      </c>
      <c r="K39" s="29">
        <v>300</v>
      </c>
      <c r="L39" s="29">
        <v>475</v>
      </c>
      <c r="M39" s="30">
        <v>58.405500000000004</v>
      </c>
      <c r="N39" s="30">
        <v>0.23420751879699248</v>
      </c>
      <c r="O39" s="29">
        <v>1</v>
      </c>
      <c r="R39" s="27">
        <v>215</v>
      </c>
      <c r="S39" s="28" t="s">
        <v>429</v>
      </c>
      <c r="T39" s="28" t="s">
        <v>382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-2.8899999999999999E-2</v>
      </c>
      <c r="Z39" s="28">
        <v>-3.85E-2</v>
      </c>
      <c r="AA39" s="29">
        <v>300</v>
      </c>
      <c r="AB39" s="29">
        <v>475</v>
      </c>
      <c r="AC39" s="30">
        <v>40.103299999999997</v>
      </c>
      <c r="AD39" s="30">
        <v>0.16081523809523807</v>
      </c>
      <c r="AE39" s="29">
        <v>1</v>
      </c>
    </row>
    <row r="40" spans="2:31" x14ac:dyDescent="0.2">
      <c r="B40" s="27">
        <v>218</v>
      </c>
      <c r="C40" s="28" t="s">
        <v>431</v>
      </c>
      <c r="D40" s="28" t="s">
        <v>380</v>
      </c>
      <c r="E40" s="28">
        <v>1E-4</v>
      </c>
      <c r="F40" s="28">
        <v>2.8500000000000001E-2</v>
      </c>
      <c r="G40" s="28">
        <v>3.7999999999999999E-2</v>
      </c>
      <c r="H40" s="28">
        <v>-1E-4</v>
      </c>
      <c r="I40" s="28">
        <v>-2.8500000000000001E-2</v>
      </c>
      <c r="J40" s="28">
        <v>-3.7999999999999999E-2</v>
      </c>
      <c r="K40" s="29">
        <v>300</v>
      </c>
      <c r="L40" s="29">
        <v>475</v>
      </c>
      <c r="M40" s="30">
        <v>-57.655099999999997</v>
      </c>
      <c r="N40" s="30">
        <v>0.23119839598997494</v>
      </c>
      <c r="O40" s="29">
        <v>1</v>
      </c>
      <c r="R40" s="27">
        <v>218</v>
      </c>
      <c r="S40" s="28" t="s">
        <v>431</v>
      </c>
      <c r="T40" s="28" t="s">
        <v>380</v>
      </c>
      <c r="U40" s="28">
        <v>1E-4</v>
      </c>
      <c r="V40" s="28">
        <v>2.8500000000000001E-2</v>
      </c>
      <c r="W40" s="28">
        <v>3.7999999999999999E-2</v>
      </c>
      <c r="X40" s="28">
        <v>-1E-4</v>
      </c>
      <c r="Y40" s="28">
        <v>-2.8500000000000001E-2</v>
      </c>
      <c r="Z40" s="28">
        <v>-3.7999999999999999E-2</v>
      </c>
      <c r="AA40" s="29">
        <v>300</v>
      </c>
      <c r="AB40" s="29">
        <v>475</v>
      </c>
      <c r="AC40" s="30">
        <v>-57.717199999999998</v>
      </c>
      <c r="AD40" s="30">
        <v>0.23144741854636591</v>
      </c>
      <c r="AE40" s="29">
        <v>1</v>
      </c>
    </row>
    <row r="41" spans="2:31" x14ac:dyDescent="0.2">
      <c r="B41" s="27">
        <v>218</v>
      </c>
      <c r="C41" s="28" t="s">
        <v>432</v>
      </c>
      <c r="D41" s="28" t="s">
        <v>382</v>
      </c>
      <c r="E41" s="28">
        <v>1E-4</v>
      </c>
      <c r="F41" s="28">
        <v>2.8500000000000001E-2</v>
      </c>
      <c r="G41" s="28">
        <v>3.7999999999999999E-2</v>
      </c>
      <c r="H41" s="28">
        <v>-1E-4</v>
      </c>
      <c r="I41" s="28">
        <v>-2.8500000000000001E-2</v>
      </c>
      <c r="J41" s="28">
        <v>-3.7999999999999999E-2</v>
      </c>
      <c r="K41" s="29">
        <v>300</v>
      </c>
      <c r="L41" s="29">
        <v>475</v>
      </c>
      <c r="M41" s="30">
        <v>58.405500000000004</v>
      </c>
      <c r="N41" s="30">
        <v>0.23420751879699248</v>
      </c>
      <c r="O41" s="29">
        <v>1</v>
      </c>
      <c r="R41" s="27">
        <v>218</v>
      </c>
      <c r="S41" s="28" t="s">
        <v>432</v>
      </c>
      <c r="T41" s="28" t="s">
        <v>382</v>
      </c>
      <c r="U41" s="28">
        <v>1E-4</v>
      </c>
      <c r="V41" s="28">
        <v>2.8500000000000001E-2</v>
      </c>
      <c r="W41" s="28">
        <v>3.7999999999999999E-2</v>
      </c>
      <c r="X41" s="28">
        <v>-1E-4</v>
      </c>
      <c r="Y41" s="28">
        <v>-2.8500000000000001E-2</v>
      </c>
      <c r="Z41" s="28">
        <v>-3.7999999999999999E-2</v>
      </c>
      <c r="AA41" s="29">
        <v>300</v>
      </c>
      <c r="AB41" s="29">
        <v>475</v>
      </c>
      <c r="AC41" s="30">
        <v>57.593800000000002</v>
      </c>
      <c r="AD41" s="30">
        <v>0.23095258145363409</v>
      </c>
      <c r="AE41" s="29">
        <v>1</v>
      </c>
    </row>
    <row r="42" spans="2:31" x14ac:dyDescent="0.2">
      <c r="B42" s="27">
        <v>221</v>
      </c>
      <c r="C42" s="28" t="s">
        <v>434</v>
      </c>
      <c r="D42" s="28" t="s">
        <v>380</v>
      </c>
      <c r="E42" s="28">
        <v>1E-4</v>
      </c>
      <c r="F42" s="28">
        <v>2.8500000000000001E-2</v>
      </c>
      <c r="G42" s="28">
        <v>3.7999999999999999E-2</v>
      </c>
      <c r="H42" s="28">
        <v>-1E-4</v>
      </c>
      <c r="I42" s="28">
        <v>-2.8500000000000001E-2</v>
      </c>
      <c r="J42" s="28">
        <v>-3.7999999999999999E-2</v>
      </c>
      <c r="K42" s="29">
        <v>300</v>
      </c>
      <c r="L42" s="29">
        <v>475</v>
      </c>
      <c r="M42" s="30">
        <v>-57.880699999999997</v>
      </c>
      <c r="N42" s="30">
        <v>0.23210305764411027</v>
      </c>
      <c r="O42" s="29">
        <v>1</v>
      </c>
      <c r="R42" s="27">
        <v>221</v>
      </c>
      <c r="S42" s="28" t="s">
        <v>434</v>
      </c>
      <c r="T42" s="28" t="s">
        <v>380</v>
      </c>
      <c r="U42" s="28">
        <v>1E-4</v>
      </c>
      <c r="V42" s="28">
        <v>2.8500000000000001E-2</v>
      </c>
      <c r="W42" s="28">
        <v>3.7999999999999999E-2</v>
      </c>
      <c r="X42" s="28">
        <v>-1E-4</v>
      </c>
      <c r="Y42" s="28">
        <v>-2.8500000000000001E-2</v>
      </c>
      <c r="Z42" s="28">
        <v>-3.7999999999999999E-2</v>
      </c>
      <c r="AA42" s="29">
        <v>300</v>
      </c>
      <c r="AB42" s="29">
        <v>475</v>
      </c>
      <c r="AC42" s="30">
        <v>-57.942500000000003</v>
      </c>
      <c r="AD42" s="30">
        <v>0.23235087719298245</v>
      </c>
      <c r="AE42" s="29">
        <v>1</v>
      </c>
    </row>
    <row r="43" spans="2:31" x14ac:dyDescent="0.2">
      <c r="B43" s="27">
        <v>221</v>
      </c>
      <c r="C43" s="28" t="s">
        <v>435</v>
      </c>
      <c r="D43" s="28" t="s">
        <v>382</v>
      </c>
      <c r="E43" s="28">
        <v>1E-4</v>
      </c>
      <c r="F43" s="28">
        <v>2.8500000000000001E-2</v>
      </c>
      <c r="G43" s="28">
        <v>3.7999999999999999E-2</v>
      </c>
      <c r="H43" s="28">
        <v>-1E-4</v>
      </c>
      <c r="I43" s="28">
        <v>-2.8500000000000001E-2</v>
      </c>
      <c r="J43" s="28">
        <v>-3.7999999999999999E-2</v>
      </c>
      <c r="K43" s="29">
        <v>300</v>
      </c>
      <c r="L43" s="29">
        <v>475</v>
      </c>
      <c r="M43" s="30">
        <v>58.405500000000004</v>
      </c>
      <c r="N43" s="30">
        <v>0.23420751879699248</v>
      </c>
      <c r="O43" s="29">
        <v>1</v>
      </c>
      <c r="R43" s="27">
        <v>221</v>
      </c>
      <c r="S43" s="28" t="s">
        <v>435</v>
      </c>
      <c r="T43" s="28" t="s">
        <v>382</v>
      </c>
      <c r="U43" s="28">
        <v>1E-4</v>
      </c>
      <c r="V43" s="28">
        <v>2.8500000000000001E-2</v>
      </c>
      <c r="W43" s="28">
        <v>3.7999999999999999E-2</v>
      </c>
      <c r="X43" s="28">
        <v>-1E-4</v>
      </c>
      <c r="Y43" s="28">
        <v>-2.8500000000000001E-2</v>
      </c>
      <c r="Z43" s="28">
        <v>-3.7999999999999999E-2</v>
      </c>
      <c r="AA43" s="29">
        <v>300</v>
      </c>
      <c r="AB43" s="29">
        <v>475</v>
      </c>
      <c r="AC43" s="30">
        <v>57.860500000000002</v>
      </c>
      <c r="AD43" s="30">
        <v>0.2320220551378446</v>
      </c>
      <c r="AE43" s="29">
        <v>1</v>
      </c>
    </row>
    <row r="44" spans="2:31" x14ac:dyDescent="0.2">
      <c r="B44" s="27">
        <v>224</v>
      </c>
      <c r="C44" s="28" t="s">
        <v>437</v>
      </c>
      <c r="D44" s="28" t="s">
        <v>380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-2.8899999999999999E-2</v>
      </c>
      <c r="J44" s="28">
        <v>-3.85E-2</v>
      </c>
      <c r="K44" s="29">
        <v>300</v>
      </c>
      <c r="L44" s="29">
        <v>475</v>
      </c>
      <c r="M44" s="30">
        <v>-57.701000000000001</v>
      </c>
      <c r="N44" s="30">
        <v>0.23138245614035088</v>
      </c>
      <c r="O44" s="29">
        <v>1</v>
      </c>
      <c r="R44" s="27">
        <v>224</v>
      </c>
      <c r="S44" s="28" t="s">
        <v>437</v>
      </c>
      <c r="T44" s="28" t="s">
        <v>380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-2.8899999999999999E-2</v>
      </c>
      <c r="Z44" s="28">
        <v>-3.85E-2</v>
      </c>
      <c r="AA44" s="29">
        <v>300</v>
      </c>
      <c r="AB44" s="29">
        <v>475</v>
      </c>
      <c r="AC44" s="30">
        <v>-57.7575</v>
      </c>
      <c r="AD44" s="30">
        <v>0.23160902255639099</v>
      </c>
      <c r="AE44" s="29">
        <v>1</v>
      </c>
    </row>
    <row r="45" spans="2:31" x14ac:dyDescent="0.2">
      <c r="B45" s="27">
        <v>224</v>
      </c>
      <c r="C45" s="28" t="s">
        <v>438</v>
      </c>
      <c r="D45" s="28" t="s">
        <v>382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-2.8899999999999999E-2</v>
      </c>
      <c r="J45" s="28">
        <v>-3.85E-2</v>
      </c>
      <c r="K45" s="29">
        <v>300</v>
      </c>
      <c r="L45" s="29">
        <v>475</v>
      </c>
      <c r="M45" s="30">
        <v>57.9512</v>
      </c>
      <c r="N45" s="30">
        <v>0.23238576441102757</v>
      </c>
      <c r="O45" s="29">
        <v>1</v>
      </c>
      <c r="R45" s="27">
        <v>224</v>
      </c>
      <c r="S45" s="28" t="s">
        <v>438</v>
      </c>
      <c r="T45" s="28" t="s">
        <v>382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-2.8899999999999999E-2</v>
      </c>
      <c r="Z45" s="28">
        <v>-3.85E-2</v>
      </c>
      <c r="AA45" s="29">
        <v>300</v>
      </c>
      <c r="AB45" s="29">
        <v>475</v>
      </c>
      <c r="AC45" s="30">
        <v>57.860500000000002</v>
      </c>
      <c r="AD45" s="30">
        <v>0.2320220551378446</v>
      </c>
      <c r="AE45" s="29">
        <v>1</v>
      </c>
    </row>
    <row r="46" spans="2:31" x14ac:dyDescent="0.2">
      <c r="B46" s="27">
        <v>227</v>
      </c>
      <c r="C46" s="28" t="s">
        <v>440</v>
      </c>
      <c r="D46" s="28" t="s">
        <v>380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-36.867600000000003</v>
      </c>
      <c r="N46" s="30">
        <v>0.14784000000000003</v>
      </c>
      <c r="O46" s="29">
        <v>1</v>
      </c>
      <c r="R46" s="27">
        <v>227</v>
      </c>
      <c r="S46" s="28" t="s">
        <v>440</v>
      </c>
      <c r="T46" s="28" t="s">
        <v>380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-36.919600000000003</v>
      </c>
      <c r="AD46" s="30">
        <v>0.14804852130325816</v>
      </c>
      <c r="AE46" s="29">
        <v>1</v>
      </c>
    </row>
    <row r="47" spans="2:31" x14ac:dyDescent="0.2">
      <c r="B47" s="27">
        <v>227</v>
      </c>
      <c r="C47" s="28" t="s">
        <v>441</v>
      </c>
      <c r="D47" s="28" t="s">
        <v>382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57.9512</v>
      </c>
      <c r="N47" s="30">
        <v>0.23238576441102757</v>
      </c>
      <c r="O47" s="29">
        <v>1</v>
      </c>
      <c r="R47" s="27">
        <v>227</v>
      </c>
      <c r="S47" s="28" t="s">
        <v>441</v>
      </c>
      <c r="T47" s="28" t="s">
        <v>382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36.959099999999999</v>
      </c>
      <c r="AD47" s="30">
        <v>0.14820691729323307</v>
      </c>
      <c r="AE47" s="29">
        <v>1</v>
      </c>
    </row>
    <row r="48" spans="2:31" x14ac:dyDescent="0.2">
      <c r="B48" s="27">
        <v>239</v>
      </c>
      <c r="C48" s="28" t="s">
        <v>443</v>
      </c>
      <c r="D48" s="28" t="s">
        <v>380</v>
      </c>
      <c r="E48" s="28">
        <v>1E-4</v>
      </c>
      <c r="F48" s="28">
        <v>2.8000000000000001E-2</v>
      </c>
      <c r="G48" s="28">
        <v>3.73E-2</v>
      </c>
      <c r="H48" s="28">
        <v>-1E-4</v>
      </c>
      <c r="I48" s="28">
        <v>-2.7799999999999998E-2</v>
      </c>
      <c r="J48" s="28">
        <v>-3.6999999999999998E-2</v>
      </c>
      <c r="K48" s="29">
        <v>300</v>
      </c>
      <c r="L48" s="29">
        <v>475</v>
      </c>
      <c r="M48" s="30">
        <v>-45.355200000000004</v>
      </c>
      <c r="N48" s="30">
        <v>0.18187548872180453</v>
      </c>
      <c r="O48" s="29">
        <v>1</v>
      </c>
      <c r="R48" s="27">
        <v>239</v>
      </c>
      <c r="S48" s="28" t="s">
        <v>443</v>
      </c>
      <c r="T48" s="28" t="s">
        <v>380</v>
      </c>
      <c r="U48" s="28">
        <v>1E-4</v>
      </c>
      <c r="V48" s="28">
        <v>2.8000000000000001E-2</v>
      </c>
      <c r="W48" s="28">
        <v>3.73E-2</v>
      </c>
      <c r="X48" s="28">
        <v>-1E-4</v>
      </c>
      <c r="Y48" s="28">
        <v>-2.7799999999999998E-2</v>
      </c>
      <c r="Z48" s="28">
        <v>-3.6999999999999998E-2</v>
      </c>
      <c r="AA48" s="29">
        <v>300</v>
      </c>
      <c r="AB48" s="29">
        <v>475</v>
      </c>
      <c r="AC48" s="30">
        <v>-45.340899999999998</v>
      </c>
      <c r="AD48" s="30">
        <v>0.18181814536340848</v>
      </c>
      <c r="AE48" s="29">
        <v>1</v>
      </c>
    </row>
    <row r="49" spans="2:31" x14ac:dyDescent="0.2">
      <c r="B49" s="27">
        <v>239</v>
      </c>
      <c r="C49" s="28" t="s">
        <v>444</v>
      </c>
      <c r="D49" s="28" t="s">
        <v>382</v>
      </c>
      <c r="E49" s="28">
        <v>1E-4</v>
      </c>
      <c r="F49" s="28">
        <v>2.7900000000000001E-2</v>
      </c>
      <c r="G49" s="28">
        <v>3.7199999999999997E-2</v>
      </c>
      <c r="H49" s="28">
        <v>-1E-4</v>
      </c>
      <c r="I49" s="28">
        <v>-2.7900000000000001E-2</v>
      </c>
      <c r="J49" s="28">
        <v>-3.7199999999999997E-2</v>
      </c>
      <c r="K49" s="29">
        <v>300</v>
      </c>
      <c r="L49" s="29">
        <v>475</v>
      </c>
      <c r="M49" s="30">
        <v>57.9512</v>
      </c>
      <c r="N49" s="30">
        <v>0.23238576441102757</v>
      </c>
      <c r="O49" s="29">
        <v>1</v>
      </c>
      <c r="R49" s="27">
        <v>239</v>
      </c>
      <c r="S49" s="28" t="s">
        <v>444</v>
      </c>
      <c r="T49" s="28" t="s">
        <v>382</v>
      </c>
      <c r="U49" s="28">
        <v>1E-4</v>
      </c>
      <c r="V49" s="28">
        <v>2.7900000000000001E-2</v>
      </c>
      <c r="W49" s="28">
        <v>3.7199999999999997E-2</v>
      </c>
      <c r="X49" s="28">
        <v>-1E-4</v>
      </c>
      <c r="Y49" s="28">
        <v>-2.7900000000000001E-2</v>
      </c>
      <c r="Z49" s="28">
        <v>-3.7199999999999997E-2</v>
      </c>
      <c r="AA49" s="29">
        <v>300</v>
      </c>
      <c r="AB49" s="29">
        <v>475</v>
      </c>
      <c r="AC49" s="30">
        <v>36.959099999999999</v>
      </c>
      <c r="AD49" s="30">
        <v>0.14820691729323307</v>
      </c>
      <c r="AE49" s="29">
        <v>1</v>
      </c>
    </row>
    <row r="50" spans="2:31" x14ac:dyDescent="0.2">
      <c r="B50" s="27">
        <v>240</v>
      </c>
      <c r="C50" s="28" t="s">
        <v>446</v>
      </c>
      <c r="D50" s="28" t="s">
        <v>380</v>
      </c>
      <c r="E50" s="28">
        <v>1E-4</v>
      </c>
      <c r="F50" s="28">
        <v>2.7900000000000001E-2</v>
      </c>
      <c r="G50" s="28">
        <v>3.7199999999999997E-2</v>
      </c>
      <c r="H50" s="28">
        <v>-1E-4</v>
      </c>
      <c r="I50" s="28">
        <v>-2.7900000000000001E-2</v>
      </c>
      <c r="J50" s="28">
        <v>-3.7199999999999997E-2</v>
      </c>
      <c r="K50" s="29">
        <v>300</v>
      </c>
      <c r="L50" s="29">
        <v>475</v>
      </c>
      <c r="M50" s="30">
        <v>-47.175699999999999</v>
      </c>
      <c r="N50" s="30">
        <v>0.18917573934837092</v>
      </c>
      <c r="O50" s="29">
        <v>1</v>
      </c>
      <c r="R50" s="27">
        <v>240</v>
      </c>
      <c r="S50" s="28" t="s">
        <v>446</v>
      </c>
      <c r="T50" s="28" t="s">
        <v>380</v>
      </c>
      <c r="U50" s="28">
        <v>1E-4</v>
      </c>
      <c r="V50" s="28">
        <v>2.7900000000000001E-2</v>
      </c>
      <c r="W50" s="28">
        <v>3.7199999999999997E-2</v>
      </c>
      <c r="X50" s="28">
        <v>-1E-4</v>
      </c>
      <c r="Y50" s="28">
        <v>-2.7900000000000001E-2</v>
      </c>
      <c r="Z50" s="28">
        <v>-3.7199999999999997E-2</v>
      </c>
      <c r="AA50" s="29">
        <v>300</v>
      </c>
      <c r="AB50" s="29">
        <v>475</v>
      </c>
      <c r="AC50" s="30">
        <v>-47.162599999999998</v>
      </c>
      <c r="AD50" s="30">
        <v>0.18912320802005012</v>
      </c>
      <c r="AE50" s="29">
        <v>1</v>
      </c>
    </row>
    <row r="51" spans="2:31" x14ac:dyDescent="0.2">
      <c r="B51" s="27">
        <v>240</v>
      </c>
      <c r="C51" s="28" t="s">
        <v>447</v>
      </c>
      <c r="D51" s="28" t="s">
        <v>382</v>
      </c>
      <c r="E51" s="28">
        <v>1E-4</v>
      </c>
      <c r="F51" s="28">
        <v>2.7900000000000001E-2</v>
      </c>
      <c r="G51" s="28">
        <v>3.7199999999999997E-2</v>
      </c>
      <c r="H51" s="28">
        <v>-1E-4</v>
      </c>
      <c r="I51" s="28">
        <v>-2.7900000000000001E-2</v>
      </c>
      <c r="J51" s="28">
        <v>-3.7199999999999997E-2</v>
      </c>
      <c r="K51" s="29">
        <v>300</v>
      </c>
      <c r="L51" s="29">
        <v>475</v>
      </c>
      <c r="M51" s="30">
        <v>57.9512</v>
      </c>
      <c r="N51" s="30">
        <v>0.23238576441102757</v>
      </c>
      <c r="O51" s="29">
        <v>1</v>
      </c>
      <c r="R51" s="27">
        <v>240</v>
      </c>
      <c r="S51" s="28" t="s">
        <v>447</v>
      </c>
      <c r="T51" s="28" t="s">
        <v>382</v>
      </c>
      <c r="U51" s="28">
        <v>1E-4</v>
      </c>
      <c r="V51" s="28">
        <v>2.7900000000000001E-2</v>
      </c>
      <c r="W51" s="28">
        <v>3.7199999999999997E-2</v>
      </c>
      <c r="X51" s="28">
        <v>-1E-4</v>
      </c>
      <c r="Y51" s="28">
        <v>-2.7900000000000001E-2</v>
      </c>
      <c r="Z51" s="28">
        <v>-3.7199999999999997E-2</v>
      </c>
      <c r="AA51" s="29">
        <v>300</v>
      </c>
      <c r="AB51" s="29">
        <v>475</v>
      </c>
      <c r="AC51" s="30">
        <v>36.959099999999999</v>
      </c>
      <c r="AD51" s="30">
        <v>0.14820691729323307</v>
      </c>
      <c r="AE51" s="29">
        <v>1</v>
      </c>
    </row>
    <row r="52" spans="2:31" x14ac:dyDescent="0.2">
      <c r="B52" s="27">
        <v>241</v>
      </c>
      <c r="C52" s="28" t="s">
        <v>448</v>
      </c>
      <c r="D52" s="28" t="s">
        <v>380</v>
      </c>
      <c r="E52" s="28">
        <v>1E-4</v>
      </c>
      <c r="F52" s="28">
        <v>2.7900000000000001E-2</v>
      </c>
      <c r="G52" s="28">
        <v>3.7199999999999997E-2</v>
      </c>
      <c r="H52" s="28">
        <v>-1E-4</v>
      </c>
      <c r="I52" s="28">
        <v>-2.7900000000000001E-2</v>
      </c>
      <c r="J52" s="28">
        <v>-3.7199999999999997E-2</v>
      </c>
      <c r="K52" s="29">
        <v>300</v>
      </c>
      <c r="L52" s="29">
        <v>475</v>
      </c>
      <c r="M52" s="30">
        <v>-47.8932</v>
      </c>
      <c r="N52" s="30">
        <v>0.19205293233082707</v>
      </c>
      <c r="O52" s="29">
        <v>1</v>
      </c>
      <c r="R52" s="27">
        <v>241</v>
      </c>
      <c r="S52" s="28" t="s">
        <v>448</v>
      </c>
      <c r="T52" s="28" t="s">
        <v>380</v>
      </c>
      <c r="U52" s="28">
        <v>1E-4</v>
      </c>
      <c r="V52" s="28">
        <v>2.7900000000000001E-2</v>
      </c>
      <c r="W52" s="28">
        <v>3.7199999999999997E-2</v>
      </c>
      <c r="X52" s="28">
        <v>-1E-4</v>
      </c>
      <c r="Y52" s="28">
        <v>-2.7900000000000001E-2</v>
      </c>
      <c r="Z52" s="28">
        <v>-3.7199999999999997E-2</v>
      </c>
      <c r="AA52" s="29">
        <v>300</v>
      </c>
      <c r="AB52" s="29">
        <v>475</v>
      </c>
      <c r="AC52" s="30">
        <v>-47.881100000000004</v>
      </c>
      <c r="AD52" s="30">
        <v>0.19200441102756893</v>
      </c>
      <c r="AE52" s="29">
        <v>1</v>
      </c>
    </row>
    <row r="53" spans="2:31" x14ac:dyDescent="0.2">
      <c r="B53" s="27">
        <v>241</v>
      </c>
      <c r="C53" s="28" t="s">
        <v>449</v>
      </c>
      <c r="D53" s="28" t="s">
        <v>382</v>
      </c>
      <c r="E53" s="28">
        <v>1E-4</v>
      </c>
      <c r="F53" s="28">
        <v>2.7900000000000001E-2</v>
      </c>
      <c r="G53" s="28">
        <v>3.7199999999999997E-2</v>
      </c>
      <c r="H53" s="28">
        <v>-1E-4</v>
      </c>
      <c r="I53" s="28">
        <v>-2.7900000000000001E-2</v>
      </c>
      <c r="J53" s="28">
        <v>-3.7199999999999997E-2</v>
      </c>
      <c r="K53" s="29">
        <v>300</v>
      </c>
      <c r="L53" s="29">
        <v>475</v>
      </c>
      <c r="M53" s="30">
        <v>57.9512</v>
      </c>
      <c r="N53" s="30">
        <v>0.23238576441102757</v>
      </c>
      <c r="O53" s="29">
        <v>1</v>
      </c>
      <c r="R53" s="27">
        <v>241</v>
      </c>
      <c r="S53" s="28" t="s">
        <v>449</v>
      </c>
      <c r="T53" s="28" t="s">
        <v>382</v>
      </c>
      <c r="U53" s="28">
        <v>1E-4</v>
      </c>
      <c r="V53" s="28">
        <v>2.7900000000000001E-2</v>
      </c>
      <c r="W53" s="28">
        <v>3.7199999999999997E-2</v>
      </c>
      <c r="X53" s="28">
        <v>-1E-4</v>
      </c>
      <c r="Y53" s="28">
        <v>-2.7900000000000001E-2</v>
      </c>
      <c r="Z53" s="28">
        <v>-3.7199999999999997E-2</v>
      </c>
      <c r="AA53" s="29">
        <v>300</v>
      </c>
      <c r="AB53" s="29">
        <v>475</v>
      </c>
      <c r="AC53" s="30">
        <v>36.959099999999999</v>
      </c>
      <c r="AD53" s="30">
        <v>0.14820691729323307</v>
      </c>
      <c r="AE53" s="29">
        <v>1</v>
      </c>
    </row>
    <row r="54" spans="2:31" x14ac:dyDescent="0.2">
      <c r="B54" s="27">
        <v>242</v>
      </c>
      <c r="C54" s="28" t="s">
        <v>450</v>
      </c>
      <c r="D54" s="28" t="s">
        <v>380</v>
      </c>
      <c r="E54" s="28">
        <v>1E-4</v>
      </c>
      <c r="F54" s="28">
        <v>2.7900000000000001E-2</v>
      </c>
      <c r="G54" s="28">
        <v>3.7199999999999997E-2</v>
      </c>
      <c r="H54" s="28">
        <v>-1E-4</v>
      </c>
      <c r="I54" s="28">
        <v>-2.7900000000000001E-2</v>
      </c>
      <c r="J54" s="28">
        <v>-3.7199999999999997E-2</v>
      </c>
      <c r="K54" s="29">
        <v>300</v>
      </c>
      <c r="L54" s="29">
        <v>475</v>
      </c>
      <c r="M54" s="30">
        <v>-49.251100000000001</v>
      </c>
      <c r="N54" s="30">
        <v>0.19749814536340851</v>
      </c>
      <c r="O54" s="29">
        <v>1</v>
      </c>
      <c r="R54" s="27">
        <v>242</v>
      </c>
      <c r="S54" s="28" t="s">
        <v>450</v>
      </c>
      <c r="T54" s="28" t="s">
        <v>380</v>
      </c>
      <c r="U54" s="28">
        <v>1E-4</v>
      </c>
      <c r="V54" s="28">
        <v>2.7900000000000001E-2</v>
      </c>
      <c r="W54" s="28">
        <v>3.7199999999999997E-2</v>
      </c>
      <c r="X54" s="28">
        <v>-1E-4</v>
      </c>
      <c r="Y54" s="28">
        <v>-2.7900000000000001E-2</v>
      </c>
      <c r="Z54" s="28">
        <v>-3.7199999999999997E-2</v>
      </c>
      <c r="AA54" s="29">
        <v>300</v>
      </c>
      <c r="AB54" s="29">
        <v>475</v>
      </c>
      <c r="AC54" s="30">
        <v>-49.236400000000003</v>
      </c>
      <c r="AD54" s="30">
        <v>0.19743919799498746</v>
      </c>
      <c r="AE54" s="29">
        <v>1</v>
      </c>
    </row>
    <row r="55" spans="2:31" x14ac:dyDescent="0.2">
      <c r="B55" s="27">
        <v>242</v>
      </c>
      <c r="C55" s="28" t="s">
        <v>451</v>
      </c>
      <c r="D55" s="28" t="s">
        <v>382</v>
      </c>
      <c r="E55" s="28">
        <v>1E-4</v>
      </c>
      <c r="F55" s="28">
        <v>2.7900000000000001E-2</v>
      </c>
      <c r="G55" s="28">
        <v>3.7199999999999997E-2</v>
      </c>
      <c r="H55" s="28">
        <v>-1E-4</v>
      </c>
      <c r="I55" s="28">
        <v>-2.7900000000000001E-2</v>
      </c>
      <c r="J55" s="28">
        <v>-3.7199999999999997E-2</v>
      </c>
      <c r="K55" s="29">
        <v>300</v>
      </c>
      <c r="L55" s="29">
        <v>475</v>
      </c>
      <c r="M55" s="30">
        <v>57.9512</v>
      </c>
      <c r="N55" s="30">
        <v>0.23238576441102757</v>
      </c>
      <c r="O55" s="29">
        <v>1</v>
      </c>
      <c r="R55" s="27">
        <v>242</v>
      </c>
      <c r="S55" s="28" t="s">
        <v>451</v>
      </c>
      <c r="T55" s="28" t="s">
        <v>382</v>
      </c>
      <c r="U55" s="28">
        <v>1E-4</v>
      </c>
      <c r="V55" s="28">
        <v>2.7900000000000001E-2</v>
      </c>
      <c r="W55" s="28">
        <v>3.7199999999999997E-2</v>
      </c>
      <c r="X55" s="28">
        <v>-1E-4</v>
      </c>
      <c r="Y55" s="28">
        <v>-2.7900000000000001E-2</v>
      </c>
      <c r="Z55" s="28">
        <v>-3.7199999999999997E-2</v>
      </c>
      <c r="AA55" s="29">
        <v>300</v>
      </c>
      <c r="AB55" s="29">
        <v>475</v>
      </c>
      <c r="AC55" s="30">
        <v>36.959099999999999</v>
      </c>
      <c r="AD55" s="30">
        <v>0.14820691729323307</v>
      </c>
      <c r="AE55" s="29">
        <v>1</v>
      </c>
    </row>
    <row r="56" spans="2:31" x14ac:dyDescent="0.2">
      <c r="B56" s="27">
        <v>243</v>
      </c>
      <c r="C56" s="28" t="s">
        <v>453</v>
      </c>
      <c r="D56" s="28" t="s">
        <v>380</v>
      </c>
      <c r="E56" s="28">
        <v>1E-4</v>
      </c>
      <c r="F56" s="28">
        <v>2.7900000000000001E-2</v>
      </c>
      <c r="G56" s="28">
        <v>3.7199999999999997E-2</v>
      </c>
      <c r="H56" s="28">
        <v>-1E-4</v>
      </c>
      <c r="I56" s="28">
        <v>-2.7900000000000001E-2</v>
      </c>
      <c r="J56" s="28">
        <v>-3.7199999999999997E-2</v>
      </c>
      <c r="K56" s="29">
        <v>300</v>
      </c>
      <c r="L56" s="29">
        <v>475</v>
      </c>
      <c r="M56" s="30">
        <v>-47.485100000000003</v>
      </c>
      <c r="N56" s="30">
        <v>0.19041644110275691</v>
      </c>
      <c r="O56" s="29">
        <v>1</v>
      </c>
      <c r="R56" s="27">
        <v>243</v>
      </c>
      <c r="S56" s="28" t="s">
        <v>453</v>
      </c>
      <c r="T56" s="28" t="s">
        <v>380</v>
      </c>
      <c r="U56" s="28">
        <v>1E-4</v>
      </c>
      <c r="V56" s="28">
        <v>2.7900000000000001E-2</v>
      </c>
      <c r="W56" s="28">
        <v>3.7199999999999997E-2</v>
      </c>
      <c r="X56" s="28">
        <v>-1E-4</v>
      </c>
      <c r="Y56" s="28">
        <v>-2.7900000000000001E-2</v>
      </c>
      <c r="Z56" s="28">
        <v>-3.7199999999999997E-2</v>
      </c>
      <c r="AA56" s="29">
        <v>300</v>
      </c>
      <c r="AB56" s="29">
        <v>475</v>
      </c>
      <c r="AC56" s="30">
        <v>-47.472200000000001</v>
      </c>
      <c r="AD56" s="30">
        <v>0.19036471177944864</v>
      </c>
      <c r="AE56" s="29">
        <v>1</v>
      </c>
    </row>
    <row r="57" spans="2:31" x14ac:dyDescent="0.2">
      <c r="B57" s="27">
        <v>243</v>
      </c>
      <c r="C57" s="28" t="s">
        <v>454</v>
      </c>
      <c r="D57" s="28" t="s">
        <v>382</v>
      </c>
      <c r="E57" s="28">
        <v>1E-4</v>
      </c>
      <c r="F57" s="28">
        <v>2.8000000000000001E-2</v>
      </c>
      <c r="G57" s="28">
        <v>3.73E-2</v>
      </c>
      <c r="H57" s="28">
        <v>-1E-4</v>
      </c>
      <c r="I57" s="28">
        <v>-2.7799999999999998E-2</v>
      </c>
      <c r="J57" s="28">
        <v>-3.6999999999999998E-2</v>
      </c>
      <c r="K57" s="29">
        <v>300</v>
      </c>
      <c r="L57" s="29">
        <v>475</v>
      </c>
      <c r="M57" s="30">
        <v>57.9512</v>
      </c>
      <c r="N57" s="30">
        <v>0.23238576441102757</v>
      </c>
      <c r="O57" s="29">
        <v>1</v>
      </c>
      <c r="R57" s="27">
        <v>243</v>
      </c>
      <c r="S57" s="28" t="s">
        <v>454</v>
      </c>
      <c r="T57" s="28" t="s">
        <v>382</v>
      </c>
      <c r="U57" s="28">
        <v>1E-4</v>
      </c>
      <c r="V57" s="28">
        <v>2.8000000000000001E-2</v>
      </c>
      <c r="W57" s="28">
        <v>3.73E-2</v>
      </c>
      <c r="X57" s="28">
        <v>-1E-4</v>
      </c>
      <c r="Y57" s="28">
        <v>-2.7799999999999998E-2</v>
      </c>
      <c r="Z57" s="28">
        <v>-3.6999999999999998E-2</v>
      </c>
      <c r="AA57" s="29">
        <v>300</v>
      </c>
      <c r="AB57" s="29">
        <v>475</v>
      </c>
      <c r="AC57" s="30">
        <v>36.959099999999999</v>
      </c>
      <c r="AD57" s="30">
        <v>0.14820691729323307</v>
      </c>
      <c r="AE57" s="29">
        <v>1</v>
      </c>
    </row>
    <row r="58" spans="2:31" x14ac:dyDescent="0.2">
      <c r="B58" s="27">
        <v>213</v>
      </c>
      <c r="C58" s="28" t="s">
        <v>456</v>
      </c>
      <c r="D58" s="28" t="s">
        <v>380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-41.281199999999998</v>
      </c>
      <c r="N58" s="30">
        <v>0.16553864661654133</v>
      </c>
      <c r="O58" s="29">
        <v>1</v>
      </c>
      <c r="R58" s="27">
        <v>213</v>
      </c>
      <c r="S58" s="28" t="s">
        <v>456</v>
      </c>
      <c r="T58" s="28" t="s">
        <v>380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-41.322099999999999</v>
      </c>
      <c r="AD58" s="30">
        <v>0.165702656641604</v>
      </c>
      <c r="AE58" s="29">
        <v>1</v>
      </c>
    </row>
    <row r="59" spans="2:31" x14ac:dyDescent="0.2">
      <c r="B59" s="27">
        <v>213</v>
      </c>
      <c r="C59" s="28" t="s">
        <v>457</v>
      </c>
      <c r="D59" s="28" t="s">
        <v>382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-2.8199999999999999E-2</v>
      </c>
      <c r="J59" s="28">
        <v>-3.7600000000000001E-2</v>
      </c>
      <c r="K59" s="29">
        <v>300</v>
      </c>
      <c r="L59" s="29">
        <v>475</v>
      </c>
      <c r="M59" s="30">
        <v>57.9512</v>
      </c>
      <c r="N59" s="30">
        <v>0.23238576441102757</v>
      </c>
      <c r="O59" s="29">
        <v>1</v>
      </c>
      <c r="R59" s="27">
        <v>213</v>
      </c>
      <c r="S59" s="28" t="s">
        <v>457</v>
      </c>
      <c r="T59" s="28" t="s">
        <v>382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-2.8199999999999999E-2</v>
      </c>
      <c r="Z59" s="28">
        <v>-3.7600000000000001E-2</v>
      </c>
      <c r="AA59" s="29">
        <v>300</v>
      </c>
      <c r="AB59" s="29">
        <v>475</v>
      </c>
      <c r="AC59" s="30">
        <v>36.959099999999999</v>
      </c>
      <c r="AD59" s="30">
        <v>0.14820691729323307</v>
      </c>
      <c r="AE59" s="29">
        <v>1</v>
      </c>
    </row>
    <row r="60" spans="2:31" x14ac:dyDescent="0.2">
      <c r="B60" s="27">
        <v>216</v>
      </c>
      <c r="C60" s="28" t="s">
        <v>459</v>
      </c>
      <c r="D60" s="28" t="s">
        <v>380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-2.8899999999999999E-2</v>
      </c>
      <c r="J60" s="28">
        <v>-3.85E-2</v>
      </c>
      <c r="K60" s="29">
        <v>300</v>
      </c>
      <c r="L60" s="29">
        <v>475</v>
      </c>
      <c r="M60" s="30">
        <v>-58.662399999999998</v>
      </c>
      <c r="N60" s="30">
        <v>0.23523769423558899</v>
      </c>
      <c r="O60" s="29">
        <v>1</v>
      </c>
      <c r="R60" s="27">
        <v>216</v>
      </c>
      <c r="S60" s="28" t="s">
        <v>459</v>
      </c>
      <c r="T60" s="28" t="s">
        <v>380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-2.8899999999999999E-2</v>
      </c>
      <c r="Z60" s="28">
        <v>-3.85E-2</v>
      </c>
      <c r="AA60" s="29">
        <v>300</v>
      </c>
      <c r="AB60" s="29">
        <v>475</v>
      </c>
      <c r="AC60" s="30">
        <v>-58.717500000000001</v>
      </c>
      <c r="AD60" s="30">
        <v>0.23545864661654137</v>
      </c>
      <c r="AE60" s="29">
        <v>1</v>
      </c>
    </row>
    <row r="61" spans="2:31" x14ac:dyDescent="0.2">
      <c r="B61" s="27">
        <v>216</v>
      </c>
      <c r="C61" s="28" t="s">
        <v>460</v>
      </c>
      <c r="D61" s="28" t="s">
        <v>382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57.9512</v>
      </c>
      <c r="N61" s="30">
        <v>0.23238576441102757</v>
      </c>
      <c r="O61" s="29">
        <v>1</v>
      </c>
      <c r="R61" s="27">
        <v>216</v>
      </c>
      <c r="S61" s="28" t="s">
        <v>460</v>
      </c>
      <c r="T61" s="28" t="s">
        <v>382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36.959099999999999</v>
      </c>
      <c r="AD61" s="30">
        <v>0.14820691729323307</v>
      </c>
      <c r="AE61" s="29">
        <v>1</v>
      </c>
    </row>
    <row r="62" spans="2:31" x14ac:dyDescent="0.2">
      <c r="B62" s="27">
        <v>219</v>
      </c>
      <c r="C62" s="28" t="s">
        <v>462</v>
      </c>
      <c r="D62" s="28" t="s">
        <v>380</v>
      </c>
      <c r="E62" s="28">
        <v>1E-4</v>
      </c>
      <c r="F62" s="28">
        <v>2.8500000000000001E-2</v>
      </c>
      <c r="G62" s="28">
        <v>3.7999999999999999E-2</v>
      </c>
      <c r="H62" s="28">
        <v>-1E-4</v>
      </c>
      <c r="I62" s="28">
        <v>-2.8500000000000001E-2</v>
      </c>
      <c r="J62" s="28">
        <v>-3.7999999999999999E-2</v>
      </c>
      <c r="K62" s="29">
        <v>300</v>
      </c>
      <c r="L62" s="29">
        <v>475</v>
      </c>
      <c r="M62" s="30">
        <v>-58.589399999999998</v>
      </c>
      <c r="N62" s="30">
        <v>0.23494496240601501</v>
      </c>
      <c r="O62" s="29">
        <v>1</v>
      </c>
      <c r="R62" s="27">
        <v>219</v>
      </c>
      <c r="S62" s="28" t="s">
        <v>462</v>
      </c>
      <c r="T62" s="28" t="s">
        <v>380</v>
      </c>
      <c r="U62" s="28">
        <v>1E-4</v>
      </c>
      <c r="V62" s="28">
        <v>2.8500000000000001E-2</v>
      </c>
      <c r="W62" s="28">
        <v>3.7999999999999999E-2</v>
      </c>
      <c r="X62" s="28">
        <v>-1E-4</v>
      </c>
      <c r="Y62" s="28">
        <v>-2.8500000000000001E-2</v>
      </c>
      <c r="Z62" s="28">
        <v>-3.7999999999999999E-2</v>
      </c>
      <c r="AA62" s="29">
        <v>300</v>
      </c>
      <c r="AB62" s="29">
        <v>475</v>
      </c>
      <c r="AC62" s="30">
        <v>-58.6464</v>
      </c>
      <c r="AD62" s="30">
        <v>0.23517353383458647</v>
      </c>
      <c r="AE62" s="29">
        <v>1</v>
      </c>
    </row>
    <row r="63" spans="2:31" x14ac:dyDescent="0.2">
      <c r="B63" s="27">
        <v>219</v>
      </c>
      <c r="C63" s="28" t="s">
        <v>463</v>
      </c>
      <c r="D63" s="28" t="s">
        <v>382</v>
      </c>
      <c r="E63" s="28">
        <v>1E-4</v>
      </c>
      <c r="F63" s="28">
        <v>2.86E-2</v>
      </c>
      <c r="G63" s="28">
        <v>3.8100000000000002E-2</v>
      </c>
      <c r="H63" s="28">
        <v>-1E-4</v>
      </c>
      <c r="I63" s="28">
        <v>-2.8400000000000002E-2</v>
      </c>
      <c r="J63" s="28">
        <v>-3.78E-2</v>
      </c>
      <c r="K63" s="29">
        <v>300</v>
      </c>
      <c r="L63" s="29">
        <v>475</v>
      </c>
      <c r="M63" s="30">
        <v>57.9512</v>
      </c>
      <c r="N63" s="30">
        <v>0.23238576441102757</v>
      </c>
      <c r="O63" s="29">
        <v>1</v>
      </c>
      <c r="R63" s="27">
        <v>219</v>
      </c>
      <c r="S63" s="28" t="s">
        <v>463</v>
      </c>
      <c r="T63" s="28" t="s">
        <v>382</v>
      </c>
      <c r="U63" s="28">
        <v>1E-4</v>
      </c>
      <c r="V63" s="28">
        <v>2.86E-2</v>
      </c>
      <c r="W63" s="28">
        <v>3.8100000000000002E-2</v>
      </c>
      <c r="X63" s="28">
        <v>-1E-4</v>
      </c>
      <c r="Y63" s="28">
        <v>-2.8400000000000002E-2</v>
      </c>
      <c r="Z63" s="28">
        <v>-3.78E-2</v>
      </c>
      <c r="AA63" s="29">
        <v>300</v>
      </c>
      <c r="AB63" s="29">
        <v>475</v>
      </c>
      <c r="AC63" s="30">
        <v>36.959099999999999</v>
      </c>
      <c r="AD63" s="30">
        <v>0.14820691729323307</v>
      </c>
      <c r="AE63" s="29">
        <v>1</v>
      </c>
    </row>
    <row r="64" spans="2:31" x14ac:dyDescent="0.2">
      <c r="B64" s="27">
        <v>222</v>
      </c>
      <c r="C64" s="28" t="s">
        <v>465</v>
      </c>
      <c r="D64" s="28" t="s">
        <v>380</v>
      </c>
      <c r="E64" s="28">
        <v>1E-4</v>
      </c>
      <c r="F64" s="28">
        <v>2.8500000000000001E-2</v>
      </c>
      <c r="G64" s="28">
        <v>3.7999999999999999E-2</v>
      </c>
      <c r="H64" s="28">
        <v>-1E-4</v>
      </c>
      <c r="I64" s="28">
        <v>-2.8500000000000001E-2</v>
      </c>
      <c r="J64" s="28">
        <v>-3.7999999999999999E-2</v>
      </c>
      <c r="K64" s="29">
        <v>300</v>
      </c>
      <c r="L64" s="29">
        <v>475</v>
      </c>
      <c r="M64" s="30">
        <v>-58.983199999999997</v>
      </c>
      <c r="N64" s="30">
        <v>0.2365241102756892</v>
      </c>
      <c r="O64" s="29">
        <v>1</v>
      </c>
      <c r="R64" s="27">
        <v>222</v>
      </c>
      <c r="S64" s="28" t="s">
        <v>465</v>
      </c>
      <c r="T64" s="28" t="s">
        <v>380</v>
      </c>
      <c r="U64" s="28">
        <v>1E-4</v>
      </c>
      <c r="V64" s="28">
        <v>2.8500000000000001E-2</v>
      </c>
      <c r="W64" s="28">
        <v>3.7999999999999999E-2</v>
      </c>
      <c r="X64" s="28">
        <v>-1E-4</v>
      </c>
      <c r="Y64" s="28">
        <v>-2.8500000000000001E-2</v>
      </c>
      <c r="Z64" s="28">
        <v>-3.7999999999999999E-2</v>
      </c>
      <c r="AA64" s="29">
        <v>300</v>
      </c>
      <c r="AB64" s="29">
        <v>475</v>
      </c>
      <c r="AC64" s="30">
        <v>-59.0396</v>
      </c>
      <c r="AD64" s="30">
        <v>0.23675027568922305</v>
      </c>
      <c r="AE64" s="29">
        <v>1</v>
      </c>
    </row>
    <row r="65" spans="2:31" x14ac:dyDescent="0.2">
      <c r="B65" s="27">
        <v>222</v>
      </c>
      <c r="C65" s="28" t="s">
        <v>466</v>
      </c>
      <c r="D65" s="28" t="s">
        <v>382</v>
      </c>
      <c r="E65" s="28">
        <v>1E-4</v>
      </c>
      <c r="F65" s="28">
        <v>2.86E-2</v>
      </c>
      <c r="G65" s="28">
        <v>3.8100000000000002E-2</v>
      </c>
      <c r="H65" s="28">
        <v>-1E-4</v>
      </c>
      <c r="I65" s="28">
        <v>-2.8400000000000002E-2</v>
      </c>
      <c r="J65" s="28">
        <v>-3.78E-2</v>
      </c>
      <c r="K65" s="29">
        <v>300</v>
      </c>
      <c r="L65" s="29">
        <v>475</v>
      </c>
      <c r="M65" s="30">
        <v>57.9512</v>
      </c>
      <c r="N65" s="30">
        <v>0.23238576441102757</v>
      </c>
      <c r="O65" s="29">
        <v>1</v>
      </c>
      <c r="R65" s="27">
        <v>222</v>
      </c>
      <c r="S65" s="28" t="s">
        <v>466</v>
      </c>
      <c r="T65" s="28" t="s">
        <v>382</v>
      </c>
      <c r="U65" s="28">
        <v>1E-4</v>
      </c>
      <c r="V65" s="28">
        <v>2.86E-2</v>
      </c>
      <c r="W65" s="28">
        <v>3.8100000000000002E-2</v>
      </c>
      <c r="X65" s="28">
        <v>-1E-4</v>
      </c>
      <c r="Y65" s="28">
        <v>-2.8400000000000002E-2</v>
      </c>
      <c r="Z65" s="28">
        <v>-3.78E-2</v>
      </c>
      <c r="AA65" s="29">
        <v>300</v>
      </c>
      <c r="AB65" s="29">
        <v>475</v>
      </c>
      <c r="AC65" s="30">
        <v>36.959099999999999</v>
      </c>
      <c r="AD65" s="30">
        <v>0.14820691729323307</v>
      </c>
      <c r="AE65" s="29">
        <v>1</v>
      </c>
    </row>
    <row r="66" spans="2:31" x14ac:dyDescent="0.2">
      <c r="B66" s="27">
        <v>225</v>
      </c>
      <c r="C66" s="28" t="s">
        <v>468</v>
      </c>
      <c r="D66" s="28" t="s">
        <v>380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-2.8899999999999999E-2</v>
      </c>
      <c r="J66" s="28">
        <v>-3.85E-2</v>
      </c>
      <c r="K66" s="29">
        <v>300</v>
      </c>
      <c r="L66" s="29">
        <v>475</v>
      </c>
      <c r="M66" s="30">
        <v>-58.176400000000001</v>
      </c>
      <c r="N66" s="30">
        <v>0.23328882205513785</v>
      </c>
      <c r="O66" s="29">
        <v>1</v>
      </c>
      <c r="R66" s="27">
        <v>225</v>
      </c>
      <c r="S66" s="28" t="s">
        <v>468</v>
      </c>
      <c r="T66" s="28" t="s">
        <v>380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-2.8899999999999999E-2</v>
      </c>
      <c r="Z66" s="28">
        <v>-3.85E-2</v>
      </c>
      <c r="AA66" s="29">
        <v>300</v>
      </c>
      <c r="AB66" s="29">
        <v>475</v>
      </c>
      <c r="AC66" s="30">
        <v>-58.232199999999999</v>
      </c>
      <c r="AD66" s="30">
        <v>0.23351258145363407</v>
      </c>
      <c r="AE66" s="29">
        <v>1</v>
      </c>
    </row>
    <row r="67" spans="2:31" x14ac:dyDescent="0.2">
      <c r="B67" s="27">
        <v>225</v>
      </c>
      <c r="C67" s="28" t="s">
        <v>469</v>
      </c>
      <c r="D67" s="28" t="s">
        <v>382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57.9512</v>
      </c>
      <c r="N67" s="30">
        <v>0.23238576441102757</v>
      </c>
      <c r="O67" s="29">
        <v>1</v>
      </c>
      <c r="R67" s="27">
        <v>225</v>
      </c>
      <c r="S67" s="28" t="s">
        <v>469</v>
      </c>
      <c r="T67" s="28" t="s">
        <v>382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36.959099999999999</v>
      </c>
      <c r="AD67" s="30">
        <v>0.14820691729323307</v>
      </c>
      <c r="AE67" s="29">
        <v>1</v>
      </c>
    </row>
    <row r="68" spans="2:31" x14ac:dyDescent="0.2">
      <c r="B68" s="27">
        <v>228</v>
      </c>
      <c r="C68" s="28" t="s">
        <v>471</v>
      </c>
      <c r="D68" s="28" t="s">
        <v>380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-37.845399999999998</v>
      </c>
      <c r="N68" s="30">
        <v>0.15176100250626567</v>
      </c>
      <c r="O68" s="29">
        <v>1</v>
      </c>
      <c r="R68" s="27">
        <v>228</v>
      </c>
      <c r="S68" s="28" t="s">
        <v>471</v>
      </c>
      <c r="T68" s="28" t="s">
        <v>380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-37.891500000000001</v>
      </c>
      <c r="AD68" s="30">
        <v>0.15194586466165413</v>
      </c>
      <c r="AE68" s="29">
        <v>1</v>
      </c>
    </row>
    <row r="69" spans="2:31" x14ac:dyDescent="0.2">
      <c r="B69" s="27">
        <v>228</v>
      </c>
      <c r="C69" s="28" t="s">
        <v>472</v>
      </c>
      <c r="D69" s="28" t="s">
        <v>382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-2.8199999999999999E-2</v>
      </c>
      <c r="J69" s="28">
        <v>-3.7600000000000001E-2</v>
      </c>
      <c r="K69" s="29">
        <v>300</v>
      </c>
      <c r="L69" s="29">
        <v>475</v>
      </c>
      <c r="M69" s="30">
        <v>57.9512</v>
      </c>
      <c r="N69" s="30">
        <v>0.23238576441102757</v>
      </c>
      <c r="O69" s="29">
        <v>1</v>
      </c>
      <c r="R69" s="27">
        <v>228</v>
      </c>
      <c r="S69" s="28" t="s">
        <v>472</v>
      </c>
      <c r="T69" s="28" t="s">
        <v>382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-2.8199999999999999E-2</v>
      </c>
      <c r="Z69" s="28">
        <v>-3.7600000000000001E-2</v>
      </c>
      <c r="AA69" s="29">
        <v>300</v>
      </c>
      <c r="AB69" s="29">
        <v>475</v>
      </c>
      <c r="AC69" s="30">
        <v>36.959099999999999</v>
      </c>
      <c r="AD69" s="30">
        <v>0.14820691729323307</v>
      </c>
      <c r="AE69" s="29">
        <v>1</v>
      </c>
    </row>
    <row r="70" spans="2:31" x14ac:dyDescent="0.2">
      <c r="B70" s="27">
        <v>244</v>
      </c>
      <c r="C70" s="28" t="s">
        <v>474</v>
      </c>
      <c r="D70" s="28" t="s">
        <v>380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-29.2441</v>
      </c>
      <c r="N70" s="30">
        <v>0.11726957393483708</v>
      </c>
      <c r="O70" s="29">
        <v>1</v>
      </c>
      <c r="R70" s="27">
        <v>244</v>
      </c>
      <c r="S70" s="28" t="s">
        <v>474</v>
      </c>
      <c r="T70" s="28" t="s">
        <v>380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-29.232800000000001</v>
      </c>
      <c r="AD70" s="30">
        <v>0.11722426065162907</v>
      </c>
      <c r="AE70" s="29">
        <v>1</v>
      </c>
    </row>
    <row r="71" spans="2:31" x14ac:dyDescent="0.2">
      <c r="B71" s="27">
        <v>244</v>
      </c>
      <c r="C71" s="28" t="s">
        <v>475</v>
      </c>
      <c r="D71" s="28" t="s">
        <v>382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57.9512</v>
      </c>
      <c r="N71" s="30">
        <v>0.23238576441102757</v>
      </c>
      <c r="O71" s="29">
        <v>1</v>
      </c>
      <c r="R71" s="27">
        <v>244</v>
      </c>
      <c r="S71" s="28" t="s">
        <v>475</v>
      </c>
      <c r="T71" s="28" t="s">
        <v>382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36.959099999999999</v>
      </c>
      <c r="AD71" s="30">
        <v>0.14820691729323307</v>
      </c>
      <c r="AE71" s="29">
        <v>1</v>
      </c>
    </row>
    <row r="72" spans="2:31" x14ac:dyDescent="0.2">
      <c r="B72" s="27">
        <v>245</v>
      </c>
      <c r="C72" s="28" t="s">
        <v>477</v>
      </c>
      <c r="D72" s="28" t="s">
        <v>380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-32.8215</v>
      </c>
      <c r="N72" s="30">
        <v>0.13161503759398496</v>
      </c>
      <c r="O72" s="29">
        <v>1</v>
      </c>
      <c r="R72" s="27">
        <v>245</v>
      </c>
      <c r="S72" s="28" t="s">
        <v>477</v>
      </c>
      <c r="T72" s="28" t="s">
        <v>380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-32.807200000000002</v>
      </c>
      <c r="AD72" s="30">
        <v>0.131557694235589</v>
      </c>
      <c r="AE72" s="29">
        <v>1</v>
      </c>
    </row>
    <row r="73" spans="2:31" x14ac:dyDescent="0.2">
      <c r="B73" s="27">
        <v>245</v>
      </c>
      <c r="C73" s="28" t="s">
        <v>478</v>
      </c>
      <c r="D73" s="28" t="s">
        <v>382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57.9512</v>
      </c>
      <c r="N73" s="30">
        <v>0.23238576441102757</v>
      </c>
      <c r="O73" s="29">
        <v>1</v>
      </c>
      <c r="R73" s="27">
        <v>245</v>
      </c>
      <c r="S73" s="28" t="s">
        <v>478</v>
      </c>
      <c r="T73" s="28" t="s">
        <v>382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36.959099999999999</v>
      </c>
      <c r="AD73" s="30">
        <v>0.14820691729323307</v>
      </c>
      <c r="AE73" s="29">
        <v>1</v>
      </c>
    </row>
    <row r="74" spans="2:31" x14ac:dyDescent="0.2">
      <c r="B74" s="27">
        <v>246</v>
      </c>
      <c r="C74" s="28" t="s">
        <v>479</v>
      </c>
      <c r="D74" s="28" t="s">
        <v>380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-31.8706</v>
      </c>
      <c r="N74" s="30">
        <v>0.12780190476190476</v>
      </c>
      <c r="O74" s="29">
        <v>1</v>
      </c>
      <c r="R74" s="27">
        <v>246</v>
      </c>
      <c r="S74" s="28" t="s">
        <v>479</v>
      </c>
      <c r="T74" s="28" t="s">
        <v>380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-31.8565</v>
      </c>
      <c r="AD74" s="30">
        <v>0.1277453634085213</v>
      </c>
      <c r="AE74" s="29">
        <v>1</v>
      </c>
    </row>
    <row r="75" spans="2:31" x14ac:dyDescent="0.2">
      <c r="B75" s="27">
        <v>246</v>
      </c>
      <c r="C75" s="28" t="s">
        <v>480</v>
      </c>
      <c r="D75" s="28" t="s">
        <v>382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57.9512</v>
      </c>
      <c r="N75" s="30">
        <v>0.23238576441102757</v>
      </c>
      <c r="O75" s="29">
        <v>1</v>
      </c>
      <c r="R75" s="27">
        <v>246</v>
      </c>
      <c r="S75" s="28" t="s">
        <v>480</v>
      </c>
      <c r="T75" s="28" t="s">
        <v>382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36.959099999999999</v>
      </c>
      <c r="AD75" s="30">
        <v>0.14820691729323307</v>
      </c>
      <c r="AE75" s="29">
        <v>1</v>
      </c>
    </row>
    <row r="76" spans="2:31" x14ac:dyDescent="0.2">
      <c r="B76" s="27">
        <v>247</v>
      </c>
      <c r="C76" s="28" t="s">
        <v>481</v>
      </c>
      <c r="D76" s="28" t="s">
        <v>380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-31.2896</v>
      </c>
      <c r="N76" s="30">
        <v>0.12547208020050124</v>
      </c>
      <c r="O76" s="29">
        <v>1</v>
      </c>
      <c r="R76" s="27">
        <v>247</v>
      </c>
      <c r="S76" s="28" t="s">
        <v>481</v>
      </c>
      <c r="T76" s="28" t="s">
        <v>380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-31.276399999999999</v>
      </c>
      <c r="AD76" s="30">
        <v>0.12541914786967417</v>
      </c>
      <c r="AE76" s="29">
        <v>1</v>
      </c>
    </row>
    <row r="77" spans="2:31" x14ac:dyDescent="0.2">
      <c r="B77" s="27">
        <v>247</v>
      </c>
      <c r="C77" s="28" t="s">
        <v>482</v>
      </c>
      <c r="D77" s="28" t="s">
        <v>382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57.9512</v>
      </c>
      <c r="N77" s="30">
        <v>0.23238576441102757</v>
      </c>
      <c r="O77" s="29">
        <v>1</v>
      </c>
      <c r="R77" s="27">
        <v>247</v>
      </c>
      <c r="S77" s="28" t="s">
        <v>482</v>
      </c>
      <c r="T77" s="28" t="s">
        <v>382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36.959099999999999</v>
      </c>
      <c r="AD77" s="30">
        <v>0.14820691729323307</v>
      </c>
      <c r="AE77" s="29">
        <v>1</v>
      </c>
    </row>
    <row r="78" spans="2:31" x14ac:dyDescent="0.2">
      <c r="B78" s="27">
        <v>248</v>
      </c>
      <c r="C78" s="28" t="s">
        <v>484</v>
      </c>
      <c r="D78" s="28" t="s">
        <v>380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-34.471600000000002</v>
      </c>
      <c r="N78" s="30">
        <v>0.13823197994987471</v>
      </c>
      <c r="O78" s="29">
        <v>1</v>
      </c>
      <c r="R78" s="27">
        <v>248</v>
      </c>
      <c r="S78" s="28" t="s">
        <v>484</v>
      </c>
      <c r="T78" s="28" t="s">
        <v>380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-34.457500000000003</v>
      </c>
      <c r="AD78" s="30">
        <v>0.13817543859649123</v>
      </c>
      <c r="AE78" s="29">
        <v>1</v>
      </c>
    </row>
    <row r="79" spans="2:31" x14ac:dyDescent="0.2">
      <c r="B79" s="27">
        <v>248</v>
      </c>
      <c r="C79" s="28" t="s">
        <v>485</v>
      </c>
      <c r="D79" s="28" t="s">
        <v>382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57.9512</v>
      </c>
      <c r="N79" s="30">
        <v>0.23238576441102757</v>
      </c>
      <c r="O79" s="29">
        <v>1</v>
      </c>
      <c r="R79" s="27">
        <v>248</v>
      </c>
      <c r="S79" s="28" t="s">
        <v>485</v>
      </c>
      <c r="T79" s="28" t="s">
        <v>382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36.959099999999999</v>
      </c>
      <c r="AD79" s="30">
        <v>0.14820691729323307</v>
      </c>
      <c r="AE79" s="29">
        <v>1</v>
      </c>
    </row>
    <row r="80" spans="2:31" x14ac:dyDescent="0.2">
      <c r="B80" s="27">
        <v>291</v>
      </c>
      <c r="C80" s="28" t="s">
        <v>487</v>
      </c>
      <c r="D80" s="28" t="s">
        <v>380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-2.7799999999999998E-2</v>
      </c>
      <c r="J80" s="28">
        <v>-3.6999999999999998E-2</v>
      </c>
      <c r="K80" s="29">
        <v>300</v>
      </c>
      <c r="L80" s="29">
        <v>475</v>
      </c>
      <c r="M80" s="30">
        <v>-45.8245</v>
      </c>
      <c r="N80" s="30">
        <v>0.18375739348370929</v>
      </c>
      <c r="O80" s="29">
        <v>1</v>
      </c>
      <c r="R80" s="27">
        <v>291</v>
      </c>
      <c r="S80" s="28" t="s">
        <v>487</v>
      </c>
      <c r="T80" s="28" t="s">
        <v>380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-2.7799999999999998E-2</v>
      </c>
      <c r="Z80" s="28">
        <v>-3.6999999999999998E-2</v>
      </c>
      <c r="AA80" s="29">
        <v>300</v>
      </c>
      <c r="AB80" s="29">
        <v>475</v>
      </c>
      <c r="AC80" s="30">
        <v>-45.816200000000002</v>
      </c>
      <c r="AD80" s="30">
        <v>0.18372411027568925</v>
      </c>
      <c r="AE80" s="29">
        <v>1</v>
      </c>
    </row>
    <row r="81" spans="2:31" x14ac:dyDescent="0.2">
      <c r="B81" s="27">
        <v>291</v>
      </c>
      <c r="C81" s="28" t="s">
        <v>488</v>
      </c>
      <c r="D81" s="28" t="s">
        <v>382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57.9512</v>
      </c>
      <c r="N81" s="30">
        <v>0.23238576441102757</v>
      </c>
      <c r="O81" s="29">
        <v>1</v>
      </c>
      <c r="R81" s="27">
        <v>291</v>
      </c>
      <c r="S81" s="28" t="s">
        <v>488</v>
      </c>
      <c r="T81" s="28" t="s">
        <v>382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36.959099999999999</v>
      </c>
      <c r="AD81" s="30">
        <v>0.14820691729323307</v>
      </c>
      <c r="AE81" s="29">
        <v>1</v>
      </c>
    </row>
    <row r="82" spans="2:31" x14ac:dyDescent="0.2">
      <c r="B82" s="27">
        <v>292</v>
      </c>
      <c r="C82" s="28" t="s">
        <v>490</v>
      </c>
      <c r="D82" s="28" t="s">
        <v>380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-50.206299999999999</v>
      </c>
      <c r="N82" s="30">
        <v>0.20132852130325812</v>
      </c>
      <c r="O82" s="29">
        <v>1</v>
      </c>
      <c r="R82" s="27">
        <v>292</v>
      </c>
      <c r="S82" s="28" t="s">
        <v>490</v>
      </c>
      <c r="T82" s="28" t="s">
        <v>380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-50.197899999999997</v>
      </c>
      <c r="AD82" s="30">
        <v>0.2012948370927318</v>
      </c>
      <c r="AE82" s="29">
        <v>1</v>
      </c>
    </row>
    <row r="83" spans="2:31" x14ac:dyDescent="0.2">
      <c r="B83" s="27">
        <v>292</v>
      </c>
      <c r="C83" s="28" t="s">
        <v>491</v>
      </c>
      <c r="D83" s="28" t="s">
        <v>382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57.9512</v>
      </c>
      <c r="N83" s="30">
        <v>0.23238576441102757</v>
      </c>
      <c r="O83" s="29">
        <v>1</v>
      </c>
      <c r="R83" s="27">
        <v>292</v>
      </c>
      <c r="S83" s="28" t="s">
        <v>491</v>
      </c>
      <c r="T83" s="28" t="s">
        <v>382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36.959099999999999</v>
      </c>
      <c r="AD83" s="30">
        <v>0.14820691729323307</v>
      </c>
      <c r="AE83" s="29">
        <v>1</v>
      </c>
    </row>
    <row r="84" spans="2:31" x14ac:dyDescent="0.2">
      <c r="B84" s="27">
        <v>293</v>
      </c>
      <c r="C84" s="28" t="s">
        <v>492</v>
      </c>
      <c r="D84" s="28" t="s">
        <v>380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-47.7605</v>
      </c>
      <c r="N84" s="30">
        <v>0.19152080200501254</v>
      </c>
      <c r="O84" s="29">
        <v>1</v>
      </c>
      <c r="R84" s="27">
        <v>293</v>
      </c>
      <c r="S84" s="28" t="s">
        <v>492</v>
      </c>
      <c r="T84" s="28" t="s">
        <v>380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-47.752000000000002</v>
      </c>
      <c r="AD84" s="30">
        <v>0.19148671679197996</v>
      </c>
      <c r="AE84" s="29">
        <v>1</v>
      </c>
    </row>
    <row r="85" spans="2:31" x14ac:dyDescent="0.2">
      <c r="B85" s="27">
        <v>293</v>
      </c>
      <c r="C85" s="28" t="s">
        <v>493</v>
      </c>
      <c r="D85" s="28" t="s">
        <v>382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57.9512</v>
      </c>
      <c r="N85" s="30">
        <v>0.23238576441102757</v>
      </c>
      <c r="O85" s="29">
        <v>1</v>
      </c>
      <c r="R85" s="27">
        <v>293</v>
      </c>
      <c r="S85" s="28" t="s">
        <v>493</v>
      </c>
      <c r="T85" s="28" t="s">
        <v>382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36.959099999999999</v>
      </c>
      <c r="AD85" s="30">
        <v>0.14820691729323307</v>
      </c>
      <c r="AE85" s="29">
        <v>1</v>
      </c>
    </row>
    <row r="86" spans="2:31" x14ac:dyDescent="0.2">
      <c r="B86" s="27">
        <v>294</v>
      </c>
      <c r="C86" s="28" t="s">
        <v>494</v>
      </c>
      <c r="D86" s="28" t="s">
        <v>380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-47.135899999999999</v>
      </c>
      <c r="N86" s="30">
        <v>0.18901614035087719</v>
      </c>
      <c r="O86" s="29">
        <v>1</v>
      </c>
      <c r="R86" s="27">
        <v>294</v>
      </c>
      <c r="S86" s="28" t="s">
        <v>494</v>
      </c>
      <c r="T86" s="28" t="s">
        <v>380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-47.127899999999997</v>
      </c>
      <c r="AD86" s="30">
        <v>0.18898406015037592</v>
      </c>
      <c r="AE86" s="29">
        <v>1</v>
      </c>
    </row>
    <row r="87" spans="2:31" x14ac:dyDescent="0.2">
      <c r="B87" s="27">
        <v>294</v>
      </c>
      <c r="C87" s="28" t="s">
        <v>495</v>
      </c>
      <c r="D87" s="28" t="s">
        <v>382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57.9512</v>
      </c>
      <c r="N87" s="30">
        <v>0.23238576441102757</v>
      </c>
      <c r="O87" s="29">
        <v>1</v>
      </c>
      <c r="R87" s="27">
        <v>294</v>
      </c>
      <c r="S87" s="28" t="s">
        <v>495</v>
      </c>
      <c r="T87" s="28" t="s">
        <v>382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36.959099999999999</v>
      </c>
      <c r="AD87" s="30">
        <v>0.14820691729323307</v>
      </c>
      <c r="AE87" s="29">
        <v>1</v>
      </c>
    </row>
    <row r="88" spans="2:31" x14ac:dyDescent="0.2">
      <c r="B88" s="27">
        <v>295</v>
      </c>
      <c r="C88" s="28" t="s">
        <v>497</v>
      </c>
      <c r="D88" s="28" t="s">
        <v>380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-51.2239</v>
      </c>
      <c r="N88" s="30">
        <v>0.20540912280701756</v>
      </c>
      <c r="O88" s="29">
        <v>1</v>
      </c>
      <c r="R88" s="27">
        <v>295</v>
      </c>
      <c r="S88" s="28" t="s">
        <v>497</v>
      </c>
      <c r="T88" s="28" t="s">
        <v>380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-51.2181</v>
      </c>
      <c r="AD88" s="30">
        <v>0.20538586466165412</v>
      </c>
      <c r="AE88" s="29">
        <v>1</v>
      </c>
    </row>
    <row r="89" spans="2:31" x14ac:dyDescent="0.2">
      <c r="B89" s="27">
        <v>295</v>
      </c>
      <c r="C89" s="28" t="s">
        <v>498</v>
      </c>
      <c r="D89" s="28" t="s">
        <v>382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-2.7799999999999998E-2</v>
      </c>
      <c r="J89" s="28">
        <v>-3.6999999999999998E-2</v>
      </c>
      <c r="K89" s="29">
        <v>300</v>
      </c>
      <c r="L89" s="29">
        <v>475</v>
      </c>
      <c r="M89" s="30">
        <v>57.9512</v>
      </c>
      <c r="N89" s="30">
        <v>0.23238576441102757</v>
      </c>
      <c r="O89" s="29">
        <v>1</v>
      </c>
      <c r="R89" s="27">
        <v>295</v>
      </c>
      <c r="S89" s="28" t="s">
        <v>498</v>
      </c>
      <c r="T89" s="28" t="s">
        <v>382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-2.7799999999999998E-2</v>
      </c>
      <c r="Z89" s="28">
        <v>-3.6999999999999998E-2</v>
      </c>
      <c r="AA89" s="29">
        <v>300</v>
      </c>
      <c r="AB89" s="29">
        <v>475</v>
      </c>
      <c r="AC89" s="30">
        <v>36.959099999999999</v>
      </c>
      <c r="AD89" s="30">
        <v>0.14820691729323307</v>
      </c>
      <c r="AE89" s="29">
        <v>1</v>
      </c>
    </row>
    <row r="90" spans="2:31" x14ac:dyDescent="0.2">
      <c r="B90" s="27">
        <v>273</v>
      </c>
      <c r="C90" s="28" t="s">
        <v>500</v>
      </c>
      <c r="D90" s="28" t="s">
        <v>380</v>
      </c>
      <c r="E90" s="28">
        <v>1E-4</v>
      </c>
      <c r="F90" s="28">
        <v>2.8400000000000002E-2</v>
      </c>
      <c r="G90" s="28">
        <v>3.7900000000000003E-2</v>
      </c>
      <c r="H90" s="28">
        <v>-1E-4</v>
      </c>
      <c r="I90" s="28">
        <v>-2.8400000000000002E-2</v>
      </c>
      <c r="J90" s="28">
        <v>-3.7900000000000003E-2</v>
      </c>
      <c r="K90" s="29">
        <v>300</v>
      </c>
      <c r="L90" s="29">
        <v>475</v>
      </c>
      <c r="M90" s="30">
        <v>-57.203899999999997</v>
      </c>
      <c r="N90" s="30">
        <v>0.22938907268170425</v>
      </c>
      <c r="O90" s="29">
        <v>1</v>
      </c>
      <c r="R90" s="27">
        <v>273</v>
      </c>
      <c r="S90" s="28" t="s">
        <v>500</v>
      </c>
      <c r="T90" s="28" t="s">
        <v>380</v>
      </c>
      <c r="U90" s="28">
        <v>1E-4</v>
      </c>
      <c r="V90" s="28">
        <v>2.8400000000000002E-2</v>
      </c>
      <c r="W90" s="28">
        <v>3.7900000000000003E-2</v>
      </c>
      <c r="X90" s="28">
        <v>-1E-4</v>
      </c>
      <c r="Y90" s="28">
        <v>-2.8400000000000002E-2</v>
      </c>
      <c r="Z90" s="28">
        <v>-3.7900000000000003E-2</v>
      </c>
      <c r="AA90" s="29">
        <v>300</v>
      </c>
      <c r="AB90" s="29">
        <v>475</v>
      </c>
      <c r="AC90" s="30">
        <v>-57.265700000000002</v>
      </c>
      <c r="AD90" s="30">
        <v>0.22963689223057646</v>
      </c>
      <c r="AE90" s="29">
        <v>1</v>
      </c>
    </row>
    <row r="91" spans="2:31" x14ac:dyDescent="0.2">
      <c r="B91" s="27">
        <v>273</v>
      </c>
      <c r="C91" s="28" t="s">
        <v>501</v>
      </c>
      <c r="D91" s="28" t="s">
        <v>382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57.9512</v>
      </c>
      <c r="N91" s="30">
        <v>0.23238576441102757</v>
      </c>
      <c r="O91" s="29">
        <v>1</v>
      </c>
      <c r="R91" s="27">
        <v>273</v>
      </c>
      <c r="S91" s="28" t="s">
        <v>501</v>
      </c>
      <c r="T91" s="28" t="s">
        <v>382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36.959099999999999</v>
      </c>
      <c r="AD91" s="30">
        <v>0.14820691729323307</v>
      </c>
      <c r="AE91" s="29">
        <v>1</v>
      </c>
    </row>
    <row r="92" spans="2:31" x14ac:dyDescent="0.2">
      <c r="B92" s="27">
        <v>276</v>
      </c>
      <c r="C92" s="28" t="s">
        <v>503</v>
      </c>
      <c r="D92" s="28" t="s">
        <v>380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-70.690399999999997</v>
      </c>
      <c r="N92" s="30">
        <v>0.28347027568922306</v>
      </c>
      <c r="O92" s="29">
        <v>1</v>
      </c>
      <c r="R92" s="27">
        <v>276</v>
      </c>
      <c r="S92" s="28" t="s">
        <v>503</v>
      </c>
      <c r="T92" s="28" t="s">
        <v>380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-70.778800000000004</v>
      </c>
      <c r="AD92" s="30">
        <v>0.28382476190476191</v>
      </c>
      <c r="AE92" s="29">
        <v>1</v>
      </c>
    </row>
    <row r="93" spans="2:31" x14ac:dyDescent="0.2">
      <c r="B93" s="27">
        <v>276</v>
      </c>
      <c r="C93" s="28" t="s">
        <v>504</v>
      </c>
      <c r="D93" s="28" t="s">
        <v>382</v>
      </c>
      <c r="E93" s="28">
        <v>1E-4</v>
      </c>
      <c r="F93" s="28">
        <v>2.8500000000000001E-2</v>
      </c>
      <c r="G93" s="28">
        <v>3.7900000000000003E-2</v>
      </c>
      <c r="H93" s="28">
        <v>-1E-4</v>
      </c>
      <c r="I93" s="28">
        <v>-2.9000000000000001E-2</v>
      </c>
      <c r="J93" s="28">
        <v>-3.8600000000000002E-2</v>
      </c>
      <c r="K93" s="29">
        <v>300</v>
      </c>
      <c r="L93" s="29">
        <v>475</v>
      </c>
      <c r="M93" s="30">
        <v>57.9512</v>
      </c>
      <c r="N93" s="30">
        <v>0.23238576441102757</v>
      </c>
      <c r="O93" s="29">
        <v>1</v>
      </c>
      <c r="R93" s="27">
        <v>276</v>
      </c>
      <c r="S93" s="28" t="s">
        <v>504</v>
      </c>
      <c r="T93" s="28" t="s">
        <v>382</v>
      </c>
      <c r="U93" s="28">
        <v>1E-4</v>
      </c>
      <c r="V93" s="28">
        <v>2.8500000000000001E-2</v>
      </c>
      <c r="W93" s="28">
        <v>3.7900000000000003E-2</v>
      </c>
      <c r="X93" s="28">
        <v>-1E-4</v>
      </c>
      <c r="Y93" s="28">
        <v>-2.9000000000000001E-2</v>
      </c>
      <c r="Z93" s="28">
        <v>-3.8600000000000002E-2</v>
      </c>
      <c r="AA93" s="29">
        <v>300</v>
      </c>
      <c r="AB93" s="29">
        <v>475</v>
      </c>
      <c r="AC93" s="30">
        <v>36.959099999999999</v>
      </c>
      <c r="AD93" s="30">
        <v>0.14820691729323307</v>
      </c>
      <c r="AE93" s="29">
        <v>1</v>
      </c>
    </row>
    <row r="94" spans="2:31" x14ac:dyDescent="0.2">
      <c r="B94" s="27">
        <v>279</v>
      </c>
      <c r="C94" s="28" t="s">
        <v>506</v>
      </c>
      <c r="D94" s="28" t="s">
        <v>380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-70.676199999999994</v>
      </c>
      <c r="N94" s="30">
        <v>0.28341333333333329</v>
      </c>
      <c r="O94" s="29">
        <v>1</v>
      </c>
      <c r="R94" s="27">
        <v>279</v>
      </c>
      <c r="S94" s="28" t="s">
        <v>506</v>
      </c>
      <c r="T94" s="28" t="s">
        <v>380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-70.763300000000001</v>
      </c>
      <c r="AD94" s="30">
        <v>0.28376260651629076</v>
      </c>
      <c r="AE94" s="29">
        <v>1</v>
      </c>
    </row>
    <row r="95" spans="2:31" x14ac:dyDescent="0.2">
      <c r="B95" s="27">
        <v>279</v>
      </c>
      <c r="C95" s="28" t="s">
        <v>507</v>
      </c>
      <c r="D95" s="28" t="s">
        <v>382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57.9512</v>
      </c>
      <c r="N95" s="30">
        <v>0.23238576441102757</v>
      </c>
      <c r="O95" s="29">
        <v>1</v>
      </c>
      <c r="R95" s="27">
        <v>279</v>
      </c>
      <c r="S95" s="28" t="s">
        <v>507</v>
      </c>
      <c r="T95" s="28" t="s">
        <v>382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36.959099999999999</v>
      </c>
      <c r="AD95" s="30">
        <v>0.14820691729323307</v>
      </c>
      <c r="AE95" s="29">
        <v>1</v>
      </c>
    </row>
    <row r="96" spans="2:31" x14ac:dyDescent="0.2">
      <c r="B96" s="27">
        <v>282</v>
      </c>
      <c r="C96" s="28" t="s">
        <v>509</v>
      </c>
      <c r="D96" s="28" t="s">
        <v>380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-70.527699999999996</v>
      </c>
      <c r="N96" s="30">
        <v>0.28281784461152881</v>
      </c>
      <c r="O96" s="29">
        <v>1</v>
      </c>
      <c r="R96" s="27">
        <v>282</v>
      </c>
      <c r="S96" s="28" t="s">
        <v>509</v>
      </c>
      <c r="T96" s="28" t="s">
        <v>380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-70.615300000000005</v>
      </c>
      <c r="AD96" s="30">
        <v>0.28316912280701756</v>
      </c>
      <c r="AE96" s="29">
        <v>1</v>
      </c>
    </row>
    <row r="97" spans="2:31" x14ac:dyDescent="0.2">
      <c r="B97" s="27">
        <v>282</v>
      </c>
      <c r="C97" s="28" t="s">
        <v>510</v>
      </c>
      <c r="D97" s="28" t="s">
        <v>382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57.9512</v>
      </c>
      <c r="N97" s="30">
        <v>0.23238576441102757</v>
      </c>
      <c r="O97" s="29">
        <v>1</v>
      </c>
      <c r="R97" s="27">
        <v>282</v>
      </c>
      <c r="S97" s="28" t="s">
        <v>510</v>
      </c>
      <c r="T97" s="28" t="s">
        <v>382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36.959099999999999</v>
      </c>
      <c r="AD97" s="30">
        <v>0.14820691729323307</v>
      </c>
      <c r="AE97" s="29">
        <v>1</v>
      </c>
    </row>
    <row r="98" spans="2:31" x14ac:dyDescent="0.2">
      <c r="B98" s="27">
        <v>285</v>
      </c>
      <c r="C98" s="28" t="s">
        <v>512</v>
      </c>
      <c r="D98" s="28" t="s">
        <v>380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-71.537899999999993</v>
      </c>
      <c r="N98" s="30">
        <v>0.28686877192982452</v>
      </c>
      <c r="O98" s="29">
        <v>1</v>
      </c>
      <c r="R98" s="27">
        <v>285</v>
      </c>
      <c r="S98" s="28" t="s">
        <v>512</v>
      </c>
      <c r="T98" s="28" t="s">
        <v>380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-71.627899999999997</v>
      </c>
      <c r="AD98" s="30">
        <v>0.28722967418546363</v>
      </c>
      <c r="AE98" s="29">
        <v>1</v>
      </c>
    </row>
    <row r="99" spans="2:31" x14ac:dyDescent="0.2">
      <c r="B99" s="27">
        <v>285</v>
      </c>
      <c r="C99" s="28" t="s">
        <v>513</v>
      </c>
      <c r="D99" s="28" t="s">
        <v>382</v>
      </c>
      <c r="E99" s="28">
        <v>1E-4</v>
      </c>
      <c r="F99" s="28">
        <v>2.8500000000000001E-2</v>
      </c>
      <c r="G99" s="28">
        <v>3.7900000000000003E-2</v>
      </c>
      <c r="H99" s="28">
        <v>-1E-4</v>
      </c>
      <c r="I99" s="28">
        <v>-2.9000000000000001E-2</v>
      </c>
      <c r="J99" s="28">
        <v>-3.8600000000000002E-2</v>
      </c>
      <c r="K99" s="29">
        <v>300</v>
      </c>
      <c r="L99" s="29">
        <v>475</v>
      </c>
      <c r="M99" s="30">
        <v>57.9512</v>
      </c>
      <c r="N99" s="30">
        <v>0.23238576441102757</v>
      </c>
      <c r="O99" s="29">
        <v>1</v>
      </c>
      <c r="R99" s="27">
        <v>285</v>
      </c>
      <c r="S99" s="28" t="s">
        <v>513</v>
      </c>
      <c r="T99" s="28" t="s">
        <v>382</v>
      </c>
      <c r="U99" s="28">
        <v>1E-4</v>
      </c>
      <c r="V99" s="28">
        <v>2.8500000000000001E-2</v>
      </c>
      <c r="W99" s="28">
        <v>3.7900000000000003E-2</v>
      </c>
      <c r="X99" s="28">
        <v>-1E-4</v>
      </c>
      <c r="Y99" s="28">
        <v>-2.9000000000000001E-2</v>
      </c>
      <c r="Z99" s="28">
        <v>-3.8600000000000002E-2</v>
      </c>
      <c r="AA99" s="29">
        <v>300</v>
      </c>
      <c r="AB99" s="29">
        <v>475</v>
      </c>
      <c r="AC99" s="30">
        <v>36.959099999999999</v>
      </c>
      <c r="AD99" s="30">
        <v>0.14820691729323307</v>
      </c>
      <c r="AE99" s="29">
        <v>1</v>
      </c>
    </row>
    <row r="100" spans="2:31" x14ac:dyDescent="0.2">
      <c r="B100" s="27">
        <v>288</v>
      </c>
      <c r="C100" s="28" t="s">
        <v>515</v>
      </c>
      <c r="D100" s="28" t="s">
        <v>380</v>
      </c>
      <c r="E100" s="28">
        <v>1E-4</v>
      </c>
      <c r="F100" s="28">
        <v>2.8400000000000002E-2</v>
      </c>
      <c r="G100" s="28">
        <v>3.7900000000000003E-2</v>
      </c>
      <c r="H100" s="28">
        <v>-1E-4</v>
      </c>
      <c r="I100" s="28">
        <v>-2.8400000000000002E-2</v>
      </c>
      <c r="J100" s="28">
        <v>-3.7900000000000003E-2</v>
      </c>
      <c r="K100" s="29">
        <v>300</v>
      </c>
      <c r="L100" s="29">
        <v>475</v>
      </c>
      <c r="M100" s="30">
        <v>-55.144799999999996</v>
      </c>
      <c r="N100" s="30">
        <v>0.22113203007518795</v>
      </c>
      <c r="O100" s="29">
        <v>1</v>
      </c>
      <c r="R100" s="27">
        <v>288</v>
      </c>
      <c r="S100" s="28" t="s">
        <v>515</v>
      </c>
      <c r="T100" s="28" t="s">
        <v>380</v>
      </c>
      <c r="U100" s="28">
        <v>1E-4</v>
      </c>
      <c r="V100" s="28">
        <v>2.8400000000000002E-2</v>
      </c>
      <c r="W100" s="28">
        <v>3.7900000000000003E-2</v>
      </c>
      <c r="X100" s="28">
        <v>-1E-4</v>
      </c>
      <c r="Y100" s="28">
        <v>-2.8400000000000002E-2</v>
      </c>
      <c r="Z100" s="28">
        <v>-3.7900000000000003E-2</v>
      </c>
      <c r="AA100" s="29">
        <v>300</v>
      </c>
      <c r="AB100" s="29">
        <v>475</v>
      </c>
      <c r="AC100" s="30">
        <v>-55.2119</v>
      </c>
      <c r="AD100" s="30">
        <v>0.22140110275689223</v>
      </c>
      <c r="AE100" s="29">
        <v>1</v>
      </c>
    </row>
    <row r="101" spans="2:31" x14ac:dyDescent="0.2">
      <c r="B101" s="27">
        <v>288</v>
      </c>
      <c r="C101" s="28" t="s">
        <v>516</v>
      </c>
      <c r="D101" s="28" t="s">
        <v>382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57.9512</v>
      </c>
      <c r="N101" s="30">
        <v>0.23238576441102757</v>
      </c>
      <c r="O101" s="29">
        <v>1</v>
      </c>
      <c r="R101" s="27">
        <v>288</v>
      </c>
      <c r="S101" s="28" t="s">
        <v>516</v>
      </c>
      <c r="T101" s="28" t="s">
        <v>382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36.959099999999999</v>
      </c>
      <c r="AD101" s="30">
        <v>0.14820691729323307</v>
      </c>
      <c r="AE101" s="29">
        <v>1</v>
      </c>
    </row>
    <row r="102" spans="2:31" x14ac:dyDescent="0.2">
      <c r="B102" s="27">
        <v>296</v>
      </c>
      <c r="C102" s="28" t="s">
        <v>518</v>
      </c>
      <c r="D102" s="28" t="s">
        <v>380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-59.365699999999997</v>
      </c>
      <c r="N102" s="30">
        <v>0.23805794486215537</v>
      </c>
      <c r="O102" s="29">
        <v>1</v>
      </c>
      <c r="R102" s="27">
        <v>296</v>
      </c>
      <c r="S102" s="28" t="s">
        <v>518</v>
      </c>
      <c r="T102" s="28" t="s">
        <v>380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-59.349600000000002</v>
      </c>
      <c r="AD102" s="30">
        <v>0.23799338345864665</v>
      </c>
      <c r="AE102" s="29">
        <v>1</v>
      </c>
    </row>
    <row r="103" spans="2:31" x14ac:dyDescent="0.2">
      <c r="B103" s="27">
        <v>296</v>
      </c>
      <c r="C103" s="28" t="s">
        <v>519</v>
      </c>
      <c r="D103" s="28" t="s">
        <v>382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57.9512</v>
      </c>
      <c r="N103" s="30">
        <v>0.23238576441102757</v>
      </c>
      <c r="O103" s="29">
        <v>1</v>
      </c>
      <c r="R103" s="27">
        <v>296</v>
      </c>
      <c r="S103" s="28" t="s">
        <v>519</v>
      </c>
      <c r="T103" s="28" t="s">
        <v>382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36.959099999999999</v>
      </c>
      <c r="AD103" s="30">
        <v>0.14820691729323307</v>
      </c>
      <c r="AE103" s="29">
        <v>1</v>
      </c>
    </row>
    <row r="104" spans="2:31" x14ac:dyDescent="0.2">
      <c r="B104" s="27">
        <v>297</v>
      </c>
      <c r="C104" s="28" t="s">
        <v>521</v>
      </c>
      <c r="D104" s="28" t="s">
        <v>380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-55.837699999999998</v>
      </c>
      <c r="N104" s="30">
        <v>0.22391057644110274</v>
      </c>
      <c r="O104" s="29">
        <v>1</v>
      </c>
      <c r="R104" s="27">
        <v>297</v>
      </c>
      <c r="S104" s="28" t="s">
        <v>521</v>
      </c>
      <c r="T104" s="28" t="s">
        <v>380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-55.822499999999998</v>
      </c>
      <c r="AD104" s="30">
        <v>0.22384962406015038</v>
      </c>
      <c r="AE104" s="29">
        <v>1</v>
      </c>
    </row>
    <row r="105" spans="2:31" x14ac:dyDescent="0.2">
      <c r="B105" s="27">
        <v>297</v>
      </c>
      <c r="C105" s="28" t="s">
        <v>522</v>
      </c>
      <c r="D105" s="28" t="s">
        <v>382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57.9512</v>
      </c>
      <c r="N105" s="30">
        <v>0.23238576441102757</v>
      </c>
      <c r="O105" s="29">
        <v>1</v>
      </c>
      <c r="R105" s="27">
        <v>297</v>
      </c>
      <c r="S105" s="28" t="s">
        <v>522</v>
      </c>
      <c r="T105" s="28" t="s">
        <v>382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36.959099999999999</v>
      </c>
      <c r="AD105" s="30">
        <v>0.14820691729323307</v>
      </c>
      <c r="AE105" s="29">
        <v>1</v>
      </c>
    </row>
    <row r="106" spans="2:31" x14ac:dyDescent="0.2">
      <c r="B106" s="27">
        <v>298</v>
      </c>
      <c r="C106" s="28" t="s">
        <v>523</v>
      </c>
      <c r="D106" s="28" t="s">
        <v>380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-59.201099999999997</v>
      </c>
      <c r="N106" s="30">
        <v>0.23739789473684211</v>
      </c>
      <c r="O106" s="29">
        <v>1</v>
      </c>
      <c r="R106" s="27">
        <v>298</v>
      </c>
      <c r="S106" s="28" t="s">
        <v>523</v>
      </c>
      <c r="T106" s="28" t="s">
        <v>380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-59.186799999999998</v>
      </c>
      <c r="AD106" s="30">
        <v>0.23734055137844609</v>
      </c>
      <c r="AE106" s="29">
        <v>1</v>
      </c>
    </row>
    <row r="107" spans="2:31" x14ac:dyDescent="0.2">
      <c r="B107" s="27">
        <v>298</v>
      </c>
      <c r="C107" s="28" t="s">
        <v>524</v>
      </c>
      <c r="D107" s="28" t="s">
        <v>382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57.9512</v>
      </c>
      <c r="N107" s="30">
        <v>0.23238576441102757</v>
      </c>
      <c r="O107" s="29">
        <v>1</v>
      </c>
      <c r="R107" s="27">
        <v>298</v>
      </c>
      <c r="S107" s="28" t="s">
        <v>524</v>
      </c>
      <c r="T107" s="28" t="s">
        <v>382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36.959099999999999</v>
      </c>
      <c r="AD107" s="30">
        <v>0.14820691729323307</v>
      </c>
      <c r="AE107" s="29">
        <v>1</v>
      </c>
    </row>
    <row r="108" spans="2:31" x14ac:dyDescent="0.2">
      <c r="B108" s="27">
        <v>299</v>
      </c>
      <c r="C108" s="28" t="s">
        <v>525</v>
      </c>
      <c r="D108" s="28" t="s">
        <v>380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-59.050899999999999</v>
      </c>
      <c r="N108" s="30">
        <v>0.23679558897243108</v>
      </c>
      <c r="O108" s="29">
        <v>1</v>
      </c>
      <c r="R108" s="27">
        <v>299</v>
      </c>
      <c r="S108" s="28" t="s">
        <v>525</v>
      </c>
      <c r="T108" s="28" t="s">
        <v>380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-59.035600000000002</v>
      </c>
      <c r="AD108" s="30">
        <v>0.23673423558897244</v>
      </c>
      <c r="AE108" s="29">
        <v>1</v>
      </c>
    </row>
    <row r="109" spans="2:31" x14ac:dyDescent="0.2">
      <c r="B109" s="27">
        <v>299</v>
      </c>
      <c r="C109" s="28" t="s">
        <v>526</v>
      </c>
      <c r="D109" s="28" t="s">
        <v>382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57.9512</v>
      </c>
      <c r="N109" s="30">
        <v>0.23238576441102757</v>
      </c>
      <c r="O109" s="29">
        <v>1</v>
      </c>
      <c r="R109" s="27">
        <v>299</v>
      </c>
      <c r="S109" s="28" t="s">
        <v>526</v>
      </c>
      <c r="T109" s="28" t="s">
        <v>382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36.959099999999999</v>
      </c>
      <c r="AD109" s="30">
        <v>0.14820691729323307</v>
      </c>
      <c r="AE109" s="29">
        <v>1</v>
      </c>
    </row>
    <row r="110" spans="2:31" x14ac:dyDescent="0.2">
      <c r="B110" s="27">
        <v>300</v>
      </c>
      <c r="C110" s="28" t="s">
        <v>528</v>
      </c>
      <c r="D110" s="28" t="s">
        <v>380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-58.540599999999998</v>
      </c>
      <c r="N110" s="30">
        <v>0.23474927318295738</v>
      </c>
      <c r="O110" s="29">
        <v>1</v>
      </c>
      <c r="R110" s="27">
        <v>300</v>
      </c>
      <c r="S110" s="28" t="s">
        <v>528</v>
      </c>
      <c r="T110" s="28" t="s">
        <v>380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-58.524900000000002</v>
      </c>
      <c r="AD110" s="30">
        <v>0.23468631578947369</v>
      </c>
      <c r="AE110" s="29">
        <v>1</v>
      </c>
    </row>
    <row r="111" spans="2:31" x14ac:dyDescent="0.2">
      <c r="B111" s="27">
        <v>300</v>
      </c>
      <c r="C111" s="28" t="s">
        <v>529</v>
      </c>
      <c r="D111" s="28" t="s">
        <v>382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57.9512</v>
      </c>
      <c r="N111" s="30">
        <v>0.23238576441102757</v>
      </c>
      <c r="O111" s="29">
        <v>1</v>
      </c>
      <c r="R111" s="27">
        <v>300</v>
      </c>
      <c r="S111" s="28" t="s">
        <v>529</v>
      </c>
      <c r="T111" s="28" t="s">
        <v>382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36.959099999999999</v>
      </c>
      <c r="AD111" s="30">
        <v>0.14820691729323307</v>
      </c>
      <c r="AE111" s="29">
        <v>1</v>
      </c>
    </row>
    <row r="112" spans="2:31" x14ac:dyDescent="0.2">
      <c r="B112" s="27">
        <v>274</v>
      </c>
      <c r="C112" s="28" t="s">
        <v>531</v>
      </c>
      <c r="D112" s="28" t="s">
        <v>380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-57.187800000000003</v>
      </c>
      <c r="N112" s="30">
        <v>0.2293245112781955</v>
      </c>
      <c r="O112" s="29">
        <v>1</v>
      </c>
      <c r="R112" s="27">
        <v>274</v>
      </c>
      <c r="S112" s="28" t="s">
        <v>531</v>
      </c>
      <c r="T112" s="28" t="s">
        <v>380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-57.255899999999997</v>
      </c>
      <c r="AD112" s="30">
        <v>0.22959759398496238</v>
      </c>
      <c r="AE112" s="29">
        <v>1</v>
      </c>
    </row>
    <row r="113" spans="2:31" x14ac:dyDescent="0.2">
      <c r="B113" s="27">
        <v>274</v>
      </c>
      <c r="C113" s="28" t="s">
        <v>532</v>
      </c>
      <c r="D113" s="28" t="s">
        <v>382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57.9512</v>
      </c>
      <c r="N113" s="30">
        <v>0.23238576441102757</v>
      </c>
      <c r="O113" s="29">
        <v>1</v>
      </c>
      <c r="R113" s="27">
        <v>274</v>
      </c>
      <c r="S113" s="28" t="s">
        <v>532</v>
      </c>
      <c r="T113" s="28" t="s">
        <v>382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57.091999999999999</v>
      </c>
      <c r="AD113" s="30">
        <v>0.22894035087719297</v>
      </c>
      <c r="AE113" s="29">
        <v>1</v>
      </c>
    </row>
    <row r="114" spans="2:31" x14ac:dyDescent="0.2">
      <c r="B114" s="27">
        <v>277</v>
      </c>
      <c r="C114" s="28" t="s">
        <v>534</v>
      </c>
      <c r="D114" s="28" t="s">
        <v>380</v>
      </c>
      <c r="E114" s="28">
        <v>1E-4</v>
      </c>
      <c r="F114" s="28">
        <v>2.8500000000000001E-2</v>
      </c>
      <c r="G114" s="28">
        <v>3.7900000000000003E-2</v>
      </c>
      <c r="H114" s="28">
        <v>-1E-4</v>
      </c>
      <c r="I114" s="28">
        <v>-2.9000000000000001E-2</v>
      </c>
      <c r="J114" s="28">
        <v>-3.8600000000000002E-2</v>
      </c>
      <c r="K114" s="29">
        <v>300</v>
      </c>
      <c r="L114" s="29">
        <v>475</v>
      </c>
      <c r="M114" s="30">
        <v>-74.321899999999999</v>
      </c>
      <c r="N114" s="30">
        <v>0.29803268170426062</v>
      </c>
      <c r="O114" s="29">
        <v>1</v>
      </c>
      <c r="R114" s="27">
        <v>277</v>
      </c>
      <c r="S114" s="28" t="s">
        <v>534</v>
      </c>
      <c r="T114" s="28" t="s">
        <v>380</v>
      </c>
      <c r="U114" s="28">
        <v>1E-4</v>
      </c>
      <c r="V114" s="28">
        <v>2.8500000000000001E-2</v>
      </c>
      <c r="W114" s="28">
        <v>3.7900000000000003E-2</v>
      </c>
      <c r="X114" s="28">
        <v>-1E-4</v>
      </c>
      <c r="Y114" s="28">
        <v>-2.9000000000000001E-2</v>
      </c>
      <c r="Z114" s="28">
        <v>-3.8600000000000002E-2</v>
      </c>
      <c r="AA114" s="29">
        <v>300</v>
      </c>
      <c r="AB114" s="29">
        <v>475</v>
      </c>
      <c r="AC114" s="30">
        <v>-74.411500000000004</v>
      </c>
      <c r="AD114" s="30">
        <v>0.29839197994987471</v>
      </c>
      <c r="AE114" s="29">
        <v>1</v>
      </c>
    </row>
    <row r="115" spans="2:31" x14ac:dyDescent="0.2">
      <c r="B115" s="27">
        <v>277</v>
      </c>
      <c r="C115" s="28" t="s">
        <v>535</v>
      </c>
      <c r="D115" s="28" t="s">
        <v>382</v>
      </c>
      <c r="E115" s="28">
        <v>1E-4</v>
      </c>
      <c r="F115" s="28">
        <v>2.8500000000000001E-2</v>
      </c>
      <c r="G115" s="28">
        <v>3.7900000000000003E-2</v>
      </c>
      <c r="H115" s="28">
        <v>-1E-4</v>
      </c>
      <c r="I115" s="28">
        <v>-2.9000000000000001E-2</v>
      </c>
      <c r="J115" s="28">
        <v>-3.8600000000000002E-2</v>
      </c>
      <c r="K115" s="29">
        <v>300</v>
      </c>
      <c r="L115" s="29">
        <v>475</v>
      </c>
      <c r="M115" s="30">
        <v>74.302000000000007</v>
      </c>
      <c r="N115" s="30">
        <v>0.2979528822055138</v>
      </c>
      <c r="O115" s="29">
        <v>1</v>
      </c>
      <c r="R115" s="27">
        <v>277</v>
      </c>
      <c r="S115" s="28" t="s">
        <v>535</v>
      </c>
      <c r="T115" s="28" t="s">
        <v>382</v>
      </c>
      <c r="U115" s="28">
        <v>1E-4</v>
      </c>
      <c r="V115" s="28">
        <v>2.8500000000000001E-2</v>
      </c>
      <c r="W115" s="28">
        <v>3.7900000000000003E-2</v>
      </c>
      <c r="X115" s="28">
        <v>-1E-4</v>
      </c>
      <c r="Y115" s="28">
        <v>-2.9000000000000001E-2</v>
      </c>
      <c r="Z115" s="28">
        <v>-3.8600000000000002E-2</v>
      </c>
      <c r="AA115" s="29">
        <v>300</v>
      </c>
      <c r="AB115" s="29">
        <v>475</v>
      </c>
      <c r="AC115" s="30">
        <v>57.091999999999999</v>
      </c>
      <c r="AD115" s="30">
        <v>0.22894035087719297</v>
      </c>
      <c r="AE115" s="29">
        <v>1</v>
      </c>
    </row>
    <row r="116" spans="2:31" x14ac:dyDescent="0.2">
      <c r="B116" s="27">
        <v>280</v>
      </c>
      <c r="C116" s="28" t="s">
        <v>537</v>
      </c>
      <c r="D116" s="28" t="s">
        <v>380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-68.965199999999996</v>
      </c>
      <c r="N116" s="30">
        <v>0.27655218045112778</v>
      </c>
      <c r="O116" s="29">
        <v>1</v>
      </c>
      <c r="R116" s="27">
        <v>280</v>
      </c>
      <c r="S116" s="28" t="s">
        <v>537</v>
      </c>
      <c r="T116" s="28" t="s">
        <v>380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-69.052800000000005</v>
      </c>
      <c r="AD116" s="30">
        <v>0.27690345864661653</v>
      </c>
      <c r="AE116" s="29">
        <v>1</v>
      </c>
    </row>
    <row r="117" spans="2:31" x14ac:dyDescent="0.2">
      <c r="B117" s="27">
        <v>280</v>
      </c>
      <c r="C117" s="28" t="s">
        <v>538</v>
      </c>
      <c r="D117" s="28" t="s">
        <v>382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74.302000000000007</v>
      </c>
      <c r="N117" s="30">
        <v>0.2979528822055138</v>
      </c>
      <c r="O117" s="29">
        <v>1</v>
      </c>
      <c r="R117" s="27">
        <v>280</v>
      </c>
      <c r="S117" s="28" t="s">
        <v>538</v>
      </c>
      <c r="T117" s="28" t="s">
        <v>382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68.871300000000005</v>
      </c>
      <c r="AD117" s="30">
        <v>0.2761756390977444</v>
      </c>
      <c r="AE117" s="29">
        <v>1</v>
      </c>
    </row>
    <row r="118" spans="2:31" x14ac:dyDescent="0.2">
      <c r="B118" s="27">
        <v>283</v>
      </c>
      <c r="C118" s="28" t="s">
        <v>540</v>
      </c>
      <c r="D118" s="28" t="s">
        <v>380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-69.062100000000001</v>
      </c>
      <c r="N118" s="30">
        <v>0.2769407518796993</v>
      </c>
      <c r="O118" s="29">
        <v>1</v>
      </c>
      <c r="R118" s="27">
        <v>283</v>
      </c>
      <c r="S118" s="28" t="s">
        <v>540</v>
      </c>
      <c r="T118" s="28" t="s">
        <v>380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-69.149600000000007</v>
      </c>
      <c r="AD118" s="30">
        <v>0.27729162907268173</v>
      </c>
      <c r="AE118" s="29">
        <v>1</v>
      </c>
    </row>
    <row r="119" spans="2:31" x14ac:dyDescent="0.2">
      <c r="B119" s="27">
        <v>283</v>
      </c>
      <c r="C119" s="28" t="s">
        <v>541</v>
      </c>
      <c r="D119" s="28" t="s">
        <v>382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74.302000000000007</v>
      </c>
      <c r="N119" s="30">
        <v>0.2979528822055138</v>
      </c>
      <c r="O119" s="29">
        <v>1</v>
      </c>
      <c r="R119" s="27">
        <v>283</v>
      </c>
      <c r="S119" s="28" t="s">
        <v>541</v>
      </c>
      <c r="T119" s="28" t="s">
        <v>382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68.965400000000002</v>
      </c>
      <c r="AD119" s="30">
        <v>0.27655298245614041</v>
      </c>
      <c r="AE119" s="29">
        <v>1</v>
      </c>
    </row>
    <row r="120" spans="2:31" x14ac:dyDescent="0.2">
      <c r="B120" s="27">
        <v>286</v>
      </c>
      <c r="C120" s="28" t="s">
        <v>543</v>
      </c>
      <c r="D120" s="28" t="s">
        <v>380</v>
      </c>
      <c r="E120" s="28">
        <v>1E-4</v>
      </c>
      <c r="F120" s="28">
        <v>2.8500000000000001E-2</v>
      </c>
      <c r="G120" s="28">
        <v>3.7900000000000003E-2</v>
      </c>
      <c r="H120" s="28">
        <v>-1E-4</v>
      </c>
      <c r="I120" s="28">
        <v>-2.9000000000000001E-2</v>
      </c>
      <c r="J120" s="28">
        <v>-3.8600000000000002E-2</v>
      </c>
      <c r="K120" s="29">
        <v>300</v>
      </c>
      <c r="L120" s="29">
        <v>475</v>
      </c>
      <c r="M120" s="30">
        <v>-73.519400000000005</v>
      </c>
      <c r="N120" s="30">
        <v>0.29481463659147872</v>
      </c>
      <c r="O120" s="29">
        <v>1</v>
      </c>
      <c r="R120" s="27">
        <v>286</v>
      </c>
      <c r="S120" s="28" t="s">
        <v>543</v>
      </c>
      <c r="T120" s="28" t="s">
        <v>380</v>
      </c>
      <c r="U120" s="28">
        <v>1E-4</v>
      </c>
      <c r="V120" s="28">
        <v>2.8500000000000001E-2</v>
      </c>
      <c r="W120" s="28">
        <v>3.7900000000000003E-2</v>
      </c>
      <c r="X120" s="28">
        <v>-1E-4</v>
      </c>
      <c r="Y120" s="28">
        <v>-2.9000000000000001E-2</v>
      </c>
      <c r="Z120" s="28">
        <v>-3.8600000000000002E-2</v>
      </c>
      <c r="AA120" s="29">
        <v>300</v>
      </c>
      <c r="AB120" s="29">
        <v>475</v>
      </c>
      <c r="AC120" s="30">
        <v>-73.610200000000006</v>
      </c>
      <c r="AD120" s="30">
        <v>0.29517874686716794</v>
      </c>
      <c r="AE120" s="29">
        <v>1</v>
      </c>
    </row>
    <row r="121" spans="2:31" x14ac:dyDescent="0.2">
      <c r="B121" s="27">
        <v>286</v>
      </c>
      <c r="C121" s="28" t="s">
        <v>544</v>
      </c>
      <c r="D121" s="28" t="s">
        <v>382</v>
      </c>
      <c r="E121" s="28">
        <v>1E-4</v>
      </c>
      <c r="F121" s="28">
        <v>2.8500000000000001E-2</v>
      </c>
      <c r="G121" s="28">
        <v>3.7900000000000003E-2</v>
      </c>
      <c r="H121" s="28">
        <v>-1E-4</v>
      </c>
      <c r="I121" s="28">
        <v>-2.9000000000000001E-2</v>
      </c>
      <c r="J121" s="28">
        <v>-3.8600000000000002E-2</v>
      </c>
      <c r="K121" s="29">
        <v>300</v>
      </c>
      <c r="L121" s="29">
        <v>475</v>
      </c>
      <c r="M121" s="30">
        <v>73.346299999999999</v>
      </c>
      <c r="N121" s="30">
        <v>0.29412050125313283</v>
      </c>
      <c r="O121" s="29">
        <v>1</v>
      </c>
      <c r="R121" s="27">
        <v>286</v>
      </c>
      <c r="S121" s="28" t="s">
        <v>544</v>
      </c>
      <c r="T121" s="28" t="s">
        <v>382</v>
      </c>
      <c r="U121" s="28">
        <v>1E-4</v>
      </c>
      <c r="V121" s="28">
        <v>2.8500000000000001E-2</v>
      </c>
      <c r="W121" s="28">
        <v>3.7900000000000003E-2</v>
      </c>
      <c r="X121" s="28">
        <v>-1E-4</v>
      </c>
      <c r="Y121" s="28">
        <v>-2.9000000000000001E-2</v>
      </c>
      <c r="Z121" s="28">
        <v>-3.8600000000000002E-2</v>
      </c>
      <c r="AA121" s="29">
        <v>300</v>
      </c>
      <c r="AB121" s="29">
        <v>475</v>
      </c>
      <c r="AC121" s="30">
        <v>68.965400000000002</v>
      </c>
      <c r="AD121" s="30">
        <v>0.27655298245614041</v>
      </c>
      <c r="AE121" s="29">
        <v>1</v>
      </c>
    </row>
    <row r="122" spans="2:31" x14ac:dyDescent="0.2">
      <c r="B122" s="27">
        <v>289</v>
      </c>
      <c r="C122" s="28" t="s">
        <v>546</v>
      </c>
      <c r="D122" s="28" t="s">
        <v>380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-52.308399999999999</v>
      </c>
      <c r="N122" s="30">
        <v>0.20975799498746867</v>
      </c>
      <c r="O122" s="29">
        <v>1</v>
      </c>
      <c r="R122" s="27">
        <v>289</v>
      </c>
      <c r="S122" s="28" t="s">
        <v>546</v>
      </c>
      <c r="T122" s="28" t="s">
        <v>380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-52.382300000000001</v>
      </c>
      <c r="AD122" s="30">
        <v>0.21005433583959901</v>
      </c>
      <c r="AE122" s="29">
        <v>1</v>
      </c>
    </row>
    <row r="123" spans="2:31" x14ac:dyDescent="0.2">
      <c r="B123" s="27">
        <v>289</v>
      </c>
      <c r="C123" s="28" t="s">
        <v>547</v>
      </c>
      <c r="D123" s="28" t="s">
        <v>382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73.346299999999999</v>
      </c>
      <c r="N123" s="30">
        <v>0.29412050125313283</v>
      </c>
      <c r="O123" s="29">
        <v>1</v>
      </c>
      <c r="R123" s="27">
        <v>289</v>
      </c>
      <c r="S123" s="28" t="s">
        <v>547</v>
      </c>
      <c r="T123" s="28" t="s">
        <v>382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52.173099999999998</v>
      </c>
      <c r="AD123" s="30">
        <v>0.20921543859649122</v>
      </c>
      <c r="AE123" s="29">
        <v>1</v>
      </c>
    </row>
    <row r="124" spans="2:31" x14ac:dyDescent="0.2">
      <c r="B124" s="27">
        <v>301</v>
      </c>
      <c r="C124" s="28" t="s">
        <v>549</v>
      </c>
      <c r="D124" s="28" t="s">
        <v>380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-59.381300000000003</v>
      </c>
      <c r="N124" s="30">
        <v>0.23812050125313283</v>
      </c>
      <c r="O124" s="29">
        <v>1</v>
      </c>
      <c r="R124" s="27">
        <v>301</v>
      </c>
      <c r="S124" s="28" t="s">
        <v>549</v>
      </c>
      <c r="T124" s="28" t="s">
        <v>380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-59.363500000000002</v>
      </c>
      <c r="AD124" s="30">
        <v>0.23804912280701754</v>
      </c>
      <c r="AE124" s="29">
        <v>1</v>
      </c>
    </row>
    <row r="125" spans="2:31" x14ac:dyDescent="0.2">
      <c r="B125" s="27">
        <v>301</v>
      </c>
      <c r="C125" s="28" t="s">
        <v>550</v>
      </c>
      <c r="D125" s="28" t="s">
        <v>382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73.346299999999999</v>
      </c>
      <c r="N125" s="30">
        <v>0.29412050125313283</v>
      </c>
      <c r="O125" s="29">
        <v>1</v>
      </c>
      <c r="R125" s="27">
        <v>301</v>
      </c>
      <c r="S125" s="28" t="s">
        <v>550</v>
      </c>
      <c r="T125" s="28" t="s">
        <v>382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52.173099999999998</v>
      </c>
      <c r="AD125" s="30">
        <v>0.20921543859649122</v>
      </c>
      <c r="AE125" s="29">
        <v>1</v>
      </c>
    </row>
    <row r="126" spans="2:31" x14ac:dyDescent="0.2">
      <c r="B126" s="27">
        <v>302</v>
      </c>
      <c r="C126" s="28" t="s">
        <v>552</v>
      </c>
      <c r="D126" s="28" t="s">
        <v>380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-55.854599999999998</v>
      </c>
      <c r="N126" s="30">
        <v>0.22397834586466164</v>
      </c>
      <c r="O126" s="29">
        <v>1</v>
      </c>
      <c r="R126" s="27">
        <v>302</v>
      </c>
      <c r="S126" s="28" t="s">
        <v>552</v>
      </c>
      <c r="T126" s="28" t="s">
        <v>380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-55.839100000000002</v>
      </c>
      <c r="AD126" s="30">
        <v>0.22391619047619046</v>
      </c>
      <c r="AE126" s="29">
        <v>1</v>
      </c>
    </row>
    <row r="127" spans="2:31" x14ac:dyDescent="0.2">
      <c r="B127" s="27">
        <v>302</v>
      </c>
      <c r="C127" s="28" t="s">
        <v>553</v>
      </c>
      <c r="D127" s="28" t="s">
        <v>382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73.346299999999999</v>
      </c>
      <c r="N127" s="30">
        <v>0.29412050125313283</v>
      </c>
      <c r="O127" s="29">
        <v>1</v>
      </c>
      <c r="R127" s="27">
        <v>302</v>
      </c>
      <c r="S127" s="28" t="s">
        <v>553</v>
      </c>
      <c r="T127" s="28" t="s">
        <v>382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52.173099999999998</v>
      </c>
      <c r="AD127" s="30">
        <v>0.20921543859649122</v>
      </c>
      <c r="AE127" s="29">
        <v>1</v>
      </c>
    </row>
    <row r="128" spans="2:31" x14ac:dyDescent="0.2">
      <c r="B128" s="27">
        <v>303</v>
      </c>
      <c r="C128" s="28" t="s">
        <v>554</v>
      </c>
      <c r="D128" s="28" t="s">
        <v>380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-59.225700000000003</v>
      </c>
      <c r="N128" s="30">
        <v>0.23749654135338347</v>
      </c>
      <c r="O128" s="29">
        <v>1</v>
      </c>
      <c r="R128" s="27">
        <v>303</v>
      </c>
      <c r="S128" s="28" t="s">
        <v>554</v>
      </c>
      <c r="T128" s="28" t="s">
        <v>380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-59.2102</v>
      </c>
      <c r="AD128" s="30">
        <v>0.23743438596491226</v>
      </c>
      <c r="AE128" s="29">
        <v>1</v>
      </c>
    </row>
    <row r="129" spans="2:31" x14ac:dyDescent="0.2">
      <c r="B129" s="27">
        <v>303</v>
      </c>
      <c r="C129" s="28" t="s">
        <v>555</v>
      </c>
      <c r="D129" s="28" t="s">
        <v>382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73.346299999999999</v>
      </c>
      <c r="N129" s="30">
        <v>0.29412050125313283</v>
      </c>
      <c r="O129" s="29">
        <v>1</v>
      </c>
      <c r="R129" s="27">
        <v>303</v>
      </c>
      <c r="S129" s="28" t="s">
        <v>555</v>
      </c>
      <c r="T129" s="28" t="s">
        <v>382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52.173099999999998</v>
      </c>
      <c r="AD129" s="30">
        <v>0.20921543859649122</v>
      </c>
      <c r="AE129" s="29">
        <v>1</v>
      </c>
    </row>
    <row r="130" spans="2:31" x14ac:dyDescent="0.2">
      <c r="B130" s="27">
        <v>304</v>
      </c>
      <c r="C130" s="28" t="s">
        <v>556</v>
      </c>
      <c r="D130" s="28" t="s">
        <v>380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-59.139400000000002</v>
      </c>
      <c r="N130" s="30">
        <v>0.23715047619047619</v>
      </c>
      <c r="O130" s="29">
        <v>1</v>
      </c>
      <c r="R130" s="27">
        <v>304</v>
      </c>
      <c r="S130" s="28" t="s">
        <v>556</v>
      </c>
      <c r="T130" s="28" t="s">
        <v>380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-59.122399999999999</v>
      </c>
      <c r="AD130" s="30">
        <v>0.23708230576441103</v>
      </c>
      <c r="AE130" s="29">
        <v>1</v>
      </c>
    </row>
    <row r="131" spans="2:31" x14ac:dyDescent="0.2">
      <c r="B131" s="27">
        <v>304</v>
      </c>
      <c r="C131" s="28" t="s">
        <v>557</v>
      </c>
      <c r="D131" s="28" t="s">
        <v>382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73.346299999999999</v>
      </c>
      <c r="N131" s="30">
        <v>0.29412050125313283</v>
      </c>
      <c r="O131" s="29">
        <v>1</v>
      </c>
      <c r="R131" s="27">
        <v>304</v>
      </c>
      <c r="S131" s="28" t="s">
        <v>557</v>
      </c>
      <c r="T131" s="28" t="s">
        <v>382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52.173099999999998</v>
      </c>
      <c r="AD131" s="30">
        <v>0.20921543859649122</v>
      </c>
      <c r="AE131" s="29">
        <v>1</v>
      </c>
    </row>
    <row r="132" spans="2:31" x14ac:dyDescent="0.2">
      <c r="B132" s="27">
        <v>305</v>
      </c>
      <c r="C132" s="28" t="s">
        <v>559</v>
      </c>
      <c r="D132" s="28" t="s">
        <v>380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-57.133299999999998</v>
      </c>
      <c r="N132" s="30">
        <v>0.22910596491228069</v>
      </c>
      <c r="O132" s="29">
        <v>1</v>
      </c>
      <c r="R132" s="27">
        <v>305</v>
      </c>
      <c r="S132" s="28" t="s">
        <v>559</v>
      </c>
      <c r="T132" s="28" t="s">
        <v>380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-57.117199999999997</v>
      </c>
      <c r="AD132" s="30">
        <v>0.22904140350877192</v>
      </c>
      <c r="AE132" s="29">
        <v>1</v>
      </c>
    </row>
    <row r="133" spans="2:31" x14ac:dyDescent="0.2">
      <c r="B133" s="27">
        <v>305</v>
      </c>
      <c r="C133" s="28" t="s">
        <v>560</v>
      </c>
      <c r="D133" s="28" t="s">
        <v>382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73.346299999999999</v>
      </c>
      <c r="N133" s="30">
        <v>0.29412050125313283</v>
      </c>
      <c r="O133" s="29">
        <v>1</v>
      </c>
      <c r="R133" s="27">
        <v>305</v>
      </c>
      <c r="S133" s="28" t="s">
        <v>560</v>
      </c>
      <c r="T133" s="28" t="s">
        <v>382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52.173099999999998</v>
      </c>
      <c r="AD133" s="30">
        <v>0.20921543859649122</v>
      </c>
      <c r="AE133" s="29">
        <v>1</v>
      </c>
    </row>
    <row r="134" spans="2:31" x14ac:dyDescent="0.2">
      <c r="B134" s="27">
        <v>275</v>
      </c>
      <c r="C134" s="28" t="s">
        <v>562</v>
      </c>
      <c r="D134" s="28" t="s">
        <v>380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-57.803400000000003</v>
      </c>
      <c r="N134" s="30">
        <v>0.23179308270676693</v>
      </c>
      <c r="O134" s="29">
        <v>1</v>
      </c>
      <c r="R134" s="27">
        <v>275</v>
      </c>
      <c r="S134" s="28" t="s">
        <v>562</v>
      </c>
      <c r="T134" s="28" t="s">
        <v>380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-57.865200000000002</v>
      </c>
      <c r="AD134" s="30">
        <v>0.23204090225563911</v>
      </c>
      <c r="AE134" s="29">
        <v>1</v>
      </c>
    </row>
    <row r="135" spans="2:31" x14ac:dyDescent="0.2">
      <c r="B135" s="27">
        <v>275</v>
      </c>
      <c r="C135" s="28" t="s">
        <v>563</v>
      </c>
      <c r="D135" s="28" t="s">
        <v>382</v>
      </c>
      <c r="E135" s="28">
        <v>1E-4</v>
      </c>
      <c r="F135" s="28">
        <v>2.8400000000000002E-2</v>
      </c>
      <c r="G135" s="28">
        <v>3.7900000000000003E-2</v>
      </c>
      <c r="H135" s="28">
        <v>-1E-4</v>
      </c>
      <c r="I135" s="28">
        <v>-2.8400000000000002E-2</v>
      </c>
      <c r="J135" s="28">
        <v>-3.7900000000000003E-2</v>
      </c>
      <c r="K135" s="29">
        <v>300</v>
      </c>
      <c r="L135" s="29">
        <v>475</v>
      </c>
      <c r="M135" s="30">
        <v>73.346299999999999</v>
      </c>
      <c r="N135" s="30">
        <v>0.29412050125313283</v>
      </c>
      <c r="O135" s="29">
        <v>1</v>
      </c>
      <c r="R135" s="27">
        <v>275</v>
      </c>
      <c r="S135" s="28" t="s">
        <v>563</v>
      </c>
      <c r="T135" s="28" t="s">
        <v>382</v>
      </c>
      <c r="U135" s="28">
        <v>1E-4</v>
      </c>
      <c r="V135" s="28">
        <v>2.8400000000000002E-2</v>
      </c>
      <c r="W135" s="28">
        <v>3.7900000000000003E-2</v>
      </c>
      <c r="X135" s="28">
        <v>-1E-4</v>
      </c>
      <c r="Y135" s="28">
        <v>-2.8400000000000002E-2</v>
      </c>
      <c r="Z135" s="28">
        <v>-3.7900000000000003E-2</v>
      </c>
      <c r="AA135" s="29">
        <v>300</v>
      </c>
      <c r="AB135" s="29">
        <v>475</v>
      </c>
      <c r="AC135" s="30">
        <v>52.173099999999998</v>
      </c>
      <c r="AD135" s="30">
        <v>0.20921543859649122</v>
      </c>
      <c r="AE135" s="29">
        <v>1</v>
      </c>
    </row>
    <row r="136" spans="2:31" x14ac:dyDescent="0.2">
      <c r="B136" s="27">
        <v>278</v>
      </c>
      <c r="C136" s="28" t="s">
        <v>565</v>
      </c>
      <c r="D136" s="28" t="s">
        <v>380</v>
      </c>
      <c r="E136" s="28">
        <v>1E-4</v>
      </c>
      <c r="F136" s="28">
        <v>2.8500000000000001E-2</v>
      </c>
      <c r="G136" s="28">
        <v>3.7900000000000003E-2</v>
      </c>
      <c r="H136" s="28">
        <v>-1E-4</v>
      </c>
      <c r="I136" s="28">
        <v>-2.9000000000000001E-2</v>
      </c>
      <c r="J136" s="28">
        <v>-3.8600000000000002E-2</v>
      </c>
      <c r="K136" s="29">
        <v>300</v>
      </c>
      <c r="L136" s="29">
        <v>475</v>
      </c>
      <c r="M136" s="30">
        <v>-73.658799999999999</v>
      </c>
      <c r="N136" s="30">
        <v>0.29537363408521305</v>
      </c>
      <c r="O136" s="29">
        <v>1</v>
      </c>
      <c r="R136" s="27">
        <v>278</v>
      </c>
      <c r="S136" s="28" t="s">
        <v>565</v>
      </c>
      <c r="T136" s="28" t="s">
        <v>380</v>
      </c>
      <c r="U136" s="28">
        <v>1E-4</v>
      </c>
      <c r="V136" s="28">
        <v>2.8500000000000001E-2</v>
      </c>
      <c r="W136" s="28">
        <v>3.7900000000000003E-2</v>
      </c>
      <c r="X136" s="28">
        <v>-1E-4</v>
      </c>
      <c r="Y136" s="28">
        <v>-2.9000000000000001E-2</v>
      </c>
      <c r="Z136" s="28">
        <v>-3.8600000000000002E-2</v>
      </c>
      <c r="AA136" s="29">
        <v>300</v>
      </c>
      <c r="AB136" s="29">
        <v>475</v>
      </c>
      <c r="AC136" s="30">
        <v>-73.747500000000002</v>
      </c>
      <c r="AD136" s="30">
        <v>0.29572932330827068</v>
      </c>
      <c r="AE136" s="29">
        <v>1</v>
      </c>
    </row>
    <row r="137" spans="2:31" x14ac:dyDescent="0.2">
      <c r="B137" s="27">
        <v>278</v>
      </c>
      <c r="C137" s="28" t="s">
        <v>566</v>
      </c>
      <c r="D137" s="28" t="s">
        <v>382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73.346299999999999</v>
      </c>
      <c r="N137" s="30">
        <v>0.29412050125313283</v>
      </c>
      <c r="O137" s="29">
        <v>1</v>
      </c>
      <c r="R137" s="27">
        <v>278</v>
      </c>
      <c r="S137" s="28" t="s">
        <v>566</v>
      </c>
      <c r="T137" s="28" t="s">
        <v>382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52.173099999999998</v>
      </c>
      <c r="AD137" s="30">
        <v>0.20921543859649122</v>
      </c>
      <c r="AE137" s="29">
        <v>1</v>
      </c>
    </row>
    <row r="138" spans="2:31" x14ac:dyDescent="0.2">
      <c r="B138" s="27">
        <v>281</v>
      </c>
      <c r="C138" s="28" t="s">
        <v>568</v>
      </c>
      <c r="D138" s="28" t="s">
        <v>380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-68.611699999999999</v>
      </c>
      <c r="N138" s="30">
        <v>0.27513463659147869</v>
      </c>
      <c r="O138" s="29">
        <v>1</v>
      </c>
      <c r="R138" s="27">
        <v>281</v>
      </c>
      <c r="S138" s="28" t="s">
        <v>568</v>
      </c>
      <c r="T138" s="28" t="s">
        <v>380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-68.697999999999993</v>
      </c>
      <c r="AD138" s="30">
        <v>0.27548070175438599</v>
      </c>
      <c r="AE138" s="29">
        <v>1</v>
      </c>
    </row>
    <row r="139" spans="2:31" x14ac:dyDescent="0.2">
      <c r="B139" s="27">
        <v>281</v>
      </c>
      <c r="C139" s="28" t="s">
        <v>569</v>
      </c>
      <c r="D139" s="28" t="s">
        <v>382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73.346299999999999</v>
      </c>
      <c r="N139" s="30">
        <v>0.29412050125313283</v>
      </c>
      <c r="O139" s="29">
        <v>1</v>
      </c>
      <c r="R139" s="27">
        <v>281</v>
      </c>
      <c r="S139" s="28" t="s">
        <v>569</v>
      </c>
      <c r="T139" s="28" t="s">
        <v>382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52.173099999999998</v>
      </c>
      <c r="AD139" s="30">
        <v>0.20921543859649122</v>
      </c>
      <c r="AE139" s="29">
        <v>1</v>
      </c>
    </row>
    <row r="140" spans="2:31" x14ac:dyDescent="0.2">
      <c r="B140" s="27">
        <v>284</v>
      </c>
      <c r="C140" s="28" t="s">
        <v>571</v>
      </c>
      <c r="D140" s="28" t="s">
        <v>380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-68.817300000000003</v>
      </c>
      <c r="N140" s="30">
        <v>0.27595909774436089</v>
      </c>
      <c r="O140" s="29">
        <v>1</v>
      </c>
      <c r="R140" s="27">
        <v>284</v>
      </c>
      <c r="S140" s="28" t="s">
        <v>571</v>
      </c>
      <c r="T140" s="28" t="s">
        <v>380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-68.903499999999994</v>
      </c>
      <c r="AD140" s="30">
        <v>0.27630476190476189</v>
      </c>
      <c r="AE140" s="29">
        <v>1</v>
      </c>
    </row>
    <row r="141" spans="2:31" x14ac:dyDescent="0.2">
      <c r="B141" s="27">
        <v>284</v>
      </c>
      <c r="C141" s="28" t="s">
        <v>572</v>
      </c>
      <c r="D141" s="28" t="s">
        <v>382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73.346299999999999</v>
      </c>
      <c r="N141" s="30">
        <v>0.29412050125313283</v>
      </c>
      <c r="O141" s="29">
        <v>1</v>
      </c>
      <c r="R141" s="27">
        <v>284</v>
      </c>
      <c r="S141" s="28" t="s">
        <v>572</v>
      </c>
      <c r="T141" s="28" t="s">
        <v>382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52.173099999999998</v>
      </c>
      <c r="AD141" s="30">
        <v>0.20921543859649122</v>
      </c>
      <c r="AE141" s="29">
        <v>1</v>
      </c>
    </row>
    <row r="142" spans="2:31" x14ac:dyDescent="0.2">
      <c r="B142" s="27">
        <v>287</v>
      </c>
      <c r="C142" s="28" t="s">
        <v>574</v>
      </c>
      <c r="D142" s="28" t="s">
        <v>380</v>
      </c>
      <c r="E142" s="28">
        <v>1E-4</v>
      </c>
      <c r="F142" s="28">
        <v>2.8500000000000001E-2</v>
      </c>
      <c r="G142" s="28">
        <v>3.7900000000000003E-2</v>
      </c>
      <c r="H142" s="28">
        <v>-1E-4</v>
      </c>
      <c r="I142" s="28">
        <v>-2.9000000000000001E-2</v>
      </c>
      <c r="J142" s="28">
        <v>-3.8600000000000002E-2</v>
      </c>
      <c r="K142" s="29">
        <v>300</v>
      </c>
      <c r="L142" s="29">
        <v>475</v>
      </c>
      <c r="M142" s="30">
        <v>-72.794600000000003</v>
      </c>
      <c r="N142" s="30">
        <v>0.29190817042606521</v>
      </c>
      <c r="O142" s="29">
        <v>1</v>
      </c>
      <c r="R142" s="27">
        <v>287</v>
      </c>
      <c r="S142" s="28" t="s">
        <v>574</v>
      </c>
      <c r="T142" s="28" t="s">
        <v>380</v>
      </c>
      <c r="U142" s="28">
        <v>1E-4</v>
      </c>
      <c r="V142" s="28">
        <v>2.8500000000000001E-2</v>
      </c>
      <c r="W142" s="28">
        <v>3.7900000000000003E-2</v>
      </c>
      <c r="X142" s="28">
        <v>-1E-4</v>
      </c>
      <c r="Y142" s="28">
        <v>-2.9000000000000001E-2</v>
      </c>
      <c r="Z142" s="28">
        <v>-3.8600000000000002E-2</v>
      </c>
      <c r="AA142" s="29">
        <v>300</v>
      </c>
      <c r="AB142" s="29">
        <v>475</v>
      </c>
      <c r="AC142" s="30">
        <v>-72.884500000000003</v>
      </c>
      <c r="AD142" s="30">
        <v>0.29226867167919801</v>
      </c>
      <c r="AE142" s="29">
        <v>1</v>
      </c>
    </row>
    <row r="143" spans="2:31" x14ac:dyDescent="0.2">
      <c r="B143" s="27">
        <v>287</v>
      </c>
      <c r="C143" s="28" t="s">
        <v>575</v>
      </c>
      <c r="D143" s="28" t="s">
        <v>382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73.346299999999999</v>
      </c>
      <c r="N143" s="30">
        <v>0.29412050125313283</v>
      </c>
      <c r="O143" s="29">
        <v>1</v>
      </c>
      <c r="R143" s="27">
        <v>287</v>
      </c>
      <c r="S143" s="28" t="s">
        <v>575</v>
      </c>
      <c r="T143" s="28" t="s">
        <v>382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52.173099999999998</v>
      </c>
      <c r="AD143" s="30">
        <v>0.20921543859649122</v>
      </c>
      <c r="AE143" s="29">
        <v>1</v>
      </c>
    </row>
    <row r="144" spans="2:31" x14ac:dyDescent="0.2">
      <c r="B144" s="27">
        <v>290</v>
      </c>
      <c r="C144" s="28" t="s">
        <v>577</v>
      </c>
      <c r="D144" s="28" t="s">
        <v>380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-52.705599999999997</v>
      </c>
      <c r="N144" s="30">
        <v>0.21135077694235588</v>
      </c>
      <c r="O144" s="29">
        <v>1</v>
      </c>
      <c r="R144" s="27">
        <v>290</v>
      </c>
      <c r="S144" s="28" t="s">
        <v>577</v>
      </c>
      <c r="T144" s="28" t="s">
        <v>380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-52.773699999999998</v>
      </c>
      <c r="AD144" s="30">
        <v>0.21162385964912281</v>
      </c>
      <c r="AE144" s="29">
        <v>1</v>
      </c>
    </row>
    <row r="145" spans="2:31" x14ac:dyDescent="0.2">
      <c r="B145" s="27">
        <v>290</v>
      </c>
      <c r="C145" s="28" t="s">
        <v>578</v>
      </c>
      <c r="D145" s="28" t="s">
        <v>382</v>
      </c>
      <c r="E145" s="28">
        <v>1E-4</v>
      </c>
      <c r="F145" s="28">
        <v>2.8400000000000002E-2</v>
      </c>
      <c r="G145" s="28">
        <v>3.7900000000000003E-2</v>
      </c>
      <c r="H145" s="28">
        <v>-1E-4</v>
      </c>
      <c r="I145" s="28">
        <v>-2.8400000000000002E-2</v>
      </c>
      <c r="J145" s="28">
        <v>-3.7900000000000003E-2</v>
      </c>
      <c r="K145" s="29">
        <v>300</v>
      </c>
      <c r="L145" s="29">
        <v>475</v>
      </c>
      <c r="M145" s="30">
        <v>73.346299999999999</v>
      </c>
      <c r="N145" s="30">
        <v>0.29412050125313283</v>
      </c>
      <c r="O145" s="29">
        <v>1</v>
      </c>
      <c r="R145" s="27">
        <v>290</v>
      </c>
      <c r="S145" s="28" t="s">
        <v>578</v>
      </c>
      <c r="T145" s="28" t="s">
        <v>382</v>
      </c>
      <c r="U145" s="28">
        <v>1E-4</v>
      </c>
      <c r="V145" s="28">
        <v>2.8400000000000002E-2</v>
      </c>
      <c r="W145" s="28">
        <v>3.7900000000000003E-2</v>
      </c>
      <c r="X145" s="28">
        <v>-1E-4</v>
      </c>
      <c r="Y145" s="28">
        <v>-2.8400000000000002E-2</v>
      </c>
      <c r="Z145" s="28">
        <v>-3.7900000000000003E-2</v>
      </c>
      <c r="AA145" s="29">
        <v>300</v>
      </c>
      <c r="AB145" s="29">
        <v>475</v>
      </c>
      <c r="AC145" s="30">
        <v>52.173099999999998</v>
      </c>
      <c r="AD145" s="30">
        <v>0.20921543859649122</v>
      </c>
      <c r="AE145" s="29">
        <v>1</v>
      </c>
    </row>
    <row r="146" spans="2:31" x14ac:dyDescent="0.2">
      <c r="B146" s="27">
        <v>306</v>
      </c>
      <c r="C146" s="28" t="s">
        <v>580</v>
      </c>
      <c r="D146" s="28" t="s">
        <v>380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-2.7799999999999998E-2</v>
      </c>
      <c r="J146" s="28">
        <v>-3.6999999999999998E-2</v>
      </c>
      <c r="K146" s="29">
        <v>300</v>
      </c>
      <c r="L146" s="29">
        <v>475</v>
      </c>
      <c r="M146" s="30">
        <v>-45.852800000000002</v>
      </c>
      <c r="N146" s="30">
        <v>0.18387087719298248</v>
      </c>
      <c r="O146" s="29">
        <v>1</v>
      </c>
      <c r="R146" s="27">
        <v>306</v>
      </c>
      <c r="S146" s="28" t="s">
        <v>580</v>
      </c>
      <c r="T146" s="28" t="s">
        <v>380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-2.7799999999999998E-2</v>
      </c>
      <c r="Z146" s="28">
        <v>-3.6999999999999998E-2</v>
      </c>
      <c r="AA146" s="29">
        <v>300</v>
      </c>
      <c r="AB146" s="29">
        <v>475</v>
      </c>
      <c r="AC146" s="30">
        <v>-45.836799999999997</v>
      </c>
      <c r="AD146" s="30">
        <v>0.18380671679197993</v>
      </c>
      <c r="AE146" s="29">
        <v>1</v>
      </c>
    </row>
    <row r="147" spans="2:31" x14ac:dyDescent="0.2">
      <c r="B147" s="27">
        <v>306</v>
      </c>
      <c r="C147" s="28" t="s">
        <v>581</v>
      </c>
      <c r="D147" s="28" t="s">
        <v>382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73.346299999999999</v>
      </c>
      <c r="N147" s="30">
        <v>0.29412050125313283</v>
      </c>
      <c r="O147" s="29">
        <v>1</v>
      </c>
      <c r="R147" s="27">
        <v>306</v>
      </c>
      <c r="S147" s="28" t="s">
        <v>581</v>
      </c>
      <c r="T147" s="28" t="s">
        <v>382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52.173099999999998</v>
      </c>
      <c r="AD147" s="30">
        <v>0.20921543859649122</v>
      </c>
      <c r="AE147" s="29">
        <v>1</v>
      </c>
    </row>
    <row r="148" spans="2:31" x14ac:dyDescent="0.2">
      <c r="B148" s="27">
        <v>307</v>
      </c>
      <c r="C148" s="28" t="s">
        <v>583</v>
      </c>
      <c r="D148" s="28" t="s">
        <v>380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-50.24</v>
      </c>
      <c r="N148" s="30">
        <v>0.20146365914786968</v>
      </c>
      <c r="O148" s="29">
        <v>1</v>
      </c>
      <c r="R148" s="27">
        <v>307</v>
      </c>
      <c r="S148" s="28" t="s">
        <v>583</v>
      </c>
      <c r="T148" s="28" t="s">
        <v>380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-50.22</v>
      </c>
      <c r="AD148" s="30">
        <v>0.20138345864661655</v>
      </c>
      <c r="AE148" s="29">
        <v>1</v>
      </c>
    </row>
    <row r="149" spans="2:31" x14ac:dyDescent="0.2">
      <c r="B149" s="27">
        <v>307</v>
      </c>
      <c r="C149" s="28" t="s">
        <v>584</v>
      </c>
      <c r="D149" s="28" t="s">
        <v>382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73.346299999999999</v>
      </c>
      <c r="N149" s="30">
        <v>0.29412050125313283</v>
      </c>
      <c r="O149" s="29">
        <v>1</v>
      </c>
      <c r="R149" s="27">
        <v>307</v>
      </c>
      <c r="S149" s="28" t="s">
        <v>584</v>
      </c>
      <c r="T149" s="28" t="s">
        <v>382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52.173099999999998</v>
      </c>
      <c r="AD149" s="30">
        <v>0.20921543859649122</v>
      </c>
      <c r="AE149" s="29">
        <v>1</v>
      </c>
    </row>
    <row r="150" spans="2:31" x14ac:dyDescent="0.2">
      <c r="B150" s="27">
        <v>308</v>
      </c>
      <c r="C150" s="28" t="s">
        <v>585</v>
      </c>
      <c r="D150" s="28" t="s">
        <v>380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-47.803899999999999</v>
      </c>
      <c r="N150" s="30">
        <v>0.19169483709273183</v>
      </c>
      <c r="O150" s="29">
        <v>1</v>
      </c>
      <c r="R150" s="27">
        <v>308</v>
      </c>
      <c r="S150" s="28" t="s">
        <v>585</v>
      </c>
      <c r="T150" s="28" t="s">
        <v>380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-47.784199999999998</v>
      </c>
      <c r="AD150" s="30">
        <v>0.19161583959899747</v>
      </c>
      <c r="AE150" s="29">
        <v>1</v>
      </c>
    </row>
    <row r="151" spans="2:31" x14ac:dyDescent="0.2">
      <c r="B151" s="27">
        <v>308</v>
      </c>
      <c r="C151" s="28" t="s">
        <v>586</v>
      </c>
      <c r="D151" s="28" t="s">
        <v>382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73.346299999999999</v>
      </c>
      <c r="N151" s="30">
        <v>0.29412050125313283</v>
      </c>
      <c r="O151" s="29">
        <v>1</v>
      </c>
      <c r="R151" s="27">
        <v>308</v>
      </c>
      <c r="S151" s="28" t="s">
        <v>586</v>
      </c>
      <c r="T151" s="28" t="s">
        <v>382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52.173099999999998</v>
      </c>
      <c r="AD151" s="30">
        <v>0.20921543859649122</v>
      </c>
      <c r="AE151" s="29">
        <v>1</v>
      </c>
    </row>
    <row r="152" spans="2:31" x14ac:dyDescent="0.2">
      <c r="B152" s="27">
        <v>309</v>
      </c>
      <c r="C152" s="28" t="s">
        <v>587</v>
      </c>
      <c r="D152" s="28" t="s">
        <v>380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-47.292000000000002</v>
      </c>
      <c r="N152" s="30">
        <v>0.18964210526315789</v>
      </c>
      <c r="O152" s="29">
        <v>1</v>
      </c>
      <c r="R152" s="27">
        <v>309</v>
      </c>
      <c r="S152" s="28" t="s">
        <v>587</v>
      </c>
      <c r="T152" s="28" t="s">
        <v>380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-47.273099999999999</v>
      </c>
      <c r="AD152" s="30">
        <v>0.18956631578947367</v>
      </c>
      <c r="AE152" s="29">
        <v>1</v>
      </c>
    </row>
    <row r="153" spans="2:31" x14ac:dyDescent="0.2">
      <c r="B153" s="27">
        <v>309</v>
      </c>
      <c r="C153" s="28" t="s">
        <v>588</v>
      </c>
      <c r="D153" s="28" t="s">
        <v>382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73.346299999999999</v>
      </c>
      <c r="N153" s="30">
        <v>0.29412050125313283</v>
      </c>
      <c r="O153" s="29">
        <v>1</v>
      </c>
      <c r="R153" s="27">
        <v>309</v>
      </c>
      <c r="S153" s="28" t="s">
        <v>588</v>
      </c>
      <c r="T153" s="28" t="s">
        <v>382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52.173099999999998</v>
      </c>
      <c r="AD153" s="30">
        <v>0.20921543859649122</v>
      </c>
      <c r="AE153" s="29">
        <v>1</v>
      </c>
    </row>
    <row r="154" spans="2:31" x14ac:dyDescent="0.2">
      <c r="B154" s="27">
        <v>310</v>
      </c>
      <c r="C154" s="28" t="s">
        <v>590</v>
      </c>
      <c r="D154" s="28" t="s">
        <v>380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-49.376199999999997</v>
      </c>
      <c r="N154" s="30">
        <v>0.19799979949874685</v>
      </c>
      <c r="O154" s="29">
        <v>1</v>
      </c>
      <c r="R154" s="27">
        <v>310</v>
      </c>
      <c r="S154" s="28" t="s">
        <v>590</v>
      </c>
      <c r="T154" s="28" t="s">
        <v>380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-49.357399999999998</v>
      </c>
      <c r="AD154" s="30">
        <v>0.19792441102756894</v>
      </c>
      <c r="AE154" s="29">
        <v>1</v>
      </c>
    </row>
    <row r="155" spans="2:31" x14ac:dyDescent="0.2">
      <c r="B155" s="27">
        <v>310</v>
      </c>
      <c r="C155" s="28" t="s">
        <v>591</v>
      </c>
      <c r="D155" s="28" t="s">
        <v>382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-2.7799999999999998E-2</v>
      </c>
      <c r="J155" s="28">
        <v>-3.6999999999999998E-2</v>
      </c>
      <c r="K155" s="29">
        <v>300</v>
      </c>
      <c r="L155" s="29">
        <v>475</v>
      </c>
      <c r="M155" s="30">
        <v>73.346299999999999</v>
      </c>
      <c r="N155" s="30">
        <v>0.29412050125313283</v>
      </c>
      <c r="O155" s="29">
        <v>1</v>
      </c>
      <c r="R155" s="27">
        <v>310</v>
      </c>
      <c r="S155" s="28" t="s">
        <v>591</v>
      </c>
      <c r="T155" s="28" t="s">
        <v>382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-2.7799999999999998E-2</v>
      </c>
      <c r="Z155" s="28">
        <v>-3.6999999999999998E-2</v>
      </c>
      <c r="AA155" s="29">
        <v>300</v>
      </c>
      <c r="AB155" s="29">
        <v>475</v>
      </c>
      <c r="AC155" s="30">
        <v>52.173099999999998</v>
      </c>
      <c r="AD155" s="30">
        <v>0.20921543859649122</v>
      </c>
      <c r="AE155" s="29">
        <v>1</v>
      </c>
    </row>
    <row r="156" spans="2:31" x14ac:dyDescent="0.2">
      <c r="B156" s="27">
        <v>105</v>
      </c>
      <c r="C156" s="28" t="s">
        <v>593</v>
      </c>
      <c r="D156" s="28" t="s">
        <v>380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-2.7799999999999998E-2</v>
      </c>
      <c r="J156" s="28">
        <v>-3.6999999999999998E-2</v>
      </c>
      <c r="K156" s="29">
        <v>300</v>
      </c>
      <c r="L156" s="29">
        <v>475</v>
      </c>
      <c r="M156" s="30">
        <v>-49.089700000000001</v>
      </c>
      <c r="N156" s="30">
        <v>0.19685092731829573</v>
      </c>
      <c r="O156" s="29">
        <v>1</v>
      </c>
      <c r="R156" s="27">
        <v>105</v>
      </c>
      <c r="S156" s="28" t="s">
        <v>593</v>
      </c>
      <c r="T156" s="28" t="s">
        <v>380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-2.7799999999999998E-2</v>
      </c>
      <c r="Z156" s="28">
        <v>-3.6999999999999998E-2</v>
      </c>
      <c r="AA156" s="29">
        <v>300</v>
      </c>
      <c r="AB156" s="29">
        <v>475</v>
      </c>
      <c r="AC156" s="30">
        <v>-49.088099999999997</v>
      </c>
      <c r="AD156" s="30">
        <v>0.19684451127819549</v>
      </c>
      <c r="AE156" s="29">
        <v>1</v>
      </c>
    </row>
    <row r="157" spans="2:31" x14ac:dyDescent="0.2">
      <c r="B157" s="27">
        <v>105</v>
      </c>
      <c r="C157" s="28" t="s">
        <v>594</v>
      </c>
      <c r="D157" s="28" t="s">
        <v>382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73.346299999999999</v>
      </c>
      <c r="N157" s="30">
        <v>0.29412050125313283</v>
      </c>
      <c r="O157" s="29">
        <v>1</v>
      </c>
      <c r="R157" s="27">
        <v>105</v>
      </c>
      <c r="S157" s="28" t="s">
        <v>594</v>
      </c>
      <c r="T157" s="28" t="s">
        <v>382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52.173099999999998</v>
      </c>
      <c r="AD157" s="30">
        <v>0.20921543859649122</v>
      </c>
      <c r="AE157" s="29">
        <v>1</v>
      </c>
    </row>
    <row r="158" spans="2:31" x14ac:dyDescent="0.2">
      <c r="B158" s="27">
        <v>106</v>
      </c>
      <c r="C158" s="28" t="s">
        <v>596</v>
      </c>
      <c r="D158" s="28" t="s">
        <v>380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-54.0914</v>
      </c>
      <c r="N158" s="30">
        <v>0.21690786967418546</v>
      </c>
      <c r="O158" s="29">
        <v>1</v>
      </c>
      <c r="R158" s="27">
        <v>106</v>
      </c>
      <c r="S158" s="28" t="s">
        <v>596</v>
      </c>
      <c r="T158" s="28" t="s">
        <v>380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-54.090200000000003</v>
      </c>
      <c r="AD158" s="30">
        <v>0.2169030576441103</v>
      </c>
      <c r="AE158" s="29">
        <v>1</v>
      </c>
    </row>
    <row r="159" spans="2:31" x14ac:dyDescent="0.2">
      <c r="B159" s="27">
        <v>106</v>
      </c>
      <c r="C159" s="28" t="s">
        <v>597</v>
      </c>
      <c r="D159" s="28" t="s">
        <v>382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73.346299999999999</v>
      </c>
      <c r="N159" s="30">
        <v>0.29412050125313283</v>
      </c>
      <c r="O159" s="29">
        <v>1</v>
      </c>
      <c r="R159" s="27">
        <v>106</v>
      </c>
      <c r="S159" s="28" t="s">
        <v>597</v>
      </c>
      <c r="T159" s="28" t="s">
        <v>382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52.173099999999998</v>
      </c>
      <c r="AD159" s="30">
        <v>0.20921543859649122</v>
      </c>
      <c r="AE159" s="29">
        <v>1</v>
      </c>
    </row>
    <row r="160" spans="2:31" x14ac:dyDescent="0.2">
      <c r="B160" s="27">
        <v>107</v>
      </c>
      <c r="C160" s="28" t="s">
        <v>598</v>
      </c>
      <c r="D160" s="28" t="s">
        <v>380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-51.737900000000003</v>
      </c>
      <c r="N160" s="30">
        <v>0.20747027568922308</v>
      </c>
      <c r="O160" s="29">
        <v>1</v>
      </c>
      <c r="R160" s="27">
        <v>107</v>
      </c>
      <c r="S160" s="28" t="s">
        <v>598</v>
      </c>
      <c r="T160" s="28" t="s">
        <v>380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-51.736699999999999</v>
      </c>
      <c r="AD160" s="30">
        <v>0.20746546365914786</v>
      </c>
      <c r="AE160" s="29">
        <v>1</v>
      </c>
    </row>
    <row r="161" spans="2:31" x14ac:dyDescent="0.2">
      <c r="B161" s="27">
        <v>107</v>
      </c>
      <c r="C161" s="28" t="s">
        <v>599</v>
      </c>
      <c r="D161" s="28" t="s">
        <v>382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73.346299999999999</v>
      </c>
      <c r="N161" s="30">
        <v>0.29412050125313283</v>
      </c>
      <c r="O161" s="29">
        <v>1</v>
      </c>
      <c r="R161" s="27">
        <v>107</v>
      </c>
      <c r="S161" s="28" t="s">
        <v>599</v>
      </c>
      <c r="T161" s="28" t="s">
        <v>382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52.173099999999998</v>
      </c>
      <c r="AD161" s="30">
        <v>0.20921543859649122</v>
      </c>
      <c r="AE161" s="29">
        <v>1</v>
      </c>
    </row>
    <row r="162" spans="2:31" x14ac:dyDescent="0.2">
      <c r="B162" s="27">
        <v>108</v>
      </c>
      <c r="C162" s="28" t="s">
        <v>600</v>
      </c>
      <c r="D162" s="28" t="s">
        <v>380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-51.005000000000003</v>
      </c>
      <c r="N162" s="30">
        <v>0.20453132832080201</v>
      </c>
      <c r="O162" s="29">
        <v>1</v>
      </c>
      <c r="R162" s="27">
        <v>108</v>
      </c>
      <c r="S162" s="28" t="s">
        <v>600</v>
      </c>
      <c r="T162" s="28" t="s">
        <v>380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-51.004100000000001</v>
      </c>
      <c r="AD162" s="30">
        <v>0.20452771929824562</v>
      </c>
      <c r="AE162" s="29">
        <v>1</v>
      </c>
    </row>
    <row r="163" spans="2:31" x14ac:dyDescent="0.2">
      <c r="B163" s="27">
        <v>108</v>
      </c>
      <c r="C163" s="28" t="s">
        <v>601</v>
      </c>
      <c r="D163" s="28" t="s">
        <v>382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73.346299999999999</v>
      </c>
      <c r="N163" s="30">
        <v>0.29412050125313283</v>
      </c>
      <c r="O163" s="29">
        <v>1</v>
      </c>
      <c r="R163" s="27">
        <v>108</v>
      </c>
      <c r="S163" s="28" t="s">
        <v>601</v>
      </c>
      <c r="T163" s="28" t="s">
        <v>382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52.173099999999998</v>
      </c>
      <c r="AD163" s="30">
        <v>0.20921543859649122</v>
      </c>
      <c r="AE163" s="29">
        <v>1</v>
      </c>
    </row>
    <row r="164" spans="2:31" x14ac:dyDescent="0.2">
      <c r="B164" s="27">
        <v>109</v>
      </c>
      <c r="C164" s="28" t="s">
        <v>603</v>
      </c>
      <c r="D164" s="28" t="s">
        <v>380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-52.787500000000001</v>
      </c>
      <c r="N164" s="30">
        <v>0.21167919799498747</v>
      </c>
      <c r="O164" s="29">
        <v>1</v>
      </c>
      <c r="R164" s="27">
        <v>109</v>
      </c>
      <c r="S164" s="28" t="s">
        <v>603</v>
      </c>
      <c r="T164" s="28" t="s">
        <v>380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-52.788400000000003</v>
      </c>
      <c r="AD164" s="30">
        <v>0.21168280701754386</v>
      </c>
      <c r="AE164" s="29">
        <v>1</v>
      </c>
    </row>
    <row r="165" spans="2:31" x14ac:dyDescent="0.2">
      <c r="B165" s="27">
        <v>109</v>
      </c>
      <c r="C165" s="28" t="s">
        <v>604</v>
      </c>
      <c r="D165" s="28" t="s">
        <v>382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-2.7799999999999998E-2</v>
      </c>
      <c r="J165" s="28">
        <v>-3.6999999999999998E-2</v>
      </c>
      <c r="K165" s="29">
        <v>300</v>
      </c>
      <c r="L165" s="29">
        <v>475</v>
      </c>
      <c r="M165" s="30">
        <v>73.346299999999999</v>
      </c>
      <c r="N165" s="30">
        <v>0.29412050125313283</v>
      </c>
      <c r="O165" s="29">
        <v>1</v>
      </c>
      <c r="R165" s="27">
        <v>109</v>
      </c>
      <c r="S165" s="28" t="s">
        <v>604</v>
      </c>
      <c r="T165" s="28" t="s">
        <v>382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-2.7799999999999998E-2</v>
      </c>
      <c r="Z165" s="28">
        <v>-3.6999999999999998E-2</v>
      </c>
      <c r="AA165" s="29">
        <v>300</v>
      </c>
      <c r="AB165" s="29">
        <v>475</v>
      </c>
      <c r="AC165" s="30">
        <v>52.173099999999998</v>
      </c>
      <c r="AD165" s="30">
        <v>0.20921543859649122</v>
      </c>
      <c r="AE165" s="29">
        <v>1</v>
      </c>
    </row>
    <row r="166" spans="2:31" x14ac:dyDescent="0.2">
      <c r="B166" s="27">
        <v>87</v>
      </c>
      <c r="C166" s="28" t="s">
        <v>606</v>
      </c>
      <c r="D166" s="28" t="s">
        <v>380</v>
      </c>
      <c r="E166" s="28">
        <v>1E-4</v>
      </c>
      <c r="F166" s="28">
        <v>2.8400000000000002E-2</v>
      </c>
      <c r="G166" s="28">
        <v>3.7900000000000003E-2</v>
      </c>
      <c r="H166" s="28">
        <v>-1E-4</v>
      </c>
      <c r="I166" s="28">
        <v>-2.8400000000000002E-2</v>
      </c>
      <c r="J166" s="28">
        <v>-3.7900000000000003E-2</v>
      </c>
      <c r="K166" s="29">
        <v>300</v>
      </c>
      <c r="L166" s="29">
        <v>475</v>
      </c>
      <c r="M166" s="30">
        <v>-57.828400000000002</v>
      </c>
      <c r="N166" s="30">
        <v>0.23189333333333334</v>
      </c>
      <c r="O166" s="29">
        <v>1</v>
      </c>
      <c r="R166" s="27">
        <v>87</v>
      </c>
      <c r="S166" s="28" t="s">
        <v>606</v>
      </c>
      <c r="T166" s="28" t="s">
        <v>380</v>
      </c>
      <c r="U166" s="28">
        <v>1E-4</v>
      </c>
      <c r="V166" s="28">
        <v>2.8400000000000002E-2</v>
      </c>
      <c r="W166" s="28">
        <v>3.7900000000000003E-2</v>
      </c>
      <c r="X166" s="28">
        <v>-1E-4</v>
      </c>
      <c r="Y166" s="28">
        <v>-2.8400000000000002E-2</v>
      </c>
      <c r="Z166" s="28">
        <v>-3.7900000000000003E-2</v>
      </c>
      <c r="AA166" s="29">
        <v>300</v>
      </c>
      <c r="AB166" s="29">
        <v>475</v>
      </c>
      <c r="AC166" s="30">
        <v>-57.905500000000004</v>
      </c>
      <c r="AD166" s="30">
        <v>0.23220250626566416</v>
      </c>
      <c r="AE166" s="29">
        <v>1</v>
      </c>
    </row>
    <row r="167" spans="2:31" x14ac:dyDescent="0.2">
      <c r="B167" s="27">
        <v>87</v>
      </c>
      <c r="C167" s="28" t="s">
        <v>607</v>
      </c>
      <c r="D167" s="28" t="s">
        <v>382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-2.86E-2</v>
      </c>
      <c r="J167" s="28">
        <v>-3.8100000000000002E-2</v>
      </c>
      <c r="K167" s="29">
        <v>300</v>
      </c>
      <c r="L167" s="29">
        <v>475</v>
      </c>
      <c r="M167" s="30">
        <v>73.346299999999999</v>
      </c>
      <c r="N167" s="30">
        <v>0.29412050125313283</v>
      </c>
      <c r="O167" s="29">
        <v>1</v>
      </c>
      <c r="R167" s="27">
        <v>87</v>
      </c>
      <c r="S167" s="28" t="s">
        <v>607</v>
      </c>
      <c r="T167" s="28" t="s">
        <v>382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-2.86E-2</v>
      </c>
      <c r="Z167" s="28">
        <v>-3.8100000000000002E-2</v>
      </c>
      <c r="AA167" s="29">
        <v>300</v>
      </c>
      <c r="AB167" s="29">
        <v>475</v>
      </c>
      <c r="AC167" s="30">
        <v>52.173099999999998</v>
      </c>
      <c r="AD167" s="30">
        <v>0.20921543859649122</v>
      </c>
      <c r="AE167" s="29">
        <v>1</v>
      </c>
    </row>
    <row r="168" spans="2:31" x14ac:dyDescent="0.2">
      <c r="B168" s="27">
        <v>90</v>
      </c>
      <c r="C168" s="28" t="s">
        <v>609</v>
      </c>
      <c r="D168" s="28" t="s">
        <v>380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-70.739199999999997</v>
      </c>
      <c r="N168" s="30">
        <v>0.28366596491228069</v>
      </c>
      <c r="O168" s="29">
        <v>1</v>
      </c>
      <c r="R168" s="27">
        <v>90</v>
      </c>
      <c r="S168" s="28" t="s">
        <v>609</v>
      </c>
      <c r="T168" s="28" t="s">
        <v>380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-70.847399999999993</v>
      </c>
      <c r="AD168" s="30">
        <v>0.28409984962406015</v>
      </c>
      <c r="AE168" s="29">
        <v>1</v>
      </c>
    </row>
    <row r="169" spans="2:31" x14ac:dyDescent="0.2">
      <c r="B169" s="27">
        <v>90</v>
      </c>
      <c r="C169" s="28" t="s">
        <v>610</v>
      </c>
      <c r="D169" s="28" t="s">
        <v>382</v>
      </c>
      <c r="E169" s="28">
        <v>1E-4</v>
      </c>
      <c r="F169" s="28">
        <v>2.8500000000000001E-2</v>
      </c>
      <c r="G169" s="28">
        <v>3.7900000000000003E-2</v>
      </c>
      <c r="H169" s="28">
        <v>-1E-4</v>
      </c>
      <c r="I169" s="28">
        <v>-2.9000000000000001E-2</v>
      </c>
      <c r="J169" s="28">
        <v>-3.8600000000000002E-2</v>
      </c>
      <c r="K169" s="29">
        <v>300</v>
      </c>
      <c r="L169" s="29">
        <v>475</v>
      </c>
      <c r="M169" s="30">
        <v>73.346299999999999</v>
      </c>
      <c r="N169" s="30">
        <v>0.29412050125313283</v>
      </c>
      <c r="O169" s="29">
        <v>1</v>
      </c>
      <c r="R169" s="27">
        <v>90</v>
      </c>
      <c r="S169" s="28" t="s">
        <v>610</v>
      </c>
      <c r="T169" s="28" t="s">
        <v>382</v>
      </c>
      <c r="U169" s="28">
        <v>1E-4</v>
      </c>
      <c r="V169" s="28">
        <v>2.8500000000000001E-2</v>
      </c>
      <c r="W169" s="28">
        <v>3.7900000000000003E-2</v>
      </c>
      <c r="X169" s="28">
        <v>-1E-4</v>
      </c>
      <c r="Y169" s="28">
        <v>-2.9000000000000001E-2</v>
      </c>
      <c r="Z169" s="28">
        <v>-3.8600000000000002E-2</v>
      </c>
      <c r="AA169" s="29">
        <v>300</v>
      </c>
      <c r="AB169" s="29">
        <v>475</v>
      </c>
      <c r="AC169" s="30">
        <v>52.173099999999998</v>
      </c>
      <c r="AD169" s="30">
        <v>0.20921543859649122</v>
      </c>
      <c r="AE169" s="29">
        <v>1</v>
      </c>
    </row>
    <row r="170" spans="2:31" x14ac:dyDescent="0.2">
      <c r="B170" s="27">
        <v>93</v>
      </c>
      <c r="C170" s="28" t="s">
        <v>612</v>
      </c>
      <c r="D170" s="28" t="s">
        <v>380</v>
      </c>
      <c r="E170" s="28">
        <v>1E-4</v>
      </c>
      <c r="F170" s="28">
        <v>2.8500000000000001E-2</v>
      </c>
      <c r="G170" s="28">
        <v>3.7999999999999999E-2</v>
      </c>
      <c r="H170" s="28">
        <v>-1E-4</v>
      </c>
      <c r="I170" s="28">
        <v>-2.87E-2</v>
      </c>
      <c r="J170" s="28">
        <v>-3.8300000000000001E-2</v>
      </c>
      <c r="K170" s="29">
        <v>300</v>
      </c>
      <c r="L170" s="29">
        <v>475</v>
      </c>
      <c r="M170" s="30">
        <v>-70.379199999999997</v>
      </c>
      <c r="N170" s="30">
        <v>0.28222235588972427</v>
      </c>
      <c r="O170" s="29">
        <v>1</v>
      </c>
      <c r="R170" s="27">
        <v>93</v>
      </c>
      <c r="S170" s="28" t="s">
        <v>612</v>
      </c>
      <c r="T170" s="28" t="s">
        <v>380</v>
      </c>
      <c r="U170" s="28">
        <v>1E-4</v>
      </c>
      <c r="V170" s="28">
        <v>2.8500000000000001E-2</v>
      </c>
      <c r="W170" s="28">
        <v>3.7999999999999999E-2</v>
      </c>
      <c r="X170" s="28">
        <v>-1E-4</v>
      </c>
      <c r="Y170" s="28">
        <v>-2.87E-2</v>
      </c>
      <c r="Z170" s="28">
        <v>-3.8300000000000001E-2</v>
      </c>
      <c r="AA170" s="29">
        <v>300</v>
      </c>
      <c r="AB170" s="29">
        <v>475</v>
      </c>
      <c r="AC170" s="30">
        <v>-70.485699999999994</v>
      </c>
      <c r="AD170" s="30">
        <v>0.28264942355889722</v>
      </c>
      <c r="AE170" s="29">
        <v>1</v>
      </c>
    </row>
    <row r="171" spans="2:31" x14ac:dyDescent="0.2">
      <c r="B171" s="27">
        <v>93</v>
      </c>
      <c r="C171" s="28" t="s">
        <v>613</v>
      </c>
      <c r="D171" s="28" t="s">
        <v>382</v>
      </c>
      <c r="E171" s="28">
        <v>1E-4</v>
      </c>
      <c r="F171" s="28">
        <v>2.8500000000000001E-2</v>
      </c>
      <c r="G171" s="28">
        <v>3.7999999999999999E-2</v>
      </c>
      <c r="H171" s="28">
        <v>-1E-4</v>
      </c>
      <c r="I171" s="28">
        <v>-2.87E-2</v>
      </c>
      <c r="J171" s="28">
        <v>-3.8300000000000001E-2</v>
      </c>
      <c r="K171" s="29">
        <v>300</v>
      </c>
      <c r="L171" s="29">
        <v>475</v>
      </c>
      <c r="M171" s="30">
        <v>73.346299999999999</v>
      </c>
      <c r="N171" s="30">
        <v>0.29412050125313283</v>
      </c>
      <c r="O171" s="29">
        <v>1</v>
      </c>
      <c r="R171" s="27">
        <v>93</v>
      </c>
      <c r="S171" s="28" t="s">
        <v>613</v>
      </c>
      <c r="T171" s="28" t="s">
        <v>382</v>
      </c>
      <c r="U171" s="28">
        <v>1E-4</v>
      </c>
      <c r="V171" s="28">
        <v>2.8500000000000001E-2</v>
      </c>
      <c r="W171" s="28">
        <v>3.7999999999999999E-2</v>
      </c>
      <c r="X171" s="28">
        <v>-1E-4</v>
      </c>
      <c r="Y171" s="28">
        <v>-2.87E-2</v>
      </c>
      <c r="Z171" s="28">
        <v>-3.8300000000000001E-2</v>
      </c>
      <c r="AA171" s="29">
        <v>300</v>
      </c>
      <c r="AB171" s="29">
        <v>475</v>
      </c>
      <c r="AC171" s="30">
        <v>52.173099999999998</v>
      </c>
      <c r="AD171" s="30">
        <v>0.20921543859649122</v>
      </c>
      <c r="AE171" s="29">
        <v>1</v>
      </c>
    </row>
    <row r="172" spans="2:31" x14ac:dyDescent="0.2">
      <c r="B172" s="27">
        <v>96</v>
      </c>
      <c r="C172" s="28" t="s">
        <v>615</v>
      </c>
      <c r="D172" s="28" t="s">
        <v>380</v>
      </c>
      <c r="E172" s="28">
        <v>1E-4</v>
      </c>
      <c r="F172" s="28">
        <v>2.8500000000000001E-2</v>
      </c>
      <c r="G172" s="28">
        <v>3.7999999999999999E-2</v>
      </c>
      <c r="H172" s="28">
        <v>-1E-4</v>
      </c>
      <c r="I172" s="28">
        <v>-2.87E-2</v>
      </c>
      <c r="J172" s="28">
        <v>-3.8300000000000001E-2</v>
      </c>
      <c r="K172" s="29">
        <v>300</v>
      </c>
      <c r="L172" s="29">
        <v>475</v>
      </c>
      <c r="M172" s="30">
        <v>-69.693600000000004</v>
      </c>
      <c r="N172" s="30">
        <v>0.27947308270676696</v>
      </c>
      <c r="O172" s="29">
        <v>1</v>
      </c>
      <c r="R172" s="27">
        <v>96</v>
      </c>
      <c r="S172" s="28" t="s">
        <v>615</v>
      </c>
      <c r="T172" s="28" t="s">
        <v>380</v>
      </c>
      <c r="U172" s="28">
        <v>1E-4</v>
      </c>
      <c r="V172" s="28">
        <v>2.8500000000000001E-2</v>
      </c>
      <c r="W172" s="28">
        <v>3.7999999999999999E-2</v>
      </c>
      <c r="X172" s="28">
        <v>-1E-4</v>
      </c>
      <c r="Y172" s="28">
        <v>-2.87E-2</v>
      </c>
      <c r="Z172" s="28">
        <v>-3.8300000000000001E-2</v>
      </c>
      <c r="AA172" s="29">
        <v>300</v>
      </c>
      <c r="AB172" s="29">
        <v>475</v>
      </c>
      <c r="AC172" s="30">
        <v>-69.800600000000003</v>
      </c>
      <c r="AD172" s="30">
        <v>0.27990215538847119</v>
      </c>
      <c r="AE172" s="29">
        <v>1</v>
      </c>
    </row>
    <row r="173" spans="2:31" x14ac:dyDescent="0.2">
      <c r="B173" s="27">
        <v>96</v>
      </c>
      <c r="C173" s="28" t="s">
        <v>616</v>
      </c>
      <c r="D173" s="28" t="s">
        <v>382</v>
      </c>
      <c r="E173" s="28">
        <v>1E-4</v>
      </c>
      <c r="F173" s="28">
        <v>2.8500000000000001E-2</v>
      </c>
      <c r="G173" s="28">
        <v>3.7999999999999999E-2</v>
      </c>
      <c r="H173" s="28">
        <v>-1E-4</v>
      </c>
      <c r="I173" s="28">
        <v>-2.87E-2</v>
      </c>
      <c r="J173" s="28">
        <v>-3.8300000000000001E-2</v>
      </c>
      <c r="K173" s="29">
        <v>300</v>
      </c>
      <c r="L173" s="29">
        <v>475</v>
      </c>
      <c r="M173" s="30">
        <v>73.346299999999999</v>
      </c>
      <c r="N173" s="30">
        <v>0.29412050125313283</v>
      </c>
      <c r="O173" s="29">
        <v>1</v>
      </c>
      <c r="R173" s="27">
        <v>96</v>
      </c>
      <c r="S173" s="28" t="s">
        <v>616</v>
      </c>
      <c r="T173" s="28" t="s">
        <v>382</v>
      </c>
      <c r="U173" s="28">
        <v>1E-4</v>
      </c>
      <c r="V173" s="28">
        <v>2.8500000000000001E-2</v>
      </c>
      <c r="W173" s="28">
        <v>3.7999999999999999E-2</v>
      </c>
      <c r="X173" s="28">
        <v>-1E-4</v>
      </c>
      <c r="Y173" s="28">
        <v>-2.87E-2</v>
      </c>
      <c r="Z173" s="28">
        <v>-3.8300000000000001E-2</v>
      </c>
      <c r="AA173" s="29">
        <v>300</v>
      </c>
      <c r="AB173" s="29">
        <v>475</v>
      </c>
      <c r="AC173" s="30">
        <v>52.173099999999998</v>
      </c>
      <c r="AD173" s="30">
        <v>0.20921543859649122</v>
      </c>
      <c r="AE173" s="29">
        <v>1</v>
      </c>
    </row>
    <row r="174" spans="2:31" x14ac:dyDescent="0.2">
      <c r="B174" s="27">
        <v>99</v>
      </c>
      <c r="C174" s="28" t="s">
        <v>618</v>
      </c>
      <c r="D174" s="28" t="s">
        <v>380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-68.786900000000003</v>
      </c>
      <c r="N174" s="30">
        <v>0.27583719298245618</v>
      </c>
      <c r="O174" s="29">
        <v>1</v>
      </c>
      <c r="R174" s="27">
        <v>99</v>
      </c>
      <c r="S174" s="28" t="s">
        <v>618</v>
      </c>
      <c r="T174" s="28" t="s">
        <v>380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-68.896500000000003</v>
      </c>
      <c r="AD174" s="30">
        <v>0.27627669172932329</v>
      </c>
      <c r="AE174" s="29">
        <v>1</v>
      </c>
    </row>
    <row r="175" spans="2:31" x14ac:dyDescent="0.2">
      <c r="B175" s="27">
        <v>99</v>
      </c>
      <c r="C175" s="28" t="s">
        <v>619</v>
      </c>
      <c r="D175" s="28" t="s">
        <v>382</v>
      </c>
      <c r="E175" s="28">
        <v>1E-4</v>
      </c>
      <c r="F175" s="28">
        <v>2.8500000000000001E-2</v>
      </c>
      <c r="G175" s="28">
        <v>3.7900000000000003E-2</v>
      </c>
      <c r="H175" s="28">
        <v>-1E-4</v>
      </c>
      <c r="I175" s="28">
        <v>-2.9000000000000001E-2</v>
      </c>
      <c r="J175" s="28">
        <v>-3.8600000000000002E-2</v>
      </c>
      <c r="K175" s="29">
        <v>300</v>
      </c>
      <c r="L175" s="29">
        <v>475</v>
      </c>
      <c r="M175" s="30">
        <v>73.346299999999999</v>
      </c>
      <c r="N175" s="30">
        <v>0.29412050125313283</v>
      </c>
      <c r="O175" s="29">
        <v>1</v>
      </c>
      <c r="R175" s="27">
        <v>99</v>
      </c>
      <c r="S175" s="28" t="s">
        <v>619</v>
      </c>
      <c r="T175" s="28" t="s">
        <v>382</v>
      </c>
      <c r="U175" s="28">
        <v>1E-4</v>
      </c>
      <c r="V175" s="28">
        <v>2.8500000000000001E-2</v>
      </c>
      <c r="W175" s="28">
        <v>3.7900000000000003E-2</v>
      </c>
      <c r="X175" s="28">
        <v>-1E-4</v>
      </c>
      <c r="Y175" s="28">
        <v>-2.9000000000000001E-2</v>
      </c>
      <c r="Z175" s="28">
        <v>-3.8600000000000002E-2</v>
      </c>
      <c r="AA175" s="29">
        <v>300</v>
      </c>
      <c r="AB175" s="29">
        <v>475</v>
      </c>
      <c r="AC175" s="30">
        <v>52.173099999999998</v>
      </c>
      <c r="AD175" s="30">
        <v>0.20921543859649122</v>
      </c>
      <c r="AE175" s="29">
        <v>1</v>
      </c>
    </row>
    <row r="176" spans="2:31" x14ac:dyDescent="0.2">
      <c r="B176" s="27">
        <v>102</v>
      </c>
      <c r="C176" s="28" t="s">
        <v>621</v>
      </c>
      <c r="D176" s="28" t="s">
        <v>380</v>
      </c>
      <c r="E176" s="28">
        <v>1E-4</v>
      </c>
      <c r="F176" s="28">
        <v>2.8400000000000002E-2</v>
      </c>
      <c r="G176" s="28">
        <v>3.7900000000000003E-2</v>
      </c>
      <c r="H176" s="28">
        <v>-1E-4</v>
      </c>
      <c r="I176" s="28">
        <v>-2.8400000000000002E-2</v>
      </c>
      <c r="J176" s="28">
        <v>-3.7900000000000003E-2</v>
      </c>
      <c r="K176" s="29">
        <v>300</v>
      </c>
      <c r="L176" s="29">
        <v>475</v>
      </c>
      <c r="M176" s="30">
        <v>-52.069400000000002</v>
      </c>
      <c r="N176" s="30">
        <v>0.20879959899749373</v>
      </c>
      <c r="O176" s="29">
        <v>1</v>
      </c>
      <c r="R176" s="27">
        <v>102</v>
      </c>
      <c r="S176" s="28" t="s">
        <v>621</v>
      </c>
      <c r="T176" s="28" t="s">
        <v>380</v>
      </c>
      <c r="U176" s="28">
        <v>1E-4</v>
      </c>
      <c r="V176" s="28">
        <v>2.8400000000000002E-2</v>
      </c>
      <c r="W176" s="28">
        <v>3.7900000000000003E-2</v>
      </c>
      <c r="X176" s="28">
        <v>-1E-4</v>
      </c>
      <c r="Y176" s="28">
        <v>-2.8400000000000002E-2</v>
      </c>
      <c r="Z176" s="28">
        <v>-3.7900000000000003E-2</v>
      </c>
      <c r="AA176" s="29">
        <v>300</v>
      </c>
      <c r="AB176" s="29">
        <v>475</v>
      </c>
      <c r="AC176" s="30">
        <v>-52.15</v>
      </c>
      <c r="AD176" s="30">
        <v>0.20912280701754385</v>
      </c>
      <c r="AE176" s="29">
        <v>1</v>
      </c>
    </row>
    <row r="177" spans="2:31" x14ac:dyDescent="0.2">
      <c r="B177" s="27">
        <v>102</v>
      </c>
      <c r="C177" s="28" t="s">
        <v>622</v>
      </c>
      <c r="D177" s="28" t="s">
        <v>382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-2.86E-2</v>
      </c>
      <c r="J177" s="28">
        <v>-3.8100000000000002E-2</v>
      </c>
      <c r="K177" s="29">
        <v>300</v>
      </c>
      <c r="L177" s="29">
        <v>475</v>
      </c>
      <c r="M177" s="30">
        <v>73.346299999999999</v>
      </c>
      <c r="N177" s="30">
        <v>0.29412050125313283</v>
      </c>
      <c r="O177" s="29">
        <v>1</v>
      </c>
      <c r="R177" s="27">
        <v>102</v>
      </c>
      <c r="S177" s="28" t="s">
        <v>622</v>
      </c>
      <c r="T177" s="28" t="s">
        <v>382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-2.86E-2</v>
      </c>
      <c r="Z177" s="28">
        <v>-3.8100000000000002E-2</v>
      </c>
      <c r="AA177" s="29">
        <v>300</v>
      </c>
      <c r="AB177" s="29">
        <v>475</v>
      </c>
      <c r="AC177" s="30">
        <v>52.173099999999998</v>
      </c>
      <c r="AD177" s="30">
        <v>0.20921543859649122</v>
      </c>
      <c r="AE177" s="29">
        <v>1</v>
      </c>
    </row>
    <row r="178" spans="2:31" x14ac:dyDescent="0.2">
      <c r="B178" s="27">
        <v>110</v>
      </c>
      <c r="C178" s="28" t="s">
        <v>624</v>
      </c>
      <c r="D178" s="28" t="s">
        <v>380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-2.7900000000000001E-2</v>
      </c>
      <c r="J178" s="28">
        <v>-3.7199999999999997E-2</v>
      </c>
      <c r="K178" s="29">
        <v>300</v>
      </c>
      <c r="L178" s="29">
        <v>475</v>
      </c>
      <c r="M178" s="30">
        <v>-63.552399999999999</v>
      </c>
      <c r="N178" s="30">
        <v>0.25484671679197995</v>
      </c>
      <c r="O178" s="29">
        <v>1</v>
      </c>
      <c r="R178" s="27">
        <v>110</v>
      </c>
      <c r="S178" s="28" t="s">
        <v>624</v>
      </c>
      <c r="T178" s="28" t="s">
        <v>380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-2.7900000000000001E-2</v>
      </c>
      <c r="Z178" s="28">
        <v>-3.7199999999999997E-2</v>
      </c>
      <c r="AA178" s="29">
        <v>300</v>
      </c>
      <c r="AB178" s="29">
        <v>475</v>
      </c>
      <c r="AC178" s="30">
        <v>-63.543999999999997</v>
      </c>
      <c r="AD178" s="30">
        <v>0.25481303258145366</v>
      </c>
      <c r="AE178" s="29">
        <v>1</v>
      </c>
    </row>
    <row r="179" spans="2:31" x14ac:dyDescent="0.2">
      <c r="B179" s="27">
        <v>110</v>
      </c>
      <c r="C179" s="28" t="s">
        <v>625</v>
      </c>
      <c r="D179" s="28" t="s">
        <v>382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-2.7900000000000001E-2</v>
      </c>
      <c r="J179" s="28">
        <v>-3.7199999999999997E-2</v>
      </c>
      <c r="K179" s="29">
        <v>300</v>
      </c>
      <c r="L179" s="29">
        <v>475</v>
      </c>
      <c r="M179" s="30">
        <v>73.346299999999999</v>
      </c>
      <c r="N179" s="30">
        <v>0.29412050125313283</v>
      </c>
      <c r="O179" s="29">
        <v>1</v>
      </c>
      <c r="R179" s="27">
        <v>110</v>
      </c>
      <c r="S179" s="28" t="s">
        <v>625</v>
      </c>
      <c r="T179" s="28" t="s">
        <v>382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-2.7900000000000001E-2</v>
      </c>
      <c r="Z179" s="28">
        <v>-3.7199999999999997E-2</v>
      </c>
      <c r="AA179" s="29">
        <v>300</v>
      </c>
      <c r="AB179" s="29">
        <v>475</v>
      </c>
      <c r="AC179" s="30">
        <v>52.173099999999998</v>
      </c>
      <c r="AD179" s="30">
        <v>0.20921543859649122</v>
      </c>
      <c r="AE179" s="29">
        <v>1</v>
      </c>
    </row>
    <row r="180" spans="2:31" x14ac:dyDescent="0.2">
      <c r="B180" s="27">
        <v>111</v>
      </c>
      <c r="C180" s="28" t="s">
        <v>627</v>
      </c>
      <c r="D180" s="28" t="s">
        <v>380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-2.7900000000000001E-2</v>
      </c>
      <c r="J180" s="28">
        <v>-3.7199999999999997E-2</v>
      </c>
      <c r="K180" s="29">
        <v>300</v>
      </c>
      <c r="L180" s="29">
        <v>475</v>
      </c>
      <c r="M180" s="30">
        <v>-60.0867</v>
      </c>
      <c r="N180" s="30">
        <v>0.24094917293233081</v>
      </c>
      <c r="O180" s="29">
        <v>1</v>
      </c>
      <c r="R180" s="27">
        <v>111</v>
      </c>
      <c r="S180" s="28" t="s">
        <v>627</v>
      </c>
      <c r="T180" s="28" t="s">
        <v>380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-2.7900000000000001E-2</v>
      </c>
      <c r="Z180" s="28">
        <v>-3.7199999999999997E-2</v>
      </c>
      <c r="AA180" s="29">
        <v>300</v>
      </c>
      <c r="AB180" s="29">
        <v>475</v>
      </c>
      <c r="AC180" s="30">
        <v>-60.078299999999999</v>
      </c>
      <c r="AD180" s="30">
        <v>0.24091548872180449</v>
      </c>
      <c r="AE180" s="29">
        <v>1</v>
      </c>
    </row>
    <row r="181" spans="2:31" x14ac:dyDescent="0.2">
      <c r="B181" s="27">
        <v>111</v>
      </c>
      <c r="C181" s="28" t="s">
        <v>628</v>
      </c>
      <c r="D181" s="28" t="s">
        <v>382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-2.7900000000000001E-2</v>
      </c>
      <c r="J181" s="28">
        <v>-3.7199999999999997E-2</v>
      </c>
      <c r="K181" s="29">
        <v>300</v>
      </c>
      <c r="L181" s="29">
        <v>475</v>
      </c>
      <c r="M181" s="30">
        <v>73.346299999999999</v>
      </c>
      <c r="N181" s="30">
        <v>0.29412050125313283</v>
      </c>
      <c r="O181" s="29">
        <v>1</v>
      </c>
      <c r="R181" s="27">
        <v>111</v>
      </c>
      <c r="S181" s="28" t="s">
        <v>628</v>
      </c>
      <c r="T181" s="28" t="s">
        <v>382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-2.7900000000000001E-2</v>
      </c>
      <c r="Z181" s="28">
        <v>-3.7199999999999997E-2</v>
      </c>
      <c r="AA181" s="29">
        <v>300</v>
      </c>
      <c r="AB181" s="29">
        <v>475</v>
      </c>
      <c r="AC181" s="30">
        <v>52.173099999999998</v>
      </c>
      <c r="AD181" s="30">
        <v>0.20921543859649122</v>
      </c>
      <c r="AE181" s="29">
        <v>1</v>
      </c>
    </row>
    <row r="182" spans="2:31" x14ac:dyDescent="0.2">
      <c r="B182" s="27">
        <v>112</v>
      </c>
      <c r="C182" s="28" t="s">
        <v>629</v>
      </c>
      <c r="D182" s="28" t="s">
        <v>380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-2.7900000000000001E-2</v>
      </c>
      <c r="J182" s="28">
        <v>-3.7199999999999997E-2</v>
      </c>
      <c r="K182" s="29">
        <v>300</v>
      </c>
      <c r="L182" s="29">
        <v>475</v>
      </c>
      <c r="M182" s="30">
        <v>-63.033900000000003</v>
      </c>
      <c r="N182" s="30">
        <v>0.2527675187969925</v>
      </c>
      <c r="O182" s="29">
        <v>1</v>
      </c>
      <c r="R182" s="27">
        <v>112</v>
      </c>
      <c r="S182" s="28" t="s">
        <v>629</v>
      </c>
      <c r="T182" s="28" t="s">
        <v>380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-2.7900000000000001E-2</v>
      </c>
      <c r="Z182" s="28">
        <v>-3.7199999999999997E-2</v>
      </c>
      <c r="AA182" s="29">
        <v>300</v>
      </c>
      <c r="AB182" s="29">
        <v>475</v>
      </c>
      <c r="AC182" s="30">
        <v>-63.026400000000002</v>
      </c>
      <c r="AD182" s="30">
        <v>0.25273744360902256</v>
      </c>
      <c r="AE182" s="29">
        <v>1</v>
      </c>
    </row>
    <row r="183" spans="2:31" x14ac:dyDescent="0.2">
      <c r="B183" s="27">
        <v>112</v>
      </c>
      <c r="C183" s="28" t="s">
        <v>630</v>
      </c>
      <c r="D183" s="28" t="s">
        <v>382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-2.7900000000000001E-2</v>
      </c>
      <c r="J183" s="28">
        <v>-3.7199999999999997E-2</v>
      </c>
      <c r="K183" s="29">
        <v>300</v>
      </c>
      <c r="L183" s="29">
        <v>475</v>
      </c>
      <c r="M183" s="30">
        <v>73.346299999999999</v>
      </c>
      <c r="N183" s="30">
        <v>0.29412050125313283</v>
      </c>
      <c r="O183" s="29">
        <v>1</v>
      </c>
      <c r="R183" s="27">
        <v>112</v>
      </c>
      <c r="S183" s="28" t="s">
        <v>630</v>
      </c>
      <c r="T183" s="28" t="s">
        <v>382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-2.7900000000000001E-2</v>
      </c>
      <c r="Z183" s="28">
        <v>-3.7199999999999997E-2</v>
      </c>
      <c r="AA183" s="29">
        <v>300</v>
      </c>
      <c r="AB183" s="29">
        <v>475</v>
      </c>
      <c r="AC183" s="30">
        <v>52.173099999999998</v>
      </c>
      <c r="AD183" s="30">
        <v>0.20921543859649122</v>
      </c>
      <c r="AE183" s="29">
        <v>1</v>
      </c>
    </row>
    <row r="184" spans="2:31" x14ac:dyDescent="0.2">
      <c r="B184" s="27">
        <v>113</v>
      </c>
      <c r="C184" s="28" t="s">
        <v>631</v>
      </c>
      <c r="D184" s="28" t="s">
        <v>380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-2.7900000000000001E-2</v>
      </c>
      <c r="J184" s="28">
        <v>-3.7199999999999997E-2</v>
      </c>
      <c r="K184" s="29">
        <v>300</v>
      </c>
      <c r="L184" s="29">
        <v>475</v>
      </c>
      <c r="M184" s="30">
        <v>-63.424999999999997</v>
      </c>
      <c r="N184" s="30">
        <v>0.25433583959899747</v>
      </c>
      <c r="O184" s="29">
        <v>1</v>
      </c>
      <c r="R184" s="27">
        <v>113</v>
      </c>
      <c r="S184" s="28" t="s">
        <v>631</v>
      </c>
      <c r="T184" s="28" t="s">
        <v>380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-2.7900000000000001E-2</v>
      </c>
      <c r="Z184" s="28">
        <v>-3.7199999999999997E-2</v>
      </c>
      <c r="AA184" s="29">
        <v>300</v>
      </c>
      <c r="AB184" s="29">
        <v>475</v>
      </c>
      <c r="AC184" s="30">
        <v>-63.416800000000002</v>
      </c>
      <c r="AD184" s="30">
        <v>0.25430295739348374</v>
      </c>
      <c r="AE184" s="29">
        <v>1</v>
      </c>
    </row>
    <row r="185" spans="2:31" x14ac:dyDescent="0.2">
      <c r="B185" s="27">
        <v>113</v>
      </c>
      <c r="C185" s="28" t="s">
        <v>632</v>
      </c>
      <c r="D185" s="28" t="s">
        <v>382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-2.7900000000000001E-2</v>
      </c>
      <c r="J185" s="28">
        <v>-3.7199999999999997E-2</v>
      </c>
      <c r="K185" s="29">
        <v>300</v>
      </c>
      <c r="L185" s="29">
        <v>475</v>
      </c>
      <c r="M185" s="30">
        <v>73.346299999999999</v>
      </c>
      <c r="N185" s="30">
        <v>0.29412050125313283</v>
      </c>
      <c r="O185" s="29">
        <v>1</v>
      </c>
      <c r="R185" s="27">
        <v>113</v>
      </c>
      <c r="S185" s="28" t="s">
        <v>632</v>
      </c>
      <c r="T185" s="28" t="s">
        <v>382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-2.7900000000000001E-2</v>
      </c>
      <c r="Z185" s="28">
        <v>-3.7199999999999997E-2</v>
      </c>
      <c r="AA185" s="29">
        <v>300</v>
      </c>
      <c r="AB185" s="29">
        <v>475</v>
      </c>
      <c r="AC185" s="30">
        <v>52.173099999999998</v>
      </c>
      <c r="AD185" s="30">
        <v>0.20921543859649122</v>
      </c>
      <c r="AE185" s="29">
        <v>1</v>
      </c>
    </row>
    <row r="186" spans="2:31" x14ac:dyDescent="0.2">
      <c r="B186" s="27">
        <v>114</v>
      </c>
      <c r="C186" s="28" t="s">
        <v>634</v>
      </c>
      <c r="D186" s="28" t="s">
        <v>380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-2.7900000000000001E-2</v>
      </c>
      <c r="J186" s="28">
        <v>-3.7199999999999997E-2</v>
      </c>
      <c r="K186" s="29">
        <v>300</v>
      </c>
      <c r="L186" s="29">
        <v>475</v>
      </c>
      <c r="M186" s="30">
        <v>-61.899500000000003</v>
      </c>
      <c r="N186" s="30">
        <v>0.24821854636591478</v>
      </c>
      <c r="O186" s="29">
        <v>1</v>
      </c>
      <c r="R186" s="27">
        <v>114</v>
      </c>
      <c r="S186" s="28" t="s">
        <v>634</v>
      </c>
      <c r="T186" s="28" t="s">
        <v>380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-2.7900000000000001E-2</v>
      </c>
      <c r="Z186" s="28">
        <v>-3.7199999999999997E-2</v>
      </c>
      <c r="AA186" s="29">
        <v>300</v>
      </c>
      <c r="AB186" s="29">
        <v>475</v>
      </c>
      <c r="AC186" s="30">
        <v>-61.890799999999999</v>
      </c>
      <c r="AD186" s="30">
        <v>0.24818365914786966</v>
      </c>
      <c r="AE186" s="29">
        <v>1</v>
      </c>
    </row>
    <row r="187" spans="2:31" x14ac:dyDescent="0.2">
      <c r="B187" s="27">
        <v>114</v>
      </c>
      <c r="C187" s="28" t="s">
        <v>635</v>
      </c>
      <c r="D187" s="28" t="s">
        <v>382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-2.7900000000000001E-2</v>
      </c>
      <c r="J187" s="28">
        <v>-3.7199999999999997E-2</v>
      </c>
      <c r="K187" s="29">
        <v>300</v>
      </c>
      <c r="L187" s="29">
        <v>475</v>
      </c>
      <c r="M187" s="30">
        <v>73.346299999999999</v>
      </c>
      <c r="N187" s="30">
        <v>0.29412050125313283</v>
      </c>
      <c r="O187" s="29">
        <v>1</v>
      </c>
      <c r="R187" s="27">
        <v>114</v>
      </c>
      <c r="S187" s="28" t="s">
        <v>635</v>
      </c>
      <c r="T187" s="28" t="s">
        <v>382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-2.7900000000000001E-2</v>
      </c>
      <c r="Z187" s="28">
        <v>-3.7199999999999997E-2</v>
      </c>
      <c r="AA187" s="29">
        <v>300</v>
      </c>
      <c r="AB187" s="29">
        <v>475</v>
      </c>
      <c r="AC187" s="30">
        <v>52.173099999999998</v>
      </c>
      <c r="AD187" s="30">
        <v>0.20921543859649122</v>
      </c>
      <c r="AE187" s="29">
        <v>1</v>
      </c>
    </row>
    <row r="188" spans="2:31" x14ac:dyDescent="0.2">
      <c r="B188" s="27">
        <v>88</v>
      </c>
      <c r="C188" s="28" t="s">
        <v>637</v>
      </c>
      <c r="D188" s="28" t="s">
        <v>380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-2.86E-2</v>
      </c>
      <c r="J188" s="28">
        <v>-3.8100000000000002E-2</v>
      </c>
      <c r="K188" s="29">
        <v>300</v>
      </c>
      <c r="L188" s="29">
        <v>475</v>
      </c>
      <c r="M188" s="30">
        <v>-57.904299999999999</v>
      </c>
      <c r="N188" s="30">
        <v>0.23219769423558895</v>
      </c>
      <c r="O188" s="29">
        <v>1</v>
      </c>
      <c r="R188" s="27">
        <v>88</v>
      </c>
      <c r="S188" s="28" t="s">
        <v>637</v>
      </c>
      <c r="T188" s="28" t="s">
        <v>380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-2.86E-2</v>
      </c>
      <c r="Z188" s="28">
        <v>-3.8100000000000002E-2</v>
      </c>
      <c r="AA188" s="29">
        <v>300</v>
      </c>
      <c r="AB188" s="29">
        <v>475</v>
      </c>
      <c r="AC188" s="30">
        <v>-57.989100000000001</v>
      </c>
      <c r="AD188" s="30">
        <v>0.23253774436090224</v>
      </c>
      <c r="AE188" s="29">
        <v>1</v>
      </c>
    </row>
    <row r="189" spans="2:31" x14ac:dyDescent="0.2">
      <c r="B189" s="27">
        <v>88</v>
      </c>
      <c r="C189" s="28" t="s">
        <v>638</v>
      </c>
      <c r="D189" s="28" t="s">
        <v>382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-2.86E-2</v>
      </c>
      <c r="J189" s="28">
        <v>-3.8100000000000002E-2</v>
      </c>
      <c r="K189" s="29">
        <v>300</v>
      </c>
      <c r="L189" s="29">
        <v>475</v>
      </c>
      <c r="M189" s="30">
        <v>73.346299999999999</v>
      </c>
      <c r="N189" s="30">
        <v>0.29412050125313283</v>
      </c>
      <c r="O189" s="29">
        <v>1</v>
      </c>
      <c r="R189" s="27">
        <v>88</v>
      </c>
      <c r="S189" s="28" t="s">
        <v>638</v>
      </c>
      <c r="T189" s="28" t="s">
        <v>382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-2.86E-2</v>
      </c>
      <c r="Z189" s="28">
        <v>-3.8100000000000002E-2</v>
      </c>
      <c r="AA189" s="29">
        <v>300</v>
      </c>
      <c r="AB189" s="29">
        <v>475</v>
      </c>
      <c r="AC189" s="30">
        <v>57.7958</v>
      </c>
      <c r="AD189" s="30">
        <v>0.23176260651629074</v>
      </c>
      <c r="AE189" s="29">
        <v>1</v>
      </c>
    </row>
    <row r="190" spans="2:31" x14ac:dyDescent="0.2">
      <c r="B190" s="27">
        <v>91</v>
      </c>
      <c r="C190" s="28" t="s">
        <v>640</v>
      </c>
      <c r="D190" s="28" t="s">
        <v>380</v>
      </c>
      <c r="E190" s="28">
        <v>1E-4</v>
      </c>
      <c r="F190" s="28">
        <v>2.8500000000000001E-2</v>
      </c>
      <c r="G190" s="28">
        <v>3.7900000000000003E-2</v>
      </c>
      <c r="H190" s="28">
        <v>-1E-4</v>
      </c>
      <c r="I190" s="28">
        <v>-2.9000000000000001E-2</v>
      </c>
      <c r="J190" s="28">
        <v>-3.8600000000000002E-2</v>
      </c>
      <c r="K190" s="29">
        <v>300</v>
      </c>
      <c r="L190" s="29">
        <v>475</v>
      </c>
      <c r="M190" s="30">
        <v>-74.488699999999994</v>
      </c>
      <c r="N190" s="30">
        <v>0.29870155388471176</v>
      </c>
      <c r="O190" s="29">
        <v>1</v>
      </c>
      <c r="R190" s="27">
        <v>91</v>
      </c>
      <c r="S190" s="28" t="s">
        <v>640</v>
      </c>
      <c r="T190" s="28" t="s">
        <v>380</v>
      </c>
      <c r="U190" s="28">
        <v>1E-4</v>
      </c>
      <c r="V190" s="28">
        <v>2.8500000000000001E-2</v>
      </c>
      <c r="W190" s="28">
        <v>3.7900000000000003E-2</v>
      </c>
      <c r="X190" s="28">
        <v>-1E-4</v>
      </c>
      <c r="Y190" s="28">
        <v>-2.9000000000000001E-2</v>
      </c>
      <c r="Z190" s="28">
        <v>-3.8600000000000002E-2</v>
      </c>
      <c r="AA190" s="29">
        <v>300</v>
      </c>
      <c r="AB190" s="29">
        <v>475</v>
      </c>
      <c r="AC190" s="30">
        <v>-74.596999999999994</v>
      </c>
      <c r="AD190" s="30">
        <v>0.29913583959899748</v>
      </c>
      <c r="AE190" s="29">
        <v>1</v>
      </c>
    </row>
    <row r="191" spans="2:31" x14ac:dyDescent="0.2">
      <c r="B191" s="27">
        <v>91</v>
      </c>
      <c r="C191" s="28" t="s">
        <v>641</v>
      </c>
      <c r="D191" s="28" t="s">
        <v>382</v>
      </c>
      <c r="E191" s="28">
        <v>1E-4</v>
      </c>
      <c r="F191" s="28">
        <v>2.8500000000000001E-2</v>
      </c>
      <c r="G191" s="28">
        <v>3.7900000000000003E-2</v>
      </c>
      <c r="H191" s="28">
        <v>-1E-4</v>
      </c>
      <c r="I191" s="28">
        <v>-2.9000000000000001E-2</v>
      </c>
      <c r="J191" s="28">
        <v>-3.8600000000000002E-2</v>
      </c>
      <c r="K191" s="29">
        <v>300</v>
      </c>
      <c r="L191" s="29">
        <v>475</v>
      </c>
      <c r="M191" s="30">
        <v>74.471599999999995</v>
      </c>
      <c r="N191" s="30">
        <v>0.29863298245614034</v>
      </c>
      <c r="O191" s="29">
        <v>1</v>
      </c>
      <c r="R191" s="27">
        <v>91</v>
      </c>
      <c r="S191" s="28" t="s">
        <v>641</v>
      </c>
      <c r="T191" s="28" t="s">
        <v>382</v>
      </c>
      <c r="U191" s="28">
        <v>1E-4</v>
      </c>
      <c r="V191" s="28">
        <v>2.8500000000000001E-2</v>
      </c>
      <c r="W191" s="28">
        <v>3.7900000000000003E-2</v>
      </c>
      <c r="X191" s="28">
        <v>-1E-4</v>
      </c>
      <c r="Y191" s="28">
        <v>-2.9000000000000001E-2</v>
      </c>
      <c r="Z191" s="28">
        <v>-3.8600000000000002E-2</v>
      </c>
      <c r="AA191" s="29">
        <v>300</v>
      </c>
      <c r="AB191" s="29">
        <v>475</v>
      </c>
      <c r="AC191" s="30">
        <v>57.7958</v>
      </c>
      <c r="AD191" s="30">
        <v>0.23176260651629074</v>
      </c>
      <c r="AE191" s="29">
        <v>1</v>
      </c>
    </row>
    <row r="192" spans="2:31" x14ac:dyDescent="0.2">
      <c r="B192" s="27">
        <v>94</v>
      </c>
      <c r="C192" s="28" t="s">
        <v>643</v>
      </c>
      <c r="D192" s="28" t="s">
        <v>380</v>
      </c>
      <c r="E192" s="28">
        <v>1E-4</v>
      </c>
      <c r="F192" s="28">
        <v>2.8500000000000001E-2</v>
      </c>
      <c r="G192" s="28">
        <v>3.7999999999999999E-2</v>
      </c>
      <c r="H192" s="28">
        <v>-1E-4</v>
      </c>
      <c r="I192" s="28">
        <v>-2.87E-2</v>
      </c>
      <c r="J192" s="28">
        <v>-3.8300000000000001E-2</v>
      </c>
      <c r="K192" s="29">
        <v>300</v>
      </c>
      <c r="L192" s="29">
        <v>475</v>
      </c>
      <c r="M192" s="30">
        <v>-68.921899999999994</v>
      </c>
      <c r="N192" s="30">
        <v>0.27637854636591475</v>
      </c>
      <c r="O192" s="29">
        <v>1</v>
      </c>
      <c r="R192" s="27">
        <v>94</v>
      </c>
      <c r="S192" s="28" t="s">
        <v>643</v>
      </c>
      <c r="T192" s="28" t="s">
        <v>380</v>
      </c>
      <c r="U192" s="28">
        <v>1E-4</v>
      </c>
      <c r="V192" s="28">
        <v>2.8500000000000001E-2</v>
      </c>
      <c r="W192" s="28">
        <v>3.7999999999999999E-2</v>
      </c>
      <c r="X192" s="28">
        <v>-1E-4</v>
      </c>
      <c r="Y192" s="28">
        <v>-2.87E-2</v>
      </c>
      <c r="Z192" s="28">
        <v>-3.8300000000000001E-2</v>
      </c>
      <c r="AA192" s="29">
        <v>300</v>
      </c>
      <c r="AB192" s="29">
        <v>475</v>
      </c>
      <c r="AC192" s="30">
        <v>-69.028499999999994</v>
      </c>
      <c r="AD192" s="30">
        <v>0.276806015037594</v>
      </c>
      <c r="AE192" s="29">
        <v>1</v>
      </c>
    </row>
    <row r="193" spans="2:31" x14ac:dyDescent="0.2">
      <c r="B193" s="27">
        <v>94</v>
      </c>
      <c r="C193" s="28" t="s">
        <v>644</v>
      </c>
      <c r="D193" s="28" t="s">
        <v>382</v>
      </c>
      <c r="E193" s="28">
        <v>1E-4</v>
      </c>
      <c r="F193" s="28">
        <v>2.8500000000000001E-2</v>
      </c>
      <c r="G193" s="28">
        <v>3.7999999999999999E-2</v>
      </c>
      <c r="H193" s="28">
        <v>-1E-4</v>
      </c>
      <c r="I193" s="28">
        <v>-2.87E-2</v>
      </c>
      <c r="J193" s="28">
        <v>-3.8300000000000001E-2</v>
      </c>
      <c r="K193" s="29">
        <v>300</v>
      </c>
      <c r="L193" s="29">
        <v>475</v>
      </c>
      <c r="M193" s="30">
        <v>74.471599999999995</v>
      </c>
      <c r="N193" s="30">
        <v>0.29863298245614034</v>
      </c>
      <c r="O193" s="29">
        <v>1</v>
      </c>
      <c r="R193" s="27">
        <v>94</v>
      </c>
      <c r="S193" s="28" t="s">
        <v>644</v>
      </c>
      <c r="T193" s="28" t="s">
        <v>382</v>
      </c>
      <c r="U193" s="28">
        <v>1E-4</v>
      </c>
      <c r="V193" s="28">
        <v>2.8500000000000001E-2</v>
      </c>
      <c r="W193" s="28">
        <v>3.7999999999999999E-2</v>
      </c>
      <c r="X193" s="28">
        <v>-1E-4</v>
      </c>
      <c r="Y193" s="28">
        <v>-2.87E-2</v>
      </c>
      <c r="Z193" s="28">
        <v>-3.8300000000000001E-2</v>
      </c>
      <c r="AA193" s="29">
        <v>300</v>
      </c>
      <c r="AB193" s="29">
        <v>475</v>
      </c>
      <c r="AC193" s="30">
        <v>68.814899999999994</v>
      </c>
      <c r="AD193" s="30">
        <v>0.27594947368421052</v>
      </c>
      <c r="AE193" s="29">
        <v>1</v>
      </c>
    </row>
    <row r="194" spans="2:31" x14ac:dyDescent="0.2">
      <c r="B194" s="27">
        <v>97</v>
      </c>
      <c r="C194" s="28" t="s">
        <v>646</v>
      </c>
      <c r="D194" s="28" t="s">
        <v>380</v>
      </c>
      <c r="E194" s="28">
        <v>1E-4</v>
      </c>
      <c r="F194" s="28">
        <v>2.8500000000000001E-2</v>
      </c>
      <c r="G194" s="28">
        <v>3.7999999999999999E-2</v>
      </c>
      <c r="H194" s="28">
        <v>-1E-4</v>
      </c>
      <c r="I194" s="28">
        <v>-2.87E-2</v>
      </c>
      <c r="J194" s="28">
        <v>-3.8300000000000001E-2</v>
      </c>
      <c r="K194" s="29">
        <v>300</v>
      </c>
      <c r="L194" s="29">
        <v>475</v>
      </c>
      <c r="M194" s="30">
        <v>-69.108400000000003</v>
      </c>
      <c r="N194" s="30">
        <v>0.2771264160401003</v>
      </c>
      <c r="O194" s="29">
        <v>1</v>
      </c>
      <c r="R194" s="27">
        <v>97</v>
      </c>
      <c r="S194" s="28" t="s">
        <v>646</v>
      </c>
      <c r="T194" s="28" t="s">
        <v>380</v>
      </c>
      <c r="U194" s="28">
        <v>1E-4</v>
      </c>
      <c r="V194" s="28">
        <v>2.8500000000000001E-2</v>
      </c>
      <c r="W194" s="28">
        <v>3.7999999999999999E-2</v>
      </c>
      <c r="X194" s="28">
        <v>-1E-4</v>
      </c>
      <c r="Y194" s="28">
        <v>-2.87E-2</v>
      </c>
      <c r="Z194" s="28">
        <v>-3.8300000000000001E-2</v>
      </c>
      <c r="AA194" s="29">
        <v>300</v>
      </c>
      <c r="AB194" s="29">
        <v>475</v>
      </c>
      <c r="AC194" s="30">
        <v>-69.215100000000007</v>
      </c>
      <c r="AD194" s="30">
        <v>0.27755428571428575</v>
      </c>
      <c r="AE194" s="29">
        <v>1</v>
      </c>
    </row>
    <row r="195" spans="2:31" x14ac:dyDescent="0.2">
      <c r="B195" s="27">
        <v>97</v>
      </c>
      <c r="C195" s="28" t="s">
        <v>647</v>
      </c>
      <c r="D195" s="28" t="s">
        <v>382</v>
      </c>
      <c r="E195" s="28">
        <v>1E-4</v>
      </c>
      <c r="F195" s="28">
        <v>2.8500000000000001E-2</v>
      </c>
      <c r="G195" s="28">
        <v>3.7999999999999999E-2</v>
      </c>
      <c r="H195" s="28">
        <v>-1E-4</v>
      </c>
      <c r="I195" s="28">
        <v>-2.87E-2</v>
      </c>
      <c r="J195" s="28">
        <v>-3.8300000000000001E-2</v>
      </c>
      <c r="K195" s="29">
        <v>300</v>
      </c>
      <c r="L195" s="29">
        <v>475</v>
      </c>
      <c r="M195" s="30">
        <v>74.471599999999995</v>
      </c>
      <c r="N195" s="30">
        <v>0.29863298245614034</v>
      </c>
      <c r="O195" s="29">
        <v>1</v>
      </c>
      <c r="R195" s="27">
        <v>97</v>
      </c>
      <c r="S195" s="28" t="s">
        <v>647</v>
      </c>
      <c r="T195" s="28" t="s">
        <v>382</v>
      </c>
      <c r="U195" s="28">
        <v>1E-4</v>
      </c>
      <c r="V195" s="28">
        <v>2.8500000000000001E-2</v>
      </c>
      <c r="W195" s="28">
        <v>3.7999999999999999E-2</v>
      </c>
      <c r="X195" s="28">
        <v>-1E-4</v>
      </c>
      <c r="Y195" s="28">
        <v>-2.87E-2</v>
      </c>
      <c r="Z195" s="28">
        <v>-3.8300000000000001E-2</v>
      </c>
      <c r="AA195" s="29">
        <v>300</v>
      </c>
      <c r="AB195" s="29">
        <v>475</v>
      </c>
      <c r="AC195" s="30">
        <v>69.021600000000007</v>
      </c>
      <c r="AD195" s="30">
        <v>0.27677834586466166</v>
      </c>
      <c r="AE195" s="29">
        <v>1</v>
      </c>
    </row>
    <row r="196" spans="2:31" x14ac:dyDescent="0.2">
      <c r="B196" s="27">
        <v>100</v>
      </c>
      <c r="C196" s="28" t="s">
        <v>649</v>
      </c>
      <c r="D196" s="28" t="s">
        <v>380</v>
      </c>
      <c r="E196" s="28">
        <v>1E-4</v>
      </c>
      <c r="F196" s="28">
        <v>2.8500000000000001E-2</v>
      </c>
      <c r="G196" s="28">
        <v>3.7900000000000003E-2</v>
      </c>
      <c r="H196" s="28">
        <v>-1E-4</v>
      </c>
      <c r="I196" s="28">
        <v>-2.9000000000000001E-2</v>
      </c>
      <c r="J196" s="28">
        <v>-3.8600000000000002E-2</v>
      </c>
      <c r="K196" s="29">
        <v>300</v>
      </c>
      <c r="L196" s="29">
        <v>475</v>
      </c>
      <c r="M196" s="30">
        <v>-73.323700000000002</v>
      </c>
      <c r="N196" s="30">
        <v>0.29402987468671676</v>
      </c>
      <c r="O196" s="29">
        <v>1</v>
      </c>
      <c r="R196" s="27">
        <v>100</v>
      </c>
      <c r="S196" s="28" t="s">
        <v>649</v>
      </c>
      <c r="T196" s="28" t="s">
        <v>380</v>
      </c>
      <c r="U196" s="28">
        <v>1E-4</v>
      </c>
      <c r="V196" s="28">
        <v>2.8500000000000001E-2</v>
      </c>
      <c r="W196" s="28">
        <v>3.7900000000000003E-2</v>
      </c>
      <c r="X196" s="28">
        <v>-1E-4</v>
      </c>
      <c r="Y196" s="28">
        <v>-2.9000000000000001E-2</v>
      </c>
      <c r="Z196" s="28">
        <v>-3.8600000000000002E-2</v>
      </c>
      <c r="AA196" s="29">
        <v>300</v>
      </c>
      <c r="AB196" s="29">
        <v>475</v>
      </c>
      <c r="AC196" s="30">
        <v>-73.433099999999996</v>
      </c>
      <c r="AD196" s="30">
        <v>0.29446857142857141</v>
      </c>
      <c r="AE196" s="29">
        <v>1</v>
      </c>
    </row>
    <row r="197" spans="2:31" x14ac:dyDescent="0.2">
      <c r="B197" s="27">
        <v>100</v>
      </c>
      <c r="C197" s="28" t="s">
        <v>650</v>
      </c>
      <c r="D197" s="28" t="s">
        <v>382</v>
      </c>
      <c r="E197" s="28">
        <v>1E-4</v>
      </c>
      <c r="F197" s="28">
        <v>2.8500000000000001E-2</v>
      </c>
      <c r="G197" s="28">
        <v>3.7900000000000003E-2</v>
      </c>
      <c r="H197" s="28">
        <v>-1E-4</v>
      </c>
      <c r="I197" s="28">
        <v>-2.9000000000000001E-2</v>
      </c>
      <c r="J197" s="28">
        <v>-3.8600000000000002E-2</v>
      </c>
      <c r="K197" s="29">
        <v>300</v>
      </c>
      <c r="L197" s="29">
        <v>475</v>
      </c>
      <c r="M197" s="30">
        <v>73.382999999999996</v>
      </c>
      <c r="N197" s="30">
        <v>0.29426766917293234</v>
      </c>
      <c r="O197" s="29">
        <v>1</v>
      </c>
      <c r="R197" s="27">
        <v>100</v>
      </c>
      <c r="S197" s="28" t="s">
        <v>650</v>
      </c>
      <c r="T197" s="28" t="s">
        <v>382</v>
      </c>
      <c r="U197" s="28">
        <v>1E-4</v>
      </c>
      <c r="V197" s="28">
        <v>2.8500000000000001E-2</v>
      </c>
      <c r="W197" s="28">
        <v>3.7900000000000003E-2</v>
      </c>
      <c r="X197" s="28">
        <v>-1E-4</v>
      </c>
      <c r="Y197" s="28">
        <v>-2.9000000000000001E-2</v>
      </c>
      <c r="Z197" s="28">
        <v>-3.8600000000000002E-2</v>
      </c>
      <c r="AA197" s="29">
        <v>300</v>
      </c>
      <c r="AB197" s="29">
        <v>475</v>
      </c>
      <c r="AC197" s="30">
        <v>69.021600000000007</v>
      </c>
      <c r="AD197" s="30">
        <v>0.27677834586466166</v>
      </c>
      <c r="AE197" s="29">
        <v>1</v>
      </c>
    </row>
    <row r="198" spans="2:31" x14ac:dyDescent="0.2">
      <c r="B198" s="27">
        <v>103</v>
      </c>
      <c r="C198" s="28" t="s">
        <v>652</v>
      </c>
      <c r="D198" s="28" t="s">
        <v>380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-2.86E-2</v>
      </c>
      <c r="J198" s="28">
        <v>-3.8100000000000002E-2</v>
      </c>
      <c r="K198" s="29">
        <v>300</v>
      </c>
      <c r="L198" s="29">
        <v>475</v>
      </c>
      <c r="M198" s="30">
        <v>-51.405999999999999</v>
      </c>
      <c r="N198" s="30">
        <v>0.20613934837092732</v>
      </c>
      <c r="O198" s="29">
        <v>1</v>
      </c>
      <c r="R198" s="27">
        <v>103</v>
      </c>
      <c r="S198" s="28" t="s">
        <v>652</v>
      </c>
      <c r="T198" s="28" t="s">
        <v>380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-2.86E-2</v>
      </c>
      <c r="Z198" s="28">
        <v>-3.8100000000000002E-2</v>
      </c>
      <c r="AA198" s="29">
        <v>300</v>
      </c>
      <c r="AB198" s="29">
        <v>475</v>
      </c>
      <c r="AC198" s="30">
        <v>-51.494500000000002</v>
      </c>
      <c r="AD198" s="30">
        <v>0.20649423558897242</v>
      </c>
      <c r="AE198" s="29">
        <v>1</v>
      </c>
    </row>
    <row r="199" spans="2:31" x14ac:dyDescent="0.2">
      <c r="B199" s="27">
        <v>103</v>
      </c>
      <c r="C199" s="28" t="s">
        <v>653</v>
      </c>
      <c r="D199" s="28" t="s">
        <v>382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-2.86E-2</v>
      </c>
      <c r="J199" s="28">
        <v>-3.8100000000000002E-2</v>
      </c>
      <c r="K199" s="29">
        <v>300</v>
      </c>
      <c r="L199" s="29">
        <v>475</v>
      </c>
      <c r="M199" s="30">
        <v>73.382999999999996</v>
      </c>
      <c r="N199" s="30">
        <v>0.29426766917293234</v>
      </c>
      <c r="O199" s="29">
        <v>1</v>
      </c>
      <c r="R199" s="27">
        <v>103</v>
      </c>
      <c r="S199" s="28" t="s">
        <v>653</v>
      </c>
      <c r="T199" s="28" t="s">
        <v>382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-2.86E-2</v>
      </c>
      <c r="Z199" s="28">
        <v>-3.8100000000000002E-2</v>
      </c>
      <c r="AA199" s="29">
        <v>300</v>
      </c>
      <c r="AB199" s="29">
        <v>475</v>
      </c>
      <c r="AC199" s="30">
        <v>51.362499999999997</v>
      </c>
      <c r="AD199" s="30">
        <v>0.20596491228070177</v>
      </c>
      <c r="AE199" s="29">
        <v>1</v>
      </c>
    </row>
    <row r="200" spans="2:31" x14ac:dyDescent="0.2">
      <c r="B200" s="27">
        <v>115</v>
      </c>
      <c r="C200" s="28" t="s">
        <v>655</v>
      </c>
      <c r="D200" s="28" t="s">
        <v>380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-2.7900000000000001E-2</v>
      </c>
      <c r="J200" s="28">
        <v>-3.7199999999999997E-2</v>
      </c>
      <c r="K200" s="29">
        <v>300</v>
      </c>
      <c r="L200" s="29">
        <v>475</v>
      </c>
      <c r="M200" s="30">
        <v>-63.567599999999999</v>
      </c>
      <c r="N200" s="30">
        <v>0.25490766917293234</v>
      </c>
      <c r="O200" s="29">
        <v>1</v>
      </c>
      <c r="R200" s="27">
        <v>115</v>
      </c>
      <c r="S200" s="28" t="s">
        <v>655</v>
      </c>
      <c r="T200" s="28" t="s">
        <v>380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-2.7900000000000001E-2</v>
      </c>
      <c r="Z200" s="28">
        <v>-3.7199999999999997E-2</v>
      </c>
      <c r="AA200" s="29">
        <v>300</v>
      </c>
      <c r="AB200" s="29">
        <v>475</v>
      </c>
      <c r="AC200" s="30">
        <v>-63.556800000000003</v>
      </c>
      <c r="AD200" s="30">
        <v>0.25486436090225567</v>
      </c>
      <c r="AE200" s="29">
        <v>1</v>
      </c>
    </row>
    <row r="201" spans="2:31" x14ac:dyDescent="0.2">
      <c r="B201" s="27">
        <v>115</v>
      </c>
      <c r="C201" s="28" t="s">
        <v>656</v>
      </c>
      <c r="D201" s="28" t="s">
        <v>382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-2.7900000000000001E-2</v>
      </c>
      <c r="J201" s="28">
        <v>-3.7199999999999997E-2</v>
      </c>
      <c r="K201" s="29">
        <v>300</v>
      </c>
      <c r="L201" s="29">
        <v>475</v>
      </c>
      <c r="M201" s="30">
        <v>73.382999999999996</v>
      </c>
      <c r="N201" s="30">
        <v>0.29426766917293234</v>
      </c>
      <c r="O201" s="29">
        <v>1</v>
      </c>
      <c r="R201" s="27">
        <v>115</v>
      </c>
      <c r="S201" s="28" t="s">
        <v>656</v>
      </c>
      <c r="T201" s="28" t="s">
        <v>382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-2.7900000000000001E-2</v>
      </c>
      <c r="Z201" s="28">
        <v>-3.7199999999999997E-2</v>
      </c>
      <c r="AA201" s="29">
        <v>300</v>
      </c>
      <c r="AB201" s="29">
        <v>475</v>
      </c>
      <c r="AC201" s="30">
        <v>51.362499999999997</v>
      </c>
      <c r="AD201" s="30">
        <v>0.20596491228070177</v>
      </c>
      <c r="AE201" s="29">
        <v>1</v>
      </c>
    </row>
    <row r="202" spans="2:31" x14ac:dyDescent="0.2">
      <c r="B202" s="27">
        <v>116</v>
      </c>
      <c r="C202" s="28" t="s">
        <v>658</v>
      </c>
      <c r="D202" s="28" t="s">
        <v>380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-2.7900000000000001E-2</v>
      </c>
      <c r="J202" s="28">
        <v>-3.7199999999999997E-2</v>
      </c>
      <c r="K202" s="29">
        <v>300</v>
      </c>
      <c r="L202" s="29">
        <v>475</v>
      </c>
      <c r="M202" s="30">
        <v>-60.101799999999997</v>
      </c>
      <c r="N202" s="30">
        <v>0.24100972431077691</v>
      </c>
      <c r="O202" s="29">
        <v>1</v>
      </c>
      <c r="R202" s="27">
        <v>116</v>
      </c>
      <c r="S202" s="28" t="s">
        <v>658</v>
      </c>
      <c r="T202" s="28" t="s">
        <v>380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-2.7900000000000001E-2</v>
      </c>
      <c r="Z202" s="28">
        <v>-3.7199999999999997E-2</v>
      </c>
      <c r="AA202" s="29">
        <v>300</v>
      </c>
      <c r="AB202" s="29">
        <v>475</v>
      </c>
      <c r="AC202" s="30">
        <v>-60.0931</v>
      </c>
      <c r="AD202" s="30">
        <v>0.24097483709273182</v>
      </c>
      <c r="AE202" s="29">
        <v>1</v>
      </c>
    </row>
    <row r="203" spans="2:31" x14ac:dyDescent="0.2">
      <c r="B203" s="27">
        <v>116</v>
      </c>
      <c r="C203" s="28" t="s">
        <v>659</v>
      </c>
      <c r="D203" s="28" t="s">
        <v>382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-2.7900000000000001E-2</v>
      </c>
      <c r="J203" s="28">
        <v>-3.7199999999999997E-2</v>
      </c>
      <c r="K203" s="29">
        <v>300</v>
      </c>
      <c r="L203" s="29">
        <v>475</v>
      </c>
      <c r="M203" s="30">
        <v>73.382999999999996</v>
      </c>
      <c r="N203" s="30">
        <v>0.29426766917293234</v>
      </c>
      <c r="O203" s="29">
        <v>1</v>
      </c>
      <c r="R203" s="27">
        <v>116</v>
      </c>
      <c r="S203" s="28" t="s">
        <v>659</v>
      </c>
      <c r="T203" s="28" t="s">
        <v>382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-2.7900000000000001E-2</v>
      </c>
      <c r="Z203" s="28">
        <v>-3.7199999999999997E-2</v>
      </c>
      <c r="AA203" s="29">
        <v>300</v>
      </c>
      <c r="AB203" s="29">
        <v>475</v>
      </c>
      <c r="AC203" s="30">
        <v>51.362499999999997</v>
      </c>
      <c r="AD203" s="30">
        <v>0.20596491228070177</v>
      </c>
      <c r="AE203" s="29">
        <v>1</v>
      </c>
    </row>
    <row r="204" spans="2:31" x14ac:dyDescent="0.2">
      <c r="B204" s="27">
        <v>117</v>
      </c>
      <c r="C204" s="28" t="s">
        <v>660</v>
      </c>
      <c r="D204" s="28" t="s">
        <v>380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-2.7900000000000001E-2</v>
      </c>
      <c r="J204" s="28">
        <v>-3.7199999999999997E-2</v>
      </c>
      <c r="K204" s="29">
        <v>300</v>
      </c>
      <c r="L204" s="29">
        <v>475</v>
      </c>
      <c r="M204" s="30">
        <v>-63.048299999999998</v>
      </c>
      <c r="N204" s="30">
        <v>0.25282526315789472</v>
      </c>
      <c r="O204" s="29">
        <v>1</v>
      </c>
      <c r="R204" s="27">
        <v>117</v>
      </c>
      <c r="S204" s="28" t="s">
        <v>660</v>
      </c>
      <c r="T204" s="28" t="s">
        <v>380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-2.7900000000000001E-2</v>
      </c>
      <c r="Z204" s="28">
        <v>-3.7199999999999997E-2</v>
      </c>
      <c r="AA204" s="29">
        <v>300</v>
      </c>
      <c r="AB204" s="29">
        <v>475</v>
      </c>
      <c r="AC204" s="30">
        <v>-63.039299999999997</v>
      </c>
      <c r="AD204" s="30">
        <v>0.25278917293233083</v>
      </c>
      <c r="AE204" s="29">
        <v>1</v>
      </c>
    </row>
    <row r="205" spans="2:31" x14ac:dyDescent="0.2">
      <c r="B205" s="27">
        <v>117</v>
      </c>
      <c r="C205" s="28" t="s">
        <v>661</v>
      </c>
      <c r="D205" s="28" t="s">
        <v>382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-2.7900000000000001E-2</v>
      </c>
      <c r="J205" s="28">
        <v>-3.7199999999999997E-2</v>
      </c>
      <c r="K205" s="29">
        <v>300</v>
      </c>
      <c r="L205" s="29">
        <v>475</v>
      </c>
      <c r="M205" s="30">
        <v>73.382999999999996</v>
      </c>
      <c r="N205" s="30">
        <v>0.29426766917293234</v>
      </c>
      <c r="O205" s="29">
        <v>1</v>
      </c>
      <c r="R205" s="27">
        <v>117</v>
      </c>
      <c r="S205" s="28" t="s">
        <v>661</v>
      </c>
      <c r="T205" s="28" t="s">
        <v>382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-2.7900000000000001E-2</v>
      </c>
      <c r="Z205" s="28">
        <v>-3.7199999999999997E-2</v>
      </c>
      <c r="AA205" s="29">
        <v>300</v>
      </c>
      <c r="AB205" s="29">
        <v>475</v>
      </c>
      <c r="AC205" s="30">
        <v>51.362499999999997</v>
      </c>
      <c r="AD205" s="30">
        <v>0.20596491228070177</v>
      </c>
      <c r="AE205" s="29">
        <v>1</v>
      </c>
    </row>
    <row r="206" spans="2:31" x14ac:dyDescent="0.2">
      <c r="B206" s="27">
        <v>118</v>
      </c>
      <c r="C206" s="28" t="s">
        <v>662</v>
      </c>
      <c r="D206" s="28" t="s">
        <v>380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-2.7900000000000001E-2</v>
      </c>
      <c r="J206" s="28">
        <v>-3.7199999999999997E-2</v>
      </c>
      <c r="K206" s="29">
        <v>300</v>
      </c>
      <c r="L206" s="29">
        <v>475</v>
      </c>
      <c r="M206" s="30">
        <v>-63.433799999999998</v>
      </c>
      <c r="N206" s="30">
        <v>0.25437112781954885</v>
      </c>
      <c r="O206" s="29">
        <v>1</v>
      </c>
      <c r="R206" s="27">
        <v>118</v>
      </c>
      <c r="S206" s="28" t="s">
        <v>662</v>
      </c>
      <c r="T206" s="28" t="s">
        <v>380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-2.7900000000000001E-2</v>
      </c>
      <c r="Z206" s="28">
        <v>-3.7199999999999997E-2</v>
      </c>
      <c r="AA206" s="29">
        <v>300</v>
      </c>
      <c r="AB206" s="29">
        <v>475</v>
      </c>
      <c r="AC206" s="30">
        <v>-63.423400000000001</v>
      </c>
      <c r="AD206" s="30">
        <v>0.25432942355889726</v>
      </c>
      <c r="AE206" s="29">
        <v>1</v>
      </c>
    </row>
    <row r="207" spans="2:31" x14ac:dyDescent="0.2">
      <c r="B207" s="27">
        <v>118</v>
      </c>
      <c r="C207" s="28" t="s">
        <v>663</v>
      </c>
      <c r="D207" s="28" t="s">
        <v>382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-2.7900000000000001E-2</v>
      </c>
      <c r="J207" s="28">
        <v>-3.7199999999999997E-2</v>
      </c>
      <c r="K207" s="29">
        <v>300</v>
      </c>
      <c r="L207" s="29">
        <v>475</v>
      </c>
      <c r="M207" s="30">
        <v>73.382999999999996</v>
      </c>
      <c r="N207" s="30">
        <v>0.29426766917293234</v>
      </c>
      <c r="O207" s="29">
        <v>1</v>
      </c>
      <c r="R207" s="27">
        <v>118</v>
      </c>
      <c r="S207" s="28" t="s">
        <v>663</v>
      </c>
      <c r="T207" s="28" t="s">
        <v>382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-2.7900000000000001E-2</v>
      </c>
      <c r="Z207" s="28">
        <v>-3.7199999999999997E-2</v>
      </c>
      <c r="AA207" s="29">
        <v>300</v>
      </c>
      <c r="AB207" s="29">
        <v>475</v>
      </c>
      <c r="AC207" s="30">
        <v>51.362499999999997</v>
      </c>
      <c r="AD207" s="30">
        <v>0.20596491228070177</v>
      </c>
      <c r="AE207" s="29">
        <v>1</v>
      </c>
    </row>
    <row r="208" spans="2:31" x14ac:dyDescent="0.2">
      <c r="B208" s="27">
        <v>119</v>
      </c>
      <c r="C208" s="28" t="s">
        <v>665</v>
      </c>
      <c r="D208" s="28" t="s">
        <v>380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-2.7900000000000001E-2</v>
      </c>
      <c r="J208" s="28">
        <v>-3.7199999999999997E-2</v>
      </c>
      <c r="K208" s="29">
        <v>300</v>
      </c>
      <c r="L208" s="29">
        <v>475</v>
      </c>
      <c r="M208" s="30">
        <v>-61.924900000000001</v>
      </c>
      <c r="N208" s="30">
        <v>0.24832040100250627</v>
      </c>
      <c r="O208" s="29">
        <v>1</v>
      </c>
      <c r="R208" s="27">
        <v>119</v>
      </c>
      <c r="S208" s="28" t="s">
        <v>665</v>
      </c>
      <c r="T208" s="28" t="s">
        <v>380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-2.7900000000000001E-2</v>
      </c>
      <c r="Z208" s="28">
        <v>-3.7199999999999997E-2</v>
      </c>
      <c r="AA208" s="29">
        <v>300</v>
      </c>
      <c r="AB208" s="29">
        <v>475</v>
      </c>
      <c r="AC208" s="30">
        <v>-61.915999999999997</v>
      </c>
      <c r="AD208" s="30">
        <v>0.24828471177944861</v>
      </c>
      <c r="AE208" s="29">
        <v>1</v>
      </c>
    </row>
    <row r="209" spans="2:31" x14ac:dyDescent="0.2">
      <c r="B209" s="27">
        <v>119</v>
      </c>
      <c r="C209" s="28" t="s">
        <v>666</v>
      </c>
      <c r="D209" s="28" t="s">
        <v>382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-2.7900000000000001E-2</v>
      </c>
      <c r="J209" s="28">
        <v>-3.7199999999999997E-2</v>
      </c>
      <c r="K209" s="29">
        <v>300</v>
      </c>
      <c r="L209" s="29">
        <v>475</v>
      </c>
      <c r="M209" s="30">
        <v>73.382999999999996</v>
      </c>
      <c r="N209" s="30">
        <v>0.29426766917293234</v>
      </c>
      <c r="O209" s="29">
        <v>1</v>
      </c>
      <c r="R209" s="27">
        <v>119</v>
      </c>
      <c r="S209" s="28" t="s">
        <v>666</v>
      </c>
      <c r="T209" s="28" t="s">
        <v>382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-2.7900000000000001E-2</v>
      </c>
      <c r="Z209" s="28">
        <v>-3.7199999999999997E-2</v>
      </c>
      <c r="AA209" s="29">
        <v>300</v>
      </c>
      <c r="AB209" s="29">
        <v>475</v>
      </c>
      <c r="AC209" s="30">
        <v>51.362499999999997</v>
      </c>
      <c r="AD209" s="30">
        <v>0.20596491228070177</v>
      </c>
      <c r="AE209" s="29">
        <v>1</v>
      </c>
    </row>
    <row r="210" spans="2:31" x14ac:dyDescent="0.2">
      <c r="B210" s="27">
        <v>89</v>
      </c>
      <c r="C210" s="28" t="s">
        <v>668</v>
      </c>
      <c r="D210" s="28" t="s">
        <v>380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-2.86E-2</v>
      </c>
      <c r="J210" s="28">
        <v>-3.8100000000000002E-2</v>
      </c>
      <c r="K210" s="29">
        <v>300</v>
      </c>
      <c r="L210" s="29">
        <v>475</v>
      </c>
      <c r="M210" s="30">
        <v>-58.599200000000003</v>
      </c>
      <c r="N210" s="30">
        <v>0.23498426065162908</v>
      </c>
      <c r="O210" s="29">
        <v>1</v>
      </c>
      <c r="R210" s="27">
        <v>89</v>
      </c>
      <c r="S210" s="28" t="s">
        <v>668</v>
      </c>
      <c r="T210" s="28" t="s">
        <v>380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-2.86E-2</v>
      </c>
      <c r="Z210" s="28">
        <v>-3.8100000000000002E-2</v>
      </c>
      <c r="AA210" s="29">
        <v>300</v>
      </c>
      <c r="AB210" s="29">
        <v>475</v>
      </c>
      <c r="AC210" s="30">
        <v>-58.676400000000001</v>
      </c>
      <c r="AD210" s="30">
        <v>0.23529383458646616</v>
      </c>
      <c r="AE210" s="29">
        <v>1</v>
      </c>
    </row>
    <row r="211" spans="2:31" x14ac:dyDescent="0.2">
      <c r="B211" s="27">
        <v>89</v>
      </c>
      <c r="C211" s="28" t="s">
        <v>669</v>
      </c>
      <c r="D211" s="28" t="s">
        <v>382</v>
      </c>
      <c r="E211" s="28">
        <v>1E-4</v>
      </c>
      <c r="F211" s="28">
        <v>2.8400000000000002E-2</v>
      </c>
      <c r="G211" s="28">
        <v>3.7900000000000003E-2</v>
      </c>
      <c r="H211" s="28">
        <v>-1E-4</v>
      </c>
      <c r="I211" s="28">
        <v>-2.8400000000000002E-2</v>
      </c>
      <c r="J211" s="28">
        <v>-3.7900000000000003E-2</v>
      </c>
      <c r="K211" s="29">
        <v>300</v>
      </c>
      <c r="L211" s="29">
        <v>475</v>
      </c>
      <c r="M211" s="30">
        <v>73.382999999999996</v>
      </c>
      <c r="N211" s="30">
        <v>0.29426766917293234</v>
      </c>
      <c r="O211" s="29">
        <v>1</v>
      </c>
      <c r="R211" s="27">
        <v>89</v>
      </c>
      <c r="S211" s="28" t="s">
        <v>669</v>
      </c>
      <c r="T211" s="28" t="s">
        <v>382</v>
      </c>
      <c r="U211" s="28">
        <v>1E-4</v>
      </c>
      <c r="V211" s="28">
        <v>2.8400000000000002E-2</v>
      </c>
      <c r="W211" s="28">
        <v>3.7900000000000003E-2</v>
      </c>
      <c r="X211" s="28">
        <v>-1E-4</v>
      </c>
      <c r="Y211" s="28">
        <v>-2.8400000000000002E-2</v>
      </c>
      <c r="Z211" s="28">
        <v>-3.7900000000000003E-2</v>
      </c>
      <c r="AA211" s="29">
        <v>300</v>
      </c>
      <c r="AB211" s="29">
        <v>475</v>
      </c>
      <c r="AC211" s="30">
        <v>51.362499999999997</v>
      </c>
      <c r="AD211" s="30">
        <v>0.20596491228070177</v>
      </c>
      <c r="AE211" s="29">
        <v>1</v>
      </c>
    </row>
    <row r="212" spans="2:31" x14ac:dyDescent="0.2">
      <c r="B212" s="27">
        <v>92</v>
      </c>
      <c r="C212" s="28" t="s">
        <v>671</v>
      </c>
      <c r="D212" s="28" t="s">
        <v>380</v>
      </c>
      <c r="E212" s="28">
        <v>1E-4</v>
      </c>
      <c r="F212" s="28">
        <v>2.8500000000000001E-2</v>
      </c>
      <c r="G212" s="28">
        <v>3.7900000000000003E-2</v>
      </c>
      <c r="H212" s="28">
        <v>-1E-4</v>
      </c>
      <c r="I212" s="28">
        <v>-2.9000000000000001E-2</v>
      </c>
      <c r="J212" s="28">
        <v>-3.8600000000000002E-2</v>
      </c>
      <c r="K212" s="29">
        <v>300</v>
      </c>
      <c r="L212" s="29">
        <v>475</v>
      </c>
      <c r="M212" s="30">
        <v>-74.006</v>
      </c>
      <c r="N212" s="30">
        <v>0.2967659147869674</v>
      </c>
      <c r="O212" s="29">
        <v>1</v>
      </c>
      <c r="R212" s="27">
        <v>92</v>
      </c>
      <c r="S212" s="28" t="s">
        <v>671</v>
      </c>
      <c r="T212" s="28" t="s">
        <v>380</v>
      </c>
      <c r="U212" s="28">
        <v>1E-4</v>
      </c>
      <c r="V212" s="28">
        <v>2.8500000000000001E-2</v>
      </c>
      <c r="W212" s="28">
        <v>3.7900000000000003E-2</v>
      </c>
      <c r="X212" s="28">
        <v>-1E-4</v>
      </c>
      <c r="Y212" s="28">
        <v>-2.9000000000000001E-2</v>
      </c>
      <c r="Z212" s="28">
        <v>-3.8600000000000002E-2</v>
      </c>
      <c r="AA212" s="29">
        <v>300</v>
      </c>
      <c r="AB212" s="29">
        <v>475</v>
      </c>
      <c r="AC212" s="30">
        <v>-74.114199999999997</v>
      </c>
      <c r="AD212" s="30">
        <v>0.29719979949874686</v>
      </c>
      <c r="AE212" s="29">
        <v>1</v>
      </c>
    </row>
    <row r="213" spans="2:31" x14ac:dyDescent="0.2">
      <c r="B213" s="27">
        <v>92</v>
      </c>
      <c r="C213" s="28" t="s">
        <v>672</v>
      </c>
      <c r="D213" s="28" t="s">
        <v>382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73.382999999999996</v>
      </c>
      <c r="N213" s="30">
        <v>0.29426766917293234</v>
      </c>
      <c r="O213" s="29">
        <v>1</v>
      </c>
      <c r="R213" s="27">
        <v>92</v>
      </c>
      <c r="S213" s="28" t="s">
        <v>672</v>
      </c>
      <c r="T213" s="28" t="s">
        <v>382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51.362499999999997</v>
      </c>
      <c r="AD213" s="30">
        <v>0.20596491228070177</v>
      </c>
      <c r="AE213" s="29">
        <v>1</v>
      </c>
    </row>
    <row r="214" spans="2:31" x14ac:dyDescent="0.2">
      <c r="B214" s="27">
        <v>95</v>
      </c>
      <c r="C214" s="28" t="s">
        <v>674</v>
      </c>
      <c r="D214" s="28" t="s">
        <v>380</v>
      </c>
      <c r="E214" s="28">
        <v>1E-4</v>
      </c>
      <c r="F214" s="28">
        <v>2.8500000000000001E-2</v>
      </c>
      <c r="G214" s="28">
        <v>3.7999999999999999E-2</v>
      </c>
      <c r="H214" s="28">
        <v>-1E-4</v>
      </c>
      <c r="I214" s="28">
        <v>-2.87E-2</v>
      </c>
      <c r="J214" s="28">
        <v>-3.8300000000000001E-2</v>
      </c>
      <c r="K214" s="29">
        <v>300</v>
      </c>
      <c r="L214" s="29">
        <v>475</v>
      </c>
      <c r="M214" s="30">
        <v>-68.839200000000005</v>
      </c>
      <c r="N214" s="30">
        <v>0.27604691729323311</v>
      </c>
      <c r="O214" s="29">
        <v>1</v>
      </c>
      <c r="R214" s="27">
        <v>95</v>
      </c>
      <c r="S214" s="28" t="s">
        <v>674</v>
      </c>
      <c r="T214" s="28" t="s">
        <v>380</v>
      </c>
      <c r="U214" s="28">
        <v>1E-4</v>
      </c>
      <c r="V214" s="28">
        <v>2.8500000000000001E-2</v>
      </c>
      <c r="W214" s="28">
        <v>3.7999999999999999E-2</v>
      </c>
      <c r="X214" s="28">
        <v>-1E-4</v>
      </c>
      <c r="Y214" s="28">
        <v>-2.87E-2</v>
      </c>
      <c r="Z214" s="28">
        <v>-3.8300000000000001E-2</v>
      </c>
      <c r="AA214" s="29">
        <v>300</v>
      </c>
      <c r="AB214" s="29">
        <v>475</v>
      </c>
      <c r="AC214" s="30">
        <v>-68.944599999999994</v>
      </c>
      <c r="AD214" s="30">
        <v>0.27646957393483707</v>
      </c>
      <c r="AE214" s="29">
        <v>1</v>
      </c>
    </row>
    <row r="215" spans="2:31" x14ac:dyDescent="0.2">
      <c r="B215" s="27">
        <v>95</v>
      </c>
      <c r="C215" s="28" t="s">
        <v>675</v>
      </c>
      <c r="D215" s="28" t="s">
        <v>382</v>
      </c>
      <c r="E215" s="28">
        <v>1E-4</v>
      </c>
      <c r="F215" s="28">
        <v>2.8500000000000001E-2</v>
      </c>
      <c r="G215" s="28">
        <v>3.7999999999999999E-2</v>
      </c>
      <c r="H215" s="28">
        <v>-1E-4</v>
      </c>
      <c r="I215" s="28">
        <v>-2.87E-2</v>
      </c>
      <c r="J215" s="28">
        <v>-3.8300000000000001E-2</v>
      </c>
      <c r="K215" s="29">
        <v>300</v>
      </c>
      <c r="L215" s="29">
        <v>475</v>
      </c>
      <c r="M215" s="30">
        <v>73.382999999999996</v>
      </c>
      <c r="N215" s="30">
        <v>0.29426766917293234</v>
      </c>
      <c r="O215" s="29">
        <v>1</v>
      </c>
      <c r="R215" s="27">
        <v>95</v>
      </c>
      <c r="S215" s="28" t="s">
        <v>675</v>
      </c>
      <c r="T215" s="28" t="s">
        <v>382</v>
      </c>
      <c r="U215" s="28">
        <v>1E-4</v>
      </c>
      <c r="V215" s="28">
        <v>2.8500000000000001E-2</v>
      </c>
      <c r="W215" s="28">
        <v>3.7999999999999999E-2</v>
      </c>
      <c r="X215" s="28">
        <v>-1E-4</v>
      </c>
      <c r="Y215" s="28">
        <v>-2.87E-2</v>
      </c>
      <c r="Z215" s="28">
        <v>-3.8300000000000001E-2</v>
      </c>
      <c r="AA215" s="29">
        <v>300</v>
      </c>
      <c r="AB215" s="29">
        <v>475</v>
      </c>
      <c r="AC215" s="30">
        <v>51.362499999999997</v>
      </c>
      <c r="AD215" s="30">
        <v>0.20596491228070177</v>
      </c>
      <c r="AE215" s="29">
        <v>1</v>
      </c>
    </row>
    <row r="216" spans="2:31" x14ac:dyDescent="0.2">
      <c r="B216" s="27">
        <v>98</v>
      </c>
      <c r="C216" s="28" t="s">
        <v>677</v>
      </c>
      <c r="D216" s="28" t="s">
        <v>380</v>
      </c>
      <c r="E216" s="28">
        <v>1E-4</v>
      </c>
      <c r="F216" s="28">
        <v>2.8500000000000001E-2</v>
      </c>
      <c r="G216" s="28">
        <v>3.7999999999999999E-2</v>
      </c>
      <c r="H216" s="28">
        <v>-1E-4</v>
      </c>
      <c r="I216" s="28">
        <v>-2.87E-2</v>
      </c>
      <c r="J216" s="28">
        <v>-3.8300000000000001E-2</v>
      </c>
      <c r="K216" s="29">
        <v>300</v>
      </c>
      <c r="L216" s="29">
        <v>475</v>
      </c>
      <c r="M216" s="30">
        <v>-69.227199999999996</v>
      </c>
      <c r="N216" s="30">
        <v>0.27760280701754386</v>
      </c>
      <c r="O216" s="29">
        <v>1</v>
      </c>
      <c r="R216" s="27">
        <v>98</v>
      </c>
      <c r="S216" s="28" t="s">
        <v>677</v>
      </c>
      <c r="T216" s="28" t="s">
        <v>380</v>
      </c>
      <c r="U216" s="28">
        <v>1E-4</v>
      </c>
      <c r="V216" s="28">
        <v>2.8500000000000001E-2</v>
      </c>
      <c r="W216" s="28">
        <v>3.7999999999999999E-2</v>
      </c>
      <c r="X216" s="28">
        <v>-1E-4</v>
      </c>
      <c r="Y216" s="28">
        <v>-2.87E-2</v>
      </c>
      <c r="Z216" s="28">
        <v>-3.8300000000000001E-2</v>
      </c>
      <c r="AA216" s="29">
        <v>300</v>
      </c>
      <c r="AB216" s="29">
        <v>475</v>
      </c>
      <c r="AC216" s="30">
        <v>-69.332599999999999</v>
      </c>
      <c r="AD216" s="30">
        <v>0.27802546365914788</v>
      </c>
      <c r="AE216" s="29">
        <v>1</v>
      </c>
    </row>
    <row r="217" spans="2:31" x14ac:dyDescent="0.2">
      <c r="B217" s="27">
        <v>98</v>
      </c>
      <c r="C217" s="28" t="s">
        <v>678</v>
      </c>
      <c r="D217" s="28" t="s">
        <v>382</v>
      </c>
      <c r="E217" s="28">
        <v>1E-4</v>
      </c>
      <c r="F217" s="28">
        <v>2.8500000000000001E-2</v>
      </c>
      <c r="G217" s="28">
        <v>3.7999999999999999E-2</v>
      </c>
      <c r="H217" s="28">
        <v>-1E-4</v>
      </c>
      <c r="I217" s="28">
        <v>-2.87E-2</v>
      </c>
      <c r="J217" s="28">
        <v>-3.8300000000000001E-2</v>
      </c>
      <c r="K217" s="29">
        <v>300</v>
      </c>
      <c r="L217" s="29">
        <v>475</v>
      </c>
      <c r="M217" s="30">
        <v>73.382999999999996</v>
      </c>
      <c r="N217" s="30">
        <v>0.29426766917293234</v>
      </c>
      <c r="O217" s="29">
        <v>1</v>
      </c>
      <c r="R217" s="27">
        <v>98</v>
      </c>
      <c r="S217" s="28" t="s">
        <v>678</v>
      </c>
      <c r="T217" s="28" t="s">
        <v>382</v>
      </c>
      <c r="U217" s="28">
        <v>1E-4</v>
      </c>
      <c r="V217" s="28">
        <v>2.8500000000000001E-2</v>
      </c>
      <c r="W217" s="28">
        <v>3.7999999999999999E-2</v>
      </c>
      <c r="X217" s="28">
        <v>-1E-4</v>
      </c>
      <c r="Y217" s="28">
        <v>-2.87E-2</v>
      </c>
      <c r="Z217" s="28">
        <v>-3.8300000000000001E-2</v>
      </c>
      <c r="AA217" s="29">
        <v>300</v>
      </c>
      <c r="AB217" s="29">
        <v>475</v>
      </c>
      <c r="AC217" s="30">
        <v>51.362499999999997</v>
      </c>
      <c r="AD217" s="30">
        <v>0.20596491228070177</v>
      </c>
      <c r="AE217" s="29">
        <v>1</v>
      </c>
    </row>
    <row r="218" spans="2:31" x14ac:dyDescent="0.2">
      <c r="B218" s="27">
        <v>101</v>
      </c>
      <c r="C218" s="28" t="s">
        <v>680</v>
      </c>
      <c r="D218" s="28" t="s">
        <v>380</v>
      </c>
      <c r="E218" s="28">
        <v>1E-4</v>
      </c>
      <c r="F218" s="28">
        <v>2.8500000000000001E-2</v>
      </c>
      <c r="G218" s="28">
        <v>3.7900000000000003E-2</v>
      </c>
      <c r="H218" s="28">
        <v>-1E-4</v>
      </c>
      <c r="I218" s="28">
        <v>-2.9000000000000001E-2</v>
      </c>
      <c r="J218" s="28">
        <v>-3.8600000000000002E-2</v>
      </c>
      <c r="K218" s="29">
        <v>300</v>
      </c>
      <c r="L218" s="29">
        <v>475</v>
      </c>
      <c r="M218" s="30">
        <v>-72.988799999999998</v>
      </c>
      <c r="N218" s="30">
        <v>0.2926869172932331</v>
      </c>
      <c r="O218" s="29">
        <v>1</v>
      </c>
      <c r="R218" s="27">
        <v>101</v>
      </c>
      <c r="S218" s="28" t="s">
        <v>680</v>
      </c>
      <c r="T218" s="28" t="s">
        <v>380</v>
      </c>
      <c r="U218" s="28">
        <v>1E-4</v>
      </c>
      <c r="V218" s="28">
        <v>2.8500000000000001E-2</v>
      </c>
      <c r="W218" s="28">
        <v>3.7900000000000003E-2</v>
      </c>
      <c r="X218" s="28">
        <v>-1E-4</v>
      </c>
      <c r="Y218" s="28">
        <v>-2.9000000000000001E-2</v>
      </c>
      <c r="Z218" s="28">
        <v>-3.8600000000000002E-2</v>
      </c>
      <c r="AA218" s="29">
        <v>300</v>
      </c>
      <c r="AB218" s="29">
        <v>475</v>
      </c>
      <c r="AC218" s="30">
        <v>-73.098100000000002</v>
      </c>
      <c r="AD218" s="30">
        <v>0.29312521303258149</v>
      </c>
      <c r="AE218" s="29">
        <v>1</v>
      </c>
    </row>
    <row r="219" spans="2:31" x14ac:dyDescent="0.2">
      <c r="B219" s="27">
        <v>101</v>
      </c>
      <c r="C219" s="28" t="s">
        <v>681</v>
      </c>
      <c r="D219" s="28" t="s">
        <v>382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73.382999999999996</v>
      </c>
      <c r="N219" s="30">
        <v>0.29426766917293234</v>
      </c>
      <c r="O219" s="29">
        <v>1</v>
      </c>
      <c r="R219" s="27">
        <v>101</v>
      </c>
      <c r="S219" s="28" t="s">
        <v>681</v>
      </c>
      <c r="T219" s="28" t="s">
        <v>382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51.362499999999997</v>
      </c>
      <c r="AD219" s="30">
        <v>0.20596491228070177</v>
      </c>
      <c r="AE219" s="29">
        <v>1</v>
      </c>
    </row>
    <row r="220" spans="2:31" x14ac:dyDescent="0.2">
      <c r="B220" s="27">
        <v>104</v>
      </c>
      <c r="C220" s="28" t="s">
        <v>683</v>
      </c>
      <c r="D220" s="28" t="s">
        <v>380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-2.86E-2</v>
      </c>
      <c r="J220" s="28">
        <v>-3.8100000000000002E-2</v>
      </c>
      <c r="K220" s="29">
        <v>300</v>
      </c>
      <c r="L220" s="29">
        <v>475</v>
      </c>
      <c r="M220" s="30">
        <v>-51.915500000000002</v>
      </c>
      <c r="N220" s="30">
        <v>0.20818245614035089</v>
      </c>
      <c r="O220" s="29">
        <v>1</v>
      </c>
      <c r="R220" s="27">
        <v>104</v>
      </c>
      <c r="S220" s="28" t="s">
        <v>683</v>
      </c>
      <c r="T220" s="28" t="s">
        <v>380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-2.86E-2</v>
      </c>
      <c r="Z220" s="28">
        <v>-3.8100000000000002E-2</v>
      </c>
      <c r="AA220" s="29">
        <v>300</v>
      </c>
      <c r="AB220" s="29">
        <v>475</v>
      </c>
      <c r="AC220" s="30">
        <v>-51.997100000000003</v>
      </c>
      <c r="AD220" s="30">
        <v>0.20850967418546368</v>
      </c>
      <c r="AE220" s="29">
        <v>1</v>
      </c>
    </row>
    <row r="221" spans="2:31" x14ac:dyDescent="0.2">
      <c r="B221" s="27">
        <v>104</v>
      </c>
      <c r="C221" s="28" t="s">
        <v>684</v>
      </c>
      <c r="D221" s="28" t="s">
        <v>382</v>
      </c>
      <c r="E221" s="28">
        <v>1E-4</v>
      </c>
      <c r="F221" s="28">
        <v>2.8400000000000002E-2</v>
      </c>
      <c r="G221" s="28">
        <v>3.7900000000000003E-2</v>
      </c>
      <c r="H221" s="28">
        <v>-1E-4</v>
      </c>
      <c r="I221" s="28">
        <v>-2.8400000000000002E-2</v>
      </c>
      <c r="J221" s="28">
        <v>-3.7900000000000003E-2</v>
      </c>
      <c r="K221" s="29">
        <v>300</v>
      </c>
      <c r="L221" s="29">
        <v>475</v>
      </c>
      <c r="M221" s="30">
        <v>73.382999999999996</v>
      </c>
      <c r="N221" s="30">
        <v>0.29426766917293234</v>
      </c>
      <c r="O221" s="29">
        <v>1</v>
      </c>
      <c r="R221" s="27">
        <v>104</v>
      </c>
      <c r="S221" s="28" t="s">
        <v>684</v>
      </c>
      <c r="T221" s="28" t="s">
        <v>382</v>
      </c>
      <c r="U221" s="28">
        <v>1E-4</v>
      </c>
      <c r="V221" s="28">
        <v>2.8400000000000002E-2</v>
      </c>
      <c r="W221" s="28">
        <v>3.7900000000000003E-2</v>
      </c>
      <c r="X221" s="28">
        <v>-1E-4</v>
      </c>
      <c r="Y221" s="28">
        <v>-2.8400000000000002E-2</v>
      </c>
      <c r="Z221" s="28">
        <v>-3.7900000000000003E-2</v>
      </c>
      <c r="AA221" s="29">
        <v>300</v>
      </c>
      <c r="AB221" s="29">
        <v>475</v>
      </c>
      <c r="AC221" s="30">
        <v>51.362499999999997</v>
      </c>
      <c r="AD221" s="30">
        <v>0.20596491228070177</v>
      </c>
      <c r="AE221" s="29">
        <v>1</v>
      </c>
    </row>
    <row r="222" spans="2:31" x14ac:dyDescent="0.2">
      <c r="B222" s="27">
        <v>120</v>
      </c>
      <c r="C222" s="28" t="s">
        <v>686</v>
      </c>
      <c r="D222" s="28" t="s">
        <v>380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-2.7799999999999998E-2</v>
      </c>
      <c r="J222" s="28">
        <v>-3.6999999999999998E-2</v>
      </c>
      <c r="K222" s="29">
        <v>300</v>
      </c>
      <c r="L222" s="29">
        <v>475</v>
      </c>
      <c r="M222" s="30">
        <v>-49.117400000000004</v>
      </c>
      <c r="N222" s="30">
        <v>0.19696200501253133</v>
      </c>
      <c r="O222" s="29">
        <v>1</v>
      </c>
      <c r="R222" s="27">
        <v>120</v>
      </c>
      <c r="S222" s="28" t="s">
        <v>686</v>
      </c>
      <c r="T222" s="28" t="s">
        <v>380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-2.7799999999999998E-2</v>
      </c>
      <c r="Z222" s="28">
        <v>-3.6999999999999998E-2</v>
      </c>
      <c r="AA222" s="29">
        <v>300</v>
      </c>
      <c r="AB222" s="29">
        <v>475</v>
      </c>
      <c r="AC222" s="30">
        <v>-49.106099999999998</v>
      </c>
      <c r="AD222" s="30">
        <v>0.1969166917293233</v>
      </c>
      <c r="AE222" s="29">
        <v>1</v>
      </c>
    </row>
    <row r="223" spans="2:31" x14ac:dyDescent="0.2">
      <c r="B223" s="27">
        <v>120</v>
      </c>
      <c r="C223" s="28" t="s">
        <v>687</v>
      </c>
      <c r="D223" s="28" t="s">
        <v>382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73.382999999999996</v>
      </c>
      <c r="N223" s="30">
        <v>0.29426766917293234</v>
      </c>
      <c r="O223" s="29">
        <v>1</v>
      </c>
      <c r="R223" s="27">
        <v>120</v>
      </c>
      <c r="S223" s="28" t="s">
        <v>687</v>
      </c>
      <c r="T223" s="28" t="s">
        <v>382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51.362499999999997</v>
      </c>
      <c r="AD223" s="30">
        <v>0.20596491228070177</v>
      </c>
      <c r="AE223" s="29">
        <v>1</v>
      </c>
    </row>
    <row r="224" spans="2:31" x14ac:dyDescent="0.2">
      <c r="B224" s="27">
        <v>121</v>
      </c>
      <c r="C224" s="28" t="s">
        <v>689</v>
      </c>
      <c r="D224" s="28" t="s">
        <v>380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-54.123600000000003</v>
      </c>
      <c r="N224" s="30">
        <v>0.21703699248120303</v>
      </c>
      <c r="O224" s="29">
        <v>1</v>
      </c>
      <c r="R224" s="27">
        <v>121</v>
      </c>
      <c r="S224" s="28" t="s">
        <v>689</v>
      </c>
      <c r="T224" s="28" t="s">
        <v>380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-54.108400000000003</v>
      </c>
      <c r="AD224" s="30">
        <v>0.21697604010025062</v>
      </c>
      <c r="AE224" s="29">
        <v>1</v>
      </c>
    </row>
    <row r="225" spans="2:31" x14ac:dyDescent="0.2">
      <c r="B225" s="27">
        <v>121</v>
      </c>
      <c r="C225" s="28" t="s">
        <v>690</v>
      </c>
      <c r="D225" s="28" t="s">
        <v>382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73.382999999999996</v>
      </c>
      <c r="N225" s="30">
        <v>0.29426766917293234</v>
      </c>
      <c r="O225" s="29">
        <v>1</v>
      </c>
      <c r="R225" s="27">
        <v>121</v>
      </c>
      <c r="S225" s="28" t="s">
        <v>690</v>
      </c>
      <c r="T225" s="28" t="s">
        <v>382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51.362499999999997</v>
      </c>
      <c r="AD225" s="30">
        <v>0.20596491228070177</v>
      </c>
      <c r="AE225" s="29">
        <v>1</v>
      </c>
    </row>
    <row r="226" spans="2:31" x14ac:dyDescent="0.2">
      <c r="B226" s="27">
        <v>122</v>
      </c>
      <c r="C226" s="28" t="s">
        <v>691</v>
      </c>
      <c r="D226" s="28" t="s">
        <v>380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-51.773800000000001</v>
      </c>
      <c r="N226" s="30">
        <v>0.20761423558897243</v>
      </c>
      <c r="O226" s="29">
        <v>1</v>
      </c>
      <c r="R226" s="27">
        <v>122</v>
      </c>
      <c r="S226" s="28" t="s">
        <v>691</v>
      </c>
      <c r="T226" s="28" t="s">
        <v>380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-51.758800000000001</v>
      </c>
      <c r="AD226" s="30">
        <v>0.20755408521303259</v>
      </c>
      <c r="AE226" s="29">
        <v>1</v>
      </c>
    </row>
    <row r="227" spans="2:31" x14ac:dyDescent="0.2">
      <c r="B227" s="27">
        <v>122</v>
      </c>
      <c r="C227" s="28" t="s">
        <v>692</v>
      </c>
      <c r="D227" s="28" t="s">
        <v>382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73.382999999999996</v>
      </c>
      <c r="N227" s="30">
        <v>0.29426766917293234</v>
      </c>
      <c r="O227" s="29">
        <v>1</v>
      </c>
      <c r="R227" s="27">
        <v>122</v>
      </c>
      <c r="S227" s="28" t="s">
        <v>692</v>
      </c>
      <c r="T227" s="28" t="s">
        <v>382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51.362499999999997</v>
      </c>
      <c r="AD227" s="30">
        <v>0.20596491228070177</v>
      </c>
      <c r="AE227" s="29">
        <v>1</v>
      </c>
    </row>
    <row r="228" spans="2:31" x14ac:dyDescent="0.2">
      <c r="B228" s="27">
        <v>123</v>
      </c>
      <c r="C228" s="28" t="s">
        <v>693</v>
      </c>
      <c r="D228" s="28" t="s">
        <v>380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-51.0259</v>
      </c>
      <c r="N228" s="30">
        <v>0.20461513784461152</v>
      </c>
      <c r="O228" s="29">
        <v>1</v>
      </c>
      <c r="R228" s="27">
        <v>123</v>
      </c>
      <c r="S228" s="28" t="s">
        <v>693</v>
      </c>
      <c r="T228" s="28" t="s">
        <v>380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-51.011699999999998</v>
      </c>
      <c r="AD228" s="30">
        <v>0.20455819548872178</v>
      </c>
      <c r="AE228" s="29">
        <v>1</v>
      </c>
    </row>
    <row r="229" spans="2:31" x14ac:dyDescent="0.2">
      <c r="B229" s="27">
        <v>123</v>
      </c>
      <c r="C229" s="28" t="s">
        <v>694</v>
      </c>
      <c r="D229" s="28" t="s">
        <v>382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73.382999999999996</v>
      </c>
      <c r="N229" s="30">
        <v>0.29426766917293234</v>
      </c>
      <c r="O229" s="29">
        <v>1</v>
      </c>
      <c r="R229" s="27">
        <v>123</v>
      </c>
      <c r="S229" s="28" t="s">
        <v>694</v>
      </c>
      <c r="T229" s="28" t="s">
        <v>382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51.362499999999997</v>
      </c>
      <c r="AD229" s="30">
        <v>0.20596491228070177</v>
      </c>
      <c r="AE229" s="29">
        <v>1</v>
      </c>
    </row>
    <row r="230" spans="2:31" x14ac:dyDescent="0.2">
      <c r="B230" s="27">
        <v>124</v>
      </c>
      <c r="C230" s="28" t="s">
        <v>696</v>
      </c>
      <c r="D230" s="28" t="s">
        <v>380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-52.835500000000003</v>
      </c>
      <c r="N230" s="30">
        <v>0.21187167919799499</v>
      </c>
      <c r="O230" s="29">
        <v>1</v>
      </c>
      <c r="R230" s="27">
        <v>124</v>
      </c>
      <c r="S230" s="28" t="s">
        <v>696</v>
      </c>
      <c r="T230" s="28" t="s">
        <v>380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-52.820799999999998</v>
      </c>
      <c r="AD230" s="30">
        <v>0.21181273182957391</v>
      </c>
      <c r="AE230" s="29">
        <v>1</v>
      </c>
    </row>
    <row r="231" spans="2:31" x14ac:dyDescent="0.2">
      <c r="B231" s="27">
        <v>124</v>
      </c>
      <c r="C231" s="28" t="s">
        <v>697</v>
      </c>
      <c r="D231" s="28" t="s">
        <v>382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-2.7799999999999998E-2</v>
      </c>
      <c r="J231" s="28">
        <v>-3.6999999999999998E-2</v>
      </c>
      <c r="K231" s="29">
        <v>300</v>
      </c>
      <c r="L231" s="29">
        <v>475</v>
      </c>
      <c r="M231" s="30">
        <v>73.382999999999996</v>
      </c>
      <c r="N231" s="30">
        <v>0.29426766917293234</v>
      </c>
      <c r="O231" s="29">
        <v>1</v>
      </c>
      <c r="R231" s="27">
        <v>124</v>
      </c>
      <c r="S231" s="28" t="s">
        <v>697</v>
      </c>
      <c r="T231" s="28" t="s">
        <v>382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-2.7799999999999998E-2</v>
      </c>
      <c r="Z231" s="28">
        <v>-3.6999999999999998E-2</v>
      </c>
      <c r="AA231" s="29">
        <v>300</v>
      </c>
      <c r="AB231" s="29">
        <v>475</v>
      </c>
      <c r="AC231" s="30">
        <v>51.362499999999997</v>
      </c>
      <c r="AD231" s="30">
        <v>0.20596491228070177</v>
      </c>
      <c r="AE231" s="29">
        <v>1</v>
      </c>
    </row>
    <row r="232" spans="2:31" x14ac:dyDescent="0.2">
      <c r="B232" s="27">
        <v>167</v>
      </c>
      <c r="C232" s="28" t="s">
        <v>699</v>
      </c>
      <c r="D232" s="28" t="s">
        <v>380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-2.7799999999999998E-2</v>
      </c>
      <c r="J232" s="28">
        <v>-3.6999999999999998E-2</v>
      </c>
      <c r="K232" s="29">
        <v>300</v>
      </c>
      <c r="L232" s="29">
        <v>475</v>
      </c>
      <c r="M232" s="30">
        <v>-50.618200000000002</v>
      </c>
      <c r="N232" s="30">
        <v>0.20298025062656644</v>
      </c>
      <c r="O232" s="29">
        <v>1</v>
      </c>
      <c r="R232" s="27">
        <v>167</v>
      </c>
      <c r="S232" s="28" t="s">
        <v>699</v>
      </c>
      <c r="T232" s="28" t="s">
        <v>380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-2.7799999999999998E-2</v>
      </c>
      <c r="Z232" s="28">
        <v>-3.6999999999999998E-2</v>
      </c>
      <c r="AA232" s="29">
        <v>300</v>
      </c>
      <c r="AB232" s="29">
        <v>475</v>
      </c>
      <c r="AC232" s="30">
        <v>-50.6282</v>
      </c>
      <c r="AD232" s="30">
        <v>0.20302035087719297</v>
      </c>
      <c r="AE232" s="29">
        <v>1</v>
      </c>
    </row>
    <row r="233" spans="2:31" x14ac:dyDescent="0.2">
      <c r="B233" s="27">
        <v>167</v>
      </c>
      <c r="C233" s="28" t="s">
        <v>700</v>
      </c>
      <c r="D233" s="28" t="s">
        <v>382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73.382999999999996</v>
      </c>
      <c r="N233" s="30">
        <v>0.29426766917293234</v>
      </c>
      <c r="O233" s="29">
        <v>1</v>
      </c>
      <c r="R233" s="27">
        <v>167</v>
      </c>
      <c r="S233" s="28" t="s">
        <v>700</v>
      </c>
      <c r="T233" s="28" t="s">
        <v>382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51.362499999999997</v>
      </c>
      <c r="AD233" s="30">
        <v>0.20596491228070177</v>
      </c>
      <c r="AE233" s="29">
        <v>1</v>
      </c>
    </row>
    <row r="234" spans="2:31" x14ac:dyDescent="0.2">
      <c r="B234" s="27">
        <v>168</v>
      </c>
      <c r="C234" s="28" t="s">
        <v>702</v>
      </c>
      <c r="D234" s="28" t="s">
        <v>380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-55.630699999999997</v>
      </c>
      <c r="N234" s="30">
        <v>0.22308050125313281</v>
      </c>
      <c r="O234" s="29">
        <v>1</v>
      </c>
      <c r="R234" s="27">
        <v>168</v>
      </c>
      <c r="S234" s="28" t="s">
        <v>702</v>
      </c>
      <c r="T234" s="28" t="s">
        <v>380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-55.643099999999997</v>
      </c>
      <c r="AD234" s="30">
        <v>0.22313022556390977</v>
      </c>
      <c r="AE234" s="29">
        <v>1</v>
      </c>
    </row>
    <row r="235" spans="2:31" x14ac:dyDescent="0.2">
      <c r="B235" s="27">
        <v>168</v>
      </c>
      <c r="C235" s="28" t="s">
        <v>703</v>
      </c>
      <c r="D235" s="28" t="s">
        <v>382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73.382999999999996</v>
      </c>
      <c r="N235" s="30">
        <v>0.29426766917293234</v>
      </c>
      <c r="O235" s="29">
        <v>1</v>
      </c>
      <c r="R235" s="27">
        <v>168</v>
      </c>
      <c r="S235" s="28" t="s">
        <v>703</v>
      </c>
      <c r="T235" s="28" t="s">
        <v>382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51.362499999999997</v>
      </c>
      <c r="AD235" s="30">
        <v>0.20596491228070177</v>
      </c>
      <c r="AE235" s="29">
        <v>1</v>
      </c>
    </row>
    <row r="236" spans="2:31" x14ac:dyDescent="0.2">
      <c r="B236" s="27">
        <v>169</v>
      </c>
      <c r="C236" s="28" t="s">
        <v>704</v>
      </c>
      <c r="D236" s="28" t="s">
        <v>380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-53.365699999999997</v>
      </c>
      <c r="N236" s="30">
        <v>0.21399779448621553</v>
      </c>
      <c r="O236" s="29">
        <v>1</v>
      </c>
      <c r="R236" s="27">
        <v>169</v>
      </c>
      <c r="S236" s="28" t="s">
        <v>704</v>
      </c>
      <c r="T236" s="28" t="s">
        <v>380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-53.378300000000003</v>
      </c>
      <c r="AD236" s="30">
        <v>0.21404832080200503</v>
      </c>
      <c r="AE236" s="29">
        <v>1</v>
      </c>
    </row>
    <row r="237" spans="2:31" x14ac:dyDescent="0.2">
      <c r="B237" s="27">
        <v>169</v>
      </c>
      <c r="C237" s="28" t="s">
        <v>705</v>
      </c>
      <c r="D237" s="28" t="s">
        <v>382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73.382999999999996</v>
      </c>
      <c r="N237" s="30">
        <v>0.29426766917293234</v>
      </c>
      <c r="O237" s="29">
        <v>1</v>
      </c>
      <c r="R237" s="27">
        <v>169</v>
      </c>
      <c r="S237" s="28" t="s">
        <v>705</v>
      </c>
      <c r="T237" s="28" t="s">
        <v>382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51.362499999999997</v>
      </c>
      <c r="AD237" s="30">
        <v>0.20596491228070177</v>
      </c>
      <c r="AE237" s="29">
        <v>1</v>
      </c>
    </row>
    <row r="238" spans="2:31" x14ac:dyDescent="0.2">
      <c r="B238" s="27">
        <v>170</v>
      </c>
      <c r="C238" s="28" t="s">
        <v>706</v>
      </c>
      <c r="D238" s="28" t="s">
        <v>380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-52.571399999999997</v>
      </c>
      <c r="N238" s="30">
        <v>0.21081263157894733</v>
      </c>
      <c r="O238" s="29">
        <v>1</v>
      </c>
      <c r="R238" s="27">
        <v>170</v>
      </c>
      <c r="S238" s="28" t="s">
        <v>706</v>
      </c>
      <c r="T238" s="28" t="s">
        <v>380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-52.584000000000003</v>
      </c>
      <c r="AD238" s="30">
        <v>0.21086315789473684</v>
      </c>
      <c r="AE238" s="29">
        <v>1</v>
      </c>
    </row>
    <row r="239" spans="2:31" x14ac:dyDescent="0.2">
      <c r="B239" s="27">
        <v>170</v>
      </c>
      <c r="C239" s="28" t="s">
        <v>707</v>
      </c>
      <c r="D239" s="28" t="s">
        <v>382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73.382999999999996</v>
      </c>
      <c r="N239" s="30">
        <v>0.29426766917293234</v>
      </c>
      <c r="O239" s="29">
        <v>1</v>
      </c>
      <c r="R239" s="27">
        <v>170</v>
      </c>
      <c r="S239" s="28" t="s">
        <v>707</v>
      </c>
      <c r="T239" s="28" t="s">
        <v>382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51.362499999999997</v>
      </c>
      <c r="AD239" s="30">
        <v>0.20596491228070177</v>
      </c>
      <c r="AE239" s="29">
        <v>1</v>
      </c>
    </row>
    <row r="240" spans="2:31" x14ac:dyDescent="0.2">
      <c r="B240" s="27">
        <v>171</v>
      </c>
      <c r="C240" s="28" t="s">
        <v>709</v>
      </c>
      <c r="D240" s="28" t="s">
        <v>380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-54.132199999999997</v>
      </c>
      <c r="N240" s="30">
        <v>0.21707147869674184</v>
      </c>
      <c r="O240" s="29">
        <v>1</v>
      </c>
      <c r="R240" s="27">
        <v>171</v>
      </c>
      <c r="S240" s="28" t="s">
        <v>709</v>
      </c>
      <c r="T240" s="28" t="s">
        <v>380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-54.145200000000003</v>
      </c>
      <c r="AD240" s="30">
        <v>0.2171236090225564</v>
      </c>
      <c r="AE240" s="29">
        <v>1</v>
      </c>
    </row>
    <row r="241" spans="2:31" x14ac:dyDescent="0.2">
      <c r="B241" s="27">
        <v>171</v>
      </c>
      <c r="C241" s="28" t="s">
        <v>710</v>
      </c>
      <c r="D241" s="28" t="s">
        <v>382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-2.7799999999999998E-2</v>
      </c>
      <c r="J241" s="28">
        <v>-3.6999999999999998E-2</v>
      </c>
      <c r="K241" s="29">
        <v>300</v>
      </c>
      <c r="L241" s="29">
        <v>475</v>
      </c>
      <c r="M241" s="30">
        <v>73.382999999999996</v>
      </c>
      <c r="N241" s="30">
        <v>0.29426766917293234</v>
      </c>
      <c r="O241" s="29">
        <v>1</v>
      </c>
      <c r="R241" s="27">
        <v>171</v>
      </c>
      <c r="S241" s="28" t="s">
        <v>710</v>
      </c>
      <c r="T241" s="28" t="s">
        <v>382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-2.7799999999999998E-2</v>
      </c>
      <c r="Z241" s="28">
        <v>-3.6999999999999998E-2</v>
      </c>
      <c r="AA241" s="29">
        <v>300</v>
      </c>
      <c r="AB241" s="29">
        <v>475</v>
      </c>
      <c r="AC241" s="30">
        <v>51.362499999999997</v>
      </c>
      <c r="AD241" s="30">
        <v>0.20596491228070177</v>
      </c>
      <c r="AE241" s="29">
        <v>1</v>
      </c>
    </row>
    <row r="242" spans="2:31" x14ac:dyDescent="0.2">
      <c r="B242" s="27">
        <v>149</v>
      </c>
      <c r="C242" s="28" t="s">
        <v>712</v>
      </c>
      <c r="D242" s="28" t="s">
        <v>380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-2.86E-2</v>
      </c>
      <c r="J242" s="28">
        <v>-3.8100000000000002E-2</v>
      </c>
      <c r="K242" s="29">
        <v>300</v>
      </c>
      <c r="L242" s="29">
        <v>475</v>
      </c>
      <c r="M242" s="30">
        <v>-59.286000000000001</v>
      </c>
      <c r="N242" s="30">
        <v>0.23773834586466167</v>
      </c>
      <c r="O242" s="29">
        <v>1</v>
      </c>
      <c r="R242" s="27">
        <v>149</v>
      </c>
      <c r="S242" s="28" t="s">
        <v>712</v>
      </c>
      <c r="T242" s="28" t="s">
        <v>380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-2.86E-2</v>
      </c>
      <c r="Z242" s="28">
        <v>-3.8100000000000002E-2</v>
      </c>
      <c r="AA242" s="29">
        <v>300</v>
      </c>
      <c r="AB242" s="29">
        <v>475</v>
      </c>
      <c r="AC242" s="30">
        <v>-59.3733</v>
      </c>
      <c r="AD242" s="30">
        <v>0.23808842105263159</v>
      </c>
      <c r="AE242" s="29">
        <v>1</v>
      </c>
    </row>
    <row r="243" spans="2:31" x14ac:dyDescent="0.2">
      <c r="B243" s="27">
        <v>149</v>
      </c>
      <c r="C243" s="28" t="s">
        <v>713</v>
      </c>
      <c r="D243" s="28" t="s">
        <v>382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-2.86E-2</v>
      </c>
      <c r="J243" s="28">
        <v>-3.8100000000000002E-2</v>
      </c>
      <c r="K243" s="29">
        <v>300</v>
      </c>
      <c r="L243" s="29">
        <v>475</v>
      </c>
      <c r="M243" s="30">
        <v>73.382999999999996</v>
      </c>
      <c r="N243" s="30">
        <v>0.29426766917293234</v>
      </c>
      <c r="O243" s="29">
        <v>1</v>
      </c>
      <c r="R243" s="27">
        <v>149</v>
      </c>
      <c r="S243" s="28" t="s">
        <v>713</v>
      </c>
      <c r="T243" s="28" t="s">
        <v>382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-2.86E-2</v>
      </c>
      <c r="Z243" s="28">
        <v>-3.8100000000000002E-2</v>
      </c>
      <c r="AA243" s="29">
        <v>300</v>
      </c>
      <c r="AB243" s="29">
        <v>475</v>
      </c>
      <c r="AC243" s="30">
        <v>51.362499999999997</v>
      </c>
      <c r="AD243" s="30">
        <v>0.20596491228070177</v>
      </c>
      <c r="AE243" s="29">
        <v>1</v>
      </c>
    </row>
    <row r="244" spans="2:31" x14ac:dyDescent="0.2">
      <c r="B244" s="27">
        <v>152</v>
      </c>
      <c r="C244" s="28" t="s">
        <v>715</v>
      </c>
      <c r="D244" s="28" t="s">
        <v>380</v>
      </c>
      <c r="E244" s="28">
        <v>1E-4</v>
      </c>
      <c r="F244" s="28">
        <v>2.8500000000000001E-2</v>
      </c>
      <c r="G244" s="28">
        <v>3.7999999999999999E-2</v>
      </c>
      <c r="H244" s="28">
        <v>-1E-4</v>
      </c>
      <c r="I244" s="28">
        <v>-2.87E-2</v>
      </c>
      <c r="J244" s="28">
        <v>-3.8300000000000001E-2</v>
      </c>
      <c r="K244" s="29">
        <v>300</v>
      </c>
      <c r="L244" s="29">
        <v>475</v>
      </c>
      <c r="M244" s="30">
        <v>-70.265000000000001</v>
      </c>
      <c r="N244" s="30">
        <v>0.28176441102756894</v>
      </c>
      <c r="O244" s="29">
        <v>1</v>
      </c>
      <c r="R244" s="27">
        <v>152</v>
      </c>
      <c r="S244" s="28" t="s">
        <v>715</v>
      </c>
      <c r="T244" s="28" t="s">
        <v>380</v>
      </c>
      <c r="U244" s="28">
        <v>1E-4</v>
      </c>
      <c r="V244" s="28">
        <v>2.8500000000000001E-2</v>
      </c>
      <c r="W244" s="28">
        <v>3.7999999999999999E-2</v>
      </c>
      <c r="X244" s="28">
        <v>-1E-4</v>
      </c>
      <c r="Y244" s="28">
        <v>-2.87E-2</v>
      </c>
      <c r="Z244" s="28">
        <v>-3.8300000000000001E-2</v>
      </c>
      <c r="AA244" s="29">
        <v>300</v>
      </c>
      <c r="AB244" s="29">
        <v>475</v>
      </c>
      <c r="AC244" s="30">
        <v>-70.378299999999996</v>
      </c>
      <c r="AD244" s="30">
        <v>0.28221874686716791</v>
      </c>
      <c r="AE244" s="29">
        <v>1</v>
      </c>
    </row>
    <row r="245" spans="2:31" x14ac:dyDescent="0.2">
      <c r="B245" s="27">
        <v>152</v>
      </c>
      <c r="C245" s="28" t="s">
        <v>716</v>
      </c>
      <c r="D245" s="28" t="s">
        <v>382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73.382999999999996</v>
      </c>
      <c r="N245" s="30">
        <v>0.29426766917293234</v>
      </c>
      <c r="O245" s="29">
        <v>1</v>
      </c>
      <c r="R245" s="27">
        <v>152</v>
      </c>
      <c r="S245" s="28" t="s">
        <v>716</v>
      </c>
      <c r="T245" s="28" t="s">
        <v>382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51.362499999999997</v>
      </c>
      <c r="AD245" s="30">
        <v>0.20596491228070177</v>
      </c>
      <c r="AE245" s="29">
        <v>1</v>
      </c>
    </row>
    <row r="246" spans="2:31" x14ac:dyDescent="0.2">
      <c r="B246" s="27">
        <v>155</v>
      </c>
      <c r="C246" s="28" t="s">
        <v>718</v>
      </c>
      <c r="D246" s="28" t="s">
        <v>380</v>
      </c>
      <c r="E246" s="28">
        <v>1E-4</v>
      </c>
      <c r="F246" s="28">
        <v>2.8500000000000001E-2</v>
      </c>
      <c r="G246" s="28">
        <v>3.7999999999999999E-2</v>
      </c>
      <c r="H246" s="28">
        <v>-1E-4</v>
      </c>
      <c r="I246" s="28">
        <v>-2.87E-2</v>
      </c>
      <c r="J246" s="28">
        <v>-3.8300000000000001E-2</v>
      </c>
      <c r="K246" s="29">
        <v>300</v>
      </c>
      <c r="L246" s="29">
        <v>475</v>
      </c>
      <c r="M246" s="30">
        <v>-70.299700000000001</v>
      </c>
      <c r="N246" s="30">
        <v>0.28190355889724311</v>
      </c>
      <c r="O246" s="29">
        <v>1</v>
      </c>
      <c r="R246" s="27">
        <v>155</v>
      </c>
      <c r="S246" s="28" t="s">
        <v>718</v>
      </c>
      <c r="T246" s="28" t="s">
        <v>380</v>
      </c>
      <c r="U246" s="28">
        <v>1E-4</v>
      </c>
      <c r="V246" s="28">
        <v>2.8500000000000001E-2</v>
      </c>
      <c r="W246" s="28">
        <v>3.7999999999999999E-2</v>
      </c>
      <c r="X246" s="28">
        <v>-1E-4</v>
      </c>
      <c r="Y246" s="28">
        <v>-2.87E-2</v>
      </c>
      <c r="Z246" s="28">
        <v>-3.8300000000000001E-2</v>
      </c>
      <c r="AA246" s="29">
        <v>300</v>
      </c>
      <c r="AB246" s="29">
        <v>475</v>
      </c>
      <c r="AC246" s="30">
        <v>-70.410600000000002</v>
      </c>
      <c r="AD246" s="30">
        <v>0.28234827067669177</v>
      </c>
      <c r="AE246" s="29">
        <v>1</v>
      </c>
    </row>
    <row r="247" spans="2:31" x14ac:dyDescent="0.2">
      <c r="B247" s="27">
        <v>155</v>
      </c>
      <c r="C247" s="28" t="s">
        <v>719</v>
      </c>
      <c r="D247" s="28" t="s">
        <v>382</v>
      </c>
      <c r="E247" s="28">
        <v>1E-4</v>
      </c>
      <c r="F247" s="28">
        <v>2.8500000000000001E-2</v>
      </c>
      <c r="G247" s="28">
        <v>3.7999999999999999E-2</v>
      </c>
      <c r="H247" s="28">
        <v>-1E-4</v>
      </c>
      <c r="I247" s="28">
        <v>-2.87E-2</v>
      </c>
      <c r="J247" s="28">
        <v>-3.8300000000000001E-2</v>
      </c>
      <c r="K247" s="29">
        <v>300</v>
      </c>
      <c r="L247" s="29">
        <v>475</v>
      </c>
      <c r="M247" s="30">
        <v>73.382999999999996</v>
      </c>
      <c r="N247" s="30">
        <v>0.29426766917293234</v>
      </c>
      <c r="O247" s="29">
        <v>1</v>
      </c>
      <c r="R247" s="27">
        <v>155</v>
      </c>
      <c r="S247" s="28" t="s">
        <v>719</v>
      </c>
      <c r="T247" s="28" t="s">
        <v>382</v>
      </c>
      <c r="U247" s="28">
        <v>1E-4</v>
      </c>
      <c r="V247" s="28">
        <v>2.8500000000000001E-2</v>
      </c>
      <c r="W247" s="28">
        <v>3.7999999999999999E-2</v>
      </c>
      <c r="X247" s="28">
        <v>-1E-4</v>
      </c>
      <c r="Y247" s="28">
        <v>-2.87E-2</v>
      </c>
      <c r="Z247" s="28">
        <v>-3.8300000000000001E-2</v>
      </c>
      <c r="AA247" s="29">
        <v>300</v>
      </c>
      <c r="AB247" s="29">
        <v>475</v>
      </c>
      <c r="AC247" s="30">
        <v>51.362499999999997</v>
      </c>
      <c r="AD247" s="30">
        <v>0.20596491228070177</v>
      </c>
      <c r="AE247" s="29">
        <v>1</v>
      </c>
    </row>
    <row r="248" spans="2:31" x14ac:dyDescent="0.2">
      <c r="B248" s="27">
        <v>158</v>
      </c>
      <c r="C248" s="28" t="s">
        <v>721</v>
      </c>
      <c r="D248" s="28" t="s">
        <v>380</v>
      </c>
      <c r="E248" s="28">
        <v>1E-4</v>
      </c>
      <c r="F248" s="28">
        <v>2.8500000000000001E-2</v>
      </c>
      <c r="G248" s="28">
        <v>3.7999999999999999E-2</v>
      </c>
      <c r="H248" s="28">
        <v>-1E-4</v>
      </c>
      <c r="I248" s="28">
        <v>-2.87E-2</v>
      </c>
      <c r="J248" s="28">
        <v>-3.8300000000000001E-2</v>
      </c>
      <c r="K248" s="29">
        <v>300</v>
      </c>
      <c r="L248" s="29">
        <v>475</v>
      </c>
      <c r="M248" s="30">
        <v>-69.539400000000001</v>
      </c>
      <c r="N248" s="30">
        <v>0.27885473684210527</v>
      </c>
      <c r="O248" s="29">
        <v>1</v>
      </c>
      <c r="R248" s="27">
        <v>158</v>
      </c>
      <c r="S248" s="28" t="s">
        <v>721</v>
      </c>
      <c r="T248" s="28" t="s">
        <v>380</v>
      </c>
      <c r="U248" s="28">
        <v>1E-4</v>
      </c>
      <c r="V248" s="28">
        <v>2.8500000000000001E-2</v>
      </c>
      <c r="W248" s="28">
        <v>3.7999999999999999E-2</v>
      </c>
      <c r="X248" s="28">
        <v>-1E-4</v>
      </c>
      <c r="Y248" s="28">
        <v>-2.87E-2</v>
      </c>
      <c r="Z248" s="28">
        <v>-3.8300000000000001E-2</v>
      </c>
      <c r="AA248" s="29">
        <v>300</v>
      </c>
      <c r="AB248" s="29">
        <v>475</v>
      </c>
      <c r="AC248" s="30">
        <v>-69.650300000000001</v>
      </c>
      <c r="AD248" s="30">
        <v>0.27929944862155387</v>
      </c>
      <c r="AE248" s="29">
        <v>1</v>
      </c>
    </row>
    <row r="249" spans="2:31" x14ac:dyDescent="0.2">
      <c r="B249" s="27">
        <v>158</v>
      </c>
      <c r="C249" s="28" t="s">
        <v>722</v>
      </c>
      <c r="D249" s="28" t="s">
        <v>382</v>
      </c>
      <c r="E249" s="28">
        <v>1E-4</v>
      </c>
      <c r="F249" s="28">
        <v>2.8500000000000001E-2</v>
      </c>
      <c r="G249" s="28">
        <v>3.7999999999999999E-2</v>
      </c>
      <c r="H249" s="28">
        <v>-1E-4</v>
      </c>
      <c r="I249" s="28">
        <v>-2.87E-2</v>
      </c>
      <c r="J249" s="28">
        <v>-3.8300000000000001E-2</v>
      </c>
      <c r="K249" s="29">
        <v>300</v>
      </c>
      <c r="L249" s="29">
        <v>475</v>
      </c>
      <c r="M249" s="30">
        <v>73.382999999999996</v>
      </c>
      <c r="N249" s="30">
        <v>0.29426766917293234</v>
      </c>
      <c r="O249" s="29">
        <v>1</v>
      </c>
      <c r="R249" s="27">
        <v>158</v>
      </c>
      <c r="S249" s="28" t="s">
        <v>722</v>
      </c>
      <c r="T249" s="28" t="s">
        <v>382</v>
      </c>
      <c r="U249" s="28">
        <v>1E-4</v>
      </c>
      <c r="V249" s="28">
        <v>2.8500000000000001E-2</v>
      </c>
      <c r="W249" s="28">
        <v>3.7999999999999999E-2</v>
      </c>
      <c r="X249" s="28">
        <v>-1E-4</v>
      </c>
      <c r="Y249" s="28">
        <v>-2.87E-2</v>
      </c>
      <c r="Z249" s="28">
        <v>-3.8300000000000001E-2</v>
      </c>
      <c r="AA249" s="29">
        <v>300</v>
      </c>
      <c r="AB249" s="29">
        <v>475</v>
      </c>
      <c r="AC249" s="30">
        <v>51.362499999999997</v>
      </c>
      <c r="AD249" s="30">
        <v>0.20596491228070177</v>
      </c>
      <c r="AE249" s="29">
        <v>1</v>
      </c>
    </row>
    <row r="250" spans="2:31" x14ac:dyDescent="0.2">
      <c r="B250" s="27">
        <v>161</v>
      </c>
      <c r="C250" s="28" t="s">
        <v>724</v>
      </c>
      <c r="D250" s="28" t="s">
        <v>380</v>
      </c>
      <c r="E250" s="28">
        <v>1E-4</v>
      </c>
      <c r="F250" s="28">
        <v>2.8500000000000001E-2</v>
      </c>
      <c r="G250" s="28">
        <v>3.7999999999999999E-2</v>
      </c>
      <c r="H250" s="28">
        <v>-1E-4</v>
      </c>
      <c r="I250" s="28">
        <v>-2.87E-2</v>
      </c>
      <c r="J250" s="28">
        <v>-3.8300000000000001E-2</v>
      </c>
      <c r="K250" s="29">
        <v>300</v>
      </c>
      <c r="L250" s="29">
        <v>475</v>
      </c>
      <c r="M250" s="30">
        <v>-68.198400000000007</v>
      </c>
      <c r="N250" s="30">
        <v>0.27347729323308273</v>
      </c>
      <c r="O250" s="29">
        <v>1</v>
      </c>
      <c r="R250" s="27">
        <v>161</v>
      </c>
      <c r="S250" s="28" t="s">
        <v>724</v>
      </c>
      <c r="T250" s="28" t="s">
        <v>380</v>
      </c>
      <c r="U250" s="28">
        <v>1E-4</v>
      </c>
      <c r="V250" s="28">
        <v>2.8500000000000001E-2</v>
      </c>
      <c r="W250" s="28">
        <v>3.7999999999999999E-2</v>
      </c>
      <c r="X250" s="28">
        <v>-1E-4</v>
      </c>
      <c r="Y250" s="28">
        <v>-2.87E-2</v>
      </c>
      <c r="Z250" s="28">
        <v>-3.8300000000000001E-2</v>
      </c>
      <c r="AA250" s="29">
        <v>300</v>
      </c>
      <c r="AB250" s="29">
        <v>475</v>
      </c>
      <c r="AC250" s="30">
        <v>-68.311599999999999</v>
      </c>
      <c r="AD250" s="30">
        <v>0.27393122807017545</v>
      </c>
      <c r="AE250" s="29">
        <v>1</v>
      </c>
    </row>
    <row r="251" spans="2:31" x14ac:dyDescent="0.2">
      <c r="B251" s="27">
        <v>161</v>
      </c>
      <c r="C251" s="28" t="s">
        <v>725</v>
      </c>
      <c r="D251" s="28" t="s">
        <v>382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73.382999999999996</v>
      </c>
      <c r="N251" s="30">
        <v>0.29426766917293234</v>
      </c>
      <c r="O251" s="29">
        <v>1</v>
      </c>
      <c r="R251" s="27">
        <v>161</v>
      </c>
      <c r="S251" s="28" t="s">
        <v>725</v>
      </c>
      <c r="T251" s="28" t="s">
        <v>382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51.362499999999997</v>
      </c>
      <c r="AD251" s="30">
        <v>0.20596491228070177</v>
      </c>
      <c r="AE251" s="29">
        <v>1</v>
      </c>
    </row>
    <row r="252" spans="2:31" x14ac:dyDescent="0.2">
      <c r="B252" s="27">
        <v>164</v>
      </c>
      <c r="C252" s="28" t="s">
        <v>727</v>
      </c>
      <c r="D252" s="28" t="s">
        <v>380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-2.86E-2</v>
      </c>
      <c r="J252" s="28">
        <v>-3.8100000000000002E-2</v>
      </c>
      <c r="K252" s="29">
        <v>300</v>
      </c>
      <c r="L252" s="29">
        <v>475</v>
      </c>
      <c r="M252" s="30">
        <v>-52.763500000000001</v>
      </c>
      <c r="N252" s="30">
        <v>0.21158295739348371</v>
      </c>
      <c r="O252" s="29">
        <v>1</v>
      </c>
      <c r="R252" s="27">
        <v>164</v>
      </c>
      <c r="S252" s="28" t="s">
        <v>727</v>
      </c>
      <c r="T252" s="28" t="s">
        <v>380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-2.86E-2</v>
      </c>
      <c r="Z252" s="28">
        <v>-3.8100000000000002E-2</v>
      </c>
      <c r="AA252" s="29">
        <v>300</v>
      </c>
      <c r="AB252" s="29">
        <v>475</v>
      </c>
      <c r="AC252" s="30">
        <v>-52.849699999999999</v>
      </c>
      <c r="AD252" s="30">
        <v>0.2119286215538847</v>
      </c>
      <c r="AE252" s="29">
        <v>1</v>
      </c>
    </row>
    <row r="253" spans="2:31" x14ac:dyDescent="0.2">
      <c r="B253" s="27">
        <v>164</v>
      </c>
      <c r="C253" s="28" t="s">
        <v>728</v>
      </c>
      <c r="D253" s="28" t="s">
        <v>382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-2.86E-2</v>
      </c>
      <c r="J253" s="28">
        <v>-3.8100000000000002E-2</v>
      </c>
      <c r="K253" s="29">
        <v>300</v>
      </c>
      <c r="L253" s="29">
        <v>475</v>
      </c>
      <c r="M253" s="30">
        <v>73.382999999999996</v>
      </c>
      <c r="N253" s="30">
        <v>0.29426766917293234</v>
      </c>
      <c r="O253" s="29">
        <v>1</v>
      </c>
      <c r="R253" s="27">
        <v>164</v>
      </c>
      <c r="S253" s="28" t="s">
        <v>728</v>
      </c>
      <c r="T253" s="28" t="s">
        <v>382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-2.86E-2</v>
      </c>
      <c r="Z253" s="28">
        <v>-3.8100000000000002E-2</v>
      </c>
      <c r="AA253" s="29">
        <v>300</v>
      </c>
      <c r="AB253" s="29">
        <v>475</v>
      </c>
      <c r="AC253" s="30">
        <v>51.362499999999997</v>
      </c>
      <c r="AD253" s="30">
        <v>0.20596491228070177</v>
      </c>
      <c r="AE253" s="29">
        <v>1</v>
      </c>
    </row>
    <row r="254" spans="2:31" x14ac:dyDescent="0.2">
      <c r="B254" s="27">
        <v>172</v>
      </c>
      <c r="C254" s="28" t="s">
        <v>730</v>
      </c>
      <c r="D254" s="28" t="s">
        <v>380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-2.7900000000000001E-2</v>
      </c>
      <c r="J254" s="28">
        <v>-3.7199999999999997E-2</v>
      </c>
      <c r="K254" s="29">
        <v>300</v>
      </c>
      <c r="L254" s="29">
        <v>475</v>
      </c>
      <c r="M254" s="30">
        <v>-65.357100000000003</v>
      </c>
      <c r="N254" s="30">
        <v>0.2620836090225564</v>
      </c>
      <c r="O254" s="29">
        <v>1</v>
      </c>
      <c r="R254" s="27">
        <v>172</v>
      </c>
      <c r="S254" s="28" t="s">
        <v>730</v>
      </c>
      <c r="T254" s="28" t="s">
        <v>380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-2.7900000000000001E-2</v>
      </c>
      <c r="Z254" s="28">
        <v>-3.7199999999999997E-2</v>
      </c>
      <c r="AA254" s="29">
        <v>300</v>
      </c>
      <c r="AB254" s="29">
        <v>475</v>
      </c>
      <c r="AC254" s="30">
        <v>-65.364500000000007</v>
      </c>
      <c r="AD254" s="30">
        <v>0.26211328320802008</v>
      </c>
      <c r="AE254" s="29">
        <v>1</v>
      </c>
    </row>
    <row r="255" spans="2:31" x14ac:dyDescent="0.2">
      <c r="B255" s="27">
        <v>172</v>
      </c>
      <c r="C255" s="28" t="s">
        <v>731</v>
      </c>
      <c r="D255" s="28" t="s">
        <v>382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-2.7900000000000001E-2</v>
      </c>
      <c r="J255" s="28">
        <v>-3.7199999999999997E-2</v>
      </c>
      <c r="K255" s="29">
        <v>300</v>
      </c>
      <c r="L255" s="29">
        <v>475</v>
      </c>
      <c r="M255" s="30">
        <v>73.382999999999996</v>
      </c>
      <c r="N255" s="30">
        <v>0.29426766917293234</v>
      </c>
      <c r="O255" s="29">
        <v>1</v>
      </c>
      <c r="R255" s="27">
        <v>172</v>
      </c>
      <c r="S255" s="28" t="s">
        <v>731</v>
      </c>
      <c r="T255" s="28" t="s">
        <v>382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-2.7900000000000001E-2</v>
      </c>
      <c r="Z255" s="28">
        <v>-3.7199999999999997E-2</v>
      </c>
      <c r="AA255" s="29">
        <v>300</v>
      </c>
      <c r="AB255" s="29">
        <v>475</v>
      </c>
      <c r="AC255" s="30">
        <v>51.362499999999997</v>
      </c>
      <c r="AD255" s="30">
        <v>0.20596491228070177</v>
      </c>
      <c r="AE255" s="29">
        <v>1</v>
      </c>
    </row>
    <row r="256" spans="2:31" x14ac:dyDescent="0.2">
      <c r="B256" s="27">
        <v>173</v>
      </c>
      <c r="C256" s="28" t="s">
        <v>733</v>
      </c>
      <c r="D256" s="28" t="s">
        <v>380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-2.7900000000000001E-2</v>
      </c>
      <c r="J256" s="28">
        <v>-3.7199999999999997E-2</v>
      </c>
      <c r="K256" s="29">
        <v>300</v>
      </c>
      <c r="L256" s="29">
        <v>475</v>
      </c>
      <c r="M256" s="30">
        <v>-61.817399999999999</v>
      </c>
      <c r="N256" s="30">
        <v>0.24788932330827068</v>
      </c>
      <c r="O256" s="29">
        <v>1</v>
      </c>
      <c r="R256" s="27">
        <v>173</v>
      </c>
      <c r="S256" s="28" t="s">
        <v>733</v>
      </c>
      <c r="T256" s="28" t="s">
        <v>380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-2.7900000000000001E-2</v>
      </c>
      <c r="Z256" s="28">
        <v>-3.7199999999999997E-2</v>
      </c>
      <c r="AA256" s="29">
        <v>300</v>
      </c>
      <c r="AB256" s="29">
        <v>475</v>
      </c>
      <c r="AC256" s="30">
        <v>-61.823900000000002</v>
      </c>
      <c r="AD256" s="30">
        <v>0.24791538847117794</v>
      </c>
      <c r="AE256" s="29">
        <v>1</v>
      </c>
    </row>
    <row r="257" spans="2:31" x14ac:dyDescent="0.2">
      <c r="B257" s="27">
        <v>173</v>
      </c>
      <c r="C257" s="28" t="s">
        <v>734</v>
      </c>
      <c r="D257" s="28" t="s">
        <v>382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-2.7900000000000001E-2</v>
      </c>
      <c r="J257" s="28">
        <v>-3.7199999999999997E-2</v>
      </c>
      <c r="K257" s="29">
        <v>300</v>
      </c>
      <c r="L257" s="29">
        <v>475</v>
      </c>
      <c r="M257" s="30">
        <v>73.382999999999996</v>
      </c>
      <c r="N257" s="30">
        <v>0.29426766917293234</v>
      </c>
      <c r="O257" s="29">
        <v>1</v>
      </c>
      <c r="R257" s="27">
        <v>173</v>
      </c>
      <c r="S257" s="28" t="s">
        <v>734</v>
      </c>
      <c r="T257" s="28" t="s">
        <v>382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-2.7900000000000001E-2</v>
      </c>
      <c r="Z257" s="28">
        <v>-3.7199999999999997E-2</v>
      </c>
      <c r="AA257" s="29">
        <v>300</v>
      </c>
      <c r="AB257" s="29">
        <v>475</v>
      </c>
      <c r="AC257" s="30">
        <v>51.362499999999997</v>
      </c>
      <c r="AD257" s="30">
        <v>0.20596491228070177</v>
      </c>
      <c r="AE257" s="29">
        <v>1</v>
      </c>
    </row>
    <row r="258" spans="2:31" x14ac:dyDescent="0.2">
      <c r="B258" s="27">
        <v>174</v>
      </c>
      <c r="C258" s="28" t="s">
        <v>735</v>
      </c>
      <c r="D258" s="28" t="s">
        <v>380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-2.7900000000000001E-2</v>
      </c>
      <c r="J258" s="28">
        <v>-3.7199999999999997E-2</v>
      </c>
      <c r="K258" s="29">
        <v>300</v>
      </c>
      <c r="L258" s="29">
        <v>475</v>
      </c>
      <c r="M258" s="30">
        <v>-64.671300000000002</v>
      </c>
      <c r="N258" s="30">
        <v>0.25933353383458646</v>
      </c>
      <c r="O258" s="29">
        <v>1</v>
      </c>
      <c r="R258" s="27">
        <v>174</v>
      </c>
      <c r="S258" s="28" t="s">
        <v>735</v>
      </c>
      <c r="T258" s="28" t="s">
        <v>380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-2.7900000000000001E-2</v>
      </c>
      <c r="Z258" s="28">
        <v>-3.7199999999999997E-2</v>
      </c>
      <c r="AA258" s="29">
        <v>300</v>
      </c>
      <c r="AB258" s="29">
        <v>475</v>
      </c>
      <c r="AC258" s="30">
        <v>-64.677700000000002</v>
      </c>
      <c r="AD258" s="30">
        <v>0.25935919799498747</v>
      </c>
      <c r="AE258" s="29">
        <v>1</v>
      </c>
    </row>
    <row r="259" spans="2:31" x14ac:dyDescent="0.2">
      <c r="B259" s="27">
        <v>174</v>
      </c>
      <c r="C259" s="28" t="s">
        <v>736</v>
      </c>
      <c r="D259" s="28" t="s">
        <v>382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-2.7900000000000001E-2</v>
      </c>
      <c r="J259" s="28">
        <v>-3.7199999999999997E-2</v>
      </c>
      <c r="K259" s="29">
        <v>300</v>
      </c>
      <c r="L259" s="29">
        <v>475</v>
      </c>
      <c r="M259" s="30">
        <v>73.382999999999996</v>
      </c>
      <c r="N259" s="30">
        <v>0.29426766917293234</v>
      </c>
      <c r="O259" s="29">
        <v>1</v>
      </c>
      <c r="R259" s="27">
        <v>174</v>
      </c>
      <c r="S259" s="28" t="s">
        <v>736</v>
      </c>
      <c r="T259" s="28" t="s">
        <v>382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-2.7900000000000001E-2</v>
      </c>
      <c r="Z259" s="28">
        <v>-3.7199999999999997E-2</v>
      </c>
      <c r="AA259" s="29">
        <v>300</v>
      </c>
      <c r="AB259" s="29">
        <v>475</v>
      </c>
      <c r="AC259" s="30">
        <v>51.362499999999997</v>
      </c>
      <c r="AD259" s="30">
        <v>0.20596491228070177</v>
      </c>
      <c r="AE259" s="29">
        <v>1</v>
      </c>
    </row>
    <row r="260" spans="2:31" x14ac:dyDescent="0.2">
      <c r="B260" s="27">
        <v>175</v>
      </c>
      <c r="C260" s="28" t="s">
        <v>737</v>
      </c>
      <c r="D260" s="28" t="s">
        <v>380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-2.7900000000000001E-2</v>
      </c>
      <c r="J260" s="28">
        <v>-3.7199999999999997E-2</v>
      </c>
      <c r="K260" s="29">
        <v>300</v>
      </c>
      <c r="L260" s="29">
        <v>475</v>
      </c>
      <c r="M260" s="30">
        <v>-65.2136</v>
      </c>
      <c r="N260" s="30">
        <v>0.26150817042606517</v>
      </c>
      <c r="O260" s="29">
        <v>1</v>
      </c>
      <c r="R260" s="27">
        <v>175</v>
      </c>
      <c r="S260" s="28" t="s">
        <v>737</v>
      </c>
      <c r="T260" s="28" t="s">
        <v>380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-2.7900000000000001E-2</v>
      </c>
      <c r="Z260" s="28">
        <v>-3.7199999999999997E-2</v>
      </c>
      <c r="AA260" s="29">
        <v>300</v>
      </c>
      <c r="AB260" s="29">
        <v>475</v>
      </c>
      <c r="AC260" s="30">
        <v>-65.220600000000005</v>
      </c>
      <c r="AD260" s="30">
        <v>0.26153624060150377</v>
      </c>
      <c r="AE260" s="29">
        <v>1</v>
      </c>
    </row>
    <row r="261" spans="2:31" x14ac:dyDescent="0.2">
      <c r="B261" s="27">
        <v>175</v>
      </c>
      <c r="C261" s="28" t="s">
        <v>738</v>
      </c>
      <c r="D261" s="28" t="s">
        <v>382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-2.7900000000000001E-2</v>
      </c>
      <c r="J261" s="28">
        <v>-3.7199999999999997E-2</v>
      </c>
      <c r="K261" s="29">
        <v>300</v>
      </c>
      <c r="L261" s="29">
        <v>475</v>
      </c>
      <c r="M261" s="30">
        <v>73.382999999999996</v>
      </c>
      <c r="N261" s="30">
        <v>0.29426766917293234</v>
      </c>
      <c r="O261" s="29">
        <v>1</v>
      </c>
      <c r="R261" s="27">
        <v>175</v>
      </c>
      <c r="S261" s="28" t="s">
        <v>738</v>
      </c>
      <c r="T261" s="28" t="s">
        <v>382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-2.7900000000000001E-2</v>
      </c>
      <c r="Z261" s="28">
        <v>-3.7199999999999997E-2</v>
      </c>
      <c r="AA261" s="29">
        <v>300</v>
      </c>
      <c r="AB261" s="29">
        <v>475</v>
      </c>
      <c r="AC261" s="30">
        <v>51.362499999999997</v>
      </c>
      <c r="AD261" s="30">
        <v>0.20596491228070177</v>
      </c>
      <c r="AE261" s="29">
        <v>1</v>
      </c>
    </row>
    <row r="262" spans="2:31" x14ac:dyDescent="0.2">
      <c r="B262" s="27">
        <v>176</v>
      </c>
      <c r="C262" s="28" t="s">
        <v>740</v>
      </c>
      <c r="D262" s="28" t="s">
        <v>380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-2.7900000000000001E-2</v>
      </c>
      <c r="J262" s="28">
        <v>-3.7199999999999997E-2</v>
      </c>
      <c r="K262" s="29">
        <v>300</v>
      </c>
      <c r="L262" s="29">
        <v>475</v>
      </c>
      <c r="M262" s="30">
        <v>-63.896599999999999</v>
      </c>
      <c r="N262" s="30">
        <v>0.25622696741854634</v>
      </c>
      <c r="O262" s="29">
        <v>1</v>
      </c>
      <c r="R262" s="27">
        <v>176</v>
      </c>
      <c r="S262" s="28" t="s">
        <v>740</v>
      </c>
      <c r="T262" s="28" t="s">
        <v>380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-2.7900000000000001E-2</v>
      </c>
      <c r="Z262" s="28">
        <v>-3.7199999999999997E-2</v>
      </c>
      <c r="AA262" s="29">
        <v>300</v>
      </c>
      <c r="AB262" s="29">
        <v>475</v>
      </c>
      <c r="AC262" s="30">
        <v>-63.903300000000002</v>
      </c>
      <c r="AD262" s="30">
        <v>0.25625383458646617</v>
      </c>
      <c r="AE262" s="29">
        <v>1</v>
      </c>
    </row>
    <row r="263" spans="2:31" x14ac:dyDescent="0.2">
      <c r="B263" s="27">
        <v>176</v>
      </c>
      <c r="C263" s="28" t="s">
        <v>741</v>
      </c>
      <c r="D263" s="28" t="s">
        <v>382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-2.7900000000000001E-2</v>
      </c>
      <c r="J263" s="28">
        <v>-3.7199999999999997E-2</v>
      </c>
      <c r="K263" s="29">
        <v>300</v>
      </c>
      <c r="L263" s="29">
        <v>475</v>
      </c>
      <c r="M263" s="30">
        <v>73.382999999999996</v>
      </c>
      <c r="N263" s="30">
        <v>0.29426766917293234</v>
      </c>
      <c r="O263" s="29">
        <v>1</v>
      </c>
      <c r="R263" s="27">
        <v>176</v>
      </c>
      <c r="S263" s="28" t="s">
        <v>741</v>
      </c>
      <c r="T263" s="28" t="s">
        <v>382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-2.7900000000000001E-2</v>
      </c>
      <c r="Z263" s="28">
        <v>-3.7199999999999997E-2</v>
      </c>
      <c r="AA263" s="29">
        <v>300</v>
      </c>
      <c r="AB263" s="29">
        <v>475</v>
      </c>
      <c r="AC263" s="30">
        <v>51.362499999999997</v>
      </c>
      <c r="AD263" s="30">
        <v>0.20596491228070177</v>
      </c>
      <c r="AE263" s="29">
        <v>1</v>
      </c>
    </row>
    <row r="264" spans="2:31" x14ac:dyDescent="0.2">
      <c r="B264" s="27">
        <v>150</v>
      </c>
      <c r="C264" s="28" t="s">
        <v>743</v>
      </c>
      <c r="D264" s="28" t="s">
        <v>380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-2.86E-2</v>
      </c>
      <c r="J264" s="28">
        <v>-3.8100000000000002E-2</v>
      </c>
      <c r="K264" s="29">
        <v>300</v>
      </c>
      <c r="L264" s="29">
        <v>475</v>
      </c>
      <c r="M264" s="30">
        <v>-58.216900000000003</v>
      </c>
      <c r="N264" s="30">
        <v>0.23345122807017543</v>
      </c>
      <c r="O264" s="29">
        <v>1</v>
      </c>
      <c r="R264" s="27">
        <v>150</v>
      </c>
      <c r="S264" s="28" t="s">
        <v>743</v>
      </c>
      <c r="T264" s="28" t="s">
        <v>380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-2.86E-2</v>
      </c>
      <c r="Z264" s="28">
        <v>-3.8100000000000002E-2</v>
      </c>
      <c r="AA264" s="29">
        <v>300</v>
      </c>
      <c r="AB264" s="29">
        <v>475</v>
      </c>
      <c r="AC264" s="30">
        <v>-58.307600000000001</v>
      </c>
      <c r="AD264" s="30">
        <v>0.2338149373433584</v>
      </c>
      <c r="AE264" s="29">
        <v>1</v>
      </c>
    </row>
    <row r="265" spans="2:31" x14ac:dyDescent="0.2">
      <c r="B265" s="27">
        <v>150</v>
      </c>
      <c r="C265" s="28" t="s">
        <v>744</v>
      </c>
      <c r="D265" s="28" t="s">
        <v>382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-2.86E-2</v>
      </c>
      <c r="J265" s="28">
        <v>-3.8100000000000002E-2</v>
      </c>
      <c r="K265" s="29">
        <v>300</v>
      </c>
      <c r="L265" s="29">
        <v>475</v>
      </c>
      <c r="M265" s="30">
        <v>73.382999999999996</v>
      </c>
      <c r="N265" s="30">
        <v>0.29426766917293234</v>
      </c>
      <c r="O265" s="29">
        <v>1</v>
      </c>
      <c r="R265" s="27">
        <v>150</v>
      </c>
      <c r="S265" s="28" t="s">
        <v>744</v>
      </c>
      <c r="T265" s="28" t="s">
        <v>382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-2.86E-2</v>
      </c>
      <c r="Z265" s="28">
        <v>-3.8100000000000002E-2</v>
      </c>
      <c r="AA265" s="29">
        <v>300</v>
      </c>
      <c r="AB265" s="29">
        <v>475</v>
      </c>
      <c r="AC265" s="30">
        <v>58.108800000000002</v>
      </c>
      <c r="AD265" s="30">
        <v>0.23301774436090228</v>
      </c>
      <c r="AE265" s="29">
        <v>1</v>
      </c>
    </row>
    <row r="266" spans="2:31" x14ac:dyDescent="0.2">
      <c r="B266" s="27">
        <v>153</v>
      </c>
      <c r="C266" s="28" t="s">
        <v>746</v>
      </c>
      <c r="D266" s="28" t="s">
        <v>380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-74.542699999999996</v>
      </c>
      <c r="N266" s="30">
        <v>0.2989180952380952</v>
      </c>
      <c r="O266" s="29">
        <v>1</v>
      </c>
      <c r="R266" s="27">
        <v>153</v>
      </c>
      <c r="S266" s="28" t="s">
        <v>746</v>
      </c>
      <c r="T266" s="28" t="s">
        <v>380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-74.655799999999999</v>
      </c>
      <c r="AD266" s="30">
        <v>0.29937162907268172</v>
      </c>
      <c r="AE266" s="29">
        <v>1</v>
      </c>
    </row>
    <row r="267" spans="2:31" x14ac:dyDescent="0.2">
      <c r="B267" s="27">
        <v>153</v>
      </c>
      <c r="C267" s="28" t="s">
        <v>747</v>
      </c>
      <c r="D267" s="28" t="s">
        <v>382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74.526300000000006</v>
      </c>
      <c r="N267" s="30">
        <v>0.29885233082706769</v>
      </c>
      <c r="O267" s="29">
        <v>1</v>
      </c>
      <c r="R267" s="27">
        <v>153</v>
      </c>
      <c r="S267" s="28" t="s">
        <v>747</v>
      </c>
      <c r="T267" s="28" t="s">
        <v>382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58.108800000000002</v>
      </c>
      <c r="AD267" s="30">
        <v>0.23301774436090228</v>
      </c>
      <c r="AE267" s="29">
        <v>1</v>
      </c>
    </row>
    <row r="268" spans="2:31" x14ac:dyDescent="0.2">
      <c r="B268" s="27">
        <v>156</v>
      </c>
      <c r="C268" s="28" t="s">
        <v>749</v>
      </c>
      <c r="D268" s="28" t="s">
        <v>380</v>
      </c>
      <c r="E268" s="28">
        <v>1E-4</v>
      </c>
      <c r="F268" s="28">
        <v>2.8500000000000001E-2</v>
      </c>
      <c r="G268" s="28">
        <v>3.7999999999999999E-2</v>
      </c>
      <c r="H268" s="28">
        <v>-1E-4</v>
      </c>
      <c r="I268" s="28">
        <v>-2.87E-2</v>
      </c>
      <c r="J268" s="28">
        <v>-3.8300000000000001E-2</v>
      </c>
      <c r="K268" s="29">
        <v>300</v>
      </c>
      <c r="L268" s="29">
        <v>475</v>
      </c>
      <c r="M268" s="30">
        <v>-68.912700000000001</v>
      </c>
      <c r="N268" s="30">
        <v>0.27634165413533834</v>
      </c>
      <c r="O268" s="29">
        <v>1</v>
      </c>
      <c r="R268" s="27">
        <v>156</v>
      </c>
      <c r="S268" s="28" t="s">
        <v>749</v>
      </c>
      <c r="T268" s="28" t="s">
        <v>380</v>
      </c>
      <c r="U268" s="28">
        <v>1E-4</v>
      </c>
      <c r="V268" s="28">
        <v>2.8500000000000001E-2</v>
      </c>
      <c r="W268" s="28">
        <v>3.7999999999999999E-2</v>
      </c>
      <c r="X268" s="28">
        <v>-1E-4</v>
      </c>
      <c r="Y268" s="28">
        <v>-2.87E-2</v>
      </c>
      <c r="Z268" s="28">
        <v>-3.8300000000000001E-2</v>
      </c>
      <c r="AA268" s="29">
        <v>300</v>
      </c>
      <c r="AB268" s="29">
        <v>475</v>
      </c>
      <c r="AC268" s="30">
        <v>-69.023300000000006</v>
      </c>
      <c r="AD268" s="30">
        <v>0.27678516290726818</v>
      </c>
      <c r="AE268" s="29">
        <v>1</v>
      </c>
    </row>
    <row r="269" spans="2:31" x14ac:dyDescent="0.2">
      <c r="B269" s="27">
        <v>156</v>
      </c>
      <c r="C269" s="28" t="s">
        <v>750</v>
      </c>
      <c r="D269" s="28" t="s">
        <v>382</v>
      </c>
      <c r="E269" s="28">
        <v>1E-4</v>
      </c>
      <c r="F269" s="28">
        <v>2.8500000000000001E-2</v>
      </c>
      <c r="G269" s="28">
        <v>3.7999999999999999E-2</v>
      </c>
      <c r="H269" s="28">
        <v>-1E-4</v>
      </c>
      <c r="I269" s="28">
        <v>-2.87E-2</v>
      </c>
      <c r="J269" s="28">
        <v>-3.8300000000000001E-2</v>
      </c>
      <c r="K269" s="29">
        <v>300</v>
      </c>
      <c r="L269" s="29">
        <v>475</v>
      </c>
      <c r="M269" s="30">
        <v>74.526300000000006</v>
      </c>
      <c r="N269" s="30">
        <v>0.29885233082706769</v>
      </c>
      <c r="O269" s="29">
        <v>1</v>
      </c>
      <c r="R269" s="27">
        <v>156</v>
      </c>
      <c r="S269" s="28" t="s">
        <v>750</v>
      </c>
      <c r="T269" s="28" t="s">
        <v>382</v>
      </c>
      <c r="U269" s="28">
        <v>1E-4</v>
      </c>
      <c r="V269" s="28">
        <v>2.8500000000000001E-2</v>
      </c>
      <c r="W269" s="28">
        <v>3.7999999999999999E-2</v>
      </c>
      <c r="X269" s="28">
        <v>-1E-4</v>
      </c>
      <c r="Y269" s="28">
        <v>-2.87E-2</v>
      </c>
      <c r="Z269" s="28">
        <v>-3.8300000000000001E-2</v>
      </c>
      <c r="AA269" s="29">
        <v>300</v>
      </c>
      <c r="AB269" s="29">
        <v>475</v>
      </c>
      <c r="AC269" s="30">
        <v>68.800600000000003</v>
      </c>
      <c r="AD269" s="30">
        <v>0.27589213032581456</v>
      </c>
      <c r="AE269" s="29">
        <v>1</v>
      </c>
    </row>
    <row r="270" spans="2:31" x14ac:dyDescent="0.2">
      <c r="B270" s="27">
        <v>159</v>
      </c>
      <c r="C270" s="28" t="s">
        <v>752</v>
      </c>
      <c r="D270" s="28" t="s">
        <v>380</v>
      </c>
      <c r="E270" s="28">
        <v>1E-4</v>
      </c>
      <c r="F270" s="28">
        <v>2.8500000000000001E-2</v>
      </c>
      <c r="G270" s="28">
        <v>3.7999999999999999E-2</v>
      </c>
      <c r="H270" s="28">
        <v>-1E-4</v>
      </c>
      <c r="I270" s="28">
        <v>-2.87E-2</v>
      </c>
      <c r="J270" s="28">
        <v>-3.8300000000000001E-2</v>
      </c>
      <c r="K270" s="29">
        <v>300</v>
      </c>
      <c r="L270" s="29">
        <v>475</v>
      </c>
      <c r="M270" s="30">
        <v>-69.126800000000003</v>
      </c>
      <c r="N270" s="30">
        <v>0.27720020050125316</v>
      </c>
      <c r="O270" s="29">
        <v>1</v>
      </c>
      <c r="R270" s="27">
        <v>159</v>
      </c>
      <c r="S270" s="28" t="s">
        <v>752</v>
      </c>
      <c r="T270" s="28" t="s">
        <v>380</v>
      </c>
      <c r="U270" s="28">
        <v>1E-4</v>
      </c>
      <c r="V270" s="28">
        <v>2.8500000000000001E-2</v>
      </c>
      <c r="W270" s="28">
        <v>3.7999999999999999E-2</v>
      </c>
      <c r="X270" s="28">
        <v>-1E-4</v>
      </c>
      <c r="Y270" s="28">
        <v>-2.87E-2</v>
      </c>
      <c r="Z270" s="28">
        <v>-3.8300000000000001E-2</v>
      </c>
      <c r="AA270" s="29">
        <v>300</v>
      </c>
      <c r="AB270" s="29">
        <v>475</v>
      </c>
      <c r="AC270" s="30">
        <v>-69.237700000000004</v>
      </c>
      <c r="AD270" s="30">
        <v>0.27764491228070176</v>
      </c>
      <c r="AE270" s="29">
        <v>1</v>
      </c>
    </row>
    <row r="271" spans="2:31" x14ac:dyDescent="0.2">
      <c r="B271" s="27">
        <v>159</v>
      </c>
      <c r="C271" s="28" t="s">
        <v>753</v>
      </c>
      <c r="D271" s="28" t="s">
        <v>382</v>
      </c>
      <c r="E271" s="28">
        <v>1E-4</v>
      </c>
      <c r="F271" s="28">
        <v>2.8500000000000001E-2</v>
      </c>
      <c r="G271" s="28">
        <v>3.7999999999999999E-2</v>
      </c>
      <c r="H271" s="28">
        <v>-1E-4</v>
      </c>
      <c r="I271" s="28">
        <v>-2.87E-2</v>
      </c>
      <c r="J271" s="28">
        <v>-3.8300000000000001E-2</v>
      </c>
      <c r="K271" s="29">
        <v>300</v>
      </c>
      <c r="L271" s="29">
        <v>475</v>
      </c>
      <c r="M271" s="30">
        <v>74.526300000000006</v>
      </c>
      <c r="N271" s="30">
        <v>0.29885233082706769</v>
      </c>
      <c r="O271" s="29">
        <v>1</v>
      </c>
      <c r="R271" s="27">
        <v>159</v>
      </c>
      <c r="S271" s="28" t="s">
        <v>753</v>
      </c>
      <c r="T271" s="28" t="s">
        <v>382</v>
      </c>
      <c r="U271" s="28">
        <v>1E-4</v>
      </c>
      <c r="V271" s="28">
        <v>2.8500000000000001E-2</v>
      </c>
      <c r="W271" s="28">
        <v>3.7999999999999999E-2</v>
      </c>
      <c r="X271" s="28">
        <v>-1E-4</v>
      </c>
      <c r="Y271" s="28">
        <v>-2.87E-2</v>
      </c>
      <c r="Z271" s="28">
        <v>-3.8300000000000001E-2</v>
      </c>
      <c r="AA271" s="29">
        <v>300</v>
      </c>
      <c r="AB271" s="29">
        <v>475</v>
      </c>
      <c r="AC271" s="30">
        <v>69.030299999999997</v>
      </c>
      <c r="AD271" s="30">
        <v>0.27681323308270678</v>
      </c>
      <c r="AE271" s="29">
        <v>1</v>
      </c>
    </row>
    <row r="272" spans="2:31" x14ac:dyDescent="0.2">
      <c r="B272" s="27">
        <v>162</v>
      </c>
      <c r="C272" s="28" t="s">
        <v>755</v>
      </c>
      <c r="D272" s="28" t="s">
        <v>380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-73.308199999999999</v>
      </c>
      <c r="N272" s="30">
        <v>0.29396771929824561</v>
      </c>
      <c r="O272" s="29">
        <v>1</v>
      </c>
      <c r="R272" s="27">
        <v>162</v>
      </c>
      <c r="S272" s="28" t="s">
        <v>755</v>
      </c>
      <c r="T272" s="28" t="s">
        <v>380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-73.421499999999995</v>
      </c>
      <c r="AD272" s="30">
        <v>0.29442205513784458</v>
      </c>
      <c r="AE272" s="29">
        <v>1</v>
      </c>
    </row>
    <row r="273" spans="2:31" x14ac:dyDescent="0.2">
      <c r="B273" s="27">
        <v>162</v>
      </c>
      <c r="C273" s="28" t="s">
        <v>756</v>
      </c>
      <c r="D273" s="28" t="s">
        <v>382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73.334199999999996</v>
      </c>
      <c r="N273" s="30">
        <v>0.29407197994987466</v>
      </c>
      <c r="O273" s="29">
        <v>1</v>
      </c>
      <c r="R273" s="27">
        <v>162</v>
      </c>
      <c r="S273" s="28" t="s">
        <v>756</v>
      </c>
      <c r="T273" s="28" t="s">
        <v>382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69.030299999999997</v>
      </c>
      <c r="AD273" s="30">
        <v>0.27681323308270678</v>
      </c>
      <c r="AE273" s="29">
        <v>1</v>
      </c>
    </row>
    <row r="274" spans="2:31" x14ac:dyDescent="0.2">
      <c r="B274" s="27">
        <v>165</v>
      </c>
      <c r="C274" s="28" t="s">
        <v>758</v>
      </c>
      <c r="D274" s="28" t="s">
        <v>380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-2.86E-2</v>
      </c>
      <c r="J274" s="28">
        <v>-3.8100000000000002E-2</v>
      </c>
      <c r="K274" s="29">
        <v>300</v>
      </c>
      <c r="L274" s="29">
        <v>475</v>
      </c>
      <c r="M274" s="30">
        <v>-51.069099999999999</v>
      </c>
      <c r="N274" s="30">
        <v>0.2047883709273183</v>
      </c>
      <c r="O274" s="29">
        <v>1</v>
      </c>
      <c r="R274" s="27">
        <v>165</v>
      </c>
      <c r="S274" s="28" t="s">
        <v>758</v>
      </c>
      <c r="T274" s="28" t="s">
        <v>380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-2.86E-2</v>
      </c>
      <c r="Z274" s="28">
        <v>-3.8100000000000002E-2</v>
      </c>
      <c r="AA274" s="29">
        <v>300</v>
      </c>
      <c r="AB274" s="29">
        <v>475</v>
      </c>
      <c r="AC274" s="30">
        <v>-51.158299999999997</v>
      </c>
      <c r="AD274" s="30">
        <v>0.20514606516290726</v>
      </c>
      <c r="AE274" s="29">
        <v>1</v>
      </c>
    </row>
    <row r="275" spans="2:31" x14ac:dyDescent="0.2">
      <c r="B275" s="27">
        <v>165</v>
      </c>
      <c r="C275" s="28" t="s">
        <v>759</v>
      </c>
      <c r="D275" s="28" t="s">
        <v>382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-2.86E-2</v>
      </c>
      <c r="J275" s="28">
        <v>-3.8100000000000002E-2</v>
      </c>
      <c r="K275" s="29">
        <v>300</v>
      </c>
      <c r="L275" s="29">
        <v>475</v>
      </c>
      <c r="M275" s="30">
        <v>73.334199999999996</v>
      </c>
      <c r="N275" s="30">
        <v>0.29407197994987466</v>
      </c>
      <c r="O275" s="29">
        <v>1</v>
      </c>
      <c r="R275" s="27">
        <v>165</v>
      </c>
      <c r="S275" s="28" t="s">
        <v>759</v>
      </c>
      <c r="T275" s="28" t="s">
        <v>382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-2.86E-2</v>
      </c>
      <c r="Z275" s="28">
        <v>-3.8100000000000002E-2</v>
      </c>
      <c r="AA275" s="29">
        <v>300</v>
      </c>
      <c r="AB275" s="29">
        <v>475</v>
      </c>
      <c r="AC275" s="30">
        <v>51.006700000000002</v>
      </c>
      <c r="AD275" s="30">
        <v>0.20453814536340853</v>
      </c>
      <c r="AE275" s="29">
        <v>1</v>
      </c>
    </row>
    <row r="276" spans="2:31" x14ac:dyDescent="0.2">
      <c r="B276" s="27">
        <v>177</v>
      </c>
      <c r="C276" s="28" t="s">
        <v>761</v>
      </c>
      <c r="D276" s="28" t="s">
        <v>380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-2.7900000000000001E-2</v>
      </c>
      <c r="J276" s="28">
        <v>-3.7199999999999997E-2</v>
      </c>
      <c r="K276" s="29">
        <v>300</v>
      </c>
      <c r="L276" s="29">
        <v>475</v>
      </c>
      <c r="M276" s="30">
        <v>-65.371799999999993</v>
      </c>
      <c r="N276" s="30">
        <v>0.26214255639097744</v>
      </c>
      <c r="O276" s="29">
        <v>1</v>
      </c>
      <c r="R276" s="27">
        <v>177</v>
      </c>
      <c r="S276" s="28" t="s">
        <v>761</v>
      </c>
      <c r="T276" s="28" t="s">
        <v>380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-2.7900000000000001E-2</v>
      </c>
      <c r="Z276" s="28">
        <v>-3.7199999999999997E-2</v>
      </c>
      <c r="AA276" s="29">
        <v>300</v>
      </c>
      <c r="AB276" s="29">
        <v>475</v>
      </c>
      <c r="AC276" s="30">
        <v>-65.3767</v>
      </c>
      <c r="AD276" s="30">
        <v>0.26216220551378444</v>
      </c>
      <c r="AE276" s="29">
        <v>1</v>
      </c>
    </row>
    <row r="277" spans="2:31" x14ac:dyDescent="0.2">
      <c r="B277" s="27">
        <v>177</v>
      </c>
      <c r="C277" s="28" t="s">
        <v>762</v>
      </c>
      <c r="D277" s="28" t="s">
        <v>382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-2.7900000000000001E-2</v>
      </c>
      <c r="J277" s="28">
        <v>-3.7199999999999997E-2</v>
      </c>
      <c r="K277" s="29">
        <v>300</v>
      </c>
      <c r="L277" s="29">
        <v>475</v>
      </c>
      <c r="M277" s="30">
        <v>73.334199999999996</v>
      </c>
      <c r="N277" s="30">
        <v>0.29407197994987466</v>
      </c>
      <c r="O277" s="29">
        <v>1</v>
      </c>
      <c r="R277" s="27">
        <v>177</v>
      </c>
      <c r="S277" s="28" t="s">
        <v>762</v>
      </c>
      <c r="T277" s="28" t="s">
        <v>382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-2.7900000000000001E-2</v>
      </c>
      <c r="Z277" s="28">
        <v>-3.7199999999999997E-2</v>
      </c>
      <c r="AA277" s="29">
        <v>300</v>
      </c>
      <c r="AB277" s="29">
        <v>475</v>
      </c>
      <c r="AC277" s="30">
        <v>51.006700000000002</v>
      </c>
      <c r="AD277" s="30">
        <v>0.20453814536340853</v>
      </c>
      <c r="AE277" s="29">
        <v>1</v>
      </c>
    </row>
    <row r="278" spans="2:31" x14ac:dyDescent="0.2">
      <c r="B278" s="27">
        <v>178</v>
      </c>
      <c r="C278" s="28" t="s">
        <v>764</v>
      </c>
      <c r="D278" s="28" t="s">
        <v>380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-2.7900000000000001E-2</v>
      </c>
      <c r="J278" s="28">
        <v>-3.7199999999999997E-2</v>
      </c>
      <c r="K278" s="29">
        <v>300</v>
      </c>
      <c r="L278" s="29">
        <v>475</v>
      </c>
      <c r="M278" s="30">
        <v>-61.832099999999997</v>
      </c>
      <c r="N278" s="30">
        <v>0.24794827067669173</v>
      </c>
      <c r="O278" s="29">
        <v>1</v>
      </c>
      <c r="R278" s="27">
        <v>178</v>
      </c>
      <c r="S278" s="28" t="s">
        <v>764</v>
      </c>
      <c r="T278" s="28" t="s">
        <v>380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-2.7900000000000001E-2</v>
      </c>
      <c r="Z278" s="28">
        <v>-3.7199999999999997E-2</v>
      </c>
      <c r="AA278" s="29">
        <v>300</v>
      </c>
      <c r="AB278" s="29">
        <v>475</v>
      </c>
      <c r="AC278" s="30">
        <v>-61.8384</v>
      </c>
      <c r="AD278" s="30">
        <v>0.24797353383458648</v>
      </c>
      <c r="AE278" s="29">
        <v>1</v>
      </c>
    </row>
    <row r="279" spans="2:31" x14ac:dyDescent="0.2">
      <c r="B279" s="27">
        <v>178</v>
      </c>
      <c r="C279" s="28" t="s">
        <v>765</v>
      </c>
      <c r="D279" s="28" t="s">
        <v>382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-2.7900000000000001E-2</v>
      </c>
      <c r="J279" s="28">
        <v>-3.7199999999999997E-2</v>
      </c>
      <c r="K279" s="29">
        <v>300</v>
      </c>
      <c r="L279" s="29">
        <v>475</v>
      </c>
      <c r="M279" s="30">
        <v>73.334199999999996</v>
      </c>
      <c r="N279" s="30">
        <v>0.29407197994987466</v>
      </c>
      <c r="O279" s="29">
        <v>1</v>
      </c>
      <c r="R279" s="27">
        <v>178</v>
      </c>
      <c r="S279" s="28" t="s">
        <v>765</v>
      </c>
      <c r="T279" s="28" t="s">
        <v>382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-2.7900000000000001E-2</v>
      </c>
      <c r="Z279" s="28">
        <v>-3.7199999999999997E-2</v>
      </c>
      <c r="AA279" s="29">
        <v>300</v>
      </c>
      <c r="AB279" s="29">
        <v>475</v>
      </c>
      <c r="AC279" s="30">
        <v>51.006700000000002</v>
      </c>
      <c r="AD279" s="30">
        <v>0.20453814536340853</v>
      </c>
      <c r="AE279" s="29">
        <v>1</v>
      </c>
    </row>
    <row r="280" spans="2:31" x14ac:dyDescent="0.2">
      <c r="B280" s="27">
        <v>179</v>
      </c>
      <c r="C280" s="28" t="s">
        <v>766</v>
      </c>
      <c r="D280" s="28" t="s">
        <v>380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-2.7900000000000001E-2</v>
      </c>
      <c r="J280" s="28">
        <v>-3.7199999999999997E-2</v>
      </c>
      <c r="K280" s="29">
        <v>300</v>
      </c>
      <c r="L280" s="29">
        <v>475</v>
      </c>
      <c r="M280" s="30">
        <v>-64.685599999999994</v>
      </c>
      <c r="N280" s="30">
        <v>0.25939087719298243</v>
      </c>
      <c r="O280" s="29">
        <v>1</v>
      </c>
      <c r="R280" s="27">
        <v>179</v>
      </c>
      <c r="S280" s="28" t="s">
        <v>766</v>
      </c>
      <c r="T280" s="28" t="s">
        <v>380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-2.7900000000000001E-2</v>
      </c>
      <c r="Z280" s="28">
        <v>-3.7199999999999997E-2</v>
      </c>
      <c r="AA280" s="29">
        <v>300</v>
      </c>
      <c r="AB280" s="29">
        <v>475</v>
      </c>
      <c r="AC280" s="30">
        <v>-64.690399999999997</v>
      </c>
      <c r="AD280" s="30">
        <v>0.25941012531328317</v>
      </c>
      <c r="AE280" s="29">
        <v>1</v>
      </c>
    </row>
    <row r="281" spans="2:31" x14ac:dyDescent="0.2">
      <c r="B281" s="27">
        <v>179</v>
      </c>
      <c r="C281" s="28" t="s">
        <v>767</v>
      </c>
      <c r="D281" s="28" t="s">
        <v>382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-2.7900000000000001E-2</v>
      </c>
      <c r="J281" s="28">
        <v>-3.7199999999999997E-2</v>
      </c>
      <c r="K281" s="29">
        <v>300</v>
      </c>
      <c r="L281" s="29">
        <v>475</v>
      </c>
      <c r="M281" s="30">
        <v>73.334199999999996</v>
      </c>
      <c r="N281" s="30">
        <v>0.29407197994987466</v>
      </c>
      <c r="O281" s="29">
        <v>1</v>
      </c>
      <c r="R281" s="27">
        <v>179</v>
      </c>
      <c r="S281" s="28" t="s">
        <v>767</v>
      </c>
      <c r="T281" s="28" t="s">
        <v>382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-2.7900000000000001E-2</v>
      </c>
      <c r="Z281" s="28">
        <v>-3.7199999999999997E-2</v>
      </c>
      <c r="AA281" s="29">
        <v>300</v>
      </c>
      <c r="AB281" s="29">
        <v>475</v>
      </c>
      <c r="AC281" s="30">
        <v>51.006700000000002</v>
      </c>
      <c r="AD281" s="30">
        <v>0.20453814536340853</v>
      </c>
      <c r="AE281" s="29">
        <v>1</v>
      </c>
    </row>
    <row r="282" spans="2:31" x14ac:dyDescent="0.2">
      <c r="B282" s="27">
        <v>180</v>
      </c>
      <c r="C282" s="28" t="s">
        <v>768</v>
      </c>
      <c r="D282" s="28" t="s">
        <v>380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-2.7900000000000001E-2</v>
      </c>
      <c r="J282" s="28">
        <v>-3.7199999999999997E-2</v>
      </c>
      <c r="K282" s="29">
        <v>300</v>
      </c>
      <c r="L282" s="29">
        <v>475</v>
      </c>
      <c r="M282" s="30">
        <v>-65.229900000000001</v>
      </c>
      <c r="N282" s="30">
        <v>0.26157353383458648</v>
      </c>
      <c r="O282" s="29">
        <v>1</v>
      </c>
      <c r="R282" s="27">
        <v>180</v>
      </c>
      <c r="S282" s="28" t="s">
        <v>768</v>
      </c>
      <c r="T282" s="28" t="s">
        <v>380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-2.7900000000000001E-2</v>
      </c>
      <c r="Z282" s="28">
        <v>-3.7199999999999997E-2</v>
      </c>
      <c r="AA282" s="29">
        <v>300</v>
      </c>
      <c r="AB282" s="29">
        <v>475</v>
      </c>
      <c r="AC282" s="30">
        <v>-65.2346</v>
      </c>
      <c r="AD282" s="30">
        <v>0.26159238095238097</v>
      </c>
      <c r="AE282" s="29">
        <v>1</v>
      </c>
    </row>
    <row r="283" spans="2:31" x14ac:dyDescent="0.2">
      <c r="B283" s="27">
        <v>180</v>
      </c>
      <c r="C283" s="28" t="s">
        <v>769</v>
      </c>
      <c r="D283" s="28" t="s">
        <v>382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-2.7900000000000001E-2</v>
      </c>
      <c r="J283" s="28">
        <v>-3.7199999999999997E-2</v>
      </c>
      <c r="K283" s="29">
        <v>300</v>
      </c>
      <c r="L283" s="29">
        <v>475</v>
      </c>
      <c r="M283" s="30">
        <v>73.334199999999996</v>
      </c>
      <c r="N283" s="30">
        <v>0.29407197994987466</v>
      </c>
      <c r="O283" s="29">
        <v>1</v>
      </c>
      <c r="R283" s="27">
        <v>180</v>
      </c>
      <c r="S283" s="28" t="s">
        <v>769</v>
      </c>
      <c r="T283" s="28" t="s">
        <v>382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-2.7900000000000001E-2</v>
      </c>
      <c r="Z283" s="28">
        <v>-3.7199999999999997E-2</v>
      </c>
      <c r="AA283" s="29">
        <v>300</v>
      </c>
      <c r="AB283" s="29">
        <v>475</v>
      </c>
      <c r="AC283" s="30">
        <v>51.006700000000002</v>
      </c>
      <c r="AD283" s="30">
        <v>0.20453814536340853</v>
      </c>
      <c r="AE283" s="29">
        <v>1</v>
      </c>
    </row>
    <row r="284" spans="2:31" x14ac:dyDescent="0.2">
      <c r="B284" s="27">
        <v>181</v>
      </c>
      <c r="C284" s="28" t="s">
        <v>771</v>
      </c>
      <c r="D284" s="28" t="s">
        <v>380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-2.7900000000000001E-2</v>
      </c>
      <c r="J284" s="28">
        <v>-3.7199999999999997E-2</v>
      </c>
      <c r="K284" s="29">
        <v>300</v>
      </c>
      <c r="L284" s="29">
        <v>475</v>
      </c>
      <c r="M284" s="30">
        <v>-63.909199999999998</v>
      </c>
      <c r="N284" s="30">
        <v>0.25627749373433584</v>
      </c>
      <c r="O284" s="29">
        <v>1</v>
      </c>
      <c r="R284" s="27">
        <v>181</v>
      </c>
      <c r="S284" s="28" t="s">
        <v>771</v>
      </c>
      <c r="T284" s="28" t="s">
        <v>380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-2.7900000000000001E-2</v>
      </c>
      <c r="Z284" s="28">
        <v>-3.7199999999999997E-2</v>
      </c>
      <c r="AA284" s="29">
        <v>300</v>
      </c>
      <c r="AB284" s="29">
        <v>475</v>
      </c>
      <c r="AC284" s="30">
        <v>-63.915599999999998</v>
      </c>
      <c r="AD284" s="30">
        <v>0.25630315789473684</v>
      </c>
      <c r="AE284" s="29">
        <v>1</v>
      </c>
    </row>
    <row r="285" spans="2:31" x14ac:dyDescent="0.2">
      <c r="B285" s="27">
        <v>181</v>
      </c>
      <c r="C285" s="28" t="s">
        <v>772</v>
      </c>
      <c r="D285" s="28" t="s">
        <v>382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-2.7900000000000001E-2</v>
      </c>
      <c r="J285" s="28">
        <v>-3.7199999999999997E-2</v>
      </c>
      <c r="K285" s="29">
        <v>300</v>
      </c>
      <c r="L285" s="29">
        <v>475</v>
      </c>
      <c r="M285" s="30">
        <v>73.334199999999996</v>
      </c>
      <c r="N285" s="30">
        <v>0.29407197994987466</v>
      </c>
      <c r="O285" s="29">
        <v>1</v>
      </c>
      <c r="R285" s="27">
        <v>181</v>
      </c>
      <c r="S285" s="28" t="s">
        <v>772</v>
      </c>
      <c r="T285" s="28" t="s">
        <v>382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-2.7900000000000001E-2</v>
      </c>
      <c r="Z285" s="28">
        <v>-3.7199999999999997E-2</v>
      </c>
      <c r="AA285" s="29">
        <v>300</v>
      </c>
      <c r="AB285" s="29">
        <v>475</v>
      </c>
      <c r="AC285" s="30">
        <v>51.006700000000002</v>
      </c>
      <c r="AD285" s="30">
        <v>0.20453814536340853</v>
      </c>
      <c r="AE285" s="29">
        <v>1</v>
      </c>
    </row>
    <row r="286" spans="2:31" x14ac:dyDescent="0.2">
      <c r="B286" s="27">
        <v>151</v>
      </c>
      <c r="C286" s="28" t="s">
        <v>774</v>
      </c>
      <c r="D286" s="28" t="s">
        <v>380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-2.86E-2</v>
      </c>
      <c r="J286" s="28">
        <v>-3.8100000000000002E-2</v>
      </c>
      <c r="K286" s="29">
        <v>300</v>
      </c>
      <c r="L286" s="29">
        <v>475</v>
      </c>
      <c r="M286" s="30">
        <v>-60.023600000000002</v>
      </c>
      <c r="N286" s="30">
        <v>0.24069614035087719</v>
      </c>
      <c r="O286" s="29">
        <v>1</v>
      </c>
      <c r="R286" s="27">
        <v>151</v>
      </c>
      <c r="S286" s="28" t="s">
        <v>774</v>
      </c>
      <c r="T286" s="28" t="s">
        <v>380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-2.86E-2</v>
      </c>
      <c r="Z286" s="28">
        <v>-3.8100000000000002E-2</v>
      </c>
      <c r="AA286" s="29">
        <v>300</v>
      </c>
      <c r="AB286" s="29">
        <v>475</v>
      </c>
      <c r="AC286" s="30">
        <v>-60.111400000000003</v>
      </c>
      <c r="AD286" s="30">
        <v>0.24104822055137845</v>
      </c>
      <c r="AE286" s="29">
        <v>1</v>
      </c>
    </row>
    <row r="287" spans="2:31" x14ac:dyDescent="0.2">
      <c r="B287" s="27">
        <v>151</v>
      </c>
      <c r="C287" s="28" t="s">
        <v>775</v>
      </c>
      <c r="D287" s="28" t="s">
        <v>382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-2.86E-2</v>
      </c>
      <c r="J287" s="28">
        <v>-3.8100000000000002E-2</v>
      </c>
      <c r="K287" s="29">
        <v>300</v>
      </c>
      <c r="L287" s="29">
        <v>475</v>
      </c>
      <c r="M287" s="30">
        <v>73.334199999999996</v>
      </c>
      <c r="N287" s="30">
        <v>0.29407197994987466</v>
      </c>
      <c r="O287" s="29">
        <v>1</v>
      </c>
      <c r="R287" s="27">
        <v>151</v>
      </c>
      <c r="S287" s="28" t="s">
        <v>775</v>
      </c>
      <c r="T287" s="28" t="s">
        <v>382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-2.86E-2</v>
      </c>
      <c r="Z287" s="28">
        <v>-3.8100000000000002E-2</v>
      </c>
      <c r="AA287" s="29">
        <v>300</v>
      </c>
      <c r="AB287" s="29">
        <v>475</v>
      </c>
      <c r="AC287" s="30">
        <v>51.006700000000002</v>
      </c>
      <c r="AD287" s="30">
        <v>0.20453814536340853</v>
      </c>
      <c r="AE287" s="29">
        <v>1</v>
      </c>
    </row>
    <row r="288" spans="2:31" x14ac:dyDescent="0.2">
      <c r="B288" s="27">
        <v>154</v>
      </c>
      <c r="C288" s="28" t="s">
        <v>777</v>
      </c>
      <c r="D288" s="28" t="s">
        <v>380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-73.5869</v>
      </c>
      <c r="N288" s="30">
        <v>0.29508531328320797</v>
      </c>
      <c r="O288" s="29">
        <v>1</v>
      </c>
      <c r="R288" s="27">
        <v>154</v>
      </c>
      <c r="S288" s="28" t="s">
        <v>777</v>
      </c>
      <c r="T288" s="28" t="s">
        <v>380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-73.699700000000007</v>
      </c>
      <c r="AD288" s="30">
        <v>0.29553764411027572</v>
      </c>
      <c r="AE288" s="29">
        <v>1</v>
      </c>
    </row>
    <row r="289" spans="2:31" x14ac:dyDescent="0.2">
      <c r="B289" s="27">
        <v>154</v>
      </c>
      <c r="C289" s="28" t="s">
        <v>778</v>
      </c>
      <c r="D289" s="28" t="s">
        <v>382</v>
      </c>
      <c r="E289" s="28">
        <v>1E-4</v>
      </c>
      <c r="F289" s="28">
        <v>2.8500000000000001E-2</v>
      </c>
      <c r="G289" s="28">
        <v>3.7999999999999999E-2</v>
      </c>
      <c r="H289" s="28">
        <v>-1E-4</v>
      </c>
      <c r="I289" s="28">
        <v>-2.87E-2</v>
      </c>
      <c r="J289" s="28">
        <v>-3.8300000000000001E-2</v>
      </c>
      <c r="K289" s="29">
        <v>300</v>
      </c>
      <c r="L289" s="29">
        <v>475</v>
      </c>
      <c r="M289" s="30">
        <v>73.334199999999996</v>
      </c>
      <c r="N289" s="30">
        <v>0.29407197994987466</v>
      </c>
      <c r="O289" s="29">
        <v>1</v>
      </c>
      <c r="R289" s="27">
        <v>154</v>
      </c>
      <c r="S289" s="28" t="s">
        <v>778</v>
      </c>
      <c r="T289" s="28" t="s">
        <v>382</v>
      </c>
      <c r="U289" s="28">
        <v>1E-4</v>
      </c>
      <c r="V289" s="28">
        <v>2.8500000000000001E-2</v>
      </c>
      <c r="W289" s="28">
        <v>3.7999999999999999E-2</v>
      </c>
      <c r="X289" s="28">
        <v>-1E-4</v>
      </c>
      <c r="Y289" s="28">
        <v>-2.87E-2</v>
      </c>
      <c r="Z289" s="28">
        <v>-3.8300000000000001E-2</v>
      </c>
      <c r="AA289" s="29">
        <v>300</v>
      </c>
      <c r="AB289" s="29">
        <v>475</v>
      </c>
      <c r="AC289" s="30">
        <v>51.006700000000002</v>
      </c>
      <c r="AD289" s="30">
        <v>0.20453814536340853</v>
      </c>
      <c r="AE289" s="29">
        <v>1</v>
      </c>
    </row>
    <row r="290" spans="2:31" x14ac:dyDescent="0.2">
      <c r="B290" s="27">
        <v>157</v>
      </c>
      <c r="C290" s="28" t="s">
        <v>780</v>
      </c>
      <c r="D290" s="28" t="s">
        <v>380</v>
      </c>
      <c r="E290" s="28">
        <v>1E-4</v>
      </c>
      <c r="F290" s="28">
        <v>2.8500000000000001E-2</v>
      </c>
      <c r="G290" s="28">
        <v>3.7999999999999999E-2</v>
      </c>
      <c r="H290" s="28">
        <v>-1E-4</v>
      </c>
      <c r="I290" s="28">
        <v>-2.87E-2</v>
      </c>
      <c r="J290" s="28">
        <v>-3.8300000000000001E-2</v>
      </c>
      <c r="K290" s="29">
        <v>300</v>
      </c>
      <c r="L290" s="29">
        <v>475</v>
      </c>
      <c r="M290" s="30">
        <v>-68.745699999999999</v>
      </c>
      <c r="N290" s="30">
        <v>0.27567197994987469</v>
      </c>
      <c r="O290" s="29">
        <v>1</v>
      </c>
      <c r="R290" s="27">
        <v>157</v>
      </c>
      <c r="S290" s="28" t="s">
        <v>780</v>
      </c>
      <c r="T290" s="28" t="s">
        <v>380</v>
      </c>
      <c r="U290" s="28">
        <v>1E-4</v>
      </c>
      <c r="V290" s="28">
        <v>2.8500000000000001E-2</v>
      </c>
      <c r="W290" s="28">
        <v>3.7999999999999999E-2</v>
      </c>
      <c r="X290" s="28">
        <v>-1E-4</v>
      </c>
      <c r="Y290" s="28">
        <v>-2.87E-2</v>
      </c>
      <c r="Z290" s="28">
        <v>-3.8300000000000001E-2</v>
      </c>
      <c r="AA290" s="29">
        <v>300</v>
      </c>
      <c r="AB290" s="29">
        <v>475</v>
      </c>
      <c r="AC290" s="30">
        <v>-68.854799999999997</v>
      </c>
      <c r="AD290" s="30">
        <v>0.27610947368421052</v>
      </c>
      <c r="AE290" s="29">
        <v>1</v>
      </c>
    </row>
    <row r="291" spans="2:31" x14ac:dyDescent="0.2">
      <c r="B291" s="27">
        <v>157</v>
      </c>
      <c r="C291" s="28" t="s">
        <v>781</v>
      </c>
      <c r="D291" s="28" t="s">
        <v>382</v>
      </c>
      <c r="E291" s="28">
        <v>1E-4</v>
      </c>
      <c r="F291" s="28">
        <v>2.8500000000000001E-2</v>
      </c>
      <c r="G291" s="28">
        <v>3.7999999999999999E-2</v>
      </c>
      <c r="H291" s="28">
        <v>-1E-4</v>
      </c>
      <c r="I291" s="28">
        <v>-2.87E-2</v>
      </c>
      <c r="J291" s="28">
        <v>-3.8300000000000001E-2</v>
      </c>
      <c r="K291" s="29">
        <v>300</v>
      </c>
      <c r="L291" s="29">
        <v>475</v>
      </c>
      <c r="M291" s="30">
        <v>73.334199999999996</v>
      </c>
      <c r="N291" s="30">
        <v>0.29407197994987466</v>
      </c>
      <c r="O291" s="29">
        <v>1</v>
      </c>
      <c r="R291" s="27">
        <v>157</v>
      </c>
      <c r="S291" s="28" t="s">
        <v>781</v>
      </c>
      <c r="T291" s="28" t="s">
        <v>382</v>
      </c>
      <c r="U291" s="28">
        <v>1E-4</v>
      </c>
      <c r="V291" s="28">
        <v>2.8500000000000001E-2</v>
      </c>
      <c r="W291" s="28">
        <v>3.7999999999999999E-2</v>
      </c>
      <c r="X291" s="28">
        <v>-1E-4</v>
      </c>
      <c r="Y291" s="28">
        <v>-2.87E-2</v>
      </c>
      <c r="Z291" s="28">
        <v>-3.8300000000000001E-2</v>
      </c>
      <c r="AA291" s="29">
        <v>300</v>
      </c>
      <c r="AB291" s="29">
        <v>475</v>
      </c>
      <c r="AC291" s="30">
        <v>51.006700000000002</v>
      </c>
      <c r="AD291" s="30">
        <v>0.20453814536340853</v>
      </c>
      <c r="AE291" s="29">
        <v>1</v>
      </c>
    </row>
    <row r="292" spans="2:31" x14ac:dyDescent="0.2">
      <c r="B292" s="27">
        <v>160</v>
      </c>
      <c r="C292" s="28" t="s">
        <v>783</v>
      </c>
      <c r="D292" s="28" t="s">
        <v>380</v>
      </c>
      <c r="E292" s="28">
        <v>1E-4</v>
      </c>
      <c r="F292" s="28">
        <v>2.8500000000000001E-2</v>
      </c>
      <c r="G292" s="28">
        <v>3.7999999999999999E-2</v>
      </c>
      <c r="H292" s="28">
        <v>-1E-4</v>
      </c>
      <c r="I292" s="28">
        <v>-2.87E-2</v>
      </c>
      <c r="J292" s="28">
        <v>-3.8300000000000001E-2</v>
      </c>
      <c r="K292" s="29">
        <v>300</v>
      </c>
      <c r="L292" s="29">
        <v>475</v>
      </c>
      <c r="M292" s="30">
        <v>-69.200199999999995</v>
      </c>
      <c r="N292" s="30">
        <v>0.27749453634085214</v>
      </c>
      <c r="O292" s="29">
        <v>1</v>
      </c>
      <c r="R292" s="27">
        <v>160</v>
      </c>
      <c r="S292" s="28" t="s">
        <v>783</v>
      </c>
      <c r="T292" s="28" t="s">
        <v>380</v>
      </c>
      <c r="U292" s="28">
        <v>1E-4</v>
      </c>
      <c r="V292" s="28">
        <v>2.8500000000000001E-2</v>
      </c>
      <c r="W292" s="28">
        <v>3.7999999999999999E-2</v>
      </c>
      <c r="X292" s="28">
        <v>-1E-4</v>
      </c>
      <c r="Y292" s="28">
        <v>-2.87E-2</v>
      </c>
      <c r="Z292" s="28">
        <v>-3.8300000000000001E-2</v>
      </c>
      <c r="AA292" s="29">
        <v>300</v>
      </c>
      <c r="AB292" s="29">
        <v>475</v>
      </c>
      <c r="AC292" s="30">
        <v>-69.309799999999996</v>
      </c>
      <c r="AD292" s="30">
        <v>0.27793403508771924</v>
      </c>
      <c r="AE292" s="29">
        <v>1</v>
      </c>
    </row>
    <row r="293" spans="2:31" x14ac:dyDescent="0.2">
      <c r="B293" s="27">
        <v>160</v>
      </c>
      <c r="C293" s="28" t="s">
        <v>784</v>
      </c>
      <c r="D293" s="28" t="s">
        <v>382</v>
      </c>
      <c r="E293" s="28">
        <v>1E-4</v>
      </c>
      <c r="F293" s="28">
        <v>2.8500000000000001E-2</v>
      </c>
      <c r="G293" s="28">
        <v>3.7999999999999999E-2</v>
      </c>
      <c r="H293" s="28">
        <v>-1E-4</v>
      </c>
      <c r="I293" s="28">
        <v>-2.87E-2</v>
      </c>
      <c r="J293" s="28">
        <v>-3.8300000000000001E-2</v>
      </c>
      <c r="K293" s="29">
        <v>300</v>
      </c>
      <c r="L293" s="29">
        <v>475</v>
      </c>
      <c r="M293" s="30">
        <v>73.334199999999996</v>
      </c>
      <c r="N293" s="30">
        <v>0.29407197994987466</v>
      </c>
      <c r="O293" s="29">
        <v>1</v>
      </c>
      <c r="R293" s="27">
        <v>160</v>
      </c>
      <c r="S293" s="28" t="s">
        <v>784</v>
      </c>
      <c r="T293" s="28" t="s">
        <v>382</v>
      </c>
      <c r="U293" s="28">
        <v>1E-4</v>
      </c>
      <c r="V293" s="28">
        <v>2.8500000000000001E-2</v>
      </c>
      <c r="W293" s="28">
        <v>3.7999999999999999E-2</v>
      </c>
      <c r="X293" s="28">
        <v>-1E-4</v>
      </c>
      <c r="Y293" s="28">
        <v>-2.87E-2</v>
      </c>
      <c r="Z293" s="28">
        <v>-3.8300000000000001E-2</v>
      </c>
      <c r="AA293" s="29">
        <v>300</v>
      </c>
      <c r="AB293" s="29">
        <v>475</v>
      </c>
      <c r="AC293" s="30">
        <v>51.006700000000002</v>
      </c>
      <c r="AD293" s="30">
        <v>0.20453814536340853</v>
      </c>
      <c r="AE293" s="29">
        <v>1</v>
      </c>
    </row>
    <row r="294" spans="2:31" x14ac:dyDescent="0.2">
      <c r="B294" s="27">
        <v>163</v>
      </c>
      <c r="C294" s="28" t="s">
        <v>786</v>
      </c>
      <c r="D294" s="28" t="s">
        <v>380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-72.573400000000007</v>
      </c>
      <c r="N294" s="30">
        <v>0.29102115288220554</v>
      </c>
      <c r="O294" s="29">
        <v>1</v>
      </c>
      <c r="R294" s="27">
        <v>163</v>
      </c>
      <c r="S294" s="28" t="s">
        <v>786</v>
      </c>
      <c r="T294" s="28" t="s">
        <v>380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-72.686599999999999</v>
      </c>
      <c r="AD294" s="30">
        <v>0.29147508771929825</v>
      </c>
      <c r="AE294" s="29">
        <v>1</v>
      </c>
    </row>
    <row r="295" spans="2:31" x14ac:dyDescent="0.2">
      <c r="B295" s="27">
        <v>163</v>
      </c>
      <c r="C295" s="28" t="s">
        <v>787</v>
      </c>
      <c r="D295" s="28" t="s">
        <v>382</v>
      </c>
      <c r="E295" s="28">
        <v>1E-4</v>
      </c>
      <c r="F295" s="28">
        <v>2.8500000000000001E-2</v>
      </c>
      <c r="G295" s="28">
        <v>3.7999999999999999E-2</v>
      </c>
      <c r="H295" s="28">
        <v>-1E-4</v>
      </c>
      <c r="I295" s="28">
        <v>-2.87E-2</v>
      </c>
      <c r="J295" s="28">
        <v>-3.8300000000000001E-2</v>
      </c>
      <c r="K295" s="29">
        <v>300</v>
      </c>
      <c r="L295" s="29">
        <v>475</v>
      </c>
      <c r="M295" s="30">
        <v>73.334199999999996</v>
      </c>
      <c r="N295" s="30">
        <v>0.29407197994987466</v>
      </c>
      <c r="O295" s="29">
        <v>1</v>
      </c>
      <c r="R295" s="27">
        <v>163</v>
      </c>
      <c r="S295" s="28" t="s">
        <v>787</v>
      </c>
      <c r="T295" s="28" t="s">
        <v>382</v>
      </c>
      <c r="U295" s="28">
        <v>1E-4</v>
      </c>
      <c r="V295" s="28">
        <v>2.8500000000000001E-2</v>
      </c>
      <c r="W295" s="28">
        <v>3.7999999999999999E-2</v>
      </c>
      <c r="X295" s="28">
        <v>-1E-4</v>
      </c>
      <c r="Y295" s="28">
        <v>-2.87E-2</v>
      </c>
      <c r="Z295" s="28">
        <v>-3.8300000000000001E-2</v>
      </c>
      <c r="AA295" s="29">
        <v>300</v>
      </c>
      <c r="AB295" s="29">
        <v>475</v>
      </c>
      <c r="AC295" s="30">
        <v>51.006700000000002</v>
      </c>
      <c r="AD295" s="30">
        <v>0.20453814536340853</v>
      </c>
      <c r="AE295" s="29">
        <v>1</v>
      </c>
    </row>
    <row r="296" spans="2:31" x14ac:dyDescent="0.2">
      <c r="B296" s="27">
        <v>166</v>
      </c>
      <c r="C296" s="28" t="s">
        <v>789</v>
      </c>
      <c r="D296" s="28" t="s">
        <v>380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-2.86E-2</v>
      </c>
      <c r="J296" s="28">
        <v>-3.8100000000000002E-2</v>
      </c>
      <c r="K296" s="29">
        <v>300</v>
      </c>
      <c r="L296" s="29">
        <v>475</v>
      </c>
      <c r="M296" s="30">
        <v>-52.5227</v>
      </c>
      <c r="N296" s="30">
        <v>0.21061734335839599</v>
      </c>
      <c r="O296" s="29">
        <v>1</v>
      </c>
      <c r="R296" s="27">
        <v>166</v>
      </c>
      <c r="S296" s="28" t="s">
        <v>789</v>
      </c>
      <c r="T296" s="28" t="s">
        <v>380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-2.86E-2</v>
      </c>
      <c r="Z296" s="28">
        <v>-3.8100000000000002E-2</v>
      </c>
      <c r="AA296" s="29">
        <v>300</v>
      </c>
      <c r="AB296" s="29">
        <v>475</v>
      </c>
      <c r="AC296" s="30">
        <v>-52.6096</v>
      </c>
      <c r="AD296" s="30">
        <v>0.21096581453634083</v>
      </c>
      <c r="AE296" s="29">
        <v>1</v>
      </c>
    </row>
    <row r="297" spans="2:31" x14ac:dyDescent="0.2">
      <c r="B297" s="27">
        <v>166</v>
      </c>
      <c r="C297" s="28" t="s">
        <v>790</v>
      </c>
      <c r="D297" s="28" t="s">
        <v>382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-2.86E-2</v>
      </c>
      <c r="J297" s="28">
        <v>-3.8100000000000002E-2</v>
      </c>
      <c r="K297" s="29">
        <v>300</v>
      </c>
      <c r="L297" s="29">
        <v>475</v>
      </c>
      <c r="M297" s="30">
        <v>73.334199999999996</v>
      </c>
      <c r="N297" s="30">
        <v>0.29407197994987466</v>
      </c>
      <c r="O297" s="29">
        <v>1</v>
      </c>
      <c r="R297" s="27">
        <v>166</v>
      </c>
      <c r="S297" s="28" t="s">
        <v>790</v>
      </c>
      <c r="T297" s="28" t="s">
        <v>382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-2.86E-2</v>
      </c>
      <c r="Z297" s="28">
        <v>-3.8100000000000002E-2</v>
      </c>
      <c r="AA297" s="29">
        <v>300</v>
      </c>
      <c r="AB297" s="29">
        <v>475</v>
      </c>
      <c r="AC297" s="30">
        <v>51.006700000000002</v>
      </c>
      <c r="AD297" s="30">
        <v>0.20453814536340853</v>
      </c>
      <c r="AE297" s="29">
        <v>1</v>
      </c>
    </row>
    <row r="298" spans="2:31" x14ac:dyDescent="0.2">
      <c r="B298" s="27">
        <v>182</v>
      </c>
      <c r="C298" s="28" t="s">
        <v>792</v>
      </c>
      <c r="D298" s="28" t="s">
        <v>380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-2.7799999999999998E-2</v>
      </c>
      <c r="J298" s="28">
        <v>-3.6999999999999998E-2</v>
      </c>
      <c r="K298" s="29">
        <v>300</v>
      </c>
      <c r="L298" s="29">
        <v>475</v>
      </c>
      <c r="M298" s="30">
        <v>-50.644500000000001</v>
      </c>
      <c r="N298" s="30">
        <v>0.20308571428571429</v>
      </c>
      <c r="O298" s="29">
        <v>1</v>
      </c>
      <c r="R298" s="27">
        <v>182</v>
      </c>
      <c r="S298" s="28" t="s">
        <v>792</v>
      </c>
      <c r="T298" s="28" t="s">
        <v>380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-2.7799999999999998E-2</v>
      </c>
      <c r="Z298" s="28">
        <v>-3.6999999999999998E-2</v>
      </c>
      <c r="AA298" s="29">
        <v>300</v>
      </c>
      <c r="AB298" s="29">
        <v>475</v>
      </c>
      <c r="AC298" s="30">
        <v>-50.644300000000001</v>
      </c>
      <c r="AD298" s="30">
        <v>0.20308491228070177</v>
      </c>
      <c r="AE298" s="29">
        <v>1</v>
      </c>
    </row>
    <row r="299" spans="2:31" x14ac:dyDescent="0.2">
      <c r="B299" s="27">
        <v>182</v>
      </c>
      <c r="C299" s="28" t="s">
        <v>793</v>
      </c>
      <c r="D299" s="28" t="s">
        <v>382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73.334199999999996</v>
      </c>
      <c r="N299" s="30">
        <v>0.29407197994987466</v>
      </c>
      <c r="O299" s="29">
        <v>1</v>
      </c>
      <c r="R299" s="27">
        <v>182</v>
      </c>
      <c r="S299" s="28" t="s">
        <v>793</v>
      </c>
      <c r="T299" s="28" t="s">
        <v>382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51.006700000000002</v>
      </c>
      <c r="AD299" s="30">
        <v>0.20453814536340853</v>
      </c>
      <c r="AE299" s="29">
        <v>1</v>
      </c>
    </row>
    <row r="300" spans="2:31" x14ac:dyDescent="0.2">
      <c r="B300" s="27">
        <v>183</v>
      </c>
      <c r="C300" s="28" t="s">
        <v>795</v>
      </c>
      <c r="D300" s="28" t="s">
        <v>380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-55.661700000000003</v>
      </c>
      <c r="N300" s="30">
        <v>0.22320481203007519</v>
      </c>
      <c r="O300" s="29">
        <v>1</v>
      </c>
      <c r="R300" s="27">
        <v>183</v>
      </c>
      <c r="S300" s="28" t="s">
        <v>795</v>
      </c>
      <c r="T300" s="28" t="s">
        <v>380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-55.659500000000001</v>
      </c>
      <c r="AD300" s="30">
        <v>0.22319598997493734</v>
      </c>
      <c r="AE300" s="29">
        <v>1</v>
      </c>
    </row>
    <row r="301" spans="2:31" x14ac:dyDescent="0.2">
      <c r="B301" s="27">
        <v>183</v>
      </c>
      <c r="C301" s="28" t="s">
        <v>796</v>
      </c>
      <c r="D301" s="28" t="s">
        <v>382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73.334199999999996</v>
      </c>
      <c r="N301" s="30">
        <v>0.29407197994987466</v>
      </c>
      <c r="O301" s="29">
        <v>1</v>
      </c>
      <c r="R301" s="27">
        <v>183</v>
      </c>
      <c r="S301" s="28" t="s">
        <v>796</v>
      </c>
      <c r="T301" s="28" t="s">
        <v>382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51.006700000000002</v>
      </c>
      <c r="AD301" s="30">
        <v>0.20453814536340853</v>
      </c>
      <c r="AE301" s="29">
        <v>1</v>
      </c>
    </row>
    <row r="302" spans="2:31" x14ac:dyDescent="0.2">
      <c r="B302" s="27">
        <v>184</v>
      </c>
      <c r="C302" s="28" t="s">
        <v>797</v>
      </c>
      <c r="D302" s="28" t="s">
        <v>380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-53.3996</v>
      </c>
      <c r="N302" s="30">
        <v>0.2141337343358396</v>
      </c>
      <c r="O302" s="29">
        <v>1</v>
      </c>
      <c r="R302" s="27">
        <v>184</v>
      </c>
      <c r="S302" s="28" t="s">
        <v>797</v>
      </c>
      <c r="T302" s="28" t="s">
        <v>380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-53.398499999999999</v>
      </c>
      <c r="AD302" s="30">
        <v>0.21412932330827067</v>
      </c>
      <c r="AE302" s="29">
        <v>1</v>
      </c>
    </row>
    <row r="303" spans="2:31" x14ac:dyDescent="0.2">
      <c r="B303" s="27">
        <v>184</v>
      </c>
      <c r="C303" s="28" t="s">
        <v>798</v>
      </c>
      <c r="D303" s="28" t="s">
        <v>382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73.334199999999996</v>
      </c>
      <c r="N303" s="30">
        <v>0.29407197994987466</v>
      </c>
      <c r="O303" s="29">
        <v>1</v>
      </c>
      <c r="R303" s="27">
        <v>184</v>
      </c>
      <c r="S303" s="28" t="s">
        <v>798</v>
      </c>
      <c r="T303" s="28" t="s">
        <v>382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51.006700000000002</v>
      </c>
      <c r="AD303" s="30">
        <v>0.20453814536340853</v>
      </c>
      <c r="AE303" s="29">
        <v>1</v>
      </c>
    </row>
    <row r="304" spans="2:31" x14ac:dyDescent="0.2">
      <c r="B304" s="27">
        <v>185</v>
      </c>
      <c r="C304" s="28" t="s">
        <v>799</v>
      </c>
      <c r="D304" s="28" t="s">
        <v>380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-52.607599999999998</v>
      </c>
      <c r="N304" s="30">
        <v>0.21095779448621554</v>
      </c>
      <c r="O304" s="29">
        <v>1</v>
      </c>
      <c r="R304" s="27">
        <v>185</v>
      </c>
      <c r="S304" s="28" t="s">
        <v>799</v>
      </c>
      <c r="T304" s="28" t="s">
        <v>380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-52.606699999999996</v>
      </c>
      <c r="AD304" s="30">
        <v>0.21095418546365913</v>
      </c>
      <c r="AE304" s="29">
        <v>1</v>
      </c>
    </row>
    <row r="305" spans="2:31" x14ac:dyDescent="0.2">
      <c r="B305" s="27">
        <v>185</v>
      </c>
      <c r="C305" s="28" t="s">
        <v>800</v>
      </c>
      <c r="D305" s="28" t="s">
        <v>382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73.334199999999996</v>
      </c>
      <c r="N305" s="30">
        <v>0.29407197994987466</v>
      </c>
      <c r="O305" s="29">
        <v>1</v>
      </c>
      <c r="R305" s="27">
        <v>185</v>
      </c>
      <c r="S305" s="28" t="s">
        <v>800</v>
      </c>
      <c r="T305" s="28" t="s">
        <v>382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51.006700000000002</v>
      </c>
      <c r="AD305" s="30">
        <v>0.20453814536340853</v>
      </c>
      <c r="AE305" s="29">
        <v>1</v>
      </c>
    </row>
    <row r="306" spans="2:31" x14ac:dyDescent="0.2">
      <c r="B306" s="27">
        <v>186</v>
      </c>
      <c r="C306" s="28" t="s">
        <v>802</v>
      </c>
      <c r="D306" s="28" t="s">
        <v>380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-54.1586</v>
      </c>
      <c r="N306" s="30">
        <v>0.21717734335839597</v>
      </c>
      <c r="O306" s="29">
        <v>1</v>
      </c>
      <c r="R306" s="27">
        <v>186</v>
      </c>
      <c r="S306" s="28" t="s">
        <v>802</v>
      </c>
      <c r="T306" s="28" t="s">
        <v>380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-54.1554</v>
      </c>
      <c r="AD306" s="30">
        <v>0.2171645112781955</v>
      </c>
      <c r="AE306" s="29">
        <v>1</v>
      </c>
    </row>
    <row r="307" spans="2:31" x14ac:dyDescent="0.2">
      <c r="B307" s="27">
        <v>186</v>
      </c>
      <c r="C307" s="28" t="s">
        <v>803</v>
      </c>
      <c r="D307" s="28" t="s">
        <v>382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-2.7799999999999998E-2</v>
      </c>
      <c r="J307" s="28">
        <v>-3.6999999999999998E-2</v>
      </c>
      <c r="K307" s="29">
        <v>300</v>
      </c>
      <c r="L307" s="29">
        <v>475</v>
      </c>
      <c r="M307" s="30">
        <v>73.334199999999996</v>
      </c>
      <c r="N307" s="30">
        <v>0.29407197994987466</v>
      </c>
      <c r="O307" s="29">
        <v>1</v>
      </c>
      <c r="R307" s="27">
        <v>186</v>
      </c>
      <c r="S307" s="28" t="s">
        <v>803</v>
      </c>
      <c r="T307" s="28" t="s">
        <v>382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-2.7799999999999998E-2</v>
      </c>
      <c r="Z307" s="28">
        <v>-3.6999999999999998E-2</v>
      </c>
      <c r="AA307" s="29">
        <v>300</v>
      </c>
      <c r="AB307" s="29">
        <v>475</v>
      </c>
      <c r="AC307" s="30">
        <v>51.006700000000002</v>
      </c>
      <c r="AD307" s="30">
        <v>0.20453814536340853</v>
      </c>
      <c r="AE307" s="29">
        <v>1</v>
      </c>
    </row>
    <row r="308" spans="2:31" x14ac:dyDescent="0.2">
      <c r="B308" s="27">
        <v>43</v>
      </c>
      <c r="C308" s="28" t="s">
        <v>805</v>
      </c>
      <c r="D308" s="28" t="s">
        <v>380</v>
      </c>
      <c r="E308" s="28">
        <v>1E-4</v>
      </c>
      <c r="F308" s="28">
        <v>2.7799999999999998E-2</v>
      </c>
      <c r="G308" s="28">
        <v>3.6999999999999998E-2</v>
      </c>
      <c r="H308" s="28">
        <v>-1E-4</v>
      </c>
      <c r="I308" s="28">
        <v>-2.7799999999999998E-2</v>
      </c>
      <c r="J308" s="28">
        <v>-3.6999999999999998E-2</v>
      </c>
      <c r="K308" s="29">
        <v>300</v>
      </c>
      <c r="L308" s="29">
        <v>475</v>
      </c>
      <c r="M308" s="30">
        <v>-47.536900000000003</v>
      </c>
      <c r="N308" s="30">
        <v>0.19062416040100252</v>
      </c>
      <c r="O308" s="29">
        <v>1</v>
      </c>
      <c r="R308" s="27">
        <v>43</v>
      </c>
      <c r="S308" s="28" t="s">
        <v>805</v>
      </c>
      <c r="T308" s="28" t="s">
        <v>380</v>
      </c>
      <c r="U308" s="28">
        <v>1E-4</v>
      </c>
      <c r="V308" s="28">
        <v>2.7799999999999998E-2</v>
      </c>
      <c r="W308" s="28">
        <v>3.6999999999999998E-2</v>
      </c>
      <c r="X308" s="28">
        <v>-1E-4</v>
      </c>
      <c r="Y308" s="28">
        <v>-2.7799999999999998E-2</v>
      </c>
      <c r="Z308" s="28">
        <v>-3.6999999999999998E-2</v>
      </c>
      <c r="AA308" s="29">
        <v>300</v>
      </c>
      <c r="AB308" s="29">
        <v>475</v>
      </c>
      <c r="AC308" s="30">
        <v>-47.555900000000001</v>
      </c>
      <c r="AD308" s="30">
        <v>0.19070035087719298</v>
      </c>
      <c r="AE308" s="29">
        <v>1</v>
      </c>
    </row>
    <row r="309" spans="2:31" x14ac:dyDescent="0.2">
      <c r="B309" s="27">
        <v>43</v>
      </c>
      <c r="C309" s="28" t="s">
        <v>806</v>
      </c>
      <c r="D309" s="28" t="s">
        <v>382</v>
      </c>
      <c r="E309" s="28">
        <v>1E-4</v>
      </c>
      <c r="F309" s="28">
        <v>2.7799999999999998E-2</v>
      </c>
      <c r="G309" s="28">
        <v>3.6999999999999998E-2</v>
      </c>
      <c r="H309" s="28">
        <v>-1E-4</v>
      </c>
      <c r="I309" s="28">
        <v>-2.8000000000000001E-2</v>
      </c>
      <c r="J309" s="28">
        <v>-3.73E-2</v>
      </c>
      <c r="K309" s="29">
        <v>300</v>
      </c>
      <c r="L309" s="29">
        <v>475</v>
      </c>
      <c r="M309" s="30">
        <v>73.334199999999996</v>
      </c>
      <c r="N309" s="30">
        <v>0.29407197994987466</v>
      </c>
      <c r="O309" s="29">
        <v>1</v>
      </c>
      <c r="R309" s="27">
        <v>43</v>
      </c>
      <c r="S309" s="28" t="s">
        <v>806</v>
      </c>
      <c r="T309" s="28" t="s">
        <v>382</v>
      </c>
      <c r="U309" s="28">
        <v>1E-4</v>
      </c>
      <c r="V309" s="28">
        <v>2.7799999999999998E-2</v>
      </c>
      <c r="W309" s="28">
        <v>3.6999999999999998E-2</v>
      </c>
      <c r="X309" s="28">
        <v>-1E-4</v>
      </c>
      <c r="Y309" s="28">
        <v>-2.8000000000000001E-2</v>
      </c>
      <c r="Z309" s="28">
        <v>-3.73E-2</v>
      </c>
      <c r="AA309" s="29">
        <v>300</v>
      </c>
      <c r="AB309" s="29">
        <v>475</v>
      </c>
      <c r="AC309" s="30">
        <v>51.006700000000002</v>
      </c>
      <c r="AD309" s="30">
        <v>0.20453814536340853</v>
      </c>
      <c r="AE309" s="29">
        <v>1</v>
      </c>
    </row>
    <row r="310" spans="2:31" x14ac:dyDescent="0.2">
      <c r="B310" s="27">
        <v>44</v>
      </c>
      <c r="C310" s="28" t="s">
        <v>808</v>
      </c>
      <c r="D310" s="28" t="s">
        <v>380</v>
      </c>
      <c r="E310" s="28">
        <v>1E-4</v>
      </c>
      <c r="F310" s="28">
        <v>2.7799999999999998E-2</v>
      </c>
      <c r="G310" s="28">
        <v>3.6999999999999998E-2</v>
      </c>
      <c r="H310" s="28">
        <v>-1E-4</v>
      </c>
      <c r="I310" s="28">
        <v>-2.8000000000000001E-2</v>
      </c>
      <c r="J310" s="28">
        <v>-3.73E-2</v>
      </c>
      <c r="K310" s="29">
        <v>300</v>
      </c>
      <c r="L310" s="29">
        <v>475</v>
      </c>
      <c r="M310" s="30">
        <v>-52.183399999999999</v>
      </c>
      <c r="N310" s="30">
        <v>0.20925674185463661</v>
      </c>
      <c r="O310" s="29">
        <v>1</v>
      </c>
      <c r="R310" s="27">
        <v>44</v>
      </c>
      <c r="S310" s="28" t="s">
        <v>808</v>
      </c>
      <c r="T310" s="28" t="s">
        <v>380</v>
      </c>
      <c r="U310" s="28">
        <v>1E-4</v>
      </c>
      <c r="V310" s="28">
        <v>2.7799999999999998E-2</v>
      </c>
      <c r="W310" s="28">
        <v>3.6999999999999998E-2</v>
      </c>
      <c r="X310" s="28">
        <v>-1E-4</v>
      </c>
      <c r="Y310" s="28">
        <v>-2.8000000000000001E-2</v>
      </c>
      <c r="Z310" s="28">
        <v>-3.73E-2</v>
      </c>
      <c r="AA310" s="29">
        <v>300</v>
      </c>
      <c r="AB310" s="29">
        <v>475</v>
      </c>
      <c r="AC310" s="30">
        <v>-52.204799999999999</v>
      </c>
      <c r="AD310" s="30">
        <v>0.20934255639097743</v>
      </c>
      <c r="AE310" s="29">
        <v>1</v>
      </c>
    </row>
    <row r="311" spans="2:31" x14ac:dyDescent="0.2">
      <c r="B311" s="27">
        <v>44</v>
      </c>
      <c r="C311" s="28" t="s">
        <v>809</v>
      </c>
      <c r="D311" s="28" t="s">
        <v>382</v>
      </c>
      <c r="E311" s="28">
        <v>1E-4</v>
      </c>
      <c r="F311" s="28">
        <v>2.7799999999999998E-2</v>
      </c>
      <c r="G311" s="28">
        <v>3.6999999999999998E-2</v>
      </c>
      <c r="H311" s="28">
        <v>-1E-4</v>
      </c>
      <c r="I311" s="28">
        <v>-2.8000000000000001E-2</v>
      </c>
      <c r="J311" s="28">
        <v>-3.73E-2</v>
      </c>
      <c r="K311" s="29">
        <v>300</v>
      </c>
      <c r="L311" s="29">
        <v>475</v>
      </c>
      <c r="M311" s="30">
        <v>73.334199999999996</v>
      </c>
      <c r="N311" s="30">
        <v>0.29407197994987466</v>
      </c>
      <c r="O311" s="29">
        <v>1</v>
      </c>
      <c r="R311" s="27">
        <v>44</v>
      </c>
      <c r="S311" s="28" t="s">
        <v>809</v>
      </c>
      <c r="T311" s="28" t="s">
        <v>382</v>
      </c>
      <c r="U311" s="28">
        <v>1E-4</v>
      </c>
      <c r="V311" s="28">
        <v>2.7799999999999998E-2</v>
      </c>
      <c r="W311" s="28">
        <v>3.6999999999999998E-2</v>
      </c>
      <c r="X311" s="28">
        <v>-1E-4</v>
      </c>
      <c r="Y311" s="28">
        <v>-2.8000000000000001E-2</v>
      </c>
      <c r="Z311" s="28">
        <v>-3.73E-2</v>
      </c>
      <c r="AA311" s="29">
        <v>300</v>
      </c>
      <c r="AB311" s="29">
        <v>475</v>
      </c>
      <c r="AC311" s="30">
        <v>51.006700000000002</v>
      </c>
      <c r="AD311" s="30">
        <v>0.20453814536340853</v>
      </c>
      <c r="AE311" s="29">
        <v>1</v>
      </c>
    </row>
    <row r="312" spans="2:31" x14ac:dyDescent="0.2">
      <c r="B312" s="27">
        <v>45</v>
      </c>
      <c r="C312" s="28" t="s">
        <v>810</v>
      </c>
      <c r="D312" s="28" t="s">
        <v>380</v>
      </c>
      <c r="E312" s="28">
        <v>1E-4</v>
      </c>
      <c r="F312" s="28">
        <v>2.7799999999999998E-2</v>
      </c>
      <c r="G312" s="28">
        <v>3.6999999999999998E-2</v>
      </c>
      <c r="H312" s="28">
        <v>-1E-4</v>
      </c>
      <c r="I312" s="28">
        <v>-2.8000000000000001E-2</v>
      </c>
      <c r="J312" s="28">
        <v>-3.73E-2</v>
      </c>
      <c r="K312" s="29">
        <v>300</v>
      </c>
      <c r="L312" s="29">
        <v>475</v>
      </c>
      <c r="M312" s="30">
        <v>-49.601100000000002</v>
      </c>
      <c r="N312" s="30">
        <v>0.19890165413533836</v>
      </c>
      <c r="O312" s="29">
        <v>1</v>
      </c>
      <c r="R312" s="27">
        <v>45</v>
      </c>
      <c r="S312" s="28" t="s">
        <v>810</v>
      </c>
      <c r="T312" s="28" t="s">
        <v>380</v>
      </c>
      <c r="U312" s="28">
        <v>1E-4</v>
      </c>
      <c r="V312" s="28">
        <v>2.7799999999999998E-2</v>
      </c>
      <c r="W312" s="28">
        <v>3.6999999999999998E-2</v>
      </c>
      <c r="X312" s="28">
        <v>-1E-4</v>
      </c>
      <c r="Y312" s="28">
        <v>-2.8000000000000001E-2</v>
      </c>
      <c r="Z312" s="28">
        <v>-3.73E-2</v>
      </c>
      <c r="AA312" s="29">
        <v>300</v>
      </c>
      <c r="AB312" s="29">
        <v>475</v>
      </c>
      <c r="AC312" s="30">
        <v>-49.622799999999998</v>
      </c>
      <c r="AD312" s="30">
        <v>0.19898867167919798</v>
      </c>
      <c r="AE312" s="29">
        <v>1</v>
      </c>
    </row>
    <row r="313" spans="2:31" x14ac:dyDescent="0.2">
      <c r="B313" s="27">
        <v>45</v>
      </c>
      <c r="C313" s="28" t="s">
        <v>811</v>
      </c>
      <c r="D313" s="28" t="s">
        <v>382</v>
      </c>
      <c r="E313" s="28">
        <v>1E-4</v>
      </c>
      <c r="F313" s="28">
        <v>2.7799999999999998E-2</v>
      </c>
      <c r="G313" s="28">
        <v>3.6999999999999998E-2</v>
      </c>
      <c r="H313" s="28">
        <v>-1E-4</v>
      </c>
      <c r="I313" s="28">
        <v>-2.8000000000000001E-2</v>
      </c>
      <c r="J313" s="28">
        <v>-3.73E-2</v>
      </c>
      <c r="K313" s="29">
        <v>300</v>
      </c>
      <c r="L313" s="29">
        <v>475</v>
      </c>
      <c r="M313" s="30">
        <v>73.334199999999996</v>
      </c>
      <c r="N313" s="30">
        <v>0.29407197994987466</v>
      </c>
      <c r="O313" s="29">
        <v>1</v>
      </c>
      <c r="R313" s="27">
        <v>45</v>
      </c>
      <c r="S313" s="28" t="s">
        <v>811</v>
      </c>
      <c r="T313" s="28" t="s">
        <v>382</v>
      </c>
      <c r="U313" s="28">
        <v>1E-4</v>
      </c>
      <c r="V313" s="28">
        <v>2.7799999999999998E-2</v>
      </c>
      <c r="W313" s="28">
        <v>3.6999999999999998E-2</v>
      </c>
      <c r="X313" s="28">
        <v>-1E-4</v>
      </c>
      <c r="Y313" s="28">
        <v>-2.8000000000000001E-2</v>
      </c>
      <c r="Z313" s="28">
        <v>-3.73E-2</v>
      </c>
      <c r="AA313" s="29">
        <v>300</v>
      </c>
      <c r="AB313" s="29">
        <v>475</v>
      </c>
      <c r="AC313" s="30">
        <v>51.006700000000002</v>
      </c>
      <c r="AD313" s="30">
        <v>0.20453814536340853</v>
      </c>
      <c r="AE313" s="29">
        <v>1</v>
      </c>
    </row>
    <row r="314" spans="2:31" x14ac:dyDescent="0.2">
      <c r="B314" s="27">
        <v>46</v>
      </c>
      <c r="C314" s="28" t="s">
        <v>812</v>
      </c>
      <c r="D314" s="28" t="s">
        <v>380</v>
      </c>
      <c r="E314" s="28">
        <v>1E-4</v>
      </c>
      <c r="F314" s="28">
        <v>2.7799999999999998E-2</v>
      </c>
      <c r="G314" s="28">
        <v>3.6999999999999998E-2</v>
      </c>
      <c r="H314" s="28">
        <v>-1E-4</v>
      </c>
      <c r="I314" s="28">
        <v>-2.8000000000000001E-2</v>
      </c>
      <c r="J314" s="28">
        <v>-3.73E-2</v>
      </c>
      <c r="K314" s="29">
        <v>300</v>
      </c>
      <c r="L314" s="29">
        <v>475</v>
      </c>
      <c r="M314" s="30">
        <v>-48.952199999999998</v>
      </c>
      <c r="N314" s="30">
        <v>0.19629954887218043</v>
      </c>
      <c r="O314" s="29">
        <v>1</v>
      </c>
      <c r="R314" s="27">
        <v>46</v>
      </c>
      <c r="S314" s="28" t="s">
        <v>812</v>
      </c>
      <c r="T314" s="28" t="s">
        <v>380</v>
      </c>
      <c r="U314" s="28">
        <v>1E-4</v>
      </c>
      <c r="V314" s="28">
        <v>2.7799999999999998E-2</v>
      </c>
      <c r="W314" s="28">
        <v>3.6999999999999998E-2</v>
      </c>
      <c r="X314" s="28">
        <v>-1E-4</v>
      </c>
      <c r="Y314" s="28">
        <v>-2.8000000000000001E-2</v>
      </c>
      <c r="Z314" s="28">
        <v>-3.73E-2</v>
      </c>
      <c r="AA314" s="29">
        <v>300</v>
      </c>
      <c r="AB314" s="29">
        <v>475</v>
      </c>
      <c r="AC314" s="30">
        <v>-48.9739</v>
      </c>
      <c r="AD314" s="30">
        <v>0.1963865664160401</v>
      </c>
      <c r="AE314" s="29">
        <v>1</v>
      </c>
    </row>
    <row r="315" spans="2:31" x14ac:dyDescent="0.2">
      <c r="B315" s="27">
        <v>46</v>
      </c>
      <c r="C315" s="28" t="s">
        <v>813</v>
      </c>
      <c r="D315" s="28" t="s">
        <v>382</v>
      </c>
      <c r="E315" s="28">
        <v>1E-4</v>
      </c>
      <c r="F315" s="28">
        <v>2.7799999999999998E-2</v>
      </c>
      <c r="G315" s="28">
        <v>3.6999999999999998E-2</v>
      </c>
      <c r="H315" s="28">
        <v>-1E-4</v>
      </c>
      <c r="I315" s="28">
        <v>-2.8000000000000001E-2</v>
      </c>
      <c r="J315" s="28">
        <v>-3.73E-2</v>
      </c>
      <c r="K315" s="29">
        <v>300</v>
      </c>
      <c r="L315" s="29">
        <v>475</v>
      </c>
      <c r="M315" s="30">
        <v>73.334199999999996</v>
      </c>
      <c r="N315" s="30">
        <v>0.29407197994987466</v>
      </c>
      <c r="O315" s="29">
        <v>1</v>
      </c>
      <c r="R315" s="27">
        <v>46</v>
      </c>
      <c r="S315" s="28" t="s">
        <v>813</v>
      </c>
      <c r="T315" s="28" t="s">
        <v>382</v>
      </c>
      <c r="U315" s="28">
        <v>1E-4</v>
      </c>
      <c r="V315" s="28">
        <v>2.7799999999999998E-2</v>
      </c>
      <c r="W315" s="28">
        <v>3.6999999999999998E-2</v>
      </c>
      <c r="X315" s="28">
        <v>-1E-4</v>
      </c>
      <c r="Y315" s="28">
        <v>-2.8000000000000001E-2</v>
      </c>
      <c r="Z315" s="28">
        <v>-3.73E-2</v>
      </c>
      <c r="AA315" s="29">
        <v>300</v>
      </c>
      <c r="AB315" s="29">
        <v>475</v>
      </c>
      <c r="AC315" s="30">
        <v>51.006700000000002</v>
      </c>
      <c r="AD315" s="30">
        <v>0.20453814536340853</v>
      </c>
      <c r="AE315" s="29">
        <v>1</v>
      </c>
    </row>
    <row r="316" spans="2:31" x14ac:dyDescent="0.2">
      <c r="B316" s="27">
        <v>47</v>
      </c>
      <c r="C316" s="28" t="s">
        <v>815</v>
      </c>
      <c r="D316" s="28" t="s">
        <v>380</v>
      </c>
      <c r="E316" s="28">
        <v>1E-4</v>
      </c>
      <c r="F316" s="28">
        <v>2.7799999999999998E-2</v>
      </c>
      <c r="G316" s="28">
        <v>3.6999999999999998E-2</v>
      </c>
      <c r="H316" s="28">
        <v>-1E-4</v>
      </c>
      <c r="I316" s="28">
        <v>-2.8000000000000001E-2</v>
      </c>
      <c r="J316" s="28">
        <v>-3.73E-2</v>
      </c>
      <c r="K316" s="29">
        <v>300</v>
      </c>
      <c r="L316" s="29">
        <v>475</v>
      </c>
      <c r="M316" s="30">
        <v>-51.3902</v>
      </c>
      <c r="N316" s="30">
        <v>0.20607598997493734</v>
      </c>
      <c r="O316" s="29">
        <v>1</v>
      </c>
      <c r="R316" s="27">
        <v>47</v>
      </c>
      <c r="S316" s="28" t="s">
        <v>815</v>
      </c>
      <c r="T316" s="28" t="s">
        <v>380</v>
      </c>
      <c r="U316" s="28">
        <v>1E-4</v>
      </c>
      <c r="V316" s="28">
        <v>2.7799999999999998E-2</v>
      </c>
      <c r="W316" s="28">
        <v>3.6999999999999998E-2</v>
      </c>
      <c r="X316" s="28">
        <v>-1E-4</v>
      </c>
      <c r="Y316" s="28">
        <v>-2.8000000000000001E-2</v>
      </c>
      <c r="Z316" s="28">
        <v>-3.73E-2</v>
      </c>
      <c r="AA316" s="29">
        <v>300</v>
      </c>
      <c r="AB316" s="29">
        <v>475</v>
      </c>
      <c r="AC316" s="30">
        <v>-51.411799999999999</v>
      </c>
      <c r="AD316" s="30">
        <v>0.20616260651629073</v>
      </c>
      <c r="AE316" s="29">
        <v>1</v>
      </c>
    </row>
    <row r="317" spans="2:31" x14ac:dyDescent="0.2">
      <c r="B317" s="27">
        <v>47</v>
      </c>
      <c r="C317" s="28" t="s">
        <v>816</v>
      </c>
      <c r="D317" s="28" t="s">
        <v>382</v>
      </c>
      <c r="E317" s="28">
        <v>1E-4</v>
      </c>
      <c r="F317" s="28">
        <v>2.7799999999999998E-2</v>
      </c>
      <c r="G317" s="28">
        <v>3.6999999999999998E-2</v>
      </c>
      <c r="H317" s="28">
        <v>-1E-4</v>
      </c>
      <c r="I317" s="28">
        <v>-2.7799999999999998E-2</v>
      </c>
      <c r="J317" s="28">
        <v>-3.6999999999999998E-2</v>
      </c>
      <c r="K317" s="29">
        <v>300</v>
      </c>
      <c r="L317" s="29">
        <v>475</v>
      </c>
      <c r="M317" s="30">
        <v>73.334199999999996</v>
      </c>
      <c r="N317" s="30">
        <v>0.29407197994987466</v>
      </c>
      <c r="O317" s="29">
        <v>1</v>
      </c>
      <c r="R317" s="27">
        <v>47</v>
      </c>
      <c r="S317" s="28" t="s">
        <v>816</v>
      </c>
      <c r="T317" s="28" t="s">
        <v>382</v>
      </c>
      <c r="U317" s="28">
        <v>1E-4</v>
      </c>
      <c r="V317" s="28">
        <v>2.7799999999999998E-2</v>
      </c>
      <c r="W317" s="28">
        <v>3.6999999999999998E-2</v>
      </c>
      <c r="X317" s="28">
        <v>-1E-4</v>
      </c>
      <c r="Y317" s="28">
        <v>-2.7799999999999998E-2</v>
      </c>
      <c r="Z317" s="28">
        <v>-3.6999999999999998E-2</v>
      </c>
      <c r="AA317" s="29">
        <v>300</v>
      </c>
      <c r="AB317" s="29">
        <v>475</v>
      </c>
      <c r="AC317" s="30">
        <v>51.006700000000002</v>
      </c>
      <c r="AD317" s="30">
        <v>0.20453814536340853</v>
      </c>
      <c r="AE317" s="29">
        <v>1</v>
      </c>
    </row>
    <row r="318" spans="2:31" x14ac:dyDescent="0.2">
      <c r="B318" s="27">
        <v>25</v>
      </c>
      <c r="C318" s="28" t="s">
        <v>818</v>
      </c>
      <c r="D318" s="28" t="s">
        <v>380</v>
      </c>
      <c r="E318" s="28">
        <v>1E-4</v>
      </c>
      <c r="F318" s="28">
        <v>2.8400000000000002E-2</v>
      </c>
      <c r="G318" s="28">
        <v>3.7900000000000003E-2</v>
      </c>
      <c r="H318" s="28">
        <v>-1E-4</v>
      </c>
      <c r="I318" s="28">
        <v>-2.8400000000000002E-2</v>
      </c>
      <c r="J318" s="28">
        <v>-3.7900000000000003E-2</v>
      </c>
      <c r="K318" s="29">
        <v>300</v>
      </c>
      <c r="L318" s="29">
        <v>475</v>
      </c>
      <c r="M318" s="30">
        <v>-57.347499999999997</v>
      </c>
      <c r="N318" s="30">
        <v>0.22996491228070176</v>
      </c>
      <c r="O318" s="29">
        <v>1</v>
      </c>
      <c r="R318" s="27">
        <v>25</v>
      </c>
      <c r="S318" s="28" t="s">
        <v>818</v>
      </c>
      <c r="T318" s="28" t="s">
        <v>380</v>
      </c>
      <c r="U318" s="28">
        <v>1E-4</v>
      </c>
      <c r="V318" s="28">
        <v>2.8400000000000002E-2</v>
      </c>
      <c r="W318" s="28">
        <v>3.7900000000000003E-2</v>
      </c>
      <c r="X318" s="28">
        <v>-1E-4</v>
      </c>
      <c r="Y318" s="28">
        <v>-2.8400000000000002E-2</v>
      </c>
      <c r="Z318" s="28">
        <v>-3.7900000000000003E-2</v>
      </c>
      <c r="AA318" s="29">
        <v>300</v>
      </c>
      <c r="AB318" s="29">
        <v>475</v>
      </c>
      <c r="AC318" s="30">
        <v>-57.411900000000003</v>
      </c>
      <c r="AD318" s="30">
        <v>0.23022315789473685</v>
      </c>
      <c r="AE318" s="29">
        <v>1</v>
      </c>
    </row>
    <row r="319" spans="2:31" x14ac:dyDescent="0.2">
      <c r="B319" s="27">
        <v>25</v>
      </c>
      <c r="C319" s="28" t="s">
        <v>819</v>
      </c>
      <c r="D319" s="28" t="s">
        <v>382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-2.86E-2</v>
      </c>
      <c r="J319" s="28">
        <v>-3.8100000000000002E-2</v>
      </c>
      <c r="K319" s="29">
        <v>300</v>
      </c>
      <c r="L319" s="29">
        <v>475</v>
      </c>
      <c r="M319" s="30">
        <v>73.334199999999996</v>
      </c>
      <c r="N319" s="30">
        <v>0.29407197994987466</v>
      </c>
      <c r="O319" s="29">
        <v>1</v>
      </c>
      <c r="R319" s="27">
        <v>25</v>
      </c>
      <c r="S319" s="28" t="s">
        <v>819</v>
      </c>
      <c r="T319" s="28" t="s">
        <v>382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-2.86E-2</v>
      </c>
      <c r="Z319" s="28">
        <v>-3.8100000000000002E-2</v>
      </c>
      <c r="AA319" s="29">
        <v>300</v>
      </c>
      <c r="AB319" s="29">
        <v>475</v>
      </c>
      <c r="AC319" s="30">
        <v>51.006700000000002</v>
      </c>
      <c r="AD319" s="30">
        <v>0.20453814536340853</v>
      </c>
      <c r="AE319" s="29">
        <v>1</v>
      </c>
    </row>
    <row r="320" spans="2:31" x14ac:dyDescent="0.2">
      <c r="B320" s="27">
        <v>28</v>
      </c>
      <c r="C320" s="28" t="s">
        <v>821</v>
      </c>
      <c r="D320" s="28" t="s">
        <v>380</v>
      </c>
      <c r="E320" s="28">
        <v>1E-4</v>
      </c>
      <c r="F320" s="28">
        <v>2.8500000000000001E-2</v>
      </c>
      <c r="G320" s="28">
        <v>3.7999999999999999E-2</v>
      </c>
      <c r="H320" s="28">
        <v>-1E-4</v>
      </c>
      <c r="I320" s="28">
        <v>-2.87E-2</v>
      </c>
      <c r="J320" s="28">
        <v>-3.8300000000000001E-2</v>
      </c>
      <c r="K320" s="29">
        <v>300</v>
      </c>
      <c r="L320" s="29">
        <v>475</v>
      </c>
      <c r="M320" s="30">
        <v>-70.233800000000002</v>
      </c>
      <c r="N320" s="30">
        <v>0.28163929824561407</v>
      </c>
      <c r="O320" s="29">
        <v>1</v>
      </c>
      <c r="R320" s="27">
        <v>28</v>
      </c>
      <c r="S320" s="28" t="s">
        <v>821</v>
      </c>
      <c r="T320" s="28" t="s">
        <v>380</v>
      </c>
      <c r="U320" s="28">
        <v>1E-4</v>
      </c>
      <c r="V320" s="28">
        <v>2.8500000000000001E-2</v>
      </c>
      <c r="W320" s="28">
        <v>3.7999999999999999E-2</v>
      </c>
      <c r="X320" s="28">
        <v>-1E-4</v>
      </c>
      <c r="Y320" s="28">
        <v>-2.87E-2</v>
      </c>
      <c r="Z320" s="28">
        <v>-3.8300000000000001E-2</v>
      </c>
      <c r="AA320" s="29">
        <v>300</v>
      </c>
      <c r="AB320" s="29">
        <v>475</v>
      </c>
      <c r="AC320" s="30">
        <v>-70.319000000000003</v>
      </c>
      <c r="AD320" s="30">
        <v>0.28198095238095239</v>
      </c>
      <c r="AE320" s="29">
        <v>1</v>
      </c>
    </row>
    <row r="321" spans="2:31" x14ac:dyDescent="0.2">
      <c r="B321" s="27">
        <v>28</v>
      </c>
      <c r="C321" s="28" t="s">
        <v>822</v>
      </c>
      <c r="D321" s="28" t="s">
        <v>382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73.334199999999996</v>
      </c>
      <c r="N321" s="30">
        <v>0.29407197994987466</v>
      </c>
      <c r="O321" s="29">
        <v>1</v>
      </c>
      <c r="R321" s="27">
        <v>28</v>
      </c>
      <c r="S321" s="28" t="s">
        <v>822</v>
      </c>
      <c r="T321" s="28" t="s">
        <v>382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51.006700000000002</v>
      </c>
      <c r="AD321" s="30">
        <v>0.20453814536340853</v>
      </c>
      <c r="AE321" s="29">
        <v>1</v>
      </c>
    </row>
    <row r="322" spans="2:31" x14ac:dyDescent="0.2">
      <c r="B322" s="27">
        <v>31</v>
      </c>
      <c r="C322" s="28" t="s">
        <v>824</v>
      </c>
      <c r="D322" s="28" t="s">
        <v>380</v>
      </c>
      <c r="E322" s="28">
        <v>1E-4</v>
      </c>
      <c r="F322" s="28">
        <v>2.8500000000000001E-2</v>
      </c>
      <c r="G322" s="28">
        <v>3.7999999999999999E-2</v>
      </c>
      <c r="H322" s="28">
        <v>-1E-4</v>
      </c>
      <c r="I322" s="28">
        <v>-2.87E-2</v>
      </c>
      <c r="J322" s="28">
        <v>-3.8300000000000001E-2</v>
      </c>
      <c r="K322" s="29">
        <v>300</v>
      </c>
      <c r="L322" s="29">
        <v>475</v>
      </c>
      <c r="M322" s="30">
        <v>-69.749799999999993</v>
      </c>
      <c r="N322" s="30">
        <v>0.27969844611528816</v>
      </c>
      <c r="O322" s="29">
        <v>1</v>
      </c>
      <c r="R322" s="27">
        <v>31</v>
      </c>
      <c r="S322" s="28" t="s">
        <v>824</v>
      </c>
      <c r="T322" s="28" t="s">
        <v>380</v>
      </c>
      <c r="U322" s="28">
        <v>1E-4</v>
      </c>
      <c r="V322" s="28">
        <v>2.8500000000000001E-2</v>
      </c>
      <c r="W322" s="28">
        <v>3.7999999999999999E-2</v>
      </c>
      <c r="X322" s="28">
        <v>-1E-4</v>
      </c>
      <c r="Y322" s="28">
        <v>-2.87E-2</v>
      </c>
      <c r="Z322" s="28">
        <v>-3.8300000000000001E-2</v>
      </c>
      <c r="AA322" s="29">
        <v>300</v>
      </c>
      <c r="AB322" s="29">
        <v>475</v>
      </c>
      <c r="AC322" s="30">
        <v>-69.832700000000003</v>
      </c>
      <c r="AD322" s="30">
        <v>0.28003087719298242</v>
      </c>
      <c r="AE322" s="29">
        <v>1</v>
      </c>
    </row>
    <row r="323" spans="2:31" x14ac:dyDescent="0.2">
      <c r="B323" s="27">
        <v>31</v>
      </c>
      <c r="C323" s="28" t="s">
        <v>825</v>
      </c>
      <c r="D323" s="28" t="s">
        <v>382</v>
      </c>
      <c r="E323" s="28">
        <v>1E-4</v>
      </c>
      <c r="F323" s="28">
        <v>2.8500000000000001E-2</v>
      </c>
      <c r="G323" s="28">
        <v>3.7999999999999999E-2</v>
      </c>
      <c r="H323" s="28">
        <v>-1E-4</v>
      </c>
      <c r="I323" s="28">
        <v>-2.87E-2</v>
      </c>
      <c r="J323" s="28">
        <v>-3.8300000000000001E-2</v>
      </c>
      <c r="K323" s="29">
        <v>300</v>
      </c>
      <c r="L323" s="29">
        <v>475</v>
      </c>
      <c r="M323" s="30">
        <v>73.334199999999996</v>
      </c>
      <c r="N323" s="30">
        <v>0.29407197994987466</v>
      </c>
      <c r="O323" s="29">
        <v>1</v>
      </c>
      <c r="R323" s="27">
        <v>31</v>
      </c>
      <c r="S323" s="28" t="s">
        <v>825</v>
      </c>
      <c r="T323" s="28" t="s">
        <v>382</v>
      </c>
      <c r="U323" s="28">
        <v>1E-4</v>
      </c>
      <c r="V323" s="28">
        <v>2.8500000000000001E-2</v>
      </c>
      <c r="W323" s="28">
        <v>3.7999999999999999E-2</v>
      </c>
      <c r="X323" s="28">
        <v>-1E-4</v>
      </c>
      <c r="Y323" s="28">
        <v>-2.87E-2</v>
      </c>
      <c r="Z323" s="28">
        <v>-3.8300000000000001E-2</v>
      </c>
      <c r="AA323" s="29">
        <v>300</v>
      </c>
      <c r="AB323" s="29">
        <v>475</v>
      </c>
      <c r="AC323" s="30">
        <v>51.006700000000002</v>
      </c>
      <c r="AD323" s="30">
        <v>0.20453814536340853</v>
      </c>
      <c r="AE323" s="29">
        <v>1</v>
      </c>
    </row>
    <row r="324" spans="2:31" x14ac:dyDescent="0.2">
      <c r="B324" s="27">
        <v>34</v>
      </c>
      <c r="C324" s="28" t="s">
        <v>827</v>
      </c>
      <c r="D324" s="28" t="s">
        <v>380</v>
      </c>
      <c r="E324" s="28">
        <v>1E-4</v>
      </c>
      <c r="F324" s="28">
        <v>2.8500000000000001E-2</v>
      </c>
      <c r="G324" s="28">
        <v>3.7999999999999999E-2</v>
      </c>
      <c r="H324" s="28">
        <v>-1E-4</v>
      </c>
      <c r="I324" s="28">
        <v>-2.87E-2</v>
      </c>
      <c r="J324" s="28">
        <v>-3.8300000000000001E-2</v>
      </c>
      <c r="K324" s="29">
        <v>300</v>
      </c>
      <c r="L324" s="29">
        <v>475</v>
      </c>
      <c r="M324" s="30">
        <v>-69.185500000000005</v>
      </c>
      <c r="N324" s="30">
        <v>0.27743558897243109</v>
      </c>
      <c r="O324" s="29">
        <v>1</v>
      </c>
      <c r="R324" s="27">
        <v>34</v>
      </c>
      <c r="S324" s="28" t="s">
        <v>827</v>
      </c>
      <c r="T324" s="28" t="s">
        <v>380</v>
      </c>
      <c r="U324" s="28">
        <v>1E-4</v>
      </c>
      <c r="V324" s="28">
        <v>2.8500000000000001E-2</v>
      </c>
      <c r="W324" s="28">
        <v>3.7999999999999999E-2</v>
      </c>
      <c r="X324" s="28">
        <v>-1E-4</v>
      </c>
      <c r="Y324" s="28">
        <v>-2.87E-2</v>
      </c>
      <c r="Z324" s="28">
        <v>-3.8300000000000001E-2</v>
      </c>
      <c r="AA324" s="29">
        <v>300</v>
      </c>
      <c r="AB324" s="29">
        <v>475</v>
      </c>
      <c r="AC324" s="30">
        <v>-69.268100000000004</v>
      </c>
      <c r="AD324" s="30">
        <v>0.27776681704260653</v>
      </c>
      <c r="AE324" s="29">
        <v>1</v>
      </c>
    </row>
    <row r="325" spans="2:31" x14ac:dyDescent="0.2">
      <c r="B325" s="27">
        <v>34</v>
      </c>
      <c r="C325" s="28" t="s">
        <v>828</v>
      </c>
      <c r="D325" s="28" t="s">
        <v>382</v>
      </c>
      <c r="E325" s="28">
        <v>1E-4</v>
      </c>
      <c r="F325" s="28">
        <v>2.8500000000000001E-2</v>
      </c>
      <c r="G325" s="28">
        <v>3.7999999999999999E-2</v>
      </c>
      <c r="H325" s="28">
        <v>-1E-4</v>
      </c>
      <c r="I325" s="28">
        <v>-2.87E-2</v>
      </c>
      <c r="J325" s="28">
        <v>-3.8300000000000001E-2</v>
      </c>
      <c r="K325" s="29">
        <v>300</v>
      </c>
      <c r="L325" s="29">
        <v>475</v>
      </c>
      <c r="M325" s="30">
        <v>73.334199999999996</v>
      </c>
      <c r="N325" s="30">
        <v>0.29407197994987466</v>
      </c>
      <c r="O325" s="29">
        <v>1</v>
      </c>
      <c r="R325" s="27">
        <v>34</v>
      </c>
      <c r="S325" s="28" t="s">
        <v>828</v>
      </c>
      <c r="T325" s="28" t="s">
        <v>382</v>
      </c>
      <c r="U325" s="28">
        <v>1E-4</v>
      </c>
      <c r="V325" s="28">
        <v>2.8500000000000001E-2</v>
      </c>
      <c r="W325" s="28">
        <v>3.7999999999999999E-2</v>
      </c>
      <c r="X325" s="28">
        <v>-1E-4</v>
      </c>
      <c r="Y325" s="28">
        <v>-2.87E-2</v>
      </c>
      <c r="Z325" s="28">
        <v>-3.8300000000000001E-2</v>
      </c>
      <c r="AA325" s="29">
        <v>300</v>
      </c>
      <c r="AB325" s="29">
        <v>475</v>
      </c>
      <c r="AC325" s="30">
        <v>51.006700000000002</v>
      </c>
      <c r="AD325" s="30">
        <v>0.20453814536340853</v>
      </c>
      <c r="AE325" s="29">
        <v>1</v>
      </c>
    </row>
    <row r="326" spans="2:31" x14ac:dyDescent="0.2">
      <c r="B326" s="27">
        <v>37</v>
      </c>
      <c r="C326" s="28" t="s">
        <v>830</v>
      </c>
      <c r="D326" s="28" t="s">
        <v>380</v>
      </c>
      <c r="E326" s="28">
        <v>1E-4</v>
      </c>
      <c r="F326" s="28">
        <v>2.8500000000000001E-2</v>
      </c>
      <c r="G326" s="28">
        <v>3.7999999999999999E-2</v>
      </c>
      <c r="H326" s="28">
        <v>-1E-4</v>
      </c>
      <c r="I326" s="28">
        <v>-2.87E-2</v>
      </c>
      <c r="J326" s="28">
        <v>-3.8300000000000001E-2</v>
      </c>
      <c r="K326" s="29">
        <v>300</v>
      </c>
      <c r="L326" s="29">
        <v>475</v>
      </c>
      <c r="M326" s="30">
        <v>-68.598200000000006</v>
      </c>
      <c r="N326" s="30">
        <v>0.27508050125313288</v>
      </c>
      <c r="O326" s="29">
        <v>1</v>
      </c>
      <c r="R326" s="27">
        <v>37</v>
      </c>
      <c r="S326" s="28" t="s">
        <v>830</v>
      </c>
      <c r="T326" s="28" t="s">
        <v>380</v>
      </c>
      <c r="U326" s="28">
        <v>1E-4</v>
      </c>
      <c r="V326" s="28">
        <v>2.8500000000000001E-2</v>
      </c>
      <c r="W326" s="28">
        <v>3.7999999999999999E-2</v>
      </c>
      <c r="X326" s="28">
        <v>-1E-4</v>
      </c>
      <c r="Y326" s="28">
        <v>-2.87E-2</v>
      </c>
      <c r="Z326" s="28">
        <v>-3.8300000000000001E-2</v>
      </c>
      <c r="AA326" s="29">
        <v>300</v>
      </c>
      <c r="AB326" s="29">
        <v>475</v>
      </c>
      <c r="AC326" s="30">
        <v>-68.682400000000001</v>
      </c>
      <c r="AD326" s="30">
        <v>0.27541814536340847</v>
      </c>
      <c r="AE326" s="29">
        <v>1</v>
      </c>
    </row>
    <row r="327" spans="2:31" x14ac:dyDescent="0.2">
      <c r="B327" s="27">
        <v>37</v>
      </c>
      <c r="C327" s="28" t="s">
        <v>831</v>
      </c>
      <c r="D327" s="28" t="s">
        <v>382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73.334199999999996</v>
      </c>
      <c r="N327" s="30">
        <v>0.29407197994987466</v>
      </c>
      <c r="O327" s="29">
        <v>1</v>
      </c>
      <c r="R327" s="27">
        <v>37</v>
      </c>
      <c r="S327" s="28" t="s">
        <v>831</v>
      </c>
      <c r="T327" s="28" t="s">
        <v>382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51.006700000000002</v>
      </c>
      <c r="AD327" s="30">
        <v>0.20453814536340853</v>
      </c>
      <c r="AE327" s="29">
        <v>1</v>
      </c>
    </row>
    <row r="328" spans="2:31" x14ac:dyDescent="0.2">
      <c r="B328" s="27">
        <v>40</v>
      </c>
      <c r="C328" s="28" t="s">
        <v>833</v>
      </c>
      <c r="D328" s="28" t="s">
        <v>380</v>
      </c>
      <c r="E328" s="28">
        <v>1E-4</v>
      </c>
      <c r="F328" s="28">
        <v>2.8400000000000002E-2</v>
      </c>
      <c r="G328" s="28">
        <v>3.7900000000000003E-2</v>
      </c>
      <c r="H328" s="28">
        <v>-1E-4</v>
      </c>
      <c r="I328" s="28">
        <v>-2.8400000000000002E-2</v>
      </c>
      <c r="J328" s="28">
        <v>-3.7900000000000003E-2</v>
      </c>
      <c r="K328" s="29">
        <v>300</v>
      </c>
      <c r="L328" s="29">
        <v>475</v>
      </c>
      <c r="M328" s="30">
        <v>-52.175400000000003</v>
      </c>
      <c r="N328" s="30">
        <v>0.20922466165413534</v>
      </c>
      <c r="O328" s="29">
        <v>1</v>
      </c>
      <c r="R328" s="27">
        <v>40</v>
      </c>
      <c r="S328" s="28" t="s">
        <v>833</v>
      </c>
      <c r="T328" s="28" t="s">
        <v>380</v>
      </c>
      <c r="U328" s="28">
        <v>1E-4</v>
      </c>
      <c r="V328" s="28">
        <v>2.8400000000000002E-2</v>
      </c>
      <c r="W328" s="28">
        <v>3.7900000000000003E-2</v>
      </c>
      <c r="X328" s="28">
        <v>-1E-4</v>
      </c>
      <c r="Y328" s="28">
        <v>-2.8400000000000002E-2</v>
      </c>
      <c r="Z328" s="28">
        <v>-3.7900000000000003E-2</v>
      </c>
      <c r="AA328" s="29">
        <v>300</v>
      </c>
      <c r="AB328" s="29">
        <v>475</v>
      </c>
      <c r="AC328" s="30">
        <v>-52.234200000000001</v>
      </c>
      <c r="AD328" s="30">
        <v>0.20946045112781958</v>
      </c>
      <c r="AE328" s="29">
        <v>1</v>
      </c>
    </row>
    <row r="329" spans="2:31" x14ac:dyDescent="0.2">
      <c r="B329" s="27">
        <v>40</v>
      </c>
      <c r="C329" s="28" t="s">
        <v>834</v>
      </c>
      <c r="D329" s="28" t="s">
        <v>382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-2.86E-2</v>
      </c>
      <c r="J329" s="28">
        <v>-3.8100000000000002E-2</v>
      </c>
      <c r="K329" s="29">
        <v>300</v>
      </c>
      <c r="L329" s="29">
        <v>475</v>
      </c>
      <c r="M329" s="30">
        <v>73.334199999999996</v>
      </c>
      <c r="N329" s="30">
        <v>0.29407197994987466</v>
      </c>
      <c r="O329" s="29">
        <v>1</v>
      </c>
      <c r="R329" s="27">
        <v>40</v>
      </c>
      <c r="S329" s="28" t="s">
        <v>834</v>
      </c>
      <c r="T329" s="28" t="s">
        <v>382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-2.86E-2</v>
      </c>
      <c r="Z329" s="28">
        <v>-3.8100000000000002E-2</v>
      </c>
      <c r="AA329" s="29">
        <v>300</v>
      </c>
      <c r="AB329" s="29">
        <v>475</v>
      </c>
      <c r="AC329" s="30">
        <v>51.006700000000002</v>
      </c>
      <c r="AD329" s="30">
        <v>0.20453814536340853</v>
      </c>
      <c r="AE329" s="29">
        <v>1</v>
      </c>
    </row>
    <row r="330" spans="2:31" x14ac:dyDescent="0.2">
      <c r="B330" s="27">
        <v>48</v>
      </c>
      <c r="C330" s="28" t="s">
        <v>836</v>
      </c>
      <c r="D330" s="28" t="s">
        <v>380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-2.7900000000000001E-2</v>
      </c>
      <c r="J330" s="28">
        <v>-3.7199999999999997E-2</v>
      </c>
      <c r="K330" s="29">
        <v>300</v>
      </c>
      <c r="L330" s="29">
        <v>475</v>
      </c>
      <c r="M330" s="30">
        <v>-60.9358</v>
      </c>
      <c r="N330" s="30">
        <v>0.24435408521303259</v>
      </c>
      <c r="O330" s="29">
        <v>1</v>
      </c>
      <c r="R330" s="27">
        <v>48</v>
      </c>
      <c r="S330" s="28" t="s">
        <v>836</v>
      </c>
      <c r="T330" s="28" t="s">
        <v>380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-2.7900000000000001E-2</v>
      </c>
      <c r="Z330" s="28">
        <v>-3.7199999999999997E-2</v>
      </c>
      <c r="AA330" s="29">
        <v>300</v>
      </c>
      <c r="AB330" s="29">
        <v>475</v>
      </c>
      <c r="AC330" s="30">
        <v>-60.956800000000001</v>
      </c>
      <c r="AD330" s="30">
        <v>0.24443829573934839</v>
      </c>
      <c r="AE330" s="29">
        <v>1</v>
      </c>
    </row>
    <row r="331" spans="2:31" x14ac:dyDescent="0.2">
      <c r="B331" s="27">
        <v>48</v>
      </c>
      <c r="C331" s="28" t="s">
        <v>837</v>
      </c>
      <c r="D331" s="28" t="s">
        <v>382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-2.7900000000000001E-2</v>
      </c>
      <c r="J331" s="28">
        <v>-3.7199999999999997E-2</v>
      </c>
      <c r="K331" s="29">
        <v>300</v>
      </c>
      <c r="L331" s="29">
        <v>475</v>
      </c>
      <c r="M331" s="30">
        <v>73.334199999999996</v>
      </c>
      <c r="N331" s="30">
        <v>0.29407197994987466</v>
      </c>
      <c r="O331" s="29">
        <v>1</v>
      </c>
      <c r="R331" s="27">
        <v>48</v>
      </c>
      <c r="S331" s="28" t="s">
        <v>837</v>
      </c>
      <c r="T331" s="28" t="s">
        <v>382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-2.7900000000000001E-2</v>
      </c>
      <c r="Z331" s="28">
        <v>-3.7199999999999997E-2</v>
      </c>
      <c r="AA331" s="29">
        <v>300</v>
      </c>
      <c r="AB331" s="29">
        <v>475</v>
      </c>
      <c r="AC331" s="30">
        <v>51.006700000000002</v>
      </c>
      <c r="AD331" s="30">
        <v>0.20453814536340853</v>
      </c>
      <c r="AE331" s="29">
        <v>1</v>
      </c>
    </row>
    <row r="332" spans="2:31" x14ac:dyDescent="0.2">
      <c r="B332" s="27">
        <v>49</v>
      </c>
      <c r="C332" s="28" t="s">
        <v>839</v>
      </c>
      <c r="D332" s="28" t="s">
        <v>380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-2.7900000000000001E-2</v>
      </c>
      <c r="J332" s="28">
        <v>-3.7199999999999997E-2</v>
      </c>
      <c r="K332" s="29">
        <v>300</v>
      </c>
      <c r="L332" s="29">
        <v>475</v>
      </c>
      <c r="M332" s="30">
        <v>-57.961100000000002</v>
      </c>
      <c r="N332" s="30">
        <v>0.23242546365914787</v>
      </c>
      <c r="O332" s="29">
        <v>1</v>
      </c>
      <c r="R332" s="27">
        <v>49</v>
      </c>
      <c r="S332" s="28" t="s">
        <v>839</v>
      </c>
      <c r="T332" s="28" t="s">
        <v>380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-2.7900000000000001E-2</v>
      </c>
      <c r="Z332" s="28">
        <v>-3.7199999999999997E-2</v>
      </c>
      <c r="AA332" s="29">
        <v>300</v>
      </c>
      <c r="AB332" s="29">
        <v>475</v>
      </c>
      <c r="AC332" s="30">
        <v>-57.979599999999998</v>
      </c>
      <c r="AD332" s="30">
        <v>0.23249964912280702</v>
      </c>
      <c r="AE332" s="29">
        <v>1</v>
      </c>
    </row>
    <row r="333" spans="2:31" x14ac:dyDescent="0.2">
      <c r="B333" s="27">
        <v>49</v>
      </c>
      <c r="C333" s="28" t="s">
        <v>840</v>
      </c>
      <c r="D333" s="28" t="s">
        <v>382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-2.7900000000000001E-2</v>
      </c>
      <c r="J333" s="28">
        <v>-3.7199999999999997E-2</v>
      </c>
      <c r="K333" s="29">
        <v>300</v>
      </c>
      <c r="L333" s="29">
        <v>475</v>
      </c>
      <c r="M333" s="30">
        <v>73.334199999999996</v>
      </c>
      <c r="N333" s="30">
        <v>0.29407197994987466</v>
      </c>
      <c r="O333" s="29">
        <v>1</v>
      </c>
      <c r="R333" s="27">
        <v>49</v>
      </c>
      <c r="S333" s="28" t="s">
        <v>840</v>
      </c>
      <c r="T333" s="28" t="s">
        <v>382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-2.7900000000000001E-2</v>
      </c>
      <c r="Z333" s="28">
        <v>-3.7199999999999997E-2</v>
      </c>
      <c r="AA333" s="29">
        <v>300</v>
      </c>
      <c r="AB333" s="29">
        <v>475</v>
      </c>
      <c r="AC333" s="30">
        <v>51.006700000000002</v>
      </c>
      <c r="AD333" s="30">
        <v>0.20453814536340853</v>
      </c>
      <c r="AE333" s="29">
        <v>1</v>
      </c>
    </row>
    <row r="334" spans="2:31" x14ac:dyDescent="0.2">
      <c r="B334" s="27">
        <v>50</v>
      </c>
      <c r="C334" s="28" t="s">
        <v>841</v>
      </c>
      <c r="D334" s="28" t="s">
        <v>380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-2.7900000000000001E-2</v>
      </c>
      <c r="J334" s="28">
        <v>-3.7199999999999997E-2</v>
      </c>
      <c r="K334" s="29">
        <v>300</v>
      </c>
      <c r="L334" s="29">
        <v>475</v>
      </c>
      <c r="M334" s="30">
        <v>-60.984900000000003</v>
      </c>
      <c r="N334" s="30">
        <v>0.24455097744360904</v>
      </c>
      <c r="O334" s="29">
        <v>1</v>
      </c>
      <c r="R334" s="27">
        <v>50</v>
      </c>
      <c r="S334" s="28" t="s">
        <v>841</v>
      </c>
      <c r="T334" s="28" t="s">
        <v>380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-2.7900000000000001E-2</v>
      </c>
      <c r="Z334" s="28">
        <v>-3.7199999999999997E-2</v>
      </c>
      <c r="AA334" s="29">
        <v>300</v>
      </c>
      <c r="AB334" s="29">
        <v>475</v>
      </c>
      <c r="AC334" s="30">
        <v>-61.003300000000003</v>
      </c>
      <c r="AD334" s="30">
        <v>0.24462476190476193</v>
      </c>
      <c r="AE334" s="29">
        <v>1</v>
      </c>
    </row>
    <row r="335" spans="2:31" x14ac:dyDescent="0.2">
      <c r="B335" s="27">
        <v>50</v>
      </c>
      <c r="C335" s="28" t="s">
        <v>842</v>
      </c>
      <c r="D335" s="28" t="s">
        <v>382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-2.7900000000000001E-2</v>
      </c>
      <c r="J335" s="28">
        <v>-3.7199999999999997E-2</v>
      </c>
      <c r="K335" s="29">
        <v>300</v>
      </c>
      <c r="L335" s="29">
        <v>475</v>
      </c>
      <c r="M335" s="30">
        <v>73.334199999999996</v>
      </c>
      <c r="N335" s="30">
        <v>0.29407197994987466</v>
      </c>
      <c r="O335" s="29">
        <v>1</v>
      </c>
      <c r="R335" s="27">
        <v>50</v>
      </c>
      <c r="S335" s="28" t="s">
        <v>842</v>
      </c>
      <c r="T335" s="28" t="s">
        <v>382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-2.7900000000000001E-2</v>
      </c>
      <c r="Z335" s="28">
        <v>-3.7199999999999997E-2</v>
      </c>
      <c r="AA335" s="29">
        <v>300</v>
      </c>
      <c r="AB335" s="29">
        <v>475</v>
      </c>
      <c r="AC335" s="30">
        <v>51.006700000000002</v>
      </c>
      <c r="AD335" s="30">
        <v>0.20453814536340853</v>
      </c>
      <c r="AE335" s="29">
        <v>1</v>
      </c>
    </row>
    <row r="336" spans="2:31" x14ac:dyDescent="0.2">
      <c r="B336" s="27">
        <v>51</v>
      </c>
      <c r="C336" s="28" t="s">
        <v>843</v>
      </c>
      <c r="D336" s="28" t="s">
        <v>380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-2.7900000000000001E-2</v>
      </c>
      <c r="J336" s="28">
        <v>-3.7199999999999997E-2</v>
      </c>
      <c r="K336" s="29">
        <v>300</v>
      </c>
      <c r="L336" s="29">
        <v>475</v>
      </c>
      <c r="M336" s="30">
        <v>-61.268700000000003</v>
      </c>
      <c r="N336" s="30">
        <v>0.245689022556391</v>
      </c>
      <c r="O336" s="29">
        <v>1</v>
      </c>
      <c r="R336" s="27">
        <v>51</v>
      </c>
      <c r="S336" s="28" t="s">
        <v>843</v>
      </c>
      <c r="T336" s="28" t="s">
        <v>380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-2.7900000000000001E-2</v>
      </c>
      <c r="Z336" s="28">
        <v>-3.7199999999999997E-2</v>
      </c>
      <c r="AA336" s="29">
        <v>300</v>
      </c>
      <c r="AB336" s="29">
        <v>475</v>
      </c>
      <c r="AC336" s="30">
        <v>-61.2881</v>
      </c>
      <c r="AD336" s="30">
        <v>0.2457668170426065</v>
      </c>
      <c r="AE336" s="29">
        <v>1</v>
      </c>
    </row>
    <row r="337" spans="2:31" x14ac:dyDescent="0.2">
      <c r="B337" s="27">
        <v>51</v>
      </c>
      <c r="C337" s="28" t="s">
        <v>844</v>
      </c>
      <c r="D337" s="28" t="s">
        <v>382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-2.7900000000000001E-2</v>
      </c>
      <c r="J337" s="28">
        <v>-3.7199999999999997E-2</v>
      </c>
      <c r="K337" s="29">
        <v>300</v>
      </c>
      <c r="L337" s="29">
        <v>475</v>
      </c>
      <c r="M337" s="30">
        <v>73.334199999999996</v>
      </c>
      <c r="N337" s="30">
        <v>0.29407197994987466</v>
      </c>
      <c r="O337" s="29">
        <v>1</v>
      </c>
      <c r="R337" s="27">
        <v>51</v>
      </c>
      <c r="S337" s="28" t="s">
        <v>844</v>
      </c>
      <c r="T337" s="28" t="s">
        <v>382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-2.7900000000000001E-2</v>
      </c>
      <c r="Z337" s="28">
        <v>-3.7199999999999997E-2</v>
      </c>
      <c r="AA337" s="29">
        <v>300</v>
      </c>
      <c r="AB337" s="29">
        <v>475</v>
      </c>
      <c r="AC337" s="30">
        <v>51.006700000000002</v>
      </c>
      <c r="AD337" s="30">
        <v>0.20453814536340853</v>
      </c>
      <c r="AE337" s="29">
        <v>1</v>
      </c>
    </row>
    <row r="338" spans="2:31" x14ac:dyDescent="0.2">
      <c r="B338" s="27">
        <v>52</v>
      </c>
      <c r="C338" s="28" t="s">
        <v>846</v>
      </c>
      <c r="D338" s="28" t="s">
        <v>380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-2.7900000000000001E-2</v>
      </c>
      <c r="J338" s="28">
        <v>-3.7199999999999997E-2</v>
      </c>
      <c r="K338" s="29">
        <v>300</v>
      </c>
      <c r="L338" s="29">
        <v>475</v>
      </c>
      <c r="M338" s="30">
        <v>-60.5002</v>
      </c>
      <c r="N338" s="30">
        <v>0.24260731829573934</v>
      </c>
      <c r="O338" s="29">
        <v>1</v>
      </c>
      <c r="R338" s="27">
        <v>52</v>
      </c>
      <c r="S338" s="28" t="s">
        <v>846</v>
      </c>
      <c r="T338" s="28" t="s">
        <v>380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-2.7900000000000001E-2</v>
      </c>
      <c r="Z338" s="28">
        <v>-3.7199999999999997E-2</v>
      </c>
      <c r="AA338" s="29">
        <v>300</v>
      </c>
      <c r="AB338" s="29">
        <v>475</v>
      </c>
      <c r="AC338" s="30">
        <v>-60.520400000000002</v>
      </c>
      <c r="AD338" s="30">
        <v>0.24268832080200503</v>
      </c>
      <c r="AE338" s="29">
        <v>1</v>
      </c>
    </row>
    <row r="339" spans="2:31" x14ac:dyDescent="0.2">
      <c r="B339" s="27">
        <v>52</v>
      </c>
      <c r="C339" s="28" t="s">
        <v>847</v>
      </c>
      <c r="D339" s="28" t="s">
        <v>382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-2.7900000000000001E-2</v>
      </c>
      <c r="J339" s="28">
        <v>-3.7199999999999997E-2</v>
      </c>
      <c r="K339" s="29">
        <v>300</v>
      </c>
      <c r="L339" s="29">
        <v>475</v>
      </c>
      <c r="M339" s="30">
        <v>73.334199999999996</v>
      </c>
      <c r="N339" s="30">
        <v>0.29407197994987466</v>
      </c>
      <c r="O339" s="29">
        <v>1</v>
      </c>
      <c r="R339" s="27">
        <v>52</v>
      </c>
      <c r="S339" s="28" t="s">
        <v>847</v>
      </c>
      <c r="T339" s="28" t="s">
        <v>382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-2.7900000000000001E-2</v>
      </c>
      <c r="Z339" s="28">
        <v>-3.7199999999999997E-2</v>
      </c>
      <c r="AA339" s="29">
        <v>300</v>
      </c>
      <c r="AB339" s="29">
        <v>475</v>
      </c>
      <c r="AC339" s="30">
        <v>51.006700000000002</v>
      </c>
      <c r="AD339" s="30">
        <v>0.20453814536340853</v>
      </c>
      <c r="AE339" s="29">
        <v>1</v>
      </c>
    </row>
    <row r="340" spans="2:31" x14ac:dyDescent="0.2">
      <c r="B340" s="27">
        <v>26</v>
      </c>
      <c r="C340" s="28" t="s">
        <v>849</v>
      </c>
      <c r="D340" s="28" t="s">
        <v>380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-2.86E-2</v>
      </c>
      <c r="J340" s="28">
        <v>-3.8100000000000002E-2</v>
      </c>
      <c r="K340" s="29">
        <v>300</v>
      </c>
      <c r="L340" s="29">
        <v>475</v>
      </c>
      <c r="M340" s="30">
        <v>-57.4602</v>
      </c>
      <c r="N340" s="30">
        <v>0.23041684210526314</v>
      </c>
      <c r="O340" s="29">
        <v>1</v>
      </c>
      <c r="R340" s="27">
        <v>26</v>
      </c>
      <c r="S340" s="28" t="s">
        <v>849</v>
      </c>
      <c r="T340" s="28" t="s">
        <v>380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-2.86E-2</v>
      </c>
      <c r="Z340" s="28">
        <v>-3.8100000000000002E-2</v>
      </c>
      <c r="AA340" s="29">
        <v>300</v>
      </c>
      <c r="AB340" s="29">
        <v>475</v>
      </c>
      <c r="AC340" s="30">
        <v>-57.531100000000002</v>
      </c>
      <c r="AD340" s="30">
        <v>0.2307011528822055</v>
      </c>
      <c r="AE340" s="29">
        <v>1</v>
      </c>
    </row>
    <row r="341" spans="2:31" x14ac:dyDescent="0.2">
      <c r="B341" s="27">
        <v>26</v>
      </c>
      <c r="C341" s="28" t="s">
        <v>850</v>
      </c>
      <c r="D341" s="28" t="s">
        <v>382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-2.86E-2</v>
      </c>
      <c r="J341" s="28">
        <v>-3.8100000000000002E-2</v>
      </c>
      <c r="K341" s="29">
        <v>300</v>
      </c>
      <c r="L341" s="29">
        <v>475</v>
      </c>
      <c r="M341" s="30">
        <v>73.334199999999996</v>
      </c>
      <c r="N341" s="30">
        <v>0.29407197994987466</v>
      </c>
      <c r="O341" s="29">
        <v>1</v>
      </c>
      <c r="R341" s="27">
        <v>26</v>
      </c>
      <c r="S341" s="28" t="s">
        <v>850</v>
      </c>
      <c r="T341" s="28" t="s">
        <v>382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-2.86E-2</v>
      </c>
      <c r="Z341" s="28">
        <v>-3.8100000000000002E-2</v>
      </c>
      <c r="AA341" s="29">
        <v>300</v>
      </c>
      <c r="AB341" s="29">
        <v>475</v>
      </c>
      <c r="AC341" s="30">
        <v>57.380899999999997</v>
      </c>
      <c r="AD341" s="30">
        <v>0.23009884711779446</v>
      </c>
      <c r="AE341" s="29">
        <v>1</v>
      </c>
    </row>
    <row r="342" spans="2:31" x14ac:dyDescent="0.2">
      <c r="B342" s="27">
        <v>29</v>
      </c>
      <c r="C342" s="28" t="s">
        <v>852</v>
      </c>
      <c r="D342" s="28" t="s">
        <v>380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-74.465199999999996</v>
      </c>
      <c r="N342" s="30">
        <v>0.29860731829573933</v>
      </c>
      <c r="O342" s="29">
        <v>1</v>
      </c>
      <c r="R342" s="27">
        <v>29</v>
      </c>
      <c r="S342" s="28" t="s">
        <v>852</v>
      </c>
      <c r="T342" s="28" t="s">
        <v>380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-74.549400000000006</v>
      </c>
      <c r="AD342" s="30">
        <v>0.29894496240601509</v>
      </c>
      <c r="AE342" s="29">
        <v>1</v>
      </c>
    </row>
    <row r="343" spans="2:31" x14ac:dyDescent="0.2">
      <c r="B343" s="27">
        <v>29</v>
      </c>
      <c r="C343" s="28" t="s">
        <v>853</v>
      </c>
      <c r="D343" s="28" t="s">
        <v>382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74.452699999999993</v>
      </c>
      <c r="N343" s="30">
        <v>0.29855719298245614</v>
      </c>
      <c r="O343" s="29">
        <v>1</v>
      </c>
      <c r="R343" s="27">
        <v>29</v>
      </c>
      <c r="S343" s="28" t="s">
        <v>853</v>
      </c>
      <c r="T343" s="28" t="s">
        <v>382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57.380899999999997</v>
      </c>
      <c r="AD343" s="30">
        <v>0.23009884711779446</v>
      </c>
      <c r="AE343" s="29">
        <v>1</v>
      </c>
    </row>
    <row r="344" spans="2:31" x14ac:dyDescent="0.2">
      <c r="B344" s="27">
        <v>32</v>
      </c>
      <c r="C344" s="28" t="s">
        <v>855</v>
      </c>
      <c r="D344" s="28" t="s">
        <v>380</v>
      </c>
      <c r="E344" s="28">
        <v>1E-4</v>
      </c>
      <c r="F344" s="28">
        <v>2.8500000000000001E-2</v>
      </c>
      <c r="G344" s="28">
        <v>3.7999999999999999E-2</v>
      </c>
      <c r="H344" s="28">
        <v>-1E-4</v>
      </c>
      <c r="I344" s="28">
        <v>-2.87E-2</v>
      </c>
      <c r="J344" s="28">
        <v>-3.8300000000000001E-2</v>
      </c>
      <c r="K344" s="29">
        <v>300</v>
      </c>
      <c r="L344" s="29">
        <v>475</v>
      </c>
      <c r="M344" s="30">
        <v>-68.936400000000006</v>
      </c>
      <c r="N344" s="30">
        <v>0.27643669172932334</v>
      </c>
      <c r="O344" s="29">
        <v>1</v>
      </c>
      <c r="R344" s="27">
        <v>32</v>
      </c>
      <c r="S344" s="28" t="s">
        <v>855</v>
      </c>
      <c r="T344" s="28" t="s">
        <v>380</v>
      </c>
      <c r="U344" s="28">
        <v>1E-4</v>
      </c>
      <c r="V344" s="28">
        <v>2.8500000000000001E-2</v>
      </c>
      <c r="W344" s="28">
        <v>3.7999999999999999E-2</v>
      </c>
      <c r="X344" s="28">
        <v>-1E-4</v>
      </c>
      <c r="Y344" s="28">
        <v>-2.87E-2</v>
      </c>
      <c r="Z344" s="28">
        <v>-3.8300000000000001E-2</v>
      </c>
      <c r="AA344" s="29">
        <v>300</v>
      </c>
      <c r="AB344" s="29">
        <v>475</v>
      </c>
      <c r="AC344" s="30">
        <v>-69.019599999999997</v>
      </c>
      <c r="AD344" s="30">
        <v>0.27677032581453631</v>
      </c>
      <c r="AE344" s="29">
        <v>1</v>
      </c>
    </row>
    <row r="345" spans="2:31" x14ac:dyDescent="0.2">
      <c r="B345" s="27">
        <v>32</v>
      </c>
      <c r="C345" s="28" t="s">
        <v>856</v>
      </c>
      <c r="D345" s="28" t="s">
        <v>382</v>
      </c>
      <c r="E345" s="28">
        <v>1E-4</v>
      </c>
      <c r="F345" s="28">
        <v>2.8500000000000001E-2</v>
      </c>
      <c r="G345" s="28">
        <v>3.7999999999999999E-2</v>
      </c>
      <c r="H345" s="28">
        <v>-1E-4</v>
      </c>
      <c r="I345" s="28">
        <v>-2.87E-2</v>
      </c>
      <c r="J345" s="28">
        <v>-3.8300000000000001E-2</v>
      </c>
      <c r="K345" s="29">
        <v>300</v>
      </c>
      <c r="L345" s="29">
        <v>475</v>
      </c>
      <c r="M345" s="30">
        <v>74.452699999999993</v>
      </c>
      <c r="N345" s="30">
        <v>0.29855719298245614</v>
      </c>
      <c r="O345" s="29">
        <v>1</v>
      </c>
      <c r="R345" s="27">
        <v>32</v>
      </c>
      <c r="S345" s="28" t="s">
        <v>856</v>
      </c>
      <c r="T345" s="28" t="s">
        <v>382</v>
      </c>
      <c r="U345" s="28">
        <v>1E-4</v>
      </c>
      <c r="V345" s="28">
        <v>2.8500000000000001E-2</v>
      </c>
      <c r="W345" s="28">
        <v>3.7999999999999999E-2</v>
      </c>
      <c r="X345" s="28">
        <v>-1E-4</v>
      </c>
      <c r="Y345" s="28">
        <v>-2.87E-2</v>
      </c>
      <c r="Z345" s="28">
        <v>-3.8300000000000001E-2</v>
      </c>
      <c r="AA345" s="29">
        <v>300</v>
      </c>
      <c r="AB345" s="29">
        <v>475</v>
      </c>
      <c r="AC345" s="30">
        <v>68.852199999999996</v>
      </c>
      <c r="AD345" s="30">
        <v>0.27609904761904763</v>
      </c>
      <c r="AE345" s="29">
        <v>1</v>
      </c>
    </row>
    <row r="346" spans="2:31" x14ac:dyDescent="0.2">
      <c r="B346" s="27">
        <v>35</v>
      </c>
      <c r="C346" s="28" t="s">
        <v>858</v>
      </c>
      <c r="D346" s="28" t="s">
        <v>380</v>
      </c>
      <c r="E346" s="28">
        <v>1E-4</v>
      </c>
      <c r="F346" s="28">
        <v>2.8500000000000001E-2</v>
      </c>
      <c r="G346" s="28">
        <v>3.7999999999999999E-2</v>
      </c>
      <c r="H346" s="28">
        <v>-1E-4</v>
      </c>
      <c r="I346" s="28">
        <v>-2.87E-2</v>
      </c>
      <c r="J346" s="28">
        <v>-3.8300000000000001E-2</v>
      </c>
      <c r="K346" s="29">
        <v>300</v>
      </c>
      <c r="L346" s="29">
        <v>475</v>
      </c>
      <c r="M346" s="30">
        <v>-69.119799999999998</v>
      </c>
      <c r="N346" s="30">
        <v>0.27717213032581456</v>
      </c>
      <c r="O346" s="29">
        <v>1</v>
      </c>
      <c r="R346" s="27">
        <v>35</v>
      </c>
      <c r="S346" s="28" t="s">
        <v>858</v>
      </c>
      <c r="T346" s="28" t="s">
        <v>380</v>
      </c>
      <c r="U346" s="28">
        <v>1E-4</v>
      </c>
      <c r="V346" s="28">
        <v>2.8500000000000001E-2</v>
      </c>
      <c r="W346" s="28">
        <v>3.7999999999999999E-2</v>
      </c>
      <c r="X346" s="28">
        <v>-1E-4</v>
      </c>
      <c r="Y346" s="28">
        <v>-2.87E-2</v>
      </c>
      <c r="Z346" s="28">
        <v>-3.8300000000000001E-2</v>
      </c>
      <c r="AA346" s="29">
        <v>300</v>
      </c>
      <c r="AB346" s="29">
        <v>475</v>
      </c>
      <c r="AC346" s="30">
        <v>-69.203100000000006</v>
      </c>
      <c r="AD346" s="30">
        <v>0.27750616541353385</v>
      </c>
      <c r="AE346" s="29">
        <v>1</v>
      </c>
    </row>
    <row r="347" spans="2:31" x14ac:dyDescent="0.2">
      <c r="B347" s="27">
        <v>35</v>
      </c>
      <c r="C347" s="28" t="s">
        <v>859</v>
      </c>
      <c r="D347" s="28" t="s">
        <v>382</v>
      </c>
      <c r="E347" s="28">
        <v>1E-4</v>
      </c>
      <c r="F347" s="28">
        <v>2.8500000000000001E-2</v>
      </c>
      <c r="G347" s="28">
        <v>3.7999999999999999E-2</v>
      </c>
      <c r="H347" s="28">
        <v>-1E-4</v>
      </c>
      <c r="I347" s="28">
        <v>-2.87E-2</v>
      </c>
      <c r="J347" s="28">
        <v>-3.8300000000000001E-2</v>
      </c>
      <c r="K347" s="29">
        <v>300</v>
      </c>
      <c r="L347" s="29">
        <v>475</v>
      </c>
      <c r="M347" s="30">
        <v>74.452699999999993</v>
      </c>
      <c r="N347" s="30">
        <v>0.29855719298245614</v>
      </c>
      <c r="O347" s="29">
        <v>1</v>
      </c>
      <c r="R347" s="27">
        <v>35</v>
      </c>
      <c r="S347" s="28" t="s">
        <v>859</v>
      </c>
      <c r="T347" s="28" t="s">
        <v>382</v>
      </c>
      <c r="U347" s="28">
        <v>1E-4</v>
      </c>
      <c r="V347" s="28">
        <v>2.8500000000000001E-2</v>
      </c>
      <c r="W347" s="28">
        <v>3.7999999999999999E-2</v>
      </c>
      <c r="X347" s="28">
        <v>-1E-4</v>
      </c>
      <c r="Y347" s="28">
        <v>-2.87E-2</v>
      </c>
      <c r="Z347" s="28">
        <v>-3.8300000000000001E-2</v>
      </c>
      <c r="AA347" s="29">
        <v>300</v>
      </c>
      <c r="AB347" s="29">
        <v>475</v>
      </c>
      <c r="AC347" s="30">
        <v>69.048199999999994</v>
      </c>
      <c r="AD347" s="30">
        <v>0.2768850125313283</v>
      </c>
      <c r="AE347" s="29">
        <v>1</v>
      </c>
    </row>
    <row r="348" spans="2:31" x14ac:dyDescent="0.2">
      <c r="B348" s="27">
        <v>38</v>
      </c>
      <c r="C348" s="28" t="s">
        <v>861</v>
      </c>
      <c r="D348" s="28" t="s">
        <v>380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-73.510999999999996</v>
      </c>
      <c r="N348" s="30">
        <v>0.29478095238095237</v>
      </c>
      <c r="O348" s="29">
        <v>1</v>
      </c>
      <c r="R348" s="27">
        <v>38</v>
      </c>
      <c r="S348" s="28" t="s">
        <v>861</v>
      </c>
      <c r="T348" s="28" t="s">
        <v>380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-73.594499999999996</v>
      </c>
      <c r="AD348" s="30">
        <v>0.29511578947368422</v>
      </c>
      <c r="AE348" s="29">
        <v>1</v>
      </c>
    </row>
    <row r="349" spans="2:31" x14ac:dyDescent="0.2">
      <c r="B349" s="27">
        <v>38</v>
      </c>
      <c r="C349" s="28" t="s">
        <v>862</v>
      </c>
      <c r="D349" s="28" t="s">
        <v>382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73.535300000000007</v>
      </c>
      <c r="N349" s="30">
        <v>0.29487839598997495</v>
      </c>
      <c r="O349" s="29">
        <v>1</v>
      </c>
      <c r="R349" s="27">
        <v>38</v>
      </c>
      <c r="S349" s="28" t="s">
        <v>862</v>
      </c>
      <c r="T349" s="28" t="s">
        <v>382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69.048199999999994</v>
      </c>
      <c r="AD349" s="30">
        <v>0.2768850125313283</v>
      </c>
      <c r="AE349" s="29">
        <v>1</v>
      </c>
    </row>
    <row r="350" spans="2:31" x14ac:dyDescent="0.2">
      <c r="B350" s="27">
        <v>41</v>
      </c>
      <c r="C350" s="28" t="s">
        <v>864</v>
      </c>
      <c r="D350" s="28" t="s">
        <v>380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-2.86E-2</v>
      </c>
      <c r="J350" s="28">
        <v>-3.8100000000000002E-2</v>
      </c>
      <c r="K350" s="29">
        <v>300</v>
      </c>
      <c r="L350" s="29">
        <v>475</v>
      </c>
      <c r="M350" s="30">
        <v>-51.680199999999999</v>
      </c>
      <c r="N350" s="30">
        <v>0.20723889724310776</v>
      </c>
      <c r="O350" s="29">
        <v>1</v>
      </c>
      <c r="R350" s="27">
        <v>41</v>
      </c>
      <c r="S350" s="28" t="s">
        <v>864</v>
      </c>
      <c r="T350" s="28" t="s">
        <v>380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-2.86E-2</v>
      </c>
      <c r="Z350" s="28">
        <v>-3.8100000000000002E-2</v>
      </c>
      <c r="AA350" s="29">
        <v>300</v>
      </c>
      <c r="AB350" s="29">
        <v>475</v>
      </c>
      <c r="AC350" s="30">
        <v>-51.744599999999998</v>
      </c>
      <c r="AD350" s="30">
        <v>0.20749714285714285</v>
      </c>
      <c r="AE350" s="29">
        <v>1</v>
      </c>
    </row>
    <row r="351" spans="2:31" x14ac:dyDescent="0.2">
      <c r="B351" s="27">
        <v>41</v>
      </c>
      <c r="C351" s="28" t="s">
        <v>865</v>
      </c>
      <c r="D351" s="28" t="s">
        <v>382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-2.86E-2</v>
      </c>
      <c r="J351" s="28">
        <v>-3.8100000000000002E-2</v>
      </c>
      <c r="K351" s="29">
        <v>300</v>
      </c>
      <c r="L351" s="29">
        <v>475</v>
      </c>
      <c r="M351" s="30">
        <v>73.535300000000007</v>
      </c>
      <c r="N351" s="30">
        <v>0.29487839598997495</v>
      </c>
      <c r="O351" s="29">
        <v>1</v>
      </c>
      <c r="R351" s="27">
        <v>41</v>
      </c>
      <c r="S351" s="28" t="s">
        <v>865</v>
      </c>
      <c r="T351" s="28" t="s">
        <v>382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-2.86E-2</v>
      </c>
      <c r="Z351" s="28">
        <v>-3.8100000000000002E-2</v>
      </c>
      <c r="AA351" s="29">
        <v>300</v>
      </c>
      <c r="AB351" s="29">
        <v>475</v>
      </c>
      <c r="AC351" s="30">
        <v>51.633000000000003</v>
      </c>
      <c r="AD351" s="30">
        <v>0.20704962406015037</v>
      </c>
      <c r="AE351" s="29">
        <v>1</v>
      </c>
    </row>
    <row r="352" spans="2:31" x14ac:dyDescent="0.2">
      <c r="B352" s="27">
        <v>53</v>
      </c>
      <c r="C352" s="28" t="s">
        <v>867</v>
      </c>
      <c r="D352" s="28" t="s">
        <v>380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-2.7900000000000001E-2</v>
      </c>
      <c r="J352" s="28">
        <v>-3.7199999999999997E-2</v>
      </c>
      <c r="K352" s="29">
        <v>300</v>
      </c>
      <c r="L352" s="29">
        <v>475</v>
      </c>
      <c r="M352" s="30">
        <v>-60.946800000000003</v>
      </c>
      <c r="N352" s="30">
        <v>0.24439819548872183</v>
      </c>
      <c r="O352" s="29">
        <v>1</v>
      </c>
      <c r="R352" s="27">
        <v>53</v>
      </c>
      <c r="S352" s="28" t="s">
        <v>867</v>
      </c>
      <c r="T352" s="28" t="s">
        <v>380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-2.7900000000000001E-2</v>
      </c>
      <c r="Z352" s="28">
        <v>-3.7199999999999997E-2</v>
      </c>
      <c r="AA352" s="29">
        <v>300</v>
      </c>
      <c r="AB352" s="29">
        <v>475</v>
      </c>
      <c r="AC352" s="30">
        <v>-60.966200000000001</v>
      </c>
      <c r="AD352" s="30">
        <v>0.24447598997493733</v>
      </c>
      <c r="AE352" s="29">
        <v>1</v>
      </c>
    </row>
    <row r="353" spans="2:31" x14ac:dyDescent="0.2">
      <c r="B353" s="27">
        <v>53</v>
      </c>
      <c r="C353" s="28" t="s">
        <v>868</v>
      </c>
      <c r="D353" s="28" t="s">
        <v>382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-2.7900000000000001E-2</v>
      </c>
      <c r="J353" s="28">
        <v>-3.7199999999999997E-2</v>
      </c>
      <c r="K353" s="29">
        <v>300</v>
      </c>
      <c r="L353" s="29">
        <v>475</v>
      </c>
      <c r="M353" s="30">
        <v>73.535300000000007</v>
      </c>
      <c r="N353" s="30">
        <v>0.29487839598997495</v>
      </c>
      <c r="O353" s="29">
        <v>1</v>
      </c>
      <c r="R353" s="27">
        <v>53</v>
      </c>
      <c r="S353" s="28" t="s">
        <v>868</v>
      </c>
      <c r="T353" s="28" t="s">
        <v>382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-2.7900000000000001E-2</v>
      </c>
      <c r="Z353" s="28">
        <v>-3.7199999999999997E-2</v>
      </c>
      <c r="AA353" s="29">
        <v>300</v>
      </c>
      <c r="AB353" s="29">
        <v>475</v>
      </c>
      <c r="AC353" s="30">
        <v>51.633000000000003</v>
      </c>
      <c r="AD353" s="30">
        <v>0.20704962406015037</v>
      </c>
      <c r="AE353" s="29">
        <v>1</v>
      </c>
    </row>
    <row r="354" spans="2:31" x14ac:dyDescent="0.2">
      <c r="B354" s="27">
        <v>54</v>
      </c>
      <c r="C354" s="28" t="s">
        <v>870</v>
      </c>
      <c r="D354" s="28" t="s">
        <v>380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-2.7900000000000001E-2</v>
      </c>
      <c r="J354" s="28">
        <v>-3.7199999999999997E-2</v>
      </c>
      <c r="K354" s="29">
        <v>300</v>
      </c>
      <c r="L354" s="29">
        <v>475</v>
      </c>
      <c r="M354" s="30">
        <v>-57.971899999999998</v>
      </c>
      <c r="N354" s="30">
        <v>0.23246877192982457</v>
      </c>
      <c r="O354" s="29">
        <v>1</v>
      </c>
      <c r="R354" s="27">
        <v>54</v>
      </c>
      <c r="S354" s="28" t="s">
        <v>870</v>
      </c>
      <c r="T354" s="28" t="s">
        <v>380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-2.7900000000000001E-2</v>
      </c>
      <c r="Z354" s="28">
        <v>-3.7199999999999997E-2</v>
      </c>
      <c r="AA354" s="29">
        <v>300</v>
      </c>
      <c r="AB354" s="29">
        <v>475</v>
      </c>
      <c r="AC354" s="30">
        <v>-57.9908</v>
      </c>
      <c r="AD354" s="30">
        <v>0.23254456140350879</v>
      </c>
      <c r="AE354" s="29">
        <v>1</v>
      </c>
    </row>
    <row r="355" spans="2:31" x14ac:dyDescent="0.2">
      <c r="B355" s="27">
        <v>54</v>
      </c>
      <c r="C355" s="28" t="s">
        <v>871</v>
      </c>
      <c r="D355" s="28" t="s">
        <v>382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-2.7900000000000001E-2</v>
      </c>
      <c r="J355" s="28">
        <v>-3.7199999999999997E-2</v>
      </c>
      <c r="K355" s="29">
        <v>300</v>
      </c>
      <c r="L355" s="29">
        <v>475</v>
      </c>
      <c r="M355" s="30">
        <v>73.535300000000007</v>
      </c>
      <c r="N355" s="30">
        <v>0.29487839598997495</v>
      </c>
      <c r="O355" s="29">
        <v>1</v>
      </c>
      <c r="R355" s="27">
        <v>54</v>
      </c>
      <c r="S355" s="28" t="s">
        <v>871</v>
      </c>
      <c r="T355" s="28" t="s">
        <v>382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-2.7900000000000001E-2</v>
      </c>
      <c r="Z355" s="28">
        <v>-3.7199999999999997E-2</v>
      </c>
      <c r="AA355" s="29">
        <v>300</v>
      </c>
      <c r="AB355" s="29">
        <v>475</v>
      </c>
      <c r="AC355" s="30">
        <v>51.633000000000003</v>
      </c>
      <c r="AD355" s="30">
        <v>0.20704962406015037</v>
      </c>
      <c r="AE355" s="29">
        <v>1</v>
      </c>
    </row>
    <row r="356" spans="2:31" x14ac:dyDescent="0.2">
      <c r="B356" s="27">
        <v>55</v>
      </c>
      <c r="C356" s="28" t="s">
        <v>872</v>
      </c>
      <c r="D356" s="28" t="s">
        <v>380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-2.7900000000000001E-2</v>
      </c>
      <c r="J356" s="28">
        <v>-3.7199999999999997E-2</v>
      </c>
      <c r="K356" s="29">
        <v>300</v>
      </c>
      <c r="L356" s="29">
        <v>475</v>
      </c>
      <c r="M356" s="30">
        <v>-60.9955</v>
      </c>
      <c r="N356" s="30">
        <v>0.2445934837092732</v>
      </c>
      <c r="O356" s="29">
        <v>1</v>
      </c>
      <c r="R356" s="27">
        <v>55</v>
      </c>
      <c r="S356" s="28" t="s">
        <v>872</v>
      </c>
      <c r="T356" s="28" t="s">
        <v>380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-2.7900000000000001E-2</v>
      </c>
      <c r="Z356" s="28">
        <v>-3.7199999999999997E-2</v>
      </c>
      <c r="AA356" s="29">
        <v>300</v>
      </c>
      <c r="AB356" s="29">
        <v>475</v>
      </c>
      <c r="AC356" s="30">
        <v>-61.012799999999999</v>
      </c>
      <c r="AD356" s="30">
        <v>0.24466285714285713</v>
      </c>
      <c r="AE356" s="29">
        <v>1</v>
      </c>
    </row>
    <row r="357" spans="2:31" x14ac:dyDescent="0.2">
      <c r="B357" s="27">
        <v>55</v>
      </c>
      <c r="C357" s="28" t="s">
        <v>873</v>
      </c>
      <c r="D357" s="28" t="s">
        <v>382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-2.7900000000000001E-2</v>
      </c>
      <c r="J357" s="28">
        <v>-3.7199999999999997E-2</v>
      </c>
      <c r="K357" s="29">
        <v>300</v>
      </c>
      <c r="L357" s="29">
        <v>475</v>
      </c>
      <c r="M357" s="30">
        <v>73.535300000000007</v>
      </c>
      <c r="N357" s="30">
        <v>0.29487839598997495</v>
      </c>
      <c r="O357" s="29">
        <v>1</v>
      </c>
      <c r="R357" s="27">
        <v>55</v>
      </c>
      <c r="S357" s="28" t="s">
        <v>873</v>
      </c>
      <c r="T357" s="28" t="s">
        <v>382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-2.7900000000000001E-2</v>
      </c>
      <c r="Z357" s="28">
        <v>-3.7199999999999997E-2</v>
      </c>
      <c r="AA357" s="29">
        <v>300</v>
      </c>
      <c r="AB357" s="29">
        <v>475</v>
      </c>
      <c r="AC357" s="30">
        <v>51.633000000000003</v>
      </c>
      <c r="AD357" s="30">
        <v>0.20704962406015037</v>
      </c>
      <c r="AE357" s="29">
        <v>1</v>
      </c>
    </row>
    <row r="358" spans="2:31" x14ac:dyDescent="0.2">
      <c r="B358" s="27">
        <v>56</v>
      </c>
      <c r="C358" s="28" t="s">
        <v>874</v>
      </c>
      <c r="D358" s="28" t="s">
        <v>380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-2.7900000000000001E-2</v>
      </c>
      <c r="J358" s="28">
        <v>-3.7199999999999997E-2</v>
      </c>
      <c r="K358" s="29">
        <v>300</v>
      </c>
      <c r="L358" s="29">
        <v>475</v>
      </c>
      <c r="M358" s="30">
        <v>-61.279400000000003</v>
      </c>
      <c r="N358" s="30">
        <v>0.24573192982456141</v>
      </c>
      <c r="O358" s="29">
        <v>1</v>
      </c>
      <c r="R358" s="27">
        <v>56</v>
      </c>
      <c r="S358" s="28" t="s">
        <v>874</v>
      </c>
      <c r="T358" s="28" t="s">
        <v>380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-2.7900000000000001E-2</v>
      </c>
      <c r="Z358" s="28">
        <v>-3.7199999999999997E-2</v>
      </c>
      <c r="AA358" s="29">
        <v>300</v>
      </c>
      <c r="AB358" s="29">
        <v>475</v>
      </c>
      <c r="AC358" s="30">
        <v>-61.2971</v>
      </c>
      <c r="AD358" s="30">
        <v>0.24580290726817042</v>
      </c>
      <c r="AE358" s="29">
        <v>1</v>
      </c>
    </row>
    <row r="359" spans="2:31" x14ac:dyDescent="0.2">
      <c r="B359" s="27">
        <v>56</v>
      </c>
      <c r="C359" s="28" t="s">
        <v>875</v>
      </c>
      <c r="D359" s="28" t="s">
        <v>382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-2.7900000000000001E-2</v>
      </c>
      <c r="J359" s="28">
        <v>-3.7199999999999997E-2</v>
      </c>
      <c r="K359" s="29">
        <v>300</v>
      </c>
      <c r="L359" s="29">
        <v>475</v>
      </c>
      <c r="M359" s="30">
        <v>73.535300000000007</v>
      </c>
      <c r="N359" s="30">
        <v>0.29487839598997495</v>
      </c>
      <c r="O359" s="29">
        <v>1</v>
      </c>
      <c r="R359" s="27">
        <v>56</v>
      </c>
      <c r="S359" s="28" t="s">
        <v>875</v>
      </c>
      <c r="T359" s="28" t="s">
        <v>382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-2.7900000000000001E-2</v>
      </c>
      <c r="Z359" s="28">
        <v>-3.7199999999999997E-2</v>
      </c>
      <c r="AA359" s="29">
        <v>300</v>
      </c>
      <c r="AB359" s="29">
        <v>475</v>
      </c>
      <c r="AC359" s="30">
        <v>51.633000000000003</v>
      </c>
      <c r="AD359" s="30">
        <v>0.20704962406015037</v>
      </c>
      <c r="AE359" s="29">
        <v>1</v>
      </c>
    </row>
    <row r="360" spans="2:31" x14ac:dyDescent="0.2">
      <c r="B360" s="27">
        <v>57</v>
      </c>
      <c r="C360" s="28" t="s">
        <v>877</v>
      </c>
      <c r="D360" s="28" t="s">
        <v>380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-2.7900000000000001E-2</v>
      </c>
      <c r="J360" s="28">
        <v>-3.7199999999999997E-2</v>
      </c>
      <c r="K360" s="29">
        <v>300</v>
      </c>
      <c r="L360" s="29">
        <v>475</v>
      </c>
      <c r="M360" s="30">
        <v>-60.511699999999998</v>
      </c>
      <c r="N360" s="30">
        <v>0.24265343358395988</v>
      </c>
      <c r="O360" s="29">
        <v>1</v>
      </c>
      <c r="R360" s="27">
        <v>57</v>
      </c>
      <c r="S360" s="28" t="s">
        <v>877</v>
      </c>
      <c r="T360" s="28" t="s">
        <v>380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-2.7900000000000001E-2</v>
      </c>
      <c r="Z360" s="28">
        <v>-3.7199999999999997E-2</v>
      </c>
      <c r="AA360" s="29">
        <v>300</v>
      </c>
      <c r="AB360" s="29">
        <v>475</v>
      </c>
      <c r="AC360" s="30">
        <v>-60.5321</v>
      </c>
      <c r="AD360" s="30">
        <v>0.24273523809523809</v>
      </c>
      <c r="AE360" s="29">
        <v>1</v>
      </c>
    </row>
    <row r="361" spans="2:31" x14ac:dyDescent="0.2">
      <c r="B361" s="27">
        <v>57</v>
      </c>
      <c r="C361" s="28" t="s">
        <v>878</v>
      </c>
      <c r="D361" s="28" t="s">
        <v>382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-2.7900000000000001E-2</v>
      </c>
      <c r="J361" s="28">
        <v>-3.7199999999999997E-2</v>
      </c>
      <c r="K361" s="29">
        <v>300</v>
      </c>
      <c r="L361" s="29">
        <v>475</v>
      </c>
      <c r="M361" s="30">
        <v>73.535300000000007</v>
      </c>
      <c r="N361" s="30">
        <v>0.29487839598997495</v>
      </c>
      <c r="O361" s="29">
        <v>1</v>
      </c>
      <c r="R361" s="27">
        <v>57</v>
      </c>
      <c r="S361" s="28" t="s">
        <v>878</v>
      </c>
      <c r="T361" s="28" t="s">
        <v>382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-2.7900000000000001E-2</v>
      </c>
      <c r="Z361" s="28">
        <v>-3.7199999999999997E-2</v>
      </c>
      <c r="AA361" s="29">
        <v>300</v>
      </c>
      <c r="AB361" s="29">
        <v>475</v>
      </c>
      <c r="AC361" s="30">
        <v>51.633000000000003</v>
      </c>
      <c r="AD361" s="30">
        <v>0.20704962406015037</v>
      </c>
      <c r="AE361" s="29">
        <v>1</v>
      </c>
    </row>
    <row r="362" spans="2:31" x14ac:dyDescent="0.2">
      <c r="B362" s="27">
        <v>27</v>
      </c>
      <c r="C362" s="28" t="s">
        <v>880</v>
      </c>
      <c r="D362" s="28" t="s">
        <v>380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-2.86E-2</v>
      </c>
      <c r="J362" s="28">
        <v>-3.8100000000000002E-2</v>
      </c>
      <c r="K362" s="29">
        <v>300</v>
      </c>
      <c r="L362" s="29">
        <v>475</v>
      </c>
      <c r="M362" s="30">
        <v>-58.289400000000001</v>
      </c>
      <c r="N362" s="30">
        <v>0.23374195488721805</v>
      </c>
      <c r="O362" s="29">
        <v>1</v>
      </c>
      <c r="R362" s="27">
        <v>27</v>
      </c>
      <c r="S362" s="28" t="s">
        <v>880</v>
      </c>
      <c r="T362" s="28" t="s">
        <v>380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-2.86E-2</v>
      </c>
      <c r="Z362" s="28">
        <v>-3.8100000000000002E-2</v>
      </c>
      <c r="AA362" s="29">
        <v>300</v>
      </c>
      <c r="AB362" s="29">
        <v>475</v>
      </c>
      <c r="AC362" s="30">
        <v>-58.354399999999998</v>
      </c>
      <c r="AD362" s="30">
        <v>0.23400260651629073</v>
      </c>
      <c r="AE362" s="29">
        <v>1</v>
      </c>
    </row>
    <row r="363" spans="2:31" x14ac:dyDescent="0.2">
      <c r="B363" s="27">
        <v>27</v>
      </c>
      <c r="C363" s="28" t="s">
        <v>881</v>
      </c>
      <c r="D363" s="28" t="s">
        <v>382</v>
      </c>
      <c r="E363" s="28">
        <v>1E-4</v>
      </c>
      <c r="F363" s="28">
        <v>2.8400000000000002E-2</v>
      </c>
      <c r="G363" s="28">
        <v>3.7900000000000003E-2</v>
      </c>
      <c r="H363" s="28">
        <v>-1E-4</v>
      </c>
      <c r="I363" s="28">
        <v>-2.8400000000000002E-2</v>
      </c>
      <c r="J363" s="28">
        <v>-3.7900000000000003E-2</v>
      </c>
      <c r="K363" s="29">
        <v>300</v>
      </c>
      <c r="L363" s="29">
        <v>475</v>
      </c>
      <c r="M363" s="30">
        <v>73.535300000000007</v>
      </c>
      <c r="N363" s="30">
        <v>0.29487839598997495</v>
      </c>
      <c r="O363" s="29">
        <v>1</v>
      </c>
      <c r="R363" s="27">
        <v>27</v>
      </c>
      <c r="S363" s="28" t="s">
        <v>881</v>
      </c>
      <c r="T363" s="28" t="s">
        <v>382</v>
      </c>
      <c r="U363" s="28">
        <v>1E-4</v>
      </c>
      <c r="V363" s="28">
        <v>2.8400000000000002E-2</v>
      </c>
      <c r="W363" s="28">
        <v>3.7900000000000003E-2</v>
      </c>
      <c r="X363" s="28">
        <v>-1E-4</v>
      </c>
      <c r="Y363" s="28">
        <v>-2.8400000000000002E-2</v>
      </c>
      <c r="Z363" s="28">
        <v>-3.7900000000000003E-2</v>
      </c>
      <c r="AA363" s="29">
        <v>300</v>
      </c>
      <c r="AB363" s="29">
        <v>475</v>
      </c>
      <c r="AC363" s="30">
        <v>51.633000000000003</v>
      </c>
      <c r="AD363" s="30">
        <v>0.20704962406015037</v>
      </c>
      <c r="AE363" s="29">
        <v>1</v>
      </c>
    </row>
    <row r="364" spans="2:31" x14ac:dyDescent="0.2">
      <c r="B364" s="27">
        <v>30</v>
      </c>
      <c r="C364" s="28" t="s">
        <v>883</v>
      </c>
      <c r="D364" s="28" t="s">
        <v>380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-74.391199999999998</v>
      </c>
      <c r="N364" s="30">
        <v>0.29831057644110276</v>
      </c>
      <c r="O364" s="29">
        <v>1</v>
      </c>
      <c r="R364" s="27">
        <v>30</v>
      </c>
      <c r="S364" s="28" t="s">
        <v>883</v>
      </c>
      <c r="T364" s="28" t="s">
        <v>380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-74.475700000000003</v>
      </c>
      <c r="AD364" s="30">
        <v>0.29864942355889723</v>
      </c>
      <c r="AE364" s="29">
        <v>1</v>
      </c>
    </row>
    <row r="365" spans="2:31" x14ac:dyDescent="0.2">
      <c r="B365" s="27">
        <v>30</v>
      </c>
      <c r="C365" s="28" t="s">
        <v>884</v>
      </c>
      <c r="D365" s="28" t="s">
        <v>382</v>
      </c>
      <c r="E365" s="28">
        <v>1E-4</v>
      </c>
      <c r="F365" s="28">
        <v>2.8500000000000001E-2</v>
      </c>
      <c r="G365" s="28">
        <v>3.7999999999999999E-2</v>
      </c>
      <c r="H365" s="28">
        <v>-1E-4</v>
      </c>
      <c r="I365" s="28">
        <v>-2.87E-2</v>
      </c>
      <c r="J365" s="28">
        <v>-3.8300000000000001E-2</v>
      </c>
      <c r="K365" s="29">
        <v>300</v>
      </c>
      <c r="L365" s="29">
        <v>475</v>
      </c>
      <c r="M365" s="30">
        <v>73.535300000000007</v>
      </c>
      <c r="N365" s="30">
        <v>0.29487839598997495</v>
      </c>
      <c r="O365" s="29">
        <v>1</v>
      </c>
      <c r="R365" s="27">
        <v>30</v>
      </c>
      <c r="S365" s="28" t="s">
        <v>884</v>
      </c>
      <c r="T365" s="28" t="s">
        <v>382</v>
      </c>
      <c r="U365" s="28">
        <v>1E-4</v>
      </c>
      <c r="V365" s="28">
        <v>2.8500000000000001E-2</v>
      </c>
      <c r="W365" s="28">
        <v>3.7999999999999999E-2</v>
      </c>
      <c r="X365" s="28">
        <v>-1E-4</v>
      </c>
      <c r="Y365" s="28">
        <v>-2.87E-2</v>
      </c>
      <c r="Z365" s="28">
        <v>-3.8300000000000001E-2</v>
      </c>
      <c r="AA365" s="29">
        <v>300</v>
      </c>
      <c r="AB365" s="29">
        <v>475</v>
      </c>
      <c r="AC365" s="30">
        <v>51.633000000000003</v>
      </c>
      <c r="AD365" s="30">
        <v>0.20704962406015037</v>
      </c>
      <c r="AE365" s="29">
        <v>1</v>
      </c>
    </row>
    <row r="366" spans="2:31" x14ac:dyDescent="0.2">
      <c r="B366" s="27">
        <v>33</v>
      </c>
      <c r="C366" s="28" t="s">
        <v>886</v>
      </c>
      <c r="D366" s="28" t="s">
        <v>380</v>
      </c>
      <c r="E366" s="28">
        <v>1E-4</v>
      </c>
      <c r="F366" s="28">
        <v>2.8500000000000001E-2</v>
      </c>
      <c r="G366" s="28">
        <v>3.7999999999999999E-2</v>
      </c>
      <c r="H366" s="28">
        <v>-1E-4</v>
      </c>
      <c r="I366" s="28">
        <v>-2.87E-2</v>
      </c>
      <c r="J366" s="28">
        <v>-3.8300000000000001E-2</v>
      </c>
      <c r="K366" s="29">
        <v>300</v>
      </c>
      <c r="L366" s="29">
        <v>475</v>
      </c>
      <c r="M366" s="30">
        <v>-69.397900000000007</v>
      </c>
      <c r="N366" s="30">
        <v>0.27828731829573938</v>
      </c>
      <c r="O366" s="29">
        <v>1</v>
      </c>
      <c r="R366" s="27">
        <v>33</v>
      </c>
      <c r="S366" s="28" t="s">
        <v>886</v>
      </c>
      <c r="T366" s="28" t="s">
        <v>380</v>
      </c>
      <c r="U366" s="28">
        <v>1E-4</v>
      </c>
      <c r="V366" s="28">
        <v>2.8500000000000001E-2</v>
      </c>
      <c r="W366" s="28">
        <v>3.7999999999999999E-2</v>
      </c>
      <c r="X366" s="28">
        <v>-1E-4</v>
      </c>
      <c r="Y366" s="28">
        <v>-2.87E-2</v>
      </c>
      <c r="Z366" s="28">
        <v>-3.8300000000000001E-2</v>
      </c>
      <c r="AA366" s="29">
        <v>300</v>
      </c>
      <c r="AB366" s="29">
        <v>475</v>
      </c>
      <c r="AC366" s="30">
        <v>-69.479399999999998</v>
      </c>
      <c r="AD366" s="30">
        <v>0.27861413533834584</v>
      </c>
      <c r="AE366" s="29">
        <v>1</v>
      </c>
    </row>
    <row r="367" spans="2:31" x14ac:dyDescent="0.2">
      <c r="B367" s="27">
        <v>33</v>
      </c>
      <c r="C367" s="28" t="s">
        <v>887</v>
      </c>
      <c r="D367" s="28" t="s">
        <v>382</v>
      </c>
      <c r="E367" s="28">
        <v>1E-4</v>
      </c>
      <c r="F367" s="28">
        <v>2.8500000000000001E-2</v>
      </c>
      <c r="G367" s="28">
        <v>3.7999999999999999E-2</v>
      </c>
      <c r="H367" s="28">
        <v>-1E-4</v>
      </c>
      <c r="I367" s="28">
        <v>-2.87E-2</v>
      </c>
      <c r="J367" s="28">
        <v>-3.8300000000000001E-2</v>
      </c>
      <c r="K367" s="29">
        <v>300</v>
      </c>
      <c r="L367" s="29">
        <v>475</v>
      </c>
      <c r="M367" s="30">
        <v>73.535300000000007</v>
      </c>
      <c r="N367" s="30">
        <v>0.29487839598997495</v>
      </c>
      <c r="O367" s="29">
        <v>1</v>
      </c>
      <c r="R367" s="27">
        <v>33</v>
      </c>
      <c r="S367" s="28" t="s">
        <v>887</v>
      </c>
      <c r="T367" s="28" t="s">
        <v>382</v>
      </c>
      <c r="U367" s="28">
        <v>1E-4</v>
      </c>
      <c r="V367" s="28">
        <v>2.8500000000000001E-2</v>
      </c>
      <c r="W367" s="28">
        <v>3.7999999999999999E-2</v>
      </c>
      <c r="X367" s="28">
        <v>-1E-4</v>
      </c>
      <c r="Y367" s="28">
        <v>-2.87E-2</v>
      </c>
      <c r="Z367" s="28">
        <v>-3.8300000000000001E-2</v>
      </c>
      <c r="AA367" s="29">
        <v>300</v>
      </c>
      <c r="AB367" s="29">
        <v>475</v>
      </c>
      <c r="AC367" s="30">
        <v>51.633000000000003</v>
      </c>
      <c r="AD367" s="30">
        <v>0.20704962406015037</v>
      </c>
      <c r="AE367" s="29">
        <v>1</v>
      </c>
    </row>
    <row r="368" spans="2:31" x14ac:dyDescent="0.2">
      <c r="B368" s="27">
        <v>36</v>
      </c>
      <c r="C368" s="28" t="s">
        <v>889</v>
      </c>
      <c r="D368" s="28" t="s">
        <v>380</v>
      </c>
      <c r="E368" s="28">
        <v>1E-4</v>
      </c>
      <c r="F368" s="28">
        <v>2.8500000000000001E-2</v>
      </c>
      <c r="G368" s="28">
        <v>3.7999999999999999E-2</v>
      </c>
      <c r="H368" s="28">
        <v>-1E-4</v>
      </c>
      <c r="I368" s="28">
        <v>-2.87E-2</v>
      </c>
      <c r="J368" s="28">
        <v>-3.8300000000000001E-2</v>
      </c>
      <c r="K368" s="29">
        <v>300</v>
      </c>
      <c r="L368" s="29">
        <v>475</v>
      </c>
      <c r="M368" s="30">
        <v>-69.759399999999999</v>
      </c>
      <c r="N368" s="30">
        <v>0.2797369423558897</v>
      </c>
      <c r="O368" s="29">
        <v>1</v>
      </c>
      <c r="R368" s="27">
        <v>36</v>
      </c>
      <c r="S368" s="28" t="s">
        <v>889</v>
      </c>
      <c r="T368" s="28" t="s">
        <v>380</v>
      </c>
      <c r="U368" s="28">
        <v>1E-4</v>
      </c>
      <c r="V368" s="28">
        <v>2.8500000000000001E-2</v>
      </c>
      <c r="W368" s="28">
        <v>3.7999999999999999E-2</v>
      </c>
      <c r="X368" s="28">
        <v>-1E-4</v>
      </c>
      <c r="Y368" s="28">
        <v>-2.87E-2</v>
      </c>
      <c r="Z368" s="28">
        <v>-3.8300000000000001E-2</v>
      </c>
      <c r="AA368" s="29">
        <v>300</v>
      </c>
      <c r="AB368" s="29">
        <v>475</v>
      </c>
      <c r="AC368" s="30">
        <v>-69.841200000000001</v>
      </c>
      <c r="AD368" s="30">
        <v>0.28006496240601503</v>
      </c>
      <c r="AE368" s="29">
        <v>1</v>
      </c>
    </row>
    <row r="369" spans="2:31" x14ac:dyDescent="0.2">
      <c r="B369" s="27">
        <v>36</v>
      </c>
      <c r="C369" s="28" t="s">
        <v>890</v>
      </c>
      <c r="D369" s="28" t="s">
        <v>382</v>
      </c>
      <c r="E369" s="28">
        <v>1E-4</v>
      </c>
      <c r="F369" s="28">
        <v>2.8500000000000001E-2</v>
      </c>
      <c r="G369" s="28">
        <v>3.7999999999999999E-2</v>
      </c>
      <c r="H369" s="28">
        <v>-1E-4</v>
      </c>
      <c r="I369" s="28">
        <v>-2.87E-2</v>
      </c>
      <c r="J369" s="28">
        <v>-3.8300000000000001E-2</v>
      </c>
      <c r="K369" s="29">
        <v>300</v>
      </c>
      <c r="L369" s="29">
        <v>475</v>
      </c>
      <c r="M369" s="30">
        <v>73.535300000000007</v>
      </c>
      <c r="N369" s="30">
        <v>0.29487839598997495</v>
      </c>
      <c r="O369" s="29">
        <v>1</v>
      </c>
      <c r="R369" s="27">
        <v>36</v>
      </c>
      <c r="S369" s="28" t="s">
        <v>890</v>
      </c>
      <c r="T369" s="28" t="s">
        <v>382</v>
      </c>
      <c r="U369" s="28">
        <v>1E-4</v>
      </c>
      <c r="V369" s="28">
        <v>2.8500000000000001E-2</v>
      </c>
      <c r="W369" s="28">
        <v>3.7999999999999999E-2</v>
      </c>
      <c r="X369" s="28">
        <v>-1E-4</v>
      </c>
      <c r="Y369" s="28">
        <v>-2.87E-2</v>
      </c>
      <c r="Z369" s="28">
        <v>-3.8300000000000001E-2</v>
      </c>
      <c r="AA369" s="29">
        <v>300</v>
      </c>
      <c r="AB369" s="29">
        <v>475</v>
      </c>
      <c r="AC369" s="30">
        <v>51.633000000000003</v>
      </c>
      <c r="AD369" s="30">
        <v>0.20704962406015037</v>
      </c>
      <c r="AE369" s="29">
        <v>1</v>
      </c>
    </row>
    <row r="370" spans="2:31" x14ac:dyDescent="0.2">
      <c r="B370" s="27">
        <v>39</v>
      </c>
      <c r="C370" s="28" t="s">
        <v>892</v>
      </c>
      <c r="D370" s="28" t="s">
        <v>380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-73.554100000000005</v>
      </c>
      <c r="N370" s="30">
        <v>0.29495378446115289</v>
      </c>
      <c r="O370" s="29">
        <v>1</v>
      </c>
      <c r="R370" s="27">
        <v>39</v>
      </c>
      <c r="S370" s="28" t="s">
        <v>892</v>
      </c>
      <c r="T370" s="28" t="s">
        <v>380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-73.638199999999998</v>
      </c>
      <c r="AD370" s="30">
        <v>0.29529102756892228</v>
      </c>
      <c r="AE370" s="29">
        <v>1</v>
      </c>
    </row>
    <row r="371" spans="2:31" x14ac:dyDescent="0.2">
      <c r="B371" s="27">
        <v>39</v>
      </c>
      <c r="C371" s="28" t="s">
        <v>893</v>
      </c>
      <c r="D371" s="28" t="s">
        <v>382</v>
      </c>
      <c r="E371" s="28">
        <v>1E-4</v>
      </c>
      <c r="F371" s="28">
        <v>2.8500000000000001E-2</v>
      </c>
      <c r="G371" s="28">
        <v>3.7999999999999999E-2</v>
      </c>
      <c r="H371" s="28">
        <v>-1E-4</v>
      </c>
      <c r="I371" s="28">
        <v>-2.87E-2</v>
      </c>
      <c r="J371" s="28">
        <v>-3.8300000000000001E-2</v>
      </c>
      <c r="K371" s="29">
        <v>300</v>
      </c>
      <c r="L371" s="29">
        <v>475</v>
      </c>
      <c r="M371" s="30">
        <v>73.535300000000007</v>
      </c>
      <c r="N371" s="30">
        <v>0.29487839598997495</v>
      </c>
      <c r="O371" s="29">
        <v>1</v>
      </c>
      <c r="R371" s="27">
        <v>39</v>
      </c>
      <c r="S371" s="28" t="s">
        <v>893</v>
      </c>
      <c r="T371" s="28" t="s">
        <v>382</v>
      </c>
      <c r="U371" s="28">
        <v>1E-4</v>
      </c>
      <c r="V371" s="28">
        <v>2.8500000000000001E-2</v>
      </c>
      <c r="W371" s="28">
        <v>3.7999999999999999E-2</v>
      </c>
      <c r="X371" s="28">
        <v>-1E-4</v>
      </c>
      <c r="Y371" s="28">
        <v>-2.87E-2</v>
      </c>
      <c r="Z371" s="28">
        <v>-3.8300000000000001E-2</v>
      </c>
      <c r="AA371" s="29">
        <v>300</v>
      </c>
      <c r="AB371" s="29">
        <v>475</v>
      </c>
      <c r="AC371" s="30">
        <v>51.633000000000003</v>
      </c>
      <c r="AD371" s="30">
        <v>0.20704962406015037</v>
      </c>
      <c r="AE371" s="29">
        <v>1</v>
      </c>
    </row>
    <row r="372" spans="2:31" x14ac:dyDescent="0.2">
      <c r="B372" s="27">
        <v>42</v>
      </c>
      <c r="C372" s="28" t="s">
        <v>895</v>
      </c>
      <c r="D372" s="28" t="s">
        <v>380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-2.86E-2</v>
      </c>
      <c r="J372" s="28">
        <v>-3.8100000000000002E-2</v>
      </c>
      <c r="K372" s="29">
        <v>300</v>
      </c>
      <c r="L372" s="29">
        <v>475</v>
      </c>
      <c r="M372" s="30">
        <v>-52.359699999999997</v>
      </c>
      <c r="N372" s="30">
        <v>0.20996370927318295</v>
      </c>
      <c r="O372" s="29">
        <v>1</v>
      </c>
      <c r="R372" s="27">
        <v>42</v>
      </c>
      <c r="S372" s="28" t="s">
        <v>895</v>
      </c>
      <c r="T372" s="28" t="s">
        <v>380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-2.86E-2</v>
      </c>
      <c r="Z372" s="28">
        <v>-3.8100000000000002E-2</v>
      </c>
      <c r="AA372" s="29">
        <v>300</v>
      </c>
      <c r="AB372" s="29">
        <v>475</v>
      </c>
      <c r="AC372" s="30">
        <v>-52.418700000000001</v>
      </c>
      <c r="AD372" s="30">
        <v>0.2102003007518797</v>
      </c>
      <c r="AE372" s="29">
        <v>1</v>
      </c>
    </row>
    <row r="373" spans="2:31" x14ac:dyDescent="0.2">
      <c r="B373" s="27">
        <v>42</v>
      </c>
      <c r="C373" s="28" t="s">
        <v>896</v>
      </c>
      <c r="D373" s="28" t="s">
        <v>382</v>
      </c>
      <c r="E373" s="28">
        <v>1E-4</v>
      </c>
      <c r="F373" s="28">
        <v>2.8400000000000002E-2</v>
      </c>
      <c r="G373" s="28">
        <v>3.7900000000000003E-2</v>
      </c>
      <c r="H373" s="28">
        <v>-1E-4</v>
      </c>
      <c r="I373" s="28">
        <v>-2.8400000000000002E-2</v>
      </c>
      <c r="J373" s="28">
        <v>-3.7900000000000003E-2</v>
      </c>
      <c r="K373" s="29">
        <v>300</v>
      </c>
      <c r="L373" s="29">
        <v>475</v>
      </c>
      <c r="M373" s="30">
        <v>73.535300000000007</v>
      </c>
      <c r="N373" s="30">
        <v>0.29487839598997495</v>
      </c>
      <c r="O373" s="29">
        <v>1</v>
      </c>
      <c r="R373" s="27">
        <v>42</v>
      </c>
      <c r="S373" s="28" t="s">
        <v>896</v>
      </c>
      <c r="T373" s="28" t="s">
        <v>382</v>
      </c>
      <c r="U373" s="28">
        <v>1E-4</v>
      </c>
      <c r="V373" s="28">
        <v>2.8400000000000002E-2</v>
      </c>
      <c r="W373" s="28">
        <v>3.7900000000000003E-2</v>
      </c>
      <c r="X373" s="28">
        <v>-1E-4</v>
      </c>
      <c r="Y373" s="28">
        <v>-2.8400000000000002E-2</v>
      </c>
      <c r="Z373" s="28">
        <v>-3.7900000000000003E-2</v>
      </c>
      <c r="AA373" s="29">
        <v>300</v>
      </c>
      <c r="AB373" s="29">
        <v>475</v>
      </c>
      <c r="AC373" s="30">
        <v>51.633000000000003</v>
      </c>
      <c r="AD373" s="30">
        <v>0.20704962406015037</v>
      </c>
      <c r="AE373" s="29">
        <v>1</v>
      </c>
    </row>
    <row r="374" spans="2:31" x14ac:dyDescent="0.2">
      <c r="B374" s="27">
        <v>58</v>
      </c>
      <c r="C374" s="28" t="s">
        <v>898</v>
      </c>
      <c r="D374" s="28" t="s">
        <v>380</v>
      </c>
      <c r="E374" s="28">
        <v>1E-4</v>
      </c>
      <c r="F374" s="28">
        <v>2.7799999999999998E-2</v>
      </c>
      <c r="G374" s="28">
        <v>3.6999999999999998E-2</v>
      </c>
      <c r="H374" s="28">
        <v>-1E-4</v>
      </c>
      <c r="I374" s="28">
        <v>-2.7799999999999998E-2</v>
      </c>
      <c r="J374" s="28">
        <v>-3.6999999999999998E-2</v>
      </c>
      <c r="K374" s="29">
        <v>300</v>
      </c>
      <c r="L374" s="29">
        <v>475</v>
      </c>
      <c r="M374" s="30">
        <v>-47.5565</v>
      </c>
      <c r="N374" s="30">
        <v>0.19070275689223057</v>
      </c>
      <c r="O374" s="29">
        <v>1</v>
      </c>
      <c r="R374" s="27">
        <v>58</v>
      </c>
      <c r="S374" s="28" t="s">
        <v>898</v>
      </c>
      <c r="T374" s="28" t="s">
        <v>380</v>
      </c>
      <c r="U374" s="28">
        <v>1E-4</v>
      </c>
      <c r="V374" s="28">
        <v>2.7799999999999998E-2</v>
      </c>
      <c r="W374" s="28">
        <v>3.6999999999999998E-2</v>
      </c>
      <c r="X374" s="28">
        <v>-1E-4</v>
      </c>
      <c r="Y374" s="28">
        <v>-2.7799999999999998E-2</v>
      </c>
      <c r="Z374" s="28">
        <v>-3.6999999999999998E-2</v>
      </c>
      <c r="AA374" s="29">
        <v>300</v>
      </c>
      <c r="AB374" s="29">
        <v>475</v>
      </c>
      <c r="AC374" s="30">
        <v>-47.569600000000001</v>
      </c>
      <c r="AD374" s="30">
        <v>0.19075528822055138</v>
      </c>
      <c r="AE374" s="29">
        <v>1</v>
      </c>
    </row>
    <row r="375" spans="2:31" x14ac:dyDescent="0.2">
      <c r="B375" s="27">
        <v>58</v>
      </c>
      <c r="C375" s="28" t="s">
        <v>899</v>
      </c>
      <c r="D375" s="28" t="s">
        <v>382</v>
      </c>
      <c r="E375" s="28">
        <v>1E-4</v>
      </c>
      <c r="F375" s="28">
        <v>2.7799999999999998E-2</v>
      </c>
      <c r="G375" s="28">
        <v>3.6999999999999998E-2</v>
      </c>
      <c r="H375" s="28">
        <v>-1E-4</v>
      </c>
      <c r="I375" s="28">
        <v>-2.8000000000000001E-2</v>
      </c>
      <c r="J375" s="28">
        <v>-3.73E-2</v>
      </c>
      <c r="K375" s="29">
        <v>300</v>
      </c>
      <c r="L375" s="29">
        <v>475</v>
      </c>
      <c r="M375" s="30">
        <v>73.535300000000007</v>
      </c>
      <c r="N375" s="30">
        <v>0.29487839598997495</v>
      </c>
      <c r="O375" s="29">
        <v>1</v>
      </c>
      <c r="R375" s="27">
        <v>58</v>
      </c>
      <c r="S375" s="28" t="s">
        <v>899</v>
      </c>
      <c r="T375" s="28" t="s">
        <v>382</v>
      </c>
      <c r="U375" s="28">
        <v>1E-4</v>
      </c>
      <c r="V375" s="28">
        <v>2.7799999999999998E-2</v>
      </c>
      <c r="W375" s="28">
        <v>3.6999999999999998E-2</v>
      </c>
      <c r="X375" s="28">
        <v>-1E-4</v>
      </c>
      <c r="Y375" s="28">
        <v>-2.8000000000000001E-2</v>
      </c>
      <c r="Z375" s="28">
        <v>-3.73E-2</v>
      </c>
      <c r="AA375" s="29">
        <v>300</v>
      </c>
      <c r="AB375" s="29">
        <v>475</v>
      </c>
      <c r="AC375" s="30">
        <v>51.633000000000003</v>
      </c>
      <c r="AD375" s="30">
        <v>0.20704962406015037</v>
      </c>
      <c r="AE375" s="29">
        <v>1</v>
      </c>
    </row>
    <row r="376" spans="2:31" x14ac:dyDescent="0.2">
      <c r="B376" s="27">
        <v>59</v>
      </c>
      <c r="C376" s="28" t="s">
        <v>901</v>
      </c>
      <c r="D376" s="28" t="s">
        <v>380</v>
      </c>
      <c r="E376" s="28">
        <v>1E-4</v>
      </c>
      <c r="F376" s="28">
        <v>2.7799999999999998E-2</v>
      </c>
      <c r="G376" s="28">
        <v>3.6999999999999998E-2</v>
      </c>
      <c r="H376" s="28">
        <v>-1E-4</v>
      </c>
      <c r="I376" s="28">
        <v>-2.8000000000000001E-2</v>
      </c>
      <c r="J376" s="28">
        <v>-3.73E-2</v>
      </c>
      <c r="K376" s="29">
        <v>300</v>
      </c>
      <c r="L376" s="29">
        <v>475</v>
      </c>
      <c r="M376" s="30">
        <v>-52.206200000000003</v>
      </c>
      <c r="N376" s="30">
        <v>0.20934817042606518</v>
      </c>
      <c r="O376" s="29">
        <v>1</v>
      </c>
      <c r="R376" s="27">
        <v>59</v>
      </c>
      <c r="S376" s="28" t="s">
        <v>901</v>
      </c>
      <c r="T376" s="28" t="s">
        <v>380</v>
      </c>
      <c r="U376" s="28">
        <v>1E-4</v>
      </c>
      <c r="V376" s="28">
        <v>2.7799999999999998E-2</v>
      </c>
      <c r="W376" s="28">
        <v>3.6999999999999998E-2</v>
      </c>
      <c r="X376" s="28">
        <v>-1E-4</v>
      </c>
      <c r="Y376" s="28">
        <v>-2.8000000000000001E-2</v>
      </c>
      <c r="Z376" s="28">
        <v>-3.73E-2</v>
      </c>
      <c r="AA376" s="29">
        <v>300</v>
      </c>
      <c r="AB376" s="29">
        <v>475</v>
      </c>
      <c r="AC376" s="30">
        <v>-52.218200000000003</v>
      </c>
      <c r="AD376" s="30">
        <v>0.20939629072681706</v>
      </c>
      <c r="AE376" s="29">
        <v>1</v>
      </c>
    </row>
    <row r="377" spans="2:31" x14ac:dyDescent="0.2">
      <c r="B377" s="27">
        <v>59</v>
      </c>
      <c r="C377" s="28" t="s">
        <v>902</v>
      </c>
      <c r="D377" s="28" t="s">
        <v>382</v>
      </c>
      <c r="E377" s="28">
        <v>1E-4</v>
      </c>
      <c r="F377" s="28">
        <v>2.7799999999999998E-2</v>
      </c>
      <c r="G377" s="28">
        <v>3.6999999999999998E-2</v>
      </c>
      <c r="H377" s="28">
        <v>-1E-4</v>
      </c>
      <c r="I377" s="28">
        <v>-2.8000000000000001E-2</v>
      </c>
      <c r="J377" s="28">
        <v>-3.73E-2</v>
      </c>
      <c r="K377" s="29">
        <v>300</v>
      </c>
      <c r="L377" s="29">
        <v>475</v>
      </c>
      <c r="M377" s="30">
        <v>73.535300000000007</v>
      </c>
      <c r="N377" s="30">
        <v>0.29487839598997495</v>
      </c>
      <c r="O377" s="29">
        <v>1</v>
      </c>
      <c r="R377" s="27">
        <v>59</v>
      </c>
      <c r="S377" s="28" t="s">
        <v>902</v>
      </c>
      <c r="T377" s="28" t="s">
        <v>382</v>
      </c>
      <c r="U377" s="28">
        <v>1E-4</v>
      </c>
      <c r="V377" s="28">
        <v>2.7799999999999998E-2</v>
      </c>
      <c r="W377" s="28">
        <v>3.6999999999999998E-2</v>
      </c>
      <c r="X377" s="28">
        <v>-1E-4</v>
      </c>
      <c r="Y377" s="28">
        <v>-2.8000000000000001E-2</v>
      </c>
      <c r="Z377" s="28">
        <v>-3.73E-2</v>
      </c>
      <c r="AA377" s="29">
        <v>300</v>
      </c>
      <c r="AB377" s="29">
        <v>475</v>
      </c>
      <c r="AC377" s="30">
        <v>51.633000000000003</v>
      </c>
      <c r="AD377" s="30">
        <v>0.20704962406015037</v>
      </c>
      <c r="AE377" s="29">
        <v>1</v>
      </c>
    </row>
    <row r="378" spans="2:31" x14ac:dyDescent="0.2">
      <c r="B378" s="27">
        <v>60</v>
      </c>
      <c r="C378" s="28" t="s">
        <v>903</v>
      </c>
      <c r="D378" s="28" t="s">
        <v>380</v>
      </c>
      <c r="E378" s="28">
        <v>1E-4</v>
      </c>
      <c r="F378" s="28">
        <v>2.7799999999999998E-2</v>
      </c>
      <c r="G378" s="28">
        <v>3.6999999999999998E-2</v>
      </c>
      <c r="H378" s="28">
        <v>-1E-4</v>
      </c>
      <c r="I378" s="28">
        <v>-2.8000000000000001E-2</v>
      </c>
      <c r="J378" s="28">
        <v>-3.73E-2</v>
      </c>
      <c r="K378" s="29">
        <v>300</v>
      </c>
      <c r="L378" s="29">
        <v>475</v>
      </c>
      <c r="M378" s="30">
        <v>-49.625399999999999</v>
      </c>
      <c r="N378" s="30">
        <v>0.19899909774436092</v>
      </c>
      <c r="O378" s="29">
        <v>1</v>
      </c>
      <c r="R378" s="27">
        <v>60</v>
      </c>
      <c r="S378" s="28" t="s">
        <v>903</v>
      </c>
      <c r="T378" s="28" t="s">
        <v>380</v>
      </c>
      <c r="U378" s="28">
        <v>1E-4</v>
      </c>
      <c r="V378" s="28">
        <v>2.7799999999999998E-2</v>
      </c>
      <c r="W378" s="28">
        <v>3.6999999999999998E-2</v>
      </c>
      <c r="X378" s="28">
        <v>-1E-4</v>
      </c>
      <c r="Y378" s="28">
        <v>-2.8000000000000001E-2</v>
      </c>
      <c r="Z378" s="28">
        <v>-3.73E-2</v>
      </c>
      <c r="AA378" s="29">
        <v>300</v>
      </c>
      <c r="AB378" s="29">
        <v>475</v>
      </c>
      <c r="AC378" s="30">
        <v>-49.6372</v>
      </c>
      <c r="AD378" s="30">
        <v>0.19904641604010023</v>
      </c>
      <c r="AE378" s="29">
        <v>1</v>
      </c>
    </row>
    <row r="379" spans="2:31" x14ac:dyDescent="0.2">
      <c r="B379" s="27">
        <v>60</v>
      </c>
      <c r="C379" s="28" t="s">
        <v>904</v>
      </c>
      <c r="D379" s="28" t="s">
        <v>382</v>
      </c>
      <c r="E379" s="28">
        <v>1E-4</v>
      </c>
      <c r="F379" s="28">
        <v>2.7799999999999998E-2</v>
      </c>
      <c r="G379" s="28">
        <v>3.6999999999999998E-2</v>
      </c>
      <c r="H379" s="28">
        <v>-1E-4</v>
      </c>
      <c r="I379" s="28">
        <v>-2.8000000000000001E-2</v>
      </c>
      <c r="J379" s="28">
        <v>-3.73E-2</v>
      </c>
      <c r="K379" s="29">
        <v>300</v>
      </c>
      <c r="L379" s="29">
        <v>475</v>
      </c>
      <c r="M379" s="30">
        <v>73.535300000000007</v>
      </c>
      <c r="N379" s="30">
        <v>0.29487839598997495</v>
      </c>
      <c r="O379" s="29">
        <v>1</v>
      </c>
      <c r="R379" s="27">
        <v>60</v>
      </c>
      <c r="S379" s="28" t="s">
        <v>904</v>
      </c>
      <c r="T379" s="28" t="s">
        <v>382</v>
      </c>
      <c r="U379" s="28">
        <v>1E-4</v>
      </c>
      <c r="V379" s="28">
        <v>2.7799999999999998E-2</v>
      </c>
      <c r="W379" s="28">
        <v>3.6999999999999998E-2</v>
      </c>
      <c r="X379" s="28">
        <v>-1E-4</v>
      </c>
      <c r="Y379" s="28">
        <v>-2.8000000000000001E-2</v>
      </c>
      <c r="Z379" s="28">
        <v>-3.73E-2</v>
      </c>
      <c r="AA379" s="29">
        <v>300</v>
      </c>
      <c r="AB379" s="29">
        <v>475</v>
      </c>
      <c r="AC379" s="30">
        <v>51.633000000000003</v>
      </c>
      <c r="AD379" s="30">
        <v>0.20704962406015037</v>
      </c>
      <c r="AE379" s="29">
        <v>1</v>
      </c>
    </row>
    <row r="380" spans="2:31" x14ac:dyDescent="0.2">
      <c r="B380" s="27">
        <v>61</v>
      </c>
      <c r="C380" s="28" t="s">
        <v>905</v>
      </c>
      <c r="D380" s="28" t="s">
        <v>380</v>
      </c>
      <c r="E380" s="28">
        <v>1E-4</v>
      </c>
      <c r="F380" s="28">
        <v>2.7799999999999998E-2</v>
      </c>
      <c r="G380" s="28">
        <v>3.6999999999999998E-2</v>
      </c>
      <c r="H380" s="28">
        <v>-1E-4</v>
      </c>
      <c r="I380" s="28">
        <v>-2.8000000000000001E-2</v>
      </c>
      <c r="J380" s="28">
        <v>-3.73E-2</v>
      </c>
      <c r="K380" s="29">
        <v>300</v>
      </c>
      <c r="L380" s="29">
        <v>475</v>
      </c>
      <c r="M380" s="30">
        <v>-48.976100000000002</v>
      </c>
      <c r="N380" s="30">
        <v>0.19639538847117796</v>
      </c>
      <c r="O380" s="29">
        <v>1</v>
      </c>
      <c r="R380" s="27">
        <v>61</v>
      </c>
      <c r="S380" s="28" t="s">
        <v>905</v>
      </c>
      <c r="T380" s="28" t="s">
        <v>380</v>
      </c>
      <c r="U380" s="28">
        <v>1E-4</v>
      </c>
      <c r="V380" s="28">
        <v>2.7799999999999998E-2</v>
      </c>
      <c r="W380" s="28">
        <v>3.6999999999999998E-2</v>
      </c>
      <c r="X380" s="28">
        <v>-1E-4</v>
      </c>
      <c r="Y380" s="28">
        <v>-2.8000000000000001E-2</v>
      </c>
      <c r="Z380" s="28">
        <v>-3.73E-2</v>
      </c>
      <c r="AA380" s="29">
        <v>300</v>
      </c>
      <c r="AB380" s="29">
        <v>475</v>
      </c>
      <c r="AC380" s="30">
        <v>-48.988799999999998</v>
      </c>
      <c r="AD380" s="30">
        <v>0.19644631578947366</v>
      </c>
      <c r="AE380" s="29">
        <v>1</v>
      </c>
    </row>
    <row r="381" spans="2:31" x14ac:dyDescent="0.2">
      <c r="B381" s="27">
        <v>61</v>
      </c>
      <c r="C381" s="28" t="s">
        <v>906</v>
      </c>
      <c r="D381" s="28" t="s">
        <v>382</v>
      </c>
      <c r="E381" s="28">
        <v>1E-4</v>
      </c>
      <c r="F381" s="28">
        <v>2.7799999999999998E-2</v>
      </c>
      <c r="G381" s="28">
        <v>3.6999999999999998E-2</v>
      </c>
      <c r="H381" s="28">
        <v>-1E-4</v>
      </c>
      <c r="I381" s="28">
        <v>-2.8000000000000001E-2</v>
      </c>
      <c r="J381" s="28">
        <v>-3.73E-2</v>
      </c>
      <c r="K381" s="29">
        <v>300</v>
      </c>
      <c r="L381" s="29">
        <v>475</v>
      </c>
      <c r="M381" s="30">
        <v>73.535300000000007</v>
      </c>
      <c r="N381" s="30">
        <v>0.29487839598997495</v>
      </c>
      <c r="O381" s="29">
        <v>1</v>
      </c>
      <c r="R381" s="27">
        <v>61</v>
      </c>
      <c r="S381" s="28" t="s">
        <v>906</v>
      </c>
      <c r="T381" s="28" t="s">
        <v>382</v>
      </c>
      <c r="U381" s="28">
        <v>1E-4</v>
      </c>
      <c r="V381" s="28">
        <v>2.7799999999999998E-2</v>
      </c>
      <c r="W381" s="28">
        <v>3.6999999999999998E-2</v>
      </c>
      <c r="X381" s="28">
        <v>-1E-4</v>
      </c>
      <c r="Y381" s="28">
        <v>-2.8000000000000001E-2</v>
      </c>
      <c r="Z381" s="28">
        <v>-3.73E-2</v>
      </c>
      <c r="AA381" s="29">
        <v>300</v>
      </c>
      <c r="AB381" s="29">
        <v>475</v>
      </c>
      <c r="AC381" s="30">
        <v>51.633000000000003</v>
      </c>
      <c r="AD381" s="30">
        <v>0.20704962406015037</v>
      </c>
      <c r="AE381" s="29">
        <v>1</v>
      </c>
    </row>
    <row r="382" spans="2:31" x14ac:dyDescent="0.2">
      <c r="B382" s="27">
        <v>62</v>
      </c>
      <c r="C382" s="28" t="s">
        <v>908</v>
      </c>
      <c r="D382" s="28" t="s">
        <v>380</v>
      </c>
      <c r="E382" s="28">
        <v>1E-4</v>
      </c>
      <c r="F382" s="28">
        <v>2.7799999999999998E-2</v>
      </c>
      <c r="G382" s="28">
        <v>3.6999999999999998E-2</v>
      </c>
      <c r="H382" s="28">
        <v>-1E-4</v>
      </c>
      <c r="I382" s="28">
        <v>-2.8000000000000001E-2</v>
      </c>
      <c r="J382" s="28">
        <v>-3.73E-2</v>
      </c>
      <c r="K382" s="29">
        <v>300</v>
      </c>
      <c r="L382" s="29">
        <v>475</v>
      </c>
      <c r="M382" s="30">
        <v>-51.413699999999999</v>
      </c>
      <c r="N382" s="30">
        <v>0.20617022556390976</v>
      </c>
      <c r="O382" s="29">
        <v>1</v>
      </c>
      <c r="R382" s="27">
        <v>62</v>
      </c>
      <c r="S382" s="28" t="s">
        <v>908</v>
      </c>
      <c r="T382" s="28" t="s">
        <v>380</v>
      </c>
      <c r="U382" s="28">
        <v>1E-4</v>
      </c>
      <c r="V382" s="28">
        <v>2.7799999999999998E-2</v>
      </c>
      <c r="W382" s="28">
        <v>3.6999999999999998E-2</v>
      </c>
      <c r="X382" s="28">
        <v>-1E-4</v>
      </c>
      <c r="Y382" s="28">
        <v>-2.8000000000000001E-2</v>
      </c>
      <c r="Z382" s="28">
        <v>-3.73E-2</v>
      </c>
      <c r="AA382" s="29">
        <v>300</v>
      </c>
      <c r="AB382" s="29">
        <v>475</v>
      </c>
      <c r="AC382" s="30">
        <v>-51.424399999999999</v>
      </c>
      <c r="AD382" s="30">
        <v>0.2062131328320802</v>
      </c>
      <c r="AE382" s="29">
        <v>1</v>
      </c>
    </row>
    <row r="383" spans="2:31" x14ac:dyDescent="0.2">
      <c r="B383" s="27">
        <v>62</v>
      </c>
      <c r="C383" s="28" t="s">
        <v>909</v>
      </c>
      <c r="D383" s="28" t="s">
        <v>382</v>
      </c>
      <c r="E383" s="28">
        <v>1E-4</v>
      </c>
      <c r="F383" s="28">
        <v>2.7799999999999998E-2</v>
      </c>
      <c r="G383" s="28">
        <v>3.6999999999999998E-2</v>
      </c>
      <c r="H383" s="28">
        <v>-1E-4</v>
      </c>
      <c r="I383" s="28">
        <v>-2.7799999999999998E-2</v>
      </c>
      <c r="J383" s="28">
        <v>-3.6999999999999998E-2</v>
      </c>
      <c r="K383" s="29">
        <v>300</v>
      </c>
      <c r="L383" s="29">
        <v>475</v>
      </c>
      <c r="M383" s="30">
        <v>73.535300000000007</v>
      </c>
      <c r="N383" s="30">
        <v>0.29487839598997495</v>
      </c>
      <c r="O383" s="29">
        <v>1</v>
      </c>
      <c r="R383" s="27">
        <v>62</v>
      </c>
      <c r="S383" s="28" t="s">
        <v>909</v>
      </c>
      <c r="T383" s="28" t="s">
        <v>382</v>
      </c>
      <c r="U383" s="28">
        <v>1E-4</v>
      </c>
      <c r="V383" s="28">
        <v>2.7799999999999998E-2</v>
      </c>
      <c r="W383" s="28">
        <v>3.6999999999999998E-2</v>
      </c>
      <c r="X383" s="28">
        <v>-1E-4</v>
      </c>
      <c r="Y383" s="28">
        <v>-2.7799999999999998E-2</v>
      </c>
      <c r="Z383" s="28">
        <v>-3.6999999999999998E-2</v>
      </c>
      <c r="AA383" s="29">
        <v>300</v>
      </c>
      <c r="AB383" s="29">
        <v>475</v>
      </c>
      <c r="AC383" s="30">
        <v>51.633000000000003</v>
      </c>
      <c r="AD383" s="30">
        <v>0.20704962406015037</v>
      </c>
      <c r="AE38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E2:G2"/>
    <mergeCell ref="B2:B3"/>
    <mergeCell ref="C2:C3"/>
    <mergeCell ref="N2:N3"/>
    <mergeCell ref="O2:O3"/>
    <mergeCell ref="D2:D3"/>
    <mergeCell ref="H2:J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38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103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5" customHeight="1" x14ac:dyDescent="0.2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2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2">
      <c r="B4" s="27">
        <v>229</v>
      </c>
      <c r="C4" s="28" t="s">
        <v>379</v>
      </c>
      <c r="D4" s="28" t="s">
        <v>380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-23.337700000000002</v>
      </c>
      <c r="N4" s="30">
        <v>9.3584761904761907E-2</v>
      </c>
      <c r="O4" s="29">
        <v>1</v>
      </c>
      <c r="R4" s="27">
        <v>229</v>
      </c>
      <c r="S4" s="28" t="s">
        <v>379</v>
      </c>
      <c r="T4" s="28" t="s">
        <v>380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-23.3475</v>
      </c>
      <c r="AD4" s="30">
        <v>9.3624060150375943E-2</v>
      </c>
      <c r="AE4" s="29">
        <v>1</v>
      </c>
    </row>
    <row r="5" spans="2:31" x14ac:dyDescent="0.2">
      <c r="B5" s="27">
        <v>229</v>
      </c>
      <c r="C5" s="28" t="s">
        <v>381</v>
      </c>
      <c r="D5" s="28" t="s">
        <v>382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29.0061</v>
      </c>
      <c r="N5" s="30">
        <v>0.11631518796992481</v>
      </c>
      <c r="O5" s="29">
        <v>1</v>
      </c>
      <c r="R5" s="27">
        <v>229</v>
      </c>
      <c r="S5" s="28" t="s">
        <v>381</v>
      </c>
      <c r="T5" s="28" t="s">
        <v>382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28.995200000000001</v>
      </c>
      <c r="AD5" s="30">
        <v>0.11627147869674186</v>
      </c>
      <c r="AE5" s="29">
        <v>1</v>
      </c>
    </row>
    <row r="6" spans="2:31" x14ac:dyDescent="0.2">
      <c r="B6" s="27">
        <v>230</v>
      </c>
      <c r="C6" s="28" t="s">
        <v>384</v>
      </c>
      <c r="D6" s="28" t="s">
        <v>380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-26.4223</v>
      </c>
      <c r="N6" s="30">
        <v>0.10595408521303258</v>
      </c>
      <c r="O6" s="29">
        <v>1</v>
      </c>
      <c r="R6" s="27">
        <v>230</v>
      </c>
      <c r="S6" s="28" t="s">
        <v>384</v>
      </c>
      <c r="T6" s="28" t="s">
        <v>380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-26.433499999999999</v>
      </c>
      <c r="AD6" s="30">
        <v>0.10599899749373434</v>
      </c>
      <c r="AE6" s="29">
        <v>1</v>
      </c>
    </row>
    <row r="7" spans="2:31" x14ac:dyDescent="0.2">
      <c r="B7" s="27">
        <v>230</v>
      </c>
      <c r="C7" s="28" t="s">
        <v>385</v>
      </c>
      <c r="D7" s="28" t="s">
        <v>382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24.650500000000001</v>
      </c>
      <c r="N7" s="30">
        <v>9.8849122807017548E-2</v>
      </c>
      <c r="O7" s="29">
        <v>1</v>
      </c>
      <c r="R7" s="27">
        <v>230</v>
      </c>
      <c r="S7" s="28" t="s">
        <v>385</v>
      </c>
      <c r="T7" s="28" t="s">
        <v>382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24.638200000000001</v>
      </c>
      <c r="AD7" s="30">
        <v>9.8799799498746871E-2</v>
      </c>
      <c r="AE7" s="29">
        <v>1</v>
      </c>
    </row>
    <row r="8" spans="2:31" x14ac:dyDescent="0.2">
      <c r="B8" s="27">
        <v>231</v>
      </c>
      <c r="C8" s="28" t="s">
        <v>386</v>
      </c>
      <c r="D8" s="28" t="s">
        <v>380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-24.969200000000001</v>
      </c>
      <c r="N8" s="30">
        <v>0.10012711779448621</v>
      </c>
      <c r="O8" s="29">
        <v>1</v>
      </c>
      <c r="R8" s="27">
        <v>231</v>
      </c>
      <c r="S8" s="28" t="s">
        <v>386</v>
      </c>
      <c r="T8" s="28" t="s">
        <v>380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-24.980899999999998</v>
      </c>
      <c r="AD8" s="30">
        <v>0.10017403508771928</v>
      </c>
      <c r="AE8" s="29">
        <v>1</v>
      </c>
    </row>
    <row r="9" spans="2:31" x14ac:dyDescent="0.2">
      <c r="B9" s="27">
        <v>231</v>
      </c>
      <c r="C9" s="28" t="s">
        <v>387</v>
      </c>
      <c r="D9" s="28" t="s">
        <v>382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24.976099999999999</v>
      </c>
      <c r="N9" s="30">
        <v>0.10015478696741854</v>
      </c>
      <c r="O9" s="29">
        <v>1</v>
      </c>
      <c r="R9" s="27">
        <v>231</v>
      </c>
      <c r="S9" s="28" t="s">
        <v>387</v>
      </c>
      <c r="T9" s="28" t="s">
        <v>382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24.9633</v>
      </c>
      <c r="AD9" s="30">
        <v>0.10010345864661654</v>
      </c>
      <c r="AE9" s="29">
        <v>1</v>
      </c>
    </row>
    <row r="10" spans="2:31" x14ac:dyDescent="0.2">
      <c r="B10" s="27">
        <v>232</v>
      </c>
      <c r="C10" s="28" t="s">
        <v>388</v>
      </c>
      <c r="D10" s="28" t="s">
        <v>380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-24.761099999999999</v>
      </c>
      <c r="N10" s="30">
        <v>9.9292631578947368E-2</v>
      </c>
      <c r="O10" s="29">
        <v>1</v>
      </c>
      <c r="R10" s="27">
        <v>232</v>
      </c>
      <c r="S10" s="28" t="s">
        <v>388</v>
      </c>
      <c r="T10" s="28" t="s">
        <v>380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-24.772200000000002</v>
      </c>
      <c r="AD10" s="30">
        <v>9.933714285714286E-2</v>
      </c>
      <c r="AE10" s="29">
        <v>1</v>
      </c>
    </row>
    <row r="11" spans="2:31" x14ac:dyDescent="0.2">
      <c r="B11" s="27">
        <v>232</v>
      </c>
      <c r="C11" s="28" t="s">
        <v>389</v>
      </c>
      <c r="D11" s="28" t="s">
        <v>382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26.267099999999999</v>
      </c>
      <c r="N11" s="30">
        <v>0.10533172932330827</v>
      </c>
      <c r="O11" s="29">
        <v>1</v>
      </c>
      <c r="R11" s="27">
        <v>232</v>
      </c>
      <c r="S11" s="28" t="s">
        <v>389</v>
      </c>
      <c r="T11" s="28" t="s">
        <v>382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26.254999999999999</v>
      </c>
      <c r="AD11" s="30">
        <v>0.10528320802005013</v>
      </c>
      <c r="AE11" s="29">
        <v>1</v>
      </c>
    </row>
    <row r="12" spans="2:31" x14ac:dyDescent="0.2">
      <c r="B12" s="27">
        <v>233</v>
      </c>
      <c r="C12" s="28" t="s">
        <v>391</v>
      </c>
      <c r="D12" s="28" t="s">
        <v>380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-27.1066</v>
      </c>
      <c r="N12" s="30">
        <v>0.10869814536340852</v>
      </c>
      <c r="O12" s="29">
        <v>1</v>
      </c>
      <c r="R12" s="27">
        <v>233</v>
      </c>
      <c r="S12" s="28" t="s">
        <v>391</v>
      </c>
      <c r="T12" s="28" t="s">
        <v>380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-27.116499999999998</v>
      </c>
      <c r="AD12" s="30">
        <v>0.10873784461152883</v>
      </c>
      <c r="AE12" s="29">
        <v>1</v>
      </c>
    </row>
    <row r="13" spans="2:31" x14ac:dyDescent="0.2">
      <c r="B13" s="27">
        <v>233</v>
      </c>
      <c r="C13" s="28" t="s">
        <v>392</v>
      </c>
      <c r="D13" s="28" t="s">
        <v>382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21.734999999999999</v>
      </c>
      <c r="N13" s="30">
        <v>8.7157894736842101E-2</v>
      </c>
      <c r="O13" s="29">
        <v>1</v>
      </c>
      <c r="R13" s="27">
        <v>233</v>
      </c>
      <c r="S13" s="28" t="s">
        <v>392</v>
      </c>
      <c r="T13" s="28" t="s">
        <v>382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21.7242</v>
      </c>
      <c r="AD13" s="30">
        <v>8.711458646616542E-2</v>
      </c>
      <c r="AE13" s="29">
        <v>1</v>
      </c>
    </row>
    <row r="14" spans="2:31" x14ac:dyDescent="0.2">
      <c r="B14" s="27">
        <v>211</v>
      </c>
      <c r="C14" s="28" t="s">
        <v>394</v>
      </c>
      <c r="D14" s="28" t="s">
        <v>380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-2.8199999999999999E-2</v>
      </c>
      <c r="J14" s="28">
        <v>-3.7600000000000001E-2</v>
      </c>
      <c r="K14" s="29">
        <v>300</v>
      </c>
      <c r="L14" s="29">
        <v>475</v>
      </c>
      <c r="M14" s="30">
        <v>-43.152900000000002</v>
      </c>
      <c r="N14" s="30">
        <v>0.1730442105263158</v>
      </c>
      <c r="O14" s="29">
        <v>1</v>
      </c>
      <c r="R14" s="27">
        <v>211</v>
      </c>
      <c r="S14" s="28" t="s">
        <v>394</v>
      </c>
      <c r="T14" s="28" t="s">
        <v>380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-2.8199999999999999E-2</v>
      </c>
      <c r="Z14" s="28">
        <v>-3.7600000000000001E-2</v>
      </c>
      <c r="AA14" s="29">
        <v>300</v>
      </c>
      <c r="AB14" s="29">
        <v>475</v>
      </c>
      <c r="AC14" s="30">
        <v>-43.149900000000002</v>
      </c>
      <c r="AD14" s="30">
        <v>0.17303218045112784</v>
      </c>
      <c r="AE14" s="29">
        <v>1</v>
      </c>
    </row>
    <row r="15" spans="2:31" x14ac:dyDescent="0.2">
      <c r="B15" s="27">
        <v>211</v>
      </c>
      <c r="C15" s="28" t="s">
        <v>395</v>
      </c>
      <c r="D15" s="28" t="s">
        <v>382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33.269199999999998</v>
      </c>
      <c r="N15" s="30">
        <v>0.13341032581453632</v>
      </c>
      <c r="O15" s="29">
        <v>1</v>
      </c>
      <c r="R15" s="27">
        <v>211</v>
      </c>
      <c r="S15" s="28" t="s">
        <v>395</v>
      </c>
      <c r="T15" s="28" t="s">
        <v>382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33.2774</v>
      </c>
      <c r="AD15" s="30">
        <v>0.13344320802005014</v>
      </c>
      <c r="AE15" s="29">
        <v>1</v>
      </c>
    </row>
    <row r="16" spans="2:31" x14ac:dyDescent="0.2">
      <c r="B16" s="27">
        <v>214</v>
      </c>
      <c r="C16" s="28" t="s">
        <v>397</v>
      </c>
      <c r="D16" s="28" t="s">
        <v>380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-63.426000000000002</v>
      </c>
      <c r="N16" s="30">
        <v>0.25433984962406014</v>
      </c>
      <c r="O16" s="29">
        <v>1</v>
      </c>
      <c r="R16" s="27">
        <v>214</v>
      </c>
      <c r="S16" s="28" t="s">
        <v>397</v>
      </c>
      <c r="T16" s="28" t="s">
        <v>380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-63.42</v>
      </c>
      <c r="AD16" s="30">
        <v>0.25431578947368422</v>
      </c>
      <c r="AE16" s="29">
        <v>1</v>
      </c>
    </row>
    <row r="17" spans="2:31" x14ac:dyDescent="0.2">
      <c r="B17" s="27">
        <v>214</v>
      </c>
      <c r="C17" s="28" t="s">
        <v>398</v>
      </c>
      <c r="D17" s="28" t="s">
        <v>382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-2.8899999999999999E-2</v>
      </c>
      <c r="J17" s="28">
        <v>-3.85E-2</v>
      </c>
      <c r="K17" s="29">
        <v>300</v>
      </c>
      <c r="L17" s="29">
        <v>475</v>
      </c>
      <c r="M17" s="30">
        <v>50.343699999999998</v>
      </c>
      <c r="N17" s="30">
        <v>0.20187949874686717</v>
      </c>
      <c r="O17" s="29">
        <v>1</v>
      </c>
      <c r="R17" s="27">
        <v>214</v>
      </c>
      <c r="S17" s="28" t="s">
        <v>398</v>
      </c>
      <c r="T17" s="28" t="s">
        <v>382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-2.8899999999999999E-2</v>
      </c>
      <c r="Z17" s="28">
        <v>-3.85E-2</v>
      </c>
      <c r="AA17" s="29">
        <v>300</v>
      </c>
      <c r="AB17" s="29">
        <v>475</v>
      </c>
      <c r="AC17" s="30">
        <v>50.3508</v>
      </c>
      <c r="AD17" s="30">
        <v>0.20190796992481205</v>
      </c>
      <c r="AE17" s="29">
        <v>1</v>
      </c>
    </row>
    <row r="18" spans="2:31" x14ac:dyDescent="0.2">
      <c r="B18" s="27">
        <v>217</v>
      </c>
      <c r="C18" s="28" t="s">
        <v>400</v>
      </c>
      <c r="D18" s="28" t="s">
        <v>380</v>
      </c>
      <c r="E18" s="28">
        <v>1E-4</v>
      </c>
      <c r="F18" s="28">
        <v>2.86E-2</v>
      </c>
      <c r="G18" s="28">
        <v>3.8100000000000002E-2</v>
      </c>
      <c r="H18" s="28">
        <v>-1E-4</v>
      </c>
      <c r="I18" s="28">
        <v>-2.8400000000000002E-2</v>
      </c>
      <c r="J18" s="28">
        <v>-3.78E-2</v>
      </c>
      <c r="K18" s="29">
        <v>300</v>
      </c>
      <c r="L18" s="29">
        <v>475</v>
      </c>
      <c r="M18" s="30">
        <v>-64.932000000000002</v>
      </c>
      <c r="N18" s="30">
        <v>0.26037894736842104</v>
      </c>
      <c r="O18" s="29">
        <v>1</v>
      </c>
      <c r="R18" s="27">
        <v>217</v>
      </c>
      <c r="S18" s="28" t="s">
        <v>400</v>
      </c>
      <c r="T18" s="28" t="s">
        <v>380</v>
      </c>
      <c r="U18" s="28">
        <v>1E-4</v>
      </c>
      <c r="V18" s="28">
        <v>2.86E-2</v>
      </c>
      <c r="W18" s="28">
        <v>3.8100000000000002E-2</v>
      </c>
      <c r="X18" s="28">
        <v>-1E-4</v>
      </c>
      <c r="Y18" s="28">
        <v>-2.8400000000000002E-2</v>
      </c>
      <c r="Z18" s="28">
        <v>-3.78E-2</v>
      </c>
      <c r="AA18" s="29">
        <v>300</v>
      </c>
      <c r="AB18" s="29">
        <v>475</v>
      </c>
      <c r="AC18" s="30">
        <v>-64.926000000000002</v>
      </c>
      <c r="AD18" s="30">
        <v>0.26035488721804512</v>
      </c>
      <c r="AE18" s="29">
        <v>1</v>
      </c>
    </row>
    <row r="19" spans="2:31" x14ac:dyDescent="0.2">
      <c r="B19" s="27">
        <v>217</v>
      </c>
      <c r="C19" s="28" t="s">
        <v>401</v>
      </c>
      <c r="D19" s="28" t="s">
        <v>382</v>
      </c>
      <c r="E19" s="28">
        <v>1E-4</v>
      </c>
      <c r="F19" s="28">
        <v>2.8500000000000001E-2</v>
      </c>
      <c r="G19" s="28">
        <v>3.7999999999999999E-2</v>
      </c>
      <c r="H19" s="28">
        <v>-1E-4</v>
      </c>
      <c r="I19" s="28">
        <v>-2.8500000000000001E-2</v>
      </c>
      <c r="J19" s="28">
        <v>-3.7999999999999999E-2</v>
      </c>
      <c r="K19" s="29">
        <v>300</v>
      </c>
      <c r="L19" s="29">
        <v>475</v>
      </c>
      <c r="M19" s="30">
        <v>50.527200000000001</v>
      </c>
      <c r="N19" s="30">
        <v>0.20261533834586465</v>
      </c>
      <c r="O19" s="29">
        <v>1</v>
      </c>
      <c r="R19" s="27">
        <v>217</v>
      </c>
      <c r="S19" s="28" t="s">
        <v>401</v>
      </c>
      <c r="T19" s="28" t="s">
        <v>382</v>
      </c>
      <c r="U19" s="28">
        <v>1E-4</v>
      </c>
      <c r="V19" s="28">
        <v>2.8500000000000001E-2</v>
      </c>
      <c r="W19" s="28">
        <v>3.7999999999999999E-2</v>
      </c>
      <c r="X19" s="28">
        <v>-1E-4</v>
      </c>
      <c r="Y19" s="28">
        <v>-2.8500000000000001E-2</v>
      </c>
      <c r="Z19" s="28">
        <v>-3.7999999999999999E-2</v>
      </c>
      <c r="AA19" s="29">
        <v>300</v>
      </c>
      <c r="AB19" s="29">
        <v>475</v>
      </c>
      <c r="AC19" s="30">
        <v>50.5336</v>
      </c>
      <c r="AD19" s="30">
        <v>0.20264100250626566</v>
      </c>
      <c r="AE19" s="29">
        <v>1</v>
      </c>
    </row>
    <row r="20" spans="2:31" x14ac:dyDescent="0.2">
      <c r="B20" s="27">
        <v>220</v>
      </c>
      <c r="C20" s="28" t="s">
        <v>403</v>
      </c>
      <c r="D20" s="28" t="s">
        <v>380</v>
      </c>
      <c r="E20" s="28">
        <v>1E-4</v>
      </c>
      <c r="F20" s="28">
        <v>2.86E-2</v>
      </c>
      <c r="G20" s="28">
        <v>3.8100000000000002E-2</v>
      </c>
      <c r="H20" s="28">
        <v>-1E-4</v>
      </c>
      <c r="I20" s="28">
        <v>-2.8400000000000002E-2</v>
      </c>
      <c r="J20" s="28">
        <v>-3.78E-2</v>
      </c>
      <c r="K20" s="29">
        <v>300</v>
      </c>
      <c r="L20" s="29">
        <v>475</v>
      </c>
      <c r="M20" s="30">
        <v>-64.594300000000004</v>
      </c>
      <c r="N20" s="30">
        <v>0.25902476190476192</v>
      </c>
      <c r="O20" s="29">
        <v>1</v>
      </c>
      <c r="R20" s="27">
        <v>220</v>
      </c>
      <c r="S20" s="28" t="s">
        <v>403</v>
      </c>
      <c r="T20" s="28" t="s">
        <v>380</v>
      </c>
      <c r="U20" s="28">
        <v>1E-4</v>
      </c>
      <c r="V20" s="28">
        <v>2.86E-2</v>
      </c>
      <c r="W20" s="28">
        <v>3.8100000000000002E-2</v>
      </c>
      <c r="X20" s="28">
        <v>-1E-4</v>
      </c>
      <c r="Y20" s="28">
        <v>-2.8400000000000002E-2</v>
      </c>
      <c r="Z20" s="28">
        <v>-3.78E-2</v>
      </c>
      <c r="AA20" s="29">
        <v>300</v>
      </c>
      <c r="AB20" s="29">
        <v>475</v>
      </c>
      <c r="AC20" s="30">
        <v>-64.587599999999995</v>
      </c>
      <c r="AD20" s="30">
        <v>0.25899789473684209</v>
      </c>
      <c r="AE20" s="29">
        <v>1</v>
      </c>
    </row>
    <row r="21" spans="2:31" x14ac:dyDescent="0.2">
      <c r="B21" s="27">
        <v>220</v>
      </c>
      <c r="C21" s="28" t="s">
        <v>404</v>
      </c>
      <c r="D21" s="28" t="s">
        <v>382</v>
      </c>
      <c r="E21" s="28">
        <v>1E-4</v>
      </c>
      <c r="F21" s="28">
        <v>2.8500000000000001E-2</v>
      </c>
      <c r="G21" s="28">
        <v>3.7999999999999999E-2</v>
      </c>
      <c r="H21" s="28">
        <v>-1E-4</v>
      </c>
      <c r="I21" s="28">
        <v>-2.8500000000000001E-2</v>
      </c>
      <c r="J21" s="28">
        <v>-3.7999999999999999E-2</v>
      </c>
      <c r="K21" s="29">
        <v>300</v>
      </c>
      <c r="L21" s="29">
        <v>475</v>
      </c>
      <c r="M21" s="30">
        <v>50.195799999999998</v>
      </c>
      <c r="N21" s="30">
        <v>0.20128641604010022</v>
      </c>
      <c r="O21" s="29">
        <v>1</v>
      </c>
      <c r="R21" s="27">
        <v>220</v>
      </c>
      <c r="S21" s="28" t="s">
        <v>404</v>
      </c>
      <c r="T21" s="28" t="s">
        <v>382</v>
      </c>
      <c r="U21" s="28">
        <v>1E-4</v>
      </c>
      <c r="V21" s="28">
        <v>2.8500000000000001E-2</v>
      </c>
      <c r="W21" s="28">
        <v>3.7999999999999999E-2</v>
      </c>
      <c r="X21" s="28">
        <v>-1E-4</v>
      </c>
      <c r="Y21" s="28">
        <v>-2.8500000000000001E-2</v>
      </c>
      <c r="Z21" s="28">
        <v>-3.7999999999999999E-2</v>
      </c>
      <c r="AA21" s="29">
        <v>300</v>
      </c>
      <c r="AB21" s="29">
        <v>475</v>
      </c>
      <c r="AC21" s="30">
        <v>50.202599999999997</v>
      </c>
      <c r="AD21" s="30">
        <v>0.20131368421052631</v>
      </c>
      <c r="AE21" s="29">
        <v>1</v>
      </c>
    </row>
    <row r="22" spans="2:31" x14ac:dyDescent="0.2">
      <c r="B22" s="27">
        <v>223</v>
      </c>
      <c r="C22" s="28" t="s">
        <v>406</v>
      </c>
      <c r="D22" s="28" t="s">
        <v>380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-61.246899999999997</v>
      </c>
      <c r="N22" s="30">
        <v>0.24560160401002504</v>
      </c>
      <c r="O22" s="29">
        <v>1</v>
      </c>
      <c r="R22" s="27">
        <v>223</v>
      </c>
      <c r="S22" s="28" t="s">
        <v>406</v>
      </c>
      <c r="T22" s="28" t="s">
        <v>380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-61.239699999999999</v>
      </c>
      <c r="AD22" s="30">
        <v>0.24557273182957393</v>
      </c>
      <c r="AE22" s="29">
        <v>1</v>
      </c>
    </row>
    <row r="23" spans="2:31" x14ac:dyDescent="0.2">
      <c r="B23" s="27">
        <v>223</v>
      </c>
      <c r="C23" s="28" t="s">
        <v>407</v>
      </c>
      <c r="D23" s="28" t="s">
        <v>382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-2.8899999999999999E-2</v>
      </c>
      <c r="J23" s="28">
        <v>-3.85E-2</v>
      </c>
      <c r="K23" s="29">
        <v>300</v>
      </c>
      <c r="L23" s="29">
        <v>475</v>
      </c>
      <c r="M23" s="30">
        <v>48.234000000000002</v>
      </c>
      <c r="N23" s="30">
        <v>0.19341954887218046</v>
      </c>
      <c r="O23" s="29">
        <v>1</v>
      </c>
      <c r="R23" s="27">
        <v>223</v>
      </c>
      <c r="S23" s="28" t="s">
        <v>407</v>
      </c>
      <c r="T23" s="28" t="s">
        <v>382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-2.8899999999999999E-2</v>
      </c>
      <c r="Z23" s="28">
        <v>-3.85E-2</v>
      </c>
      <c r="AA23" s="29">
        <v>300</v>
      </c>
      <c r="AB23" s="29">
        <v>475</v>
      </c>
      <c r="AC23" s="30">
        <v>48.2395</v>
      </c>
      <c r="AD23" s="30">
        <v>0.19344160401002505</v>
      </c>
      <c r="AE23" s="29">
        <v>1</v>
      </c>
    </row>
    <row r="24" spans="2:31" x14ac:dyDescent="0.2">
      <c r="B24" s="27">
        <v>226</v>
      </c>
      <c r="C24" s="28" t="s">
        <v>409</v>
      </c>
      <c r="D24" s="28" t="s">
        <v>380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-2.8199999999999999E-2</v>
      </c>
      <c r="J24" s="28">
        <v>-3.7600000000000001E-2</v>
      </c>
      <c r="K24" s="29">
        <v>300</v>
      </c>
      <c r="L24" s="29">
        <v>475</v>
      </c>
      <c r="M24" s="30">
        <v>-40.933</v>
      </c>
      <c r="N24" s="30">
        <v>0.16414235588972431</v>
      </c>
      <c r="O24" s="29">
        <v>1</v>
      </c>
      <c r="R24" s="27">
        <v>226</v>
      </c>
      <c r="S24" s="28" t="s">
        <v>409</v>
      </c>
      <c r="T24" s="28" t="s">
        <v>380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-2.8199999999999999E-2</v>
      </c>
      <c r="Z24" s="28">
        <v>-3.7600000000000001E-2</v>
      </c>
      <c r="AA24" s="29">
        <v>300</v>
      </c>
      <c r="AB24" s="29">
        <v>475</v>
      </c>
      <c r="AC24" s="30">
        <v>-40.926600000000001</v>
      </c>
      <c r="AD24" s="30">
        <v>0.16411669172932331</v>
      </c>
      <c r="AE24" s="29">
        <v>1</v>
      </c>
    </row>
    <row r="25" spans="2:31" x14ac:dyDescent="0.2">
      <c r="B25" s="27">
        <v>226</v>
      </c>
      <c r="C25" s="28" t="s">
        <v>410</v>
      </c>
      <c r="D25" s="28" t="s">
        <v>382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30.874500000000001</v>
      </c>
      <c r="N25" s="30">
        <v>0.12380751879699248</v>
      </c>
      <c r="O25" s="29">
        <v>1</v>
      </c>
      <c r="R25" s="27">
        <v>226</v>
      </c>
      <c r="S25" s="28" t="s">
        <v>410</v>
      </c>
      <c r="T25" s="28" t="s">
        <v>382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30.876200000000001</v>
      </c>
      <c r="AD25" s="30">
        <v>0.123814335839599</v>
      </c>
      <c r="AE25" s="29">
        <v>1</v>
      </c>
    </row>
    <row r="26" spans="2:31" x14ac:dyDescent="0.2">
      <c r="B26" s="27">
        <v>234</v>
      </c>
      <c r="C26" s="28" t="s">
        <v>412</v>
      </c>
      <c r="D26" s="28" t="s">
        <v>380</v>
      </c>
      <c r="E26" s="28">
        <v>1E-4</v>
      </c>
      <c r="F26" s="28">
        <v>2.8000000000000001E-2</v>
      </c>
      <c r="G26" s="28">
        <v>3.73E-2</v>
      </c>
      <c r="H26" s="28">
        <v>-1E-4</v>
      </c>
      <c r="I26" s="28">
        <v>-2.7799999999999998E-2</v>
      </c>
      <c r="J26" s="28">
        <v>-3.6999999999999998E-2</v>
      </c>
      <c r="K26" s="29">
        <v>300</v>
      </c>
      <c r="L26" s="29">
        <v>475</v>
      </c>
      <c r="M26" s="30">
        <v>-36.387900000000002</v>
      </c>
      <c r="N26" s="30">
        <v>0.14591639097744361</v>
      </c>
      <c r="O26" s="29">
        <v>1</v>
      </c>
      <c r="R26" s="27">
        <v>234</v>
      </c>
      <c r="S26" s="28" t="s">
        <v>412</v>
      </c>
      <c r="T26" s="28" t="s">
        <v>380</v>
      </c>
      <c r="U26" s="28">
        <v>1E-4</v>
      </c>
      <c r="V26" s="28">
        <v>2.8000000000000001E-2</v>
      </c>
      <c r="W26" s="28">
        <v>3.73E-2</v>
      </c>
      <c r="X26" s="28">
        <v>-1E-4</v>
      </c>
      <c r="Y26" s="28">
        <v>-2.7799999999999998E-2</v>
      </c>
      <c r="Z26" s="28">
        <v>-3.6999999999999998E-2</v>
      </c>
      <c r="AA26" s="29">
        <v>300</v>
      </c>
      <c r="AB26" s="29">
        <v>475</v>
      </c>
      <c r="AC26" s="30">
        <v>-36.4026</v>
      </c>
      <c r="AD26" s="30">
        <v>0.14597533834586465</v>
      </c>
      <c r="AE26" s="29">
        <v>1</v>
      </c>
    </row>
    <row r="27" spans="2:31" x14ac:dyDescent="0.2">
      <c r="B27" s="27">
        <v>234</v>
      </c>
      <c r="C27" s="28" t="s">
        <v>413</v>
      </c>
      <c r="D27" s="28" t="s">
        <v>382</v>
      </c>
      <c r="E27" s="28">
        <v>1E-4</v>
      </c>
      <c r="F27" s="28">
        <v>2.7900000000000001E-2</v>
      </c>
      <c r="G27" s="28">
        <v>3.7199999999999997E-2</v>
      </c>
      <c r="H27" s="28">
        <v>-1E-4</v>
      </c>
      <c r="I27" s="28">
        <v>-2.7900000000000001E-2</v>
      </c>
      <c r="J27" s="28">
        <v>-3.7199999999999997E-2</v>
      </c>
      <c r="K27" s="29">
        <v>300</v>
      </c>
      <c r="L27" s="29">
        <v>475</v>
      </c>
      <c r="M27" s="30">
        <v>30.874500000000001</v>
      </c>
      <c r="N27" s="30">
        <v>0.12380751879699248</v>
      </c>
      <c r="O27" s="29">
        <v>1</v>
      </c>
      <c r="R27" s="27">
        <v>234</v>
      </c>
      <c r="S27" s="28" t="s">
        <v>413</v>
      </c>
      <c r="T27" s="28" t="s">
        <v>382</v>
      </c>
      <c r="U27" s="28">
        <v>1E-4</v>
      </c>
      <c r="V27" s="28">
        <v>2.7900000000000001E-2</v>
      </c>
      <c r="W27" s="28">
        <v>3.7199999999999997E-2</v>
      </c>
      <c r="X27" s="28">
        <v>-1E-4</v>
      </c>
      <c r="Y27" s="28">
        <v>-2.7900000000000001E-2</v>
      </c>
      <c r="Z27" s="28">
        <v>-3.7199999999999997E-2</v>
      </c>
      <c r="AA27" s="29">
        <v>300</v>
      </c>
      <c r="AB27" s="29">
        <v>475</v>
      </c>
      <c r="AC27" s="30">
        <v>30.876200000000001</v>
      </c>
      <c r="AD27" s="30">
        <v>0.123814335839599</v>
      </c>
      <c r="AE27" s="29">
        <v>1</v>
      </c>
    </row>
    <row r="28" spans="2:31" x14ac:dyDescent="0.2">
      <c r="B28" s="27">
        <v>235</v>
      </c>
      <c r="C28" s="28" t="s">
        <v>415</v>
      </c>
      <c r="D28" s="28" t="s">
        <v>380</v>
      </c>
      <c r="E28" s="28">
        <v>1E-4</v>
      </c>
      <c r="F28" s="28">
        <v>2.7900000000000001E-2</v>
      </c>
      <c r="G28" s="28">
        <v>3.7199999999999997E-2</v>
      </c>
      <c r="H28" s="28">
        <v>-1E-4</v>
      </c>
      <c r="I28" s="28">
        <v>-2.7900000000000001E-2</v>
      </c>
      <c r="J28" s="28">
        <v>-3.7199999999999997E-2</v>
      </c>
      <c r="K28" s="29">
        <v>300</v>
      </c>
      <c r="L28" s="29">
        <v>475</v>
      </c>
      <c r="M28" s="30">
        <v>-37.772300000000001</v>
      </c>
      <c r="N28" s="30">
        <v>0.15146786967418546</v>
      </c>
      <c r="O28" s="29">
        <v>1</v>
      </c>
      <c r="R28" s="27">
        <v>235</v>
      </c>
      <c r="S28" s="28" t="s">
        <v>415</v>
      </c>
      <c r="T28" s="28" t="s">
        <v>380</v>
      </c>
      <c r="U28" s="28">
        <v>1E-4</v>
      </c>
      <c r="V28" s="28">
        <v>2.7900000000000001E-2</v>
      </c>
      <c r="W28" s="28">
        <v>3.7199999999999997E-2</v>
      </c>
      <c r="X28" s="28">
        <v>-1E-4</v>
      </c>
      <c r="Y28" s="28">
        <v>-2.7900000000000001E-2</v>
      </c>
      <c r="Z28" s="28">
        <v>-3.7199999999999997E-2</v>
      </c>
      <c r="AA28" s="29">
        <v>300</v>
      </c>
      <c r="AB28" s="29">
        <v>475</v>
      </c>
      <c r="AC28" s="30">
        <v>-37.787300000000002</v>
      </c>
      <c r="AD28" s="30">
        <v>0.15152802005012533</v>
      </c>
      <c r="AE28" s="29">
        <v>1</v>
      </c>
    </row>
    <row r="29" spans="2:31" x14ac:dyDescent="0.2">
      <c r="B29" s="27">
        <v>235</v>
      </c>
      <c r="C29" s="28" t="s">
        <v>416</v>
      </c>
      <c r="D29" s="28" t="s">
        <v>382</v>
      </c>
      <c r="E29" s="28">
        <v>1E-4</v>
      </c>
      <c r="F29" s="28">
        <v>2.7900000000000001E-2</v>
      </c>
      <c r="G29" s="28">
        <v>3.7199999999999997E-2</v>
      </c>
      <c r="H29" s="28">
        <v>-1E-4</v>
      </c>
      <c r="I29" s="28">
        <v>-2.7900000000000001E-2</v>
      </c>
      <c r="J29" s="28">
        <v>-3.7199999999999997E-2</v>
      </c>
      <c r="K29" s="29">
        <v>300</v>
      </c>
      <c r="L29" s="29">
        <v>475</v>
      </c>
      <c r="M29" s="30">
        <v>30.874500000000001</v>
      </c>
      <c r="N29" s="30">
        <v>0.12380751879699248</v>
      </c>
      <c r="O29" s="29">
        <v>1</v>
      </c>
      <c r="R29" s="27">
        <v>235</v>
      </c>
      <c r="S29" s="28" t="s">
        <v>416</v>
      </c>
      <c r="T29" s="28" t="s">
        <v>382</v>
      </c>
      <c r="U29" s="28">
        <v>1E-4</v>
      </c>
      <c r="V29" s="28">
        <v>2.7900000000000001E-2</v>
      </c>
      <c r="W29" s="28">
        <v>3.7199999999999997E-2</v>
      </c>
      <c r="X29" s="28">
        <v>-1E-4</v>
      </c>
      <c r="Y29" s="28">
        <v>-2.7900000000000001E-2</v>
      </c>
      <c r="Z29" s="28">
        <v>-3.7199999999999997E-2</v>
      </c>
      <c r="AA29" s="29">
        <v>300</v>
      </c>
      <c r="AB29" s="29">
        <v>475</v>
      </c>
      <c r="AC29" s="30">
        <v>30.876200000000001</v>
      </c>
      <c r="AD29" s="30">
        <v>0.123814335839599</v>
      </c>
      <c r="AE29" s="29">
        <v>1</v>
      </c>
    </row>
    <row r="30" spans="2:31" x14ac:dyDescent="0.2">
      <c r="B30" s="27">
        <v>236</v>
      </c>
      <c r="C30" s="28" t="s">
        <v>417</v>
      </c>
      <c r="D30" s="28" t="s">
        <v>380</v>
      </c>
      <c r="E30" s="28">
        <v>1E-4</v>
      </c>
      <c r="F30" s="28">
        <v>2.7900000000000001E-2</v>
      </c>
      <c r="G30" s="28">
        <v>3.7199999999999997E-2</v>
      </c>
      <c r="H30" s="28">
        <v>-1E-4</v>
      </c>
      <c r="I30" s="28">
        <v>-2.7900000000000001E-2</v>
      </c>
      <c r="J30" s="28">
        <v>-3.7199999999999997E-2</v>
      </c>
      <c r="K30" s="29">
        <v>300</v>
      </c>
      <c r="L30" s="29">
        <v>475</v>
      </c>
      <c r="M30" s="30">
        <v>-39.837899999999998</v>
      </c>
      <c r="N30" s="30">
        <v>0.159750977443609</v>
      </c>
      <c r="O30" s="29">
        <v>1</v>
      </c>
      <c r="R30" s="27">
        <v>236</v>
      </c>
      <c r="S30" s="28" t="s">
        <v>417</v>
      </c>
      <c r="T30" s="28" t="s">
        <v>380</v>
      </c>
      <c r="U30" s="28">
        <v>1E-4</v>
      </c>
      <c r="V30" s="28">
        <v>2.7900000000000001E-2</v>
      </c>
      <c r="W30" s="28">
        <v>3.7199999999999997E-2</v>
      </c>
      <c r="X30" s="28">
        <v>-1E-4</v>
      </c>
      <c r="Y30" s="28">
        <v>-2.7900000000000001E-2</v>
      </c>
      <c r="Z30" s="28">
        <v>-3.7199999999999997E-2</v>
      </c>
      <c r="AA30" s="29">
        <v>300</v>
      </c>
      <c r="AB30" s="29">
        <v>475</v>
      </c>
      <c r="AC30" s="30">
        <v>-39.850999999999999</v>
      </c>
      <c r="AD30" s="30">
        <v>0.15980350877192984</v>
      </c>
      <c r="AE30" s="29">
        <v>1</v>
      </c>
    </row>
    <row r="31" spans="2:31" x14ac:dyDescent="0.2">
      <c r="B31" s="27">
        <v>236</v>
      </c>
      <c r="C31" s="28" t="s">
        <v>418</v>
      </c>
      <c r="D31" s="28" t="s">
        <v>382</v>
      </c>
      <c r="E31" s="28">
        <v>1E-4</v>
      </c>
      <c r="F31" s="28">
        <v>2.7900000000000001E-2</v>
      </c>
      <c r="G31" s="28">
        <v>3.7199999999999997E-2</v>
      </c>
      <c r="H31" s="28">
        <v>-1E-4</v>
      </c>
      <c r="I31" s="28">
        <v>-2.7900000000000001E-2</v>
      </c>
      <c r="J31" s="28">
        <v>-3.7199999999999997E-2</v>
      </c>
      <c r="K31" s="29">
        <v>300</v>
      </c>
      <c r="L31" s="29">
        <v>475</v>
      </c>
      <c r="M31" s="30">
        <v>30.874500000000001</v>
      </c>
      <c r="N31" s="30">
        <v>0.12380751879699248</v>
      </c>
      <c r="O31" s="29">
        <v>1</v>
      </c>
      <c r="R31" s="27">
        <v>236</v>
      </c>
      <c r="S31" s="28" t="s">
        <v>418</v>
      </c>
      <c r="T31" s="28" t="s">
        <v>382</v>
      </c>
      <c r="U31" s="28">
        <v>1E-4</v>
      </c>
      <c r="V31" s="28">
        <v>2.7900000000000001E-2</v>
      </c>
      <c r="W31" s="28">
        <v>3.7199999999999997E-2</v>
      </c>
      <c r="X31" s="28">
        <v>-1E-4</v>
      </c>
      <c r="Y31" s="28">
        <v>-2.7900000000000001E-2</v>
      </c>
      <c r="Z31" s="28">
        <v>-3.7199999999999997E-2</v>
      </c>
      <c r="AA31" s="29">
        <v>300</v>
      </c>
      <c r="AB31" s="29">
        <v>475</v>
      </c>
      <c r="AC31" s="30">
        <v>30.876200000000001</v>
      </c>
      <c r="AD31" s="30">
        <v>0.123814335839599</v>
      </c>
      <c r="AE31" s="29">
        <v>1</v>
      </c>
    </row>
    <row r="32" spans="2:31" x14ac:dyDescent="0.2">
      <c r="B32" s="27">
        <v>237</v>
      </c>
      <c r="C32" s="28" t="s">
        <v>419</v>
      </c>
      <c r="D32" s="28" t="s">
        <v>380</v>
      </c>
      <c r="E32" s="28">
        <v>1E-4</v>
      </c>
      <c r="F32" s="28">
        <v>2.7900000000000001E-2</v>
      </c>
      <c r="G32" s="28">
        <v>3.7199999999999997E-2</v>
      </c>
      <c r="H32" s="28">
        <v>-1E-4</v>
      </c>
      <c r="I32" s="28">
        <v>-2.7900000000000001E-2</v>
      </c>
      <c r="J32" s="28">
        <v>-3.7199999999999997E-2</v>
      </c>
      <c r="K32" s="29">
        <v>300</v>
      </c>
      <c r="L32" s="29">
        <v>475</v>
      </c>
      <c r="M32" s="30">
        <v>-40.0306</v>
      </c>
      <c r="N32" s="30">
        <v>0.16052370927318296</v>
      </c>
      <c r="O32" s="29">
        <v>1</v>
      </c>
      <c r="R32" s="27">
        <v>237</v>
      </c>
      <c r="S32" s="28" t="s">
        <v>419</v>
      </c>
      <c r="T32" s="28" t="s">
        <v>380</v>
      </c>
      <c r="U32" s="28">
        <v>1E-4</v>
      </c>
      <c r="V32" s="28">
        <v>2.7900000000000001E-2</v>
      </c>
      <c r="W32" s="28">
        <v>3.7199999999999997E-2</v>
      </c>
      <c r="X32" s="28">
        <v>-1E-4</v>
      </c>
      <c r="Y32" s="28">
        <v>-2.7900000000000001E-2</v>
      </c>
      <c r="Z32" s="28">
        <v>-3.7199999999999997E-2</v>
      </c>
      <c r="AA32" s="29">
        <v>300</v>
      </c>
      <c r="AB32" s="29">
        <v>475</v>
      </c>
      <c r="AC32" s="30">
        <v>-40.045900000000003</v>
      </c>
      <c r="AD32" s="30">
        <v>0.1605850626566416</v>
      </c>
      <c r="AE32" s="29">
        <v>1</v>
      </c>
    </row>
    <row r="33" spans="2:31" x14ac:dyDescent="0.2">
      <c r="B33" s="27">
        <v>237</v>
      </c>
      <c r="C33" s="28" t="s">
        <v>420</v>
      </c>
      <c r="D33" s="28" t="s">
        <v>382</v>
      </c>
      <c r="E33" s="28">
        <v>1E-4</v>
      </c>
      <c r="F33" s="28">
        <v>2.7900000000000001E-2</v>
      </c>
      <c r="G33" s="28">
        <v>3.7199999999999997E-2</v>
      </c>
      <c r="H33" s="28">
        <v>-1E-4</v>
      </c>
      <c r="I33" s="28">
        <v>-2.7900000000000001E-2</v>
      </c>
      <c r="J33" s="28">
        <v>-3.7199999999999997E-2</v>
      </c>
      <c r="K33" s="29">
        <v>300</v>
      </c>
      <c r="L33" s="29">
        <v>475</v>
      </c>
      <c r="M33" s="30">
        <v>30.874500000000001</v>
      </c>
      <c r="N33" s="30">
        <v>0.12380751879699248</v>
      </c>
      <c r="O33" s="29">
        <v>1</v>
      </c>
      <c r="R33" s="27">
        <v>237</v>
      </c>
      <c r="S33" s="28" t="s">
        <v>420</v>
      </c>
      <c r="T33" s="28" t="s">
        <v>382</v>
      </c>
      <c r="U33" s="28">
        <v>1E-4</v>
      </c>
      <c r="V33" s="28">
        <v>2.7900000000000001E-2</v>
      </c>
      <c r="W33" s="28">
        <v>3.7199999999999997E-2</v>
      </c>
      <c r="X33" s="28">
        <v>-1E-4</v>
      </c>
      <c r="Y33" s="28">
        <v>-2.7900000000000001E-2</v>
      </c>
      <c r="Z33" s="28">
        <v>-3.7199999999999997E-2</v>
      </c>
      <c r="AA33" s="29">
        <v>300</v>
      </c>
      <c r="AB33" s="29">
        <v>475</v>
      </c>
      <c r="AC33" s="30">
        <v>30.876200000000001</v>
      </c>
      <c r="AD33" s="30">
        <v>0.123814335839599</v>
      </c>
      <c r="AE33" s="29">
        <v>1</v>
      </c>
    </row>
    <row r="34" spans="2:31" x14ac:dyDescent="0.2">
      <c r="B34" s="27">
        <v>238</v>
      </c>
      <c r="C34" s="28" t="s">
        <v>422</v>
      </c>
      <c r="D34" s="28" t="s">
        <v>380</v>
      </c>
      <c r="E34" s="28">
        <v>1E-4</v>
      </c>
      <c r="F34" s="28">
        <v>2.7900000000000001E-2</v>
      </c>
      <c r="G34" s="28">
        <v>3.7199999999999997E-2</v>
      </c>
      <c r="H34" s="28">
        <v>-1E-4</v>
      </c>
      <c r="I34" s="28">
        <v>-2.7900000000000001E-2</v>
      </c>
      <c r="J34" s="28">
        <v>-3.7199999999999997E-2</v>
      </c>
      <c r="K34" s="29">
        <v>300</v>
      </c>
      <c r="L34" s="29">
        <v>475</v>
      </c>
      <c r="M34" s="30">
        <v>-37.048999999999999</v>
      </c>
      <c r="N34" s="30">
        <v>0.1485674185463659</v>
      </c>
      <c r="O34" s="29">
        <v>1</v>
      </c>
      <c r="R34" s="27">
        <v>238</v>
      </c>
      <c r="S34" s="28" t="s">
        <v>422</v>
      </c>
      <c r="T34" s="28" t="s">
        <v>380</v>
      </c>
      <c r="U34" s="28">
        <v>1E-4</v>
      </c>
      <c r="V34" s="28">
        <v>2.7900000000000001E-2</v>
      </c>
      <c r="W34" s="28">
        <v>3.7199999999999997E-2</v>
      </c>
      <c r="X34" s="28">
        <v>-1E-4</v>
      </c>
      <c r="Y34" s="28">
        <v>-2.7900000000000001E-2</v>
      </c>
      <c r="Z34" s="28">
        <v>-3.7199999999999997E-2</v>
      </c>
      <c r="AA34" s="29">
        <v>300</v>
      </c>
      <c r="AB34" s="29">
        <v>475</v>
      </c>
      <c r="AC34" s="30">
        <v>-37.063400000000001</v>
      </c>
      <c r="AD34" s="30">
        <v>0.14862516290726818</v>
      </c>
      <c r="AE34" s="29">
        <v>1</v>
      </c>
    </row>
    <row r="35" spans="2:31" x14ac:dyDescent="0.2">
      <c r="B35" s="27">
        <v>238</v>
      </c>
      <c r="C35" s="28" t="s">
        <v>423</v>
      </c>
      <c r="D35" s="28" t="s">
        <v>382</v>
      </c>
      <c r="E35" s="28">
        <v>1E-4</v>
      </c>
      <c r="F35" s="28">
        <v>2.8000000000000001E-2</v>
      </c>
      <c r="G35" s="28">
        <v>3.73E-2</v>
      </c>
      <c r="H35" s="28">
        <v>-1E-4</v>
      </c>
      <c r="I35" s="28">
        <v>-2.7799999999999998E-2</v>
      </c>
      <c r="J35" s="28">
        <v>-3.6999999999999998E-2</v>
      </c>
      <c r="K35" s="29">
        <v>300</v>
      </c>
      <c r="L35" s="29">
        <v>475</v>
      </c>
      <c r="M35" s="30">
        <v>30.874500000000001</v>
      </c>
      <c r="N35" s="30">
        <v>0.12380751879699248</v>
      </c>
      <c r="O35" s="29">
        <v>1</v>
      </c>
      <c r="R35" s="27">
        <v>238</v>
      </c>
      <c r="S35" s="28" t="s">
        <v>423</v>
      </c>
      <c r="T35" s="28" t="s">
        <v>382</v>
      </c>
      <c r="U35" s="28">
        <v>1E-4</v>
      </c>
      <c r="V35" s="28">
        <v>2.8000000000000001E-2</v>
      </c>
      <c r="W35" s="28">
        <v>3.73E-2</v>
      </c>
      <c r="X35" s="28">
        <v>-1E-4</v>
      </c>
      <c r="Y35" s="28">
        <v>-2.7799999999999998E-2</v>
      </c>
      <c r="Z35" s="28">
        <v>-3.6999999999999998E-2</v>
      </c>
      <c r="AA35" s="29">
        <v>300</v>
      </c>
      <c r="AB35" s="29">
        <v>475</v>
      </c>
      <c r="AC35" s="30">
        <v>30.876200000000001</v>
      </c>
      <c r="AD35" s="30">
        <v>0.123814335839599</v>
      </c>
      <c r="AE35" s="29">
        <v>1</v>
      </c>
    </row>
    <row r="36" spans="2:31" x14ac:dyDescent="0.2">
      <c r="B36" s="27">
        <v>212</v>
      </c>
      <c r="C36" s="28" t="s">
        <v>425</v>
      </c>
      <c r="D36" s="28" t="s">
        <v>380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-45.805999999999997</v>
      </c>
      <c r="N36" s="30">
        <v>0.18368320802005011</v>
      </c>
      <c r="O36" s="29">
        <v>1</v>
      </c>
      <c r="R36" s="27">
        <v>212</v>
      </c>
      <c r="S36" s="28" t="s">
        <v>425</v>
      </c>
      <c r="T36" s="28" t="s">
        <v>380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-45.802799999999998</v>
      </c>
      <c r="AD36" s="30">
        <v>0.18367037593984961</v>
      </c>
      <c r="AE36" s="29">
        <v>1</v>
      </c>
    </row>
    <row r="37" spans="2:31" x14ac:dyDescent="0.2">
      <c r="B37" s="27">
        <v>212</v>
      </c>
      <c r="C37" s="28" t="s">
        <v>426</v>
      </c>
      <c r="D37" s="28" t="s">
        <v>382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30.874500000000001</v>
      </c>
      <c r="N37" s="30">
        <v>0.12380751879699248</v>
      </c>
      <c r="O37" s="29">
        <v>1</v>
      </c>
      <c r="R37" s="27">
        <v>212</v>
      </c>
      <c r="S37" s="28" t="s">
        <v>426</v>
      </c>
      <c r="T37" s="28" t="s">
        <v>382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31.328099999999999</v>
      </c>
      <c r="AD37" s="30">
        <v>0.12562646616541354</v>
      </c>
      <c r="AE37" s="29">
        <v>1</v>
      </c>
    </row>
    <row r="38" spans="2:31" x14ac:dyDescent="0.2">
      <c r="B38" s="27">
        <v>215</v>
      </c>
      <c r="C38" s="28" t="s">
        <v>428</v>
      </c>
      <c r="D38" s="28" t="s">
        <v>380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-2.8899999999999999E-2</v>
      </c>
      <c r="J38" s="28">
        <v>-3.85E-2</v>
      </c>
      <c r="K38" s="29">
        <v>300</v>
      </c>
      <c r="L38" s="29">
        <v>475</v>
      </c>
      <c r="M38" s="30">
        <v>-66.301599999999993</v>
      </c>
      <c r="N38" s="30">
        <v>0.26587107769423557</v>
      </c>
      <c r="O38" s="29">
        <v>1</v>
      </c>
      <c r="R38" s="27">
        <v>215</v>
      </c>
      <c r="S38" s="28" t="s">
        <v>428</v>
      </c>
      <c r="T38" s="28" t="s">
        <v>380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-2.8899999999999999E-2</v>
      </c>
      <c r="Z38" s="28">
        <v>-3.85E-2</v>
      </c>
      <c r="AA38" s="29">
        <v>300</v>
      </c>
      <c r="AB38" s="29">
        <v>475</v>
      </c>
      <c r="AC38" s="30">
        <v>-66.295299999999997</v>
      </c>
      <c r="AD38" s="30">
        <v>0.26584581453634087</v>
      </c>
      <c r="AE38" s="29">
        <v>1</v>
      </c>
    </row>
    <row r="39" spans="2:31" x14ac:dyDescent="0.2">
      <c r="B39" s="27">
        <v>215</v>
      </c>
      <c r="C39" s="28" t="s">
        <v>429</v>
      </c>
      <c r="D39" s="28" t="s">
        <v>382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-2.8899999999999999E-2</v>
      </c>
      <c r="J39" s="28">
        <v>-3.85E-2</v>
      </c>
      <c r="K39" s="29">
        <v>300</v>
      </c>
      <c r="L39" s="29">
        <v>475</v>
      </c>
      <c r="M39" s="30">
        <v>49.942100000000003</v>
      </c>
      <c r="N39" s="30">
        <v>0.2002690726817043</v>
      </c>
      <c r="O39" s="29">
        <v>1</v>
      </c>
      <c r="R39" s="27">
        <v>215</v>
      </c>
      <c r="S39" s="28" t="s">
        <v>429</v>
      </c>
      <c r="T39" s="28" t="s">
        <v>382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-2.8899999999999999E-2</v>
      </c>
      <c r="Z39" s="28">
        <v>-3.85E-2</v>
      </c>
      <c r="AA39" s="29">
        <v>300</v>
      </c>
      <c r="AB39" s="29">
        <v>475</v>
      </c>
      <c r="AC39" s="30">
        <v>31.328099999999999</v>
      </c>
      <c r="AD39" s="30">
        <v>0.12562646616541354</v>
      </c>
      <c r="AE39" s="29">
        <v>1</v>
      </c>
    </row>
    <row r="40" spans="2:31" x14ac:dyDescent="0.2">
      <c r="B40" s="27">
        <v>218</v>
      </c>
      <c r="C40" s="28" t="s">
        <v>431</v>
      </c>
      <c r="D40" s="28" t="s">
        <v>380</v>
      </c>
      <c r="E40" s="28">
        <v>1E-4</v>
      </c>
      <c r="F40" s="28">
        <v>2.8500000000000001E-2</v>
      </c>
      <c r="G40" s="28">
        <v>3.7999999999999999E-2</v>
      </c>
      <c r="H40" s="28">
        <v>-1E-4</v>
      </c>
      <c r="I40" s="28">
        <v>-2.8500000000000001E-2</v>
      </c>
      <c r="J40" s="28">
        <v>-3.7999999999999999E-2</v>
      </c>
      <c r="K40" s="29">
        <v>300</v>
      </c>
      <c r="L40" s="29">
        <v>475</v>
      </c>
      <c r="M40" s="30">
        <v>-66.838099999999997</v>
      </c>
      <c r="N40" s="30">
        <v>0.26802245614035086</v>
      </c>
      <c r="O40" s="29">
        <v>1</v>
      </c>
      <c r="R40" s="27">
        <v>218</v>
      </c>
      <c r="S40" s="28" t="s">
        <v>431</v>
      </c>
      <c r="T40" s="28" t="s">
        <v>380</v>
      </c>
      <c r="U40" s="28">
        <v>1E-4</v>
      </c>
      <c r="V40" s="28">
        <v>2.8500000000000001E-2</v>
      </c>
      <c r="W40" s="28">
        <v>3.7999999999999999E-2</v>
      </c>
      <c r="X40" s="28">
        <v>-1E-4</v>
      </c>
      <c r="Y40" s="28">
        <v>-2.8500000000000001E-2</v>
      </c>
      <c r="Z40" s="28">
        <v>-3.7999999999999999E-2</v>
      </c>
      <c r="AA40" s="29">
        <v>300</v>
      </c>
      <c r="AB40" s="29">
        <v>475</v>
      </c>
      <c r="AC40" s="30">
        <v>-66.830600000000004</v>
      </c>
      <c r="AD40" s="30">
        <v>0.26799238095238098</v>
      </c>
      <c r="AE40" s="29">
        <v>1</v>
      </c>
    </row>
    <row r="41" spans="2:31" x14ac:dyDescent="0.2">
      <c r="B41" s="27">
        <v>218</v>
      </c>
      <c r="C41" s="28" t="s">
        <v>432</v>
      </c>
      <c r="D41" s="28" t="s">
        <v>382</v>
      </c>
      <c r="E41" s="28">
        <v>1E-4</v>
      </c>
      <c r="F41" s="28">
        <v>2.8500000000000001E-2</v>
      </c>
      <c r="G41" s="28">
        <v>3.7999999999999999E-2</v>
      </c>
      <c r="H41" s="28">
        <v>-1E-4</v>
      </c>
      <c r="I41" s="28">
        <v>-2.8500000000000001E-2</v>
      </c>
      <c r="J41" s="28">
        <v>-3.7999999999999999E-2</v>
      </c>
      <c r="K41" s="29">
        <v>300</v>
      </c>
      <c r="L41" s="29">
        <v>475</v>
      </c>
      <c r="M41" s="30">
        <v>49.942100000000003</v>
      </c>
      <c r="N41" s="30">
        <v>0.2002690726817043</v>
      </c>
      <c r="O41" s="29">
        <v>1</v>
      </c>
      <c r="R41" s="27">
        <v>218</v>
      </c>
      <c r="S41" s="28" t="s">
        <v>432</v>
      </c>
      <c r="T41" s="28" t="s">
        <v>382</v>
      </c>
      <c r="U41" s="28">
        <v>1E-4</v>
      </c>
      <c r="V41" s="28">
        <v>2.8500000000000001E-2</v>
      </c>
      <c r="W41" s="28">
        <v>3.7999999999999999E-2</v>
      </c>
      <c r="X41" s="28">
        <v>-1E-4</v>
      </c>
      <c r="Y41" s="28">
        <v>-2.8500000000000001E-2</v>
      </c>
      <c r="Z41" s="28">
        <v>-3.7999999999999999E-2</v>
      </c>
      <c r="AA41" s="29">
        <v>300</v>
      </c>
      <c r="AB41" s="29">
        <v>475</v>
      </c>
      <c r="AC41" s="30">
        <v>48.732500000000002</v>
      </c>
      <c r="AD41" s="30">
        <v>0.1954185463659148</v>
      </c>
      <c r="AE41" s="29">
        <v>1</v>
      </c>
    </row>
    <row r="42" spans="2:31" x14ac:dyDescent="0.2">
      <c r="B42" s="27">
        <v>221</v>
      </c>
      <c r="C42" s="28" t="s">
        <v>434</v>
      </c>
      <c r="D42" s="28" t="s">
        <v>380</v>
      </c>
      <c r="E42" s="28">
        <v>1E-4</v>
      </c>
      <c r="F42" s="28">
        <v>2.8500000000000001E-2</v>
      </c>
      <c r="G42" s="28">
        <v>3.7999999999999999E-2</v>
      </c>
      <c r="H42" s="28">
        <v>-1E-4</v>
      </c>
      <c r="I42" s="28">
        <v>-2.8500000000000001E-2</v>
      </c>
      <c r="J42" s="28">
        <v>-3.7999999999999999E-2</v>
      </c>
      <c r="K42" s="29">
        <v>300</v>
      </c>
      <c r="L42" s="29">
        <v>475</v>
      </c>
      <c r="M42" s="30">
        <v>-66.819100000000006</v>
      </c>
      <c r="N42" s="30">
        <v>0.26794626566416041</v>
      </c>
      <c r="O42" s="29">
        <v>1</v>
      </c>
      <c r="R42" s="27">
        <v>221</v>
      </c>
      <c r="S42" s="28" t="s">
        <v>434</v>
      </c>
      <c r="T42" s="28" t="s">
        <v>380</v>
      </c>
      <c r="U42" s="28">
        <v>1E-4</v>
      </c>
      <c r="V42" s="28">
        <v>2.8500000000000001E-2</v>
      </c>
      <c r="W42" s="28">
        <v>3.7999999999999999E-2</v>
      </c>
      <c r="X42" s="28">
        <v>-1E-4</v>
      </c>
      <c r="Y42" s="28">
        <v>-2.8500000000000001E-2</v>
      </c>
      <c r="Z42" s="28">
        <v>-3.7999999999999999E-2</v>
      </c>
      <c r="AA42" s="29">
        <v>300</v>
      </c>
      <c r="AB42" s="29">
        <v>475</v>
      </c>
      <c r="AC42" s="30">
        <v>-66.812200000000004</v>
      </c>
      <c r="AD42" s="30">
        <v>0.26791859649122807</v>
      </c>
      <c r="AE42" s="29">
        <v>1</v>
      </c>
    </row>
    <row r="43" spans="2:31" x14ac:dyDescent="0.2">
      <c r="B43" s="27">
        <v>221</v>
      </c>
      <c r="C43" s="28" t="s">
        <v>435</v>
      </c>
      <c r="D43" s="28" t="s">
        <v>382</v>
      </c>
      <c r="E43" s="28">
        <v>1E-4</v>
      </c>
      <c r="F43" s="28">
        <v>2.8500000000000001E-2</v>
      </c>
      <c r="G43" s="28">
        <v>3.7999999999999999E-2</v>
      </c>
      <c r="H43" s="28">
        <v>-1E-4</v>
      </c>
      <c r="I43" s="28">
        <v>-2.8500000000000001E-2</v>
      </c>
      <c r="J43" s="28">
        <v>-3.7999999999999999E-2</v>
      </c>
      <c r="K43" s="29">
        <v>300</v>
      </c>
      <c r="L43" s="29">
        <v>475</v>
      </c>
      <c r="M43" s="30">
        <v>49.942100000000003</v>
      </c>
      <c r="N43" s="30">
        <v>0.2002690726817043</v>
      </c>
      <c r="O43" s="29">
        <v>1</v>
      </c>
      <c r="R43" s="27">
        <v>221</v>
      </c>
      <c r="S43" s="28" t="s">
        <v>435</v>
      </c>
      <c r="T43" s="28" t="s">
        <v>382</v>
      </c>
      <c r="U43" s="28">
        <v>1E-4</v>
      </c>
      <c r="V43" s="28">
        <v>2.8500000000000001E-2</v>
      </c>
      <c r="W43" s="28">
        <v>3.7999999999999999E-2</v>
      </c>
      <c r="X43" s="28">
        <v>-1E-4</v>
      </c>
      <c r="Y43" s="28">
        <v>-2.8500000000000001E-2</v>
      </c>
      <c r="Z43" s="28">
        <v>-3.7999999999999999E-2</v>
      </c>
      <c r="AA43" s="29">
        <v>300</v>
      </c>
      <c r="AB43" s="29">
        <v>475</v>
      </c>
      <c r="AC43" s="30">
        <v>48.7607</v>
      </c>
      <c r="AD43" s="30">
        <v>0.19553162907268171</v>
      </c>
      <c r="AE43" s="29">
        <v>1</v>
      </c>
    </row>
    <row r="44" spans="2:31" x14ac:dyDescent="0.2">
      <c r="B44" s="27">
        <v>224</v>
      </c>
      <c r="C44" s="28" t="s">
        <v>437</v>
      </c>
      <c r="D44" s="28" t="s">
        <v>380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-2.8899999999999999E-2</v>
      </c>
      <c r="J44" s="28">
        <v>-3.85E-2</v>
      </c>
      <c r="K44" s="29">
        <v>300</v>
      </c>
      <c r="L44" s="29">
        <v>475</v>
      </c>
      <c r="M44" s="30">
        <v>-66.133399999999995</v>
      </c>
      <c r="N44" s="30">
        <v>0.26519659147869673</v>
      </c>
      <c r="O44" s="29">
        <v>1</v>
      </c>
      <c r="R44" s="27">
        <v>224</v>
      </c>
      <c r="S44" s="28" t="s">
        <v>437</v>
      </c>
      <c r="T44" s="28" t="s">
        <v>380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-2.8899999999999999E-2</v>
      </c>
      <c r="Z44" s="28">
        <v>-3.85E-2</v>
      </c>
      <c r="AA44" s="29">
        <v>300</v>
      </c>
      <c r="AB44" s="29">
        <v>475</v>
      </c>
      <c r="AC44" s="30">
        <v>-66.126900000000006</v>
      </c>
      <c r="AD44" s="30">
        <v>0.26517052631578952</v>
      </c>
      <c r="AE44" s="29">
        <v>1</v>
      </c>
    </row>
    <row r="45" spans="2:31" x14ac:dyDescent="0.2">
      <c r="B45" s="27">
        <v>224</v>
      </c>
      <c r="C45" s="28" t="s">
        <v>438</v>
      </c>
      <c r="D45" s="28" t="s">
        <v>382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-2.8899999999999999E-2</v>
      </c>
      <c r="J45" s="28">
        <v>-3.85E-2</v>
      </c>
      <c r="K45" s="29">
        <v>300</v>
      </c>
      <c r="L45" s="29">
        <v>475</v>
      </c>
      <c r="M45" s="30">
        <v>50.053600000000003</v>
      </c>
      <c r="N45" s="30">
        <v>0.20071619047619049</v>
      </c>
      <c r="O45" s="29">
        <v>1</v>
      </c>
      <c r="R45" s="27">
        <v>224</v>
      </c>
      <c r="S45" s="28" t="s">
        <v>438</v>
      </c>
      <c r="T45" s="28" t="s">
        <v>382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-2.8899999999999999E-2</v>
      </c>
      <c r="Z45" s="28">
        <v>-3.85E-2</v>
      </c>
      <c r="AA45" s="29">
        <v>300</v>
      </c>
      <c r="AB45" s="29">
        <v>475</v>
      </c>
      <c r="AC45" s="30">
        <v>48.7607</v>
      </c>
      <c r="AD45" s="30">
        <v>0.19553162907268171</v>
      </c>
      <c r="AE45" s="29">
        <v>1</v>
      </c>
    </row>
    <row r="46" spans="2:31" x14ac:dyDescent="0.2">
      <c r="B46" s="27">
        <v>227</v>
      </c>
      <c r="C46" s="28" t="s">
        <v>440</v>
      </c>
      <c r="D46" s="28" t="s">
        <v>380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-45.716200000000001</v>
      </c>
      <c r="N46" s="30">
        <v>0.18332310776942354</v>
      </c>
      <c r="O46" s="29">
        <v>1</v>
      </c>
      <c r="R46" s="27">
        <v>227</v>
      </c>
      <c r="S46" s="28" t="s">
        <v>440</v>
      </c>
      <c r="T46" s="28" t="s">
        <v>380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-45.708599999999997</v>
      </c>
      <c r="AD46" s="30">
        <v>0.18329263157894737</v>
      </c>
      <c r="AE46" s="29">
        <v>1</v>
      </c>
    </row>
    <row r="47" spans="2:31" x14ac:dyDescent="0.2">
      <c r="B47" s="27">
        <v>227</v>
      </c>
      <c r="C47" s="28" t="s">
        <v>441</v>
      </c>
      <c r="D47" s="28" t="s">
        <v>382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50.053600000000003</v>
      </c>
      <c r="N47" s="30">
        <v>0.20071619047619049</v>
      </c>
      <c r="O47" s="29">
        <v>1</v>
      </c>
      <c r="R47" s="27">
        <v>227</v>
      </c>
      <c r="S47" s="28" t="s">
        <v>441</v>
      </c>
      <c r="T47" s="28" t="s">
        <v>382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31.4071</v>
      </c>
      <c r="AD47" s="30">
        <v>0.12594325814536339</v>
      </c>
      <c r="AE47" s="29">
        <v>1</v>
      </c>
    </row>
    <row r="48" spans="2:31" x14ac:dyDescent="0.2">
      <c r="B48" s="27">
        <v>239</v>
      </c>
      <c r="C48" s="28" t="s">
        <v>443</v>
      </c>
      <c r="D48" s="28" t="s">
        <v>380</v>
      </c>
      <c r="E48" s="28">
        <v>1E-4</v>
      </c>
      <c r="F48" s="28">
        <v>2.8000000000000001E-2</v>
      </c>
      <c r="G48" s="28">
        <v>3.73E-2</v>
      </c>
      <c r="H48" s="28">
        <v>-1E-4</v>
      </c>
      <c r="I48" s="28">
        <v>-2.7799999999999998E-2</v>
      </c>
      <c r="J48" s="28">
        <v>-3.6999999999999998E-2</v>
      </c>
      <c r="K48" s="29">
        <v>300</v>
      </c>
      <c r="L48" s="29">
        <v>475</v>
      </c>
      <c r="M48" s="30">
        <v>-36.154000000000003</v>
      </c>
      <c r="N48" s="30">
        <v>0.14497844611528823</v>
      </c>
      <c r="O48" s="29">
        <v>1</v>
      </c>
      <c r="R48" s="27">
        <v>239</v>
      </c>
      <c r="S48" s="28" t="s">
        <v>443</v>
      </c>
      <c r="T48" s="28" t="s">
        <v>380</v>
      </c>
      <c r="U48" s="28">
        <v>1E-4</v>
      </c>
      <c r="V48" s="28">
        <v>2.8000000000000001E-2</v>
      </c>
      <c r="W48" s="28">
        <v>3.73E-2</v>
      </c>
      <c r="X48" s="28">
        <v>-1E-4</v>
      </c>
      <c r="Y48" s="28">
        <v>-2.7799999999999998E-2</v>
      </c>
      <c r="Z48" s="28">
        <v>-3.6999999999999998E-2</v>
      </c>
      <c r="AA48" s="29">
        <v>300</v>
      </c>
      <c r="AB48" s="29">
        <v>475</v>
      </c>
      <c r="AC48" s="30">
        <v>-36.168199999999999</v>
      </c>
      <c r="AD48" s="30">
        <v>0.14503538847117795</v>
      </c>
      <c r="AE48" s="29">
        <v>1</v>
      </c>
    </row>
    <row r="49" spans="2:31" x14ac:dyDescent="0.2">
      <c r="B49" s="27">
        <v>239</v>
      </c>
      <c r="C49" s="28" t="s">
        <v>444</v>
      </c>
      <c r="D49" s="28" t="s">
        <v>382</v>
      </c>
      <c r="E49" s="28">
        <v>1E-4</v>
      </c>
      <c r="F49" s="28">
        <v>2.7900000000000001E-2</v>
      </c>
      <c r="G49" s="28">
        <v>3.7199999999999997E-2</v>
      </c>
      <c r="H49" s="28">
        <v>-1E-4</v>
      </c>
      <c r="I49" s="28">
        <v>-2.7900000000000001E-2</v>
      </c>
      <c r="J49" s="28">
        <v>-3.7199999999999997E-2</v>
      </c>
      <c r="K49" s="29">
        <v>300</v>
      </c>
      <c r="L49" s="29">
        <v>475</v>
      </c>
      <c r="M49" s="30">
        <v>50.053600000000003</v>
      </c>
      <c r="N49" s="30">
        <v>0.20071619047619049</v>
      </c>
      <c r="O49" s="29">
        <v>1</v>
      </c>
      <c r="R49" s="27">
        <v>239</v>
      </c>
      <c r="S49" s="28" t="s">
        <v>444</v>
      </c>
      <c r="T49" s="28" t="s">
        <v>382</v>
      </c>
      <c r="U49" s="28">
        <v>1E-4</v>
      </c>
      <c r="V49" s="28">
        <v>2.7900000000000001E-2</v>
      </c>
      <c r="W49" s="28">
        <v>3.7199999999999997E-2</v>
      </c>
      <c r="X49" s="28">
        <v>-1E-4</v>
      </c>
      <c r="Y49" s="28">
        <v>-2.7900000000000001E-2</v>
      </c>
      <c r="Z49" s="28">
        <v>-3.7199999999999997E-2</v>
      </c>
      <c r="AA49" s="29">
        <v>300</v>
      </c>
      <c r="AB49" s="29">
        <v>475</v>
      </c>
      <c r="AC49" s="30">
        <v>31.4071</v>
      </c>
      <c r="AD49" s="30">
        <v>0.12594325814536339</v>
      </c>
      <c r="AE49" s="29">
        <v>1</v>
      </c>
    </row>
    <row r="50" spans="2:31" x14ac:dyDescent="0.2">
      <c r="B50" s="27">
        <v>240</v>
      </c>
      <c r="C50" s="28" t="s">
        <v>446</v>
      </c>
      <c r="D50" s="28" t="s">
        <v>380</v>
      </c>
      <c r="E50" s="28">
        <v>1E-4</v>
      </c>
      <c r="F50" s="28">
        <v>2.7900000000000001E-2</v>
      </c>
      <c r="G50" s="28">
        <v>3.7199999999999997E-2</v>
      </c>
      <c r="H50" s="28">
        <v>-1E-4</v>
      </c>
      <c r="I50" s="28">
        <v>-2.7900000000000001E-2</v>
      </c>
      <c r="J50" s="28">
        <v>-3.7199999999999997E-2</v>
      </c>
      <c r="K50" s="29">
        <v>300</v>
      </c>
      <c r="L50" s="29">
        <v>475</v>
      </c>
      <c r="M50" s="30">
        <v>-37.827800000000003</v>
      </c>
      <c r="N50" s="30">
        <v>0.15169042606516292</v>
      </c>
      <c r="O50" s="29">
        <v>1</v>
      </c>
      <c r="R50" s="27">
        <v>240</v>
      </c>
      <c r="S50" s="28" t="s">
        <v>446</v>
      </c>
      <c r="T50" s="28" t="s">
        <v>380</v>
      </c>
      <c r="U50" s="28">
        <v>1E-4</v>
      </c>
      <c r="V50" s="28">
        <v>2.7900000000000001E-2</v>
      </c>
      <c r="W50" s="28">
        <v>3.7199999999999997E-2</v>
      </c>
      <c r="X50" s="28">
        <v>-1E-4</v>
      </c>
      <c r="Y50" s="28">
        <v>-2.7900000000000001E-2</v>
      </c>
      <c r="Z50" s="28">
        <v>-3.7199999999999997E-2</v>
      </c>
      <c r="AA50" s="29">
        <v>300</v>
      </c>
      <c r="AB50" s="29">
        <v>475</v>
      </c>
      <c r="AC50" s="30">
        <v>-37.842300000000002</v>
      </c>
      <c r="AD50" s="30">
        <v>0.15174857142857143</v>
      </c>
      <c r="AE50" s="29">
        <v>1</v>
      </c>
    </row>
    <row r="51" spans="2:31" x14ac:dyDescent="0.2">
      <c r="B51" s="27">
        <v>240</v>
      </c>
      <c r="C51" s="28" t="s">
        <v>447</v>
      </c>
      <c r="D51" s="28" t="s">
        <v>382</v>
      </c>
      <c r="E51" s="28">
        <v>1E-4</v>
      </c>
      <c r="F51" s="28">
        <v>2.7900000000000001E-2</v>
      </c>
      <c r="G51" s="28">
        <v>3.7199999999999997E-2</v>
      </c>
      <c r="H51" s="28">
        <v>-1E-4</v>
      </c>
      <c r="I51" s="28">
        <v>-2.7900000000000001E-2</v>
      </c>
      <c r="J51" s="28">
        <v>-3.7199999999999997E-2</v>
      </c>
      <c r="K51" s="29">
        <v>300</v>
      </c>
      <c r="L51" s="29">
        <v>475</v>
      </c>
      <c r="M51" s="30">
        <v>50.053600000000003</v>
      </c>
      <c r="N51" s="30">
        <v>0.20071619047619049</v>
      </c>
      <c r="O51" s="29">
        <v>1</v>
      </c>
      <c r="R51" s="27">
        <v>240</v>
      </c>
      <c r="S51" s="28" t="s">
        <v>447</v>
      </c>
      <c r="T51" s="28" t="s">
        <v>382</v>
      </c>
      <c r="U51" s="28">
        <v>1E-4</v>
      </c>
      <c r="V51" s="28">
        <v>2.7900000000000001E-2</v>
      </c>
      <c r="W51" s="28">
        <v>3.7199999999999997E-2</v>
      </c>
      <c r="X51" s="28">
        <v>-1E-4</v>
      </c>
      <c r="Y51" s="28">
        <v>-2.7900000000000001E-2</v>
      </c>
      <c r="Z51" s="28">
        <v>-3.7199999999999997E-2</v>
      </c>
      <c r="AA51" s="29">
        <v>300</v>
      </c>
      <c r="AB51" s="29">
        <v>475</v>
      </c>
      <c r="AC51" s="30">
        <v>31.4071</v>
      </c>
      <c r="AD51" s="30">
        <v>0.12594325814536339</v>
      </c>
      <c r="AE51" s="29">
        <v>1</v>
      </c>
    </row>
    <row r="52" spans="2:31" x14ac:dyDescent="0.2">
      <c r="B52" s="27">
        <v>241</v>
      </c>
      <c r="C52" s="28" t="s">
        <v>448</v>
      </c>
      <c r="D52" s="28" t="s">
        <v>380</v>
      </c>
      <c r="E52" s="28">
        <v>1E-4</v>
      </c>
      <c r="F52" s="28">
        <v>2.7900000000000001E-2</v>
      </c>
      <c r="G52" s="28">
        <v>3.7199999999999997E-2</v>
      </c>
      <c r="H52" s="28">
        <v>-1E-4</v>
      </c>
      <c r="I52" s="28">
        <v>-2.7900000000000001E-2</v>
      </c>
      <c r="J52" s="28">
        <v>-3.7199999999999997E-2</v>
      </c>
      <c r="K52" s="29">
        <v>300</v>
      </c>
      <c r="L52" s="29">
        <v>475</v>
      </c>
      <c r="M52" s="30">
        <v>-39.679499999999997</v>
      </c>
      <c r="N52" s="30">
        <v>0.15911578947368421</v>
      </c>
      <c r="O52" s="29">
        <v>1</v>
      </c>
      <c r="R52" s="27">
        <v>241</v>
      </c>
      <c r="S52" s="28" t="s">
        <v>448</v>
      </c>
      <c r="T52" s="28" t="s">
        <v>380</v>
      </c>
      <c r="U52" s="28">
        <v>1E-4</v>
      </c>
      <c r="V52" s="28">
        <v>2.7900000000000001E-2</v>
      </c>
      <c r="W52" s="28">
        <v>3.7199999999999997E-2</v>
      </c>
      <c r="X52" s="28">
        <v>-1E-4</v>
      </c>
      <c r="Y52" s="28">
        <v>-2.7900000000000001E-2</v>
      </c>
      <c r="Z52" s="28">
        <v>-3.7199999999999997E-2</v>
      </c>
      <c r="AA52" s="29">
        <v>300</v>
      </c>
      <c r="AB52" s="29">
        <v>475</v>
      </c>
      <c r="AC52" s="30">
        <v>-39.692300000000003</v>
      </c>
      <c r="AD52" s="30">
        <v>0.15916711779448622</v>
      </c>
      <c r="AE52" s="29">
        <v>1</v>
      </c>
    </row>
    <row r="53" spans="2:31" x14ac:dyDescent="0.2">
      <c r="B53" s="27">
        <v>241</v>
      </c>
      <c r="C53" s="28" t="s">
        <v>449</v>
      </c>
      <c r="D53" s="28" t="s">
        <v>382</v>
      </c>
      <c r="E53" s="28">
        <v>1E-4</v>
      </c>
      <c r="F53" s="28">
        <v>2.7900000000000001E-2</v>
      </c>
      <c r="G53" s="28">
        <v>3.7199999999999997E-2</v>
      </c>
      <c r="H53" s="28">
        <v>-1E-4</v>
      </c>
      <c r="I53" s="28">
        <v>-2.7900000000000001E-2</v>
      </c>
      <c r="J53" s="28">
        <v>-3.7199999999999997E-2</v>
      </c>
      <c r="K53" s="29">
        <v>300</v>
      </c>
      <c r="L53" s="29">
        <v>475</v>
      </c>
      <c r="M53" s="30">
        <v>50.053600000000003</v>
      </c>
      <c r="N53" s="30">
        <v>0.20071619047619049</v>
      </c>
      <c r="O53" s="29">
        <v>1</v>
      </c>
      <c r="R53" s="27">
        <v>241</v>
      </c>
      <c r="S53" s="28" t="s">
        <v>449</v>
      </c>
      <c r="T53" s="28" t="s">
        <v>382</v>
      </c>
      <c r="U53" s="28">
        <v>1E-4</v>
      </c>
      <c r="V53" s="28">
        <v>2.7900000000000001E-2</v>
      </c>
      <c r="W53" s="28">
        <v>3.7199999999999997E-2</v>
      </c>
      <c r="X53" s="28">
        <v>-1E-4</v>
      </c>
      <c r="Y53" s="28">
        <v>-2.7900000000000001E-2</v>
      </c>
      <c r="Z53" s="28">
        <v>-3.7199999999999997E-2</v>
      </c>
      <c r="AA53" s="29">
        <v>300</v>
      </c>
      <c r="AB53" s="29">
        <v>475</v>
      </c>
      <c r="AC53" s="30">
        <v>31.4071</v>
      </c>
      <c r="AD53" s="30">
        <v>0.12594325814536339</v>
      </c>
      <c r="AE53" s="29">
        <v>1</v>
      </c>
    </row>
    <row r="54" spans="2:31" x14ac:dyDescent="0.2">
      <c r="B54" s="27">
        <v>242</v>
      </c>
      <c r="C54" s="28" t="s">
        <v>450</v>
      </c>
      <c r="D54" s="28" t="s">
        <v>380</v>
      </c>
      <c r="E54" s="28">
        <v>1E-4</v>
      </c>
      <c r="F54" s="28">
        <v>2.7900000000000001E-2</v>
      </c>
      <c r="G54" s="28">
        <v>3.7199999999999997E-2</v>
      </c>
      <c r="H54" s="28">
        <v>-1E-4</v>
      </c>
      <c r="I54" s="28">
        <v>-2.7900000000000001E-2</v>
      </c>
      <c r="J54" s="28">
        <v>-3.7199999999999997E-2</v>
      </c>
      <c r="K54" s="29">
        <v>300</v>
      </c>
      <c r="L54" s="29">
        <v>475</v>
      </c>
      <c r="M54" s="30">
        <v>-39.707000000000001</v>
      </c>
      <c r="N54" s="30">
        <v>0.15922606516290727</v>
      </c>
      <c r="O54" s="29">
        <v>1</v>
      </c>
      <c r="R54" s="27">
        <v>242</v>
      </c>
      <c r="S54" s="28" t="s">
        <v>450</v>
      </c>
      <c r="T54" s="28" t="s">
        <v>380</v>
      </c>
      <c r="U54" s="28">
        <v>1E-4</v>
      </c>
      <c r="V54" s="28">
        <v>2.7900000000000001E-2</v>
      </c>
      <c r="W54" s="28">
        <v>3.7199999999999997E-2</v>
      </c>
      <c r="X54" s="28">
        <v>-1E-4</v>
      </c>
      <c r="Y54" s="28">
        <v>-2.7900000000000001E-2</v>
      </c>
      <c r="Z54" s="28">
        <v>-3.7199999999999997E-2</v>
      </c>
      <c r="AA54" s="29">
        <v>300</v>
      </c>
      <c r="AB54" s="29">
        <v>475</v>
      </c>
      <c r="AC54" s="30">
        <v>-39.722099999999998</v>
      </c>
      <c r="AD54" s="30">
        <v>0.15928661654135337</v>
      </c>
      <c r="AE54" s="29">
        <v>1</v>
      </c>
    </row>
    <row r="55" spans="2:31" x14ac:dyDescent="0.2">
      <c r="B55" s="27">
        <v>242</v>
      </c>
      <c r="C55" s="28" t="s">
        <v>451</v>
      </c>
      <c r="D55" s="28" t="s">
        <v>382</v>
      </c>
      <c r="E55" s="28">
        <v>1E-4</v>
      </c>
      <c r="F55" s="28">
        <v>2.7900000000000001E-2</v>
      </c>
      <c r="G55" s="28">
        <v>3.7199999999999997E-2</v>
      </c>
      <c r="H55" s="28">
        <v>-1E-4</v>
      </c>
      <c r="I55" s="28">
        <v>-2.7900000000000001E-2</v>
      </c>
      <c r="J55" s="28">
        <v>-3.7199999999999997E-2</v>
      </c>
      <c r="K55" s="29">
        <v>300</v>
      </c>
      <c r="L55" s="29">
        <v>475</v>
      </c>
      <c r="M55" s="30">
        <v>50.053600000000003</v>
      </c>
      <c r="N55" s="30">
        <v>0.20071619047619049</v>
      </c>
      <c r="O55" s="29">
        <v>1</v>
      </c>
      <c r="R55" s="27">
        <v>242</v>
      </c>
      <c r="S55" s="28" t="s">
        <v>451</v>
      </c>
      <c r="T55" s="28" t="s">
        <v>382</v>
      </c>
      <c r="U55" s="28">
        <v>1E-4</v>
      </c>
      <c r="V55" s="28">
        <v>2.7900000000000001E-2</v>
      </c>
      <c r="W55" s="28">
        <v>3.7199999999999997E-2</v>
      </c>
      <c r="X55" s="28">
        <v>-1E-4</v>
      </c>
      <c r="Y55" s="28">
        <v>-2.7900000000000001E-2</v>
      </c>
      <c r="Z55" s="28">
        <v>-3.7199999999999997E-2</v>
      </c>
      <c r="AA55" s="29">
        <v>300</v>
      </c>
      <c r="AB55" s="29">
        <v>475</v>
      </c>
      <c r="AC55" s="30">
        <v>31.4071</v>
      </c>
      <c r="AD55" s="30">
        <v>0.12594325814536339</v>
      </c>
      <c r="AE55" s="29">
        <v>1</v>
      </c>
    </row>
    <row r="56" spans="2:31" x14ac:dyDescent="0.2">
      <c r="B56" s="27">
        <v>243</v>
      </c>
      <c r="C56" s="28" t="s">
        <v>453</v>
      </c>
      <c r="D56" s="28" t="s">
        <v>380</v>
      </c>
      <c r="E56" s="28">
        <v>1E-4</v>
      </c>
      <c r="F56" s="28">
        <v>2.7900000000000001E-2</v>
      </c>
      <c r="G56" s="28">
        <v>3.7199999999999997E-2</v>
      </c>
      <c r="H56" s="28">
        <v>-1E-4</v>
      </c>
      <c r="I56" s="28">
        <v>-2.7900000000000001E-2</v>
      </c>
      <c r="J56" s="28">
        <v>-3.7199999999999997E-2</v>
      </c>
      <c r="K56" s="29">
        <v>300</v>
      </c>
      <c r="L56" s="29">
        <v>475</v>
      </c>
      <c r="M56" s="30">
        <v>-38.4788</v>
      </c>
      <c r="N56" s="30">
        <v>0.1543009523809524</v>
      </c>
      <c r="O56" s="29">
        <v>1</v>
      </c>
      <c r="R56" s="27">
        <v>243</v>
      </c>
      <c r="S56" s="28" t="s">
        <v>453</v>
      </c>
      <c r="T56" s="28" t="s">
        <v>380</v>
      </c>
      <c r="U56" s="28">
        <v>1E-4</v>
      </c>
      <c r="V56" s="28">
        <v>2.7900000000000001E-2</v>
      </c>
      <c r="W56" s="28">
        <v>3.7199999999999997E-2</v>
      </c>
      <c r="X56" s="28">
        <v>-1E-4</v>
      </c>
      <c r="Y56" s="28">
        <v>-2.7900000000000001E-2</v>
      </c>
      <c r="Z56" s="28">
        <v>-3.7199999999999997E-2</v>
      </c>
      <c r="AA56" s="29">
        <v>300</v>
      </c>
      <c r="AB56" s="29">
        <v>475</v>
      </c>
      <c r="AC56" s="30">
        <v>-38.492800000000003</v>
      </c>
      <c r="AD56" s="30">
        <v>0.1543570927318296</v>
      </c>
      <c r="AE56" s="29">
        <v>1</v>
      </c>
    </row>
    <row r="57" spans="2:31" x14ac:dyDescent="0.2">
      <c r="B57" s="27">
        <v>243</v>
      </c>
      <c r="C57" s="28" t="s">
        <v>454</v>
      </c>
      <c r="D57" s="28" t="s">
        <v>382</v>
      </c>
      <c r="E57" s="28">
        <v>1E-4</v>
      </c>
      <c r="F57" s="28">
        <v>2.8000000000000001E-2</v>
      </c>
      <c r="G57" s="28">
        <v>3.73E-2</v>
      </c>
      <c r="H57" s="28">
        <v>-1E-4</v>
      </c>
      <c r="I57" s="28">
        <v>-2.7799999999999998E-2</v>
      </c>
      <c r="J57" s="28">
        <v>-3.6999999999999998E-2</v>
      </c>
      <c r="K57" s="29">
        <v>300</v>
      </c>
      <c r="L57" s="29">
        <v>475</v>
      </c>
      <c r="M57" s="30">
        <v>50.053600000000003</v>
      </c>
      <c r="N57" s="30">
        <v>0.20071619047619049</v>
      </c>
      <c r="O57" s="29">
        <v>1</v>
      </c>
      <c r="R57" s="27">
        <v>243</v>
      </c>
      <c r="S57" s="28" t="s">
        <v>454</v>
      </c>
      <c r="T57" s="28" t="s">
        <v>382</v>
      </c>
      <c r="U57" s="28">
        <v>1E-4</v>
      </c>
      <c r="V57" s="28">
        <v>2.8000000000000001E-2</v>
      </c>
      <c r="W57" s="28">
        <v>3.73E-2</v>
      </c>
      <c r="X57" s="28">
        <v>-1E-4</v>
      </c>
      <c r="Y57" s="28">
        <v>-2.7799999999999998E-2</v>
      </c>
      <c r="Z57" s="28">
        <v>-3.6999999999999998E-2</v>
      </c>
      <c r="AA57" s="29">
        <v>300</v>
      </c>
      <c r="AB57" s="29">
        <v>475</v>
      </c>
      <c r="AC57" s="30">
        <v>31.4071</v>
      </c>
      <c r="AD57" s="30">
        <v>0.12594325814536339</v>
      </c>
      <c r="AE57" s="29">
        <v>1</v>
      </c>
    </row>
    <row r="58" spans="2:31" x14ac:dyDescent="0.2">
      <c r="B58" s="27">
        <v>213</v>
      </c>
      <c r="C58" s="28" t="s">
        <v>456</v>
      </c>
      <c r="D58" s="28" t="s">
        <v>380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-45.956200000000003</v>
      </c>
      <c r="N58" s="30">
        <v>0.18428551378446117</v>
      </c>
      <c r="O58" s="29">
        <v>1</v>
      </c>
      <c r="R58" s="27">
        <v>213</v>
      </c>
      <c r="S58" s="28" t="s">
        <v>456</v>
      </c>
      <c r="T58" s="28" t="s">
        <v>380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-45.953299999999999</v>
      </c>
      <c r="AD58" s="30">
        <v>0.18427388471177944</v>
      </c>
      <c r="AE58" s="29">
        <v>1</v>
      </c>
    </row>
    <row r="59" spans="2:31" x14ac:dyDescent="0.2">
      <c r="B59" s="27">
        <v>213</v>
      </c>
      <c r="C59" s="28" t="s">
        <v>457</v>
      </c>
      <c r="D59" s="28" t="s">
        <v>382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-2.8199999999999999E-2</v>
      </c>
      <c r="J59" s="28">
        <v>-3.7600000000000001E-2</v>
      </c>
      <c r="K59" s="29">
        <v>300</v>
      </c>
      <c r="L59" s="29">
        <v>475</v>
      </c>
      <c r="M59" s="30">
        <v>50.053600000000003</v>
      </c>
      <c r="N59" s="30">
        <v>0.20071619047619049</v>
      </c>
      <c r="O59" s="29">
        <v>1</v>
      </c>
      <c r="R59" s="27">
        <v>213</v>
      </c>
      <c r="S59" s="28" t="s">
        <v>457</v>
      </c>
      <c r="T59" s="28" t="s">
        <v>382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-2.8199999999999999E-2</v>
      </c>
      <c r="Z59" s="28">
        <v>-3.7600000000000001E-2</v>
      </c>
      <c r="AA59" s="29">
        <v>300</v>
      </c>
      <c r="AB59" s="29">
        <v>475</v>
      </c>
      <c r="AC59" s="30">
        <v>31.4071</v>
      </c>
      <c r="AD59" s="30">
        <v>0.12594325814536339</v>
      </c>
      <c r="AE59" s="29">
        <v>1</v>
      </c>
    </row>
    <row r="60" spans="2:31" x14ac:dyDescent="0.2">
      <c r="B60" s="27">
        <v>216</v>
      </c>
      <c r="C60" s="28" t="s">
        <v>459</v>
      </c>
      <c r="D60" s="28" t="s">
        <v>380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-2.8899999999999999E-2</v>
      </c>
      <c r="J60" s="28">
        <v>-3.85E-2</v>
      </c>
      <c r="K60" s="29">
        <v>300</v>
      </c>
      <c r="L60" s="29">
        <v>475</v>
      </c>
      <c r="M60" s="30">
        <v>-66.480199999999996</v>
      </c>
      <c r="N60" s="30">
        <v>0.26658726817042605</v>
      </c>
      <c r="O60" s="29">
        <v>1</v>
      </c>
      <c r="R60" s="27">
        <v>216</v>
      </c>
      <c r="S60" s="28" t="s">
        <v>459</v>
      </c>
      <c r="T60" s="28" t="s">
        <v>380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-2.8899999999999999E-2</v>
      </c>
      <c r="Z60" s="28">
        <v>-3.85E-2</v>
      </c>
      <c r="AA60" s="29">
        <v>300</v>
      </c>
      <c r="AB60" s="29">
        <v>475</v>
      </c>
      <c r="AC60" s="30">
        <v>-66.473699999999994</v>
      </c>
      <c r="AD60" s="30">
        <v>0.26656120300751879</v>
      </c>
      <c r="AE60" s="29">
        <v>1</v>
      </c>
    </row>
    <row r="61" spans="2:31" x14ac:dyDescent="0.2">
      <c r="B61" s="27">
        <v>216</v>
      </c>
      <c r="C61" s="28" t="s">
        <v>460</v>
      </c>
      <c r="D61" s="28" t="s">
        <v>382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50.053600000000003</v>
      </c>
      <c r="N61" s="30">
        <v>0.20071619047619049</v>
      </c>
      <c r="O61" s="29">
        <v>1</v>
      </c>
      <c r="R61" s="27">
        <v>216</v>
      </c>
      <c r="S61" s="28" t="s">
        <v>460</v>
      </c>
      <c r="T61" s="28" t="s">
        <v>382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31.4071</v>
      </c>
      <c r="AD61" s="30">
        <v>0.12594325814536339</v>
      </c>
      <c r="AE61" s="29">
        <v>1</v>
      </c>
    </row>
    <row r="62" spans="2:31" x14ac:dyDescent="0.2">
      <c r="B62" s="27">
        <v>219</v>
      </c>
      <c r="C62" s="28" t="s">
        <v>462</v>
      </c>
      <c r="D62" s="28" t="s">
        <v>380</v>
      </c>
      <c r="E62" s="28">
        <v>1E-4</v>
      </c>
      <c r="F62" s="28">
        <v>2.8500000000000001E-2</v>
      </c>
      <c r="G62" s="28">
        <v>3.7999999999999999E-2</v>
      </c>
      <c r="H62" s="28">
        <v>-1E-4</v>
      </c>
      <c r="I62" s="28">
        <v>-2.8500000000000001E-2</v>
      </c>
      <c r="J62" s="28">
        <v>-3.7999999999999999E-2</v>
      </c>
      <c r="K62" s="29">
        <v>300</v>
      </c>
      <c r="L62" s="29">
        <v>475</v>
      </c>
      <c r="M62" s="30">
        <v>-67.173699999999997</v>
      </c>
      <c r="N62" s="30">
        <v>0.26936822055137843</v>
      </c>
      <c r="O62" s="29">
        <v>1</v>
      </c>
      <c r="R62" s="27">
        <v>219</v>
      </c>
      <c r="S62" s="28" t="s">
        <v>462</v>
      </c>
      <c r="T62" s="28" t="s">
        <v>380</v>
      </c>
      <c r="U62" s="28">
        <v>1E-4</v>
      </c>
      <c r="V62" s="28">
        <v>2.8500000000000001E-2</v>
      </c>
      <c r="W62" s="28">
        <v>3.7999999999999999E-2</v>
      </c>
      <c r="X62" s="28">
        <v>-1E-4</v>
      </c>
      <c r="Y62" s="28">
        <v>-2.8500000000000001E-2</v>
      </c>
      <c r="Z62" s="28">
        <v>-3.7999999999999999E-2</v>
      </c>
      <c r="AA62" s="29">
        <v>300</v>
      </c>
      <c r="AB62" s="29">
        <v>475</v>
      </c>
      <c r="AC62" s="30">
        <v>-67.166499999999999</v>
      </c>
      <c r="AD62" s="30">
        <v>0.26933934837092732</v>
      </c>
      <c r="AE62" s="29">
        <v>1</v>
      </c>
    </row>
    <row r="63" spans="2:31" x14ac:dyDescent="0.2">
      <c r="B63" s="27">
        <v>219</v>
      </c>
      <c r="C63" s="28" t="s">
        <v>463</v>
      </c>
      <c r="D63" s="28" t="s">
        <v>382</v>
      </c>
      <c r="E63" s="28">
        <v>1E-4</v>
      </c>
      <c r="F63" s="28">
        <v>2.86E-2</v>
      </c>
      <c r="G63" s="28">
        <v>3.8100000000000002E-2</v>
      </c>
      <c r="H63" s="28">
        <v>-1E-4</v>
      </c>
      <c r="I63" s="28">
        <v>-2.8400000000000002E-2</v>
      </c>
      <c r="J63" s="28">
        <v>-3.78E-2</v>
      </c>
      <c r="K63" s="29">
        <v>300</v>
      </c>
      <c r="L63" s="29">
        <v>475</v>
      </c>
      <c r="M63" s="30">
        <v>50.053600000000003</v>
      </c>
      <c r="N63" s="30">
        <v>0.20071619047619049</v>
      </c>
      <c r="O63" s="29">
        <v>1</v>
      </c>
      <c r="R63" s="27">
        <v>219</v>
      </c>
      <c r="S63" s="28" t="s">
        <v>463</v>
      </c>
      <c r="T63" s="28" t="s">
        <v>382</v>
      </c>
      <c r="U63" s="28">
        <v>1E-4</v>
      </c>
      <c r="V63" s="28">
        <v>2.86E-2</v>
      </c>
      <c r="W63" s="28">
        <v>3.8100000000000002E-2</v>
      </c>
      <c r="X63" s="28">
        <v>-1E-4</v>
      </c>
      <c r="Y63" s="28">
        <v>-2.8400000000000002E-2</v>
      </c>
      <c r="Z63" s="28">
        <v>-3.78E-2</v>
      </c>
      <c r="AA63" s="29">
        <v>300</v>
      </c>
      <c r="AB63" s="29">
        <v>475</v>
      </c>
      <c r="AC63" s="30">
        <v>31.4071</v>
      </c>
      <c r="AD63" s="30">
        <v>0.12594325814536339</v>
      </c>
      <c r="AE63" s="29">
        <v>1</v>
      </c>
    </row>
    <row r="64" spans="2:31" x14ac:dyDescent="0.2">
      <c r="B64" s="27">
        <v>222</v>
      </c>
      <c r="C64" s="28" t="s">
        <v>465</v>
      </c>
      <c r="D64" s="28" t="s">
        <v>380</v>
      </c>
      <c r="E64" s="28">
        <v>1E-4</v>
      </c>
      <c r="F64" s="28">
        <v>2.8500000000000001E-2</v>
      </c>
      <c r="G64" s="28">
        <v>3.7999999999999999E-2</v>
      </c>
      <c r="H64" s="28">
        <v>-1E-4</v>
      </c>
      <c r="I64" s="28">
        <v>-2.8500000000000001E-2</v>
      </c>
      <c r="J64" s="28">
        <v>-3.7999999999999999E-2</v>
      </c>
      <c r="K64" s="29">
        <v>300</v>
      </c>
      <c r="L64" s="29">
        <v>475</v>
      </c>
      <c r="M64" s="30">
        <v>-67.166200000000003</v>
      </c>
      <c r="N64" s="30">
        <v>0.2693381453634085</v>
      </c>
      <c r="O64" s="29">
        <v>1</v>
      </c>
      <c r="R64" s="27">
        <v>222</v>
      </c>
      <c r="S64" s="28" t="s">
        <v>465</v>
      </c>
      <c r="T64" s="28" t="s">
        <v>380</v>
      </c>
      <c r="U64" s="28">
        <v>1E-4</v>
      </c>
      <c r="V64" s="28">
        <v>2.8500000000000001E-2</v>
      </c>
      <c r="W64" s="28">
        <v>3.7999999999999999E-2</v>
      </c>
      <c r="X64" s="28">
        <v>-1E-4</v>
      </c>
      <c r="Y64" s="28">
        <v>-2.8500000000000001E-2</v>
      </c>
      <c r="Z64" s="28">
        <v>-3.7999999999999999E-2</v>
      </c>
      <c r="AA64" s="29">
        <v>300</v>
      </c>
      <c r="AB64" s="29">
        <v>475</v>
      </c>
      <c r="AC64" s="30">
        <v>-67.16</v>
      </c>
      <c r="AD64" s="30">
        <v>0.26931328320802006</v>
      </c>
      <c r="AE64" s="29">
        <v>1</v>
      </c>
    </row>
    <row r="65" spans="2:31" x14ac:dyDescent="0.2">
      <c r="B65" s="27">
        <v>222</v>
      </c>
      <c r="C65" s="28" t="s">
        <v>466</v>
      </c>
      <c r="D65" s="28" t="s">
        <v>382</v>
      </c>
      <c r="E65" s="28">
        <v>1E-4</v>
      </c>
      <c r="F65" s="28">
        <v>2.86E-2</v>
      </c>
      <c r="G65" s="28">
        <v>3.8100000000000002E-2</v>
      </c>
      <c r="H65" s="28">
        <v>-1E-4</v>
      </c>
      <c r="I65" s="28">
        <v>-2.8400000000000002E-2</v>
      </c>
      <c r="J65" s="28">
        <v>-3.78E-2</v>
      </c>
      <c r="K65" s="29">
        <v>300</v>
      </c>
      <c r="L65" s="29">
        <v>475</v>
      </c>
      <c r="M65" s="30">
        <v>50.053600000000003</v>
      </c>
      <c r="N65" s="30">
        <v>0.20071619047619049</v>
      </c>
      <c r="O65" s="29">
        <v>1</v>
      </c>
      <c r="R65" s="27">
        <v>222</v>
      </c>
      <c r="S65" s="28" t="s">
        <v>466</v>
      </c>
      <c r="T65" s="28" t="s">
        <v>382</v>
      </c>
      <c r="U65" s="28">
        <v>1E-4</v>
      </c>
      <c r="V65" s="28">
        <v>2.86E-2</v>
      </c>
      <c r="W65" s="28">
        <v>3.8100000000000002E-2</v>
      </c>
      <c r="X65" s="28">
        <v>-1E-4</v>
      </c>
      <c r="Y65" s="28">
        <v>-2.8400000000000002E-2</v>
      </c>
      <c r="Z65" s="28">
        <v>-3.78E-2</v>
      </c>
      <c r="AA65" s="29">
        <v>300</v>
      </c>
      <c r="AB65" s="29">
        <v>475</v>
      </c>
      <c r="AC65" s="30">
        <v>31.4071</v>
      </c>
      <c r="AD65" s="30">
        <v>0.12594325814536339</v>
      </c>
      <c r="AE65" s="29">
        <v>1</v>
      </c>
    </row>
    <row r="66" spans="2:31" x14ac:dyDescent="0.2">
      <c r="B66" s="27">
        <v>225</v>
      </c>
      <c r="C66" s="28" t="s">
        <v>468</v>
      </c>
      <c r="D66" s="28" t="s">
        <v>380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-2.8899999999999999E-2</v>
      </c>
      <c r="J66" s="28">
        <v>-3.85E-2</v>
      </c>
      <c r="K66" s="29">
        <v>300</v>
      </c>
      <c r="L66" s="29">
        <v>475</v>
      </c>
      <c r="M66" s="30">
        <v>-66.454599999999999</v>
      </c>
      <c r="N66" s="30">
        <v>0.26648461152882208</v>
      </c>
      <c r="O66" s="29">
        <v>1</v>
      </c>
      <c r="R66" s="27">
        <v>225</v>
      </c>
      <c r="S66" s="28" t="s">
        <v>468</v>
      </c>
      <c r="T66" s="28" t="s">
        <v>380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-2.8899999999999999E-2</v>
      </c>
      <c r="Z66" s="28">
        <v>-3.85E-2</v>
      </c>
      <c r="AA66" s="29">
        <v>300</v>
      </c>
      <c r="AB66" s="29">
        <v>475</v>
      </c>
      <c r="AC66" s="30">
        <v>-66.4482</v>
      </c>
      <c r="AD66" s="30">
        <v>0.26645894736842102</v>
      </c>
      <c r="AE66" s="29">
        <v>1</v>
      </c>
    </row>
    <row r="67" spans="2:31" x14ac:dyDescent="0.2">
      <c r="B67" s="27">
        <v>225</v>
      </c>
      <c r="C67" s="28" t="s">
        <v>469</v>
      </c>
      <c r="D67" s="28" t="s">
        <v>382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50.053600000000003</v>
      </c>
      <c r="N67" s="30">
        <v>0.20071619047619049</v>
      </c>
      <c r="O67" s="29">
        <v>1</v>
      </c>
      <c r="R67" s="27">
        <v>225</v>
      </c>
      <c r="S67" s="28" t="s">
        <v>469</v>
      </c>
      <c r="T67" s="28" t="s">
        <v>382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31.4071</v>
      </c>
      <c r="AD67" s="30">
        <v>0.12594325814536339</v>
      </c>
      <c r="AE67" s="29">
        <v>1</v>
      </c>
    </row>
    <row r="68" spans="2:31" x14ac:dyDescent="0.2">
      <c r="B68" s="27">
        <v>228</v>
      </c>
      <c r="C68" s="28" t="s">
        <v>471</v>
      </c>
      <c r="D68" s="28" t="s">
        <v>380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-45.924999999999997</v>
      </c>
      <c r="N68" s="30">
        <v>0.18416040100250627</v>
      </c>
      <c r="O68" s="29">
        <v>1</v>
      </c>
      <c r="R68" s="27">
        <v>228</v>
      </c>
      <c r="S68" s="28" t="s">
        <v>471</v>
      </c>
      <c r="T68" s="28" t="s">
        <v>380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-45.9178</v>
      </c>
      <c r="AD68" s="30">
        <v>0.18413152882205516</v>
      </c>
      <c r="AE68" s="29">
        <v>1</v>
      </c>
    </row>
    <row r="69" spans="2:31" x14ac:dyDescent="0.2">
      <c r="B69" s="27">
        <v>228</v>
      </c>
      <c r="C69" s="28" t="s">
        <v>472</v>
      </c>
      <c r="D69" s="28" t="s">
        <v>382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-2.8199999999999999E-2</v>
      </c>
      <c r="J69" s="28">
        <v>-3.7600000000000001E-2</v>
      </c>
      <c r="K69" s="29">
        <v>300</v>
      </c>
      <c r="L69" s="29">
        <v>475</v>
      </c>
      <c r="M69" s="30">
        <v>50.053600000000003</v>
      </c>
      <c r="N69" s="30">
        <v>0.20071619047619049</v>
      </c>
      <c r="O69" s="29">
        <v>1</v>
      </c>
      <c r="R69" s="27">
        <v>228</v>
      </c>
      <c r="S69" s="28" t="s">
        <v>472</v>
      </c>
      <c r="T69" s="28" t="s">
        <v>382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-2.8199999999999999E-2</v>
      </c>
      <c r="Z69" s="28">
        <v>-3.7600000000000001E-2</v>
      </c>
      <c r="AA69" s="29">
        <v>300</v>
      </c>
      <c r="AB69" s="29">
        <v>475</v>
      </c>
      <c r="AC69" s="30">
        <v>31.4071</v>
      </c>
      <c r="AD69" s="30">
        <v>0.12594325814536339</v>
      </c>
      <c r="AE69" s="29">
        <v>1</v>
      </c>
    </row>
    <row r="70" spans="2:31" x14ac:dyDescent="0.2">
      <c r="B70" s="27">
        <v>244</v>
      </c>
      <c r="C70" s="28" t="s">
        <v>474</v>
      </c>
      <c r="D70" s="28" t="s">
        <v>380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-22.617599999999999</v>
      </c>
      <c r="N70" s="30">
        <v>9.0697142857142851E-2</v>
      </c>
      <c r="O70" s="29">
        <v>1</v>
      </c>
      <c r="R70" s="27">
        <v>244</v>
      </c>
      <c r="S70" s="28" t="s">
        <v>474</v>
      </c>
      <c r="T70" s="28" t="s">
        <v>380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-22.627600000000001</v>
      </c>
      <c r="AD70" s="30">
        <v>9.0737243107769427E-2</v>
      </c>
      <c r="AE70" s="29">
        <v>1</v>
      </c>
    </row>
    <row r="71" spans="2:31" x14ac:dyDescent="0.2">
      <c r="B71" s="27">
        <v>244</v>
      </c>
      <c r="C71" s="28" t="s">
        <v>475</v>
      </c>
      <c r="D71" s="28" t="s">
        <v>382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50.053600000000003</v>
      </c>
      <c r="N71" s="30">
        <v>0.20071619047619049</v>
      </c>
      <c r="O71" s="29">
        <v>1</v>
      </c>
      <c r="R71" s="27">
        <v>244</v>
      </c>
      <c r="S71" s="28" t="s">
        <v>475</v>
      </c>
      <c r="T71" s="28" t="s">
        <v>382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31.4071</v>
      </c>
      <c r="AD71" s="30">
        <v>0.12594325814536339</v>
      </c>
      <c r="AE71" s="29">
        <v>1</v>
      </c>
    </row>
    <row r="72" spans="2:31" x14ac:dyDescent="0.2">
      <c r="B72" s="27">
        <v>245</v>
      </c>
      <c r="C72" s="28" t="s">
        <v>477</v>
      </c>
      <c r="D72" s="28" t="s">
        <v>380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-25.213799999999999</v>
      </c>
      <c r="N72" s="30">
        <v>0.10110796992481202</v>
      </c>
      <c r="O72" s="29">
        <v>1</v>
      </c>
      <c r="R72" s="27">
        <v>245</v>
      </c>
      <c r="S72" s="28" t="s">
        <v>477</v>
      </c>
      <c r="T72" s="28" t="s">
        <v>380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-25.225300000000001</v>
      </c>
      <c r="AD72" s="30">
        <v>0.10115408521303258</v>
      </c>
      <c r="AE72" s="29">
        <v>1</v>
      </c>
    </row>
    <row r="73" spans="2:31" x14ac:dyDescent="0.2">
      <c r="B73" s="27">
        <v>245</v>
      </c>
      <c r="C73" s="28" t="s">
        <v>478</v>
      </c>
      <c r="D73" s="28" t="s">
        <v>382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50.053600000000003</v>
      </c>
      <c r="N73" s="30">
        <v>0.20071619047619049</v>
      </c>
      <c r="O73" s="29">
        <v>1</v>
      </c>
      <c r="R73" s="27">
        <v>245</v>
      </c>
      <c r="S73" s="28" t="s">
        <v>478</v>
      </c>
      <c r="T73" s="28" t="s">
        <v>382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31.4071</v>
      </c>
      <c r="AD73" s="30">
        <v>0.12594325814536339</v>
      </c>
      <c r="AE73" s="29">
        <v>1</v>
      </c>
    </row>
    <row r="74" spans="2:31" x14ac:dyDescent="0.2">
      <c r="B74" s="27">
        <v>246</v>
      </c>
      <c r="C74" s="28" t="s">
        <v>479</v>
      </c>
      <c r="D74" s="28" t="s">
        <v>380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-23.8752</v>
      </c>
      <c r="N74" s="30">
        <v>9.5740150375939859E-2</v>
      </c>
      <c r="O74" s="29">
        <v>1</v>
      </c>
      <c r="R74" s="27">
        <v>246</v>
      </c>
      <c r="S74" s="28" t="s">
        <v>479</v>
      </c>
      <c r="T74" s="28" t="s">
        <v>380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-23.8871</v>
      </c>
      <c r="AD74" s="30">
        <v>9.5787869674185455E-2</v>
      </c>
      <c r="AE74" s="29">
        <v>1</v>
      </c>
    </row>
    <row r="75" spans="2:31" x14ac:dyDescent="0.2">
      <c r="B75" s="27">
        <v>246</v>
      </c>
      <c r="C75" s="28" t="s">
        <v>480</v>
      </c>
      <c r="D75" s="28" t="s">
        <v>382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50.053600000000003</v>
      </c>
      <c r="N75" s="30">
        <v>0.20071619047619049</v>
      </c>
      <c r="O75" s="29">
        <v>1</v>
      </c>
      <c r="R75" s="27">
        <v>246</v>
      </c>
      <c r="S75" s="28" t="s">
        <v>480</v>
      </c>
      <c r="T75" s="28" t="s">
        <v>382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31.4071</v>
      </c>
      <c r="AD75" s="30">
        <v>0.12594325814536339</v>
      </c>
      <c r="AE75" s="29">
        <v>1</v>
      </c>
    </row>
    <row r="76" spans="2:31" x14ac:dyDescent="0.2">
      <c r="B76" s="27">
        <v>247</v>
      </c>
      <c r="C76" s="28" t="s">
        <v>481</v>
      </c>
      <c r="D76" s="28" t="s">
        <v>380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-23.6555</v>
      </c>
      <c r="N76" s="30">
        <v>9.4859147869674185E-2</v>
      </c>
      <c r="O76" s="29">
        <v>1</v>
      </c>
      <c r="R76" s="27">
        <v>247</v>
      </c>
      <c r="S76" s="28" t="s">
        <v>481</v>
      </c>
      <c r="T76" s="28" t="s">
        <v>380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-23.666699999999999</v>
      </c>
      <c r="AD76" s="30">
        <v>9.4904060150375932E-2</v>
      </c>
      <c r="AE76" s="29">
        <v>1</v>
      </c>
    </row>
    <row r="77" spans="2:31" x14ac:dyDescent="0.2">
      <c r="B77" s="27">
        <v>247</v>
      </c>
      <c r="C77" s="28" t="s">
        <v>482</v>
      </c>
      <c r="D77" s="28" t="s">
        <v>382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50.053600000000003</v>
      </c>
      <c r="N77" s="30">
        <v>0.20071619047619049</v>
      </c>
      <c r="O77" s="29">
        <v>1</v>
      </c>
      <c r="R77" s="27">
        <v>247</v>
      </c>
      <c r="S77" s="28" t="s">
        <v>482</v>
      </c>
      <c r="T77" s="28" t="s">
        <v>382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31.4071</v>
      </c>
      <c r="AD77" s="30">
        <v>0.12594325814536339</v>
      </c>
      <c r="AE77" s="29">
        <v>1</v>
      </c>
    </row>
    <row r="78" spans="2:31" x14ac:dyDescent="0.2">
      <c r="B78" s="27">
        <v>248</v>
      </c>
      <c r="C78" s="28" t="s">
        <v>484</v>
      </c>
      <c r="D78" s="28" t="s">
        <v>380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-27.482299999999999</v>
      </c>
      <c r="N78" s="30">
        <v>0.11020471177944861</v>
      </c>
      <c r="O78" s="29">
        <v>1</v>
      </c>
      <c r="R78" s="27">
        <v>248</v>
      </c>
      <c r="S78" s="28" t="s">
        <v>484</v>
      </c>
      <c r="T78" s="28" t="s">
        <v>380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-27.492699999999999</v>
      </c>
      <c r="AD78" s="30">
        <v>0.11024641604010026</v>
      </c>
      <c r="AE78" s="29">
        <v>1</v>
      </c>
    </row>
    <row r="79" spans="2:31" x14ac:dyDescent="0.2">
      <c r="B79" s="27">
        <v>248</v>
      </c>
      <c r="C79" s="28" t="s">
        <v>485</v>
      </c>
      <c r="D79" s="28" t="s">
        <v>382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50.053600000000003</v>
      </c>
      <c r="N79" s="30">
        <v>0.20071619047619049</v>
      </c>
      <c r="O79" s="29">
        <v>1</v>
      </c>
      <c r="R79" s="27">
        <v>248</v>
      </c>
      <c r="S79" s="28" t="s">
        <v>485</v>
      </c>
      <c r="T79" s="28" t="s">
        <v>382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31.4071</v>
      </c>
      <c r="AD79" s="30">
        <v>0.12594325814536339</v>
      </c>
      <c r="AE79" s="29">
        <v>1</v>
      </c>
    </row>
    <row r="80" spans="2:31" x14ac:dyDescent="0.2">
      <c r="B80" s="27">
        <v>291</v>
      </c>
      <c r="C80" s="28" t="s">
        <v>487</v>
      </c>
      <c r="D80" s="28" t="s">
        <v>380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-2.7799999999999998E-2</v>
      </c>
      <c r="J80" s="28">
        <v>-3.6999999999999998E-2</v>
      </c>
      <c r="K80" s="29">
        <v>300</v>
      </c>
      <c r="L80" s="29">
        <v>475</v>
      </c>
      <c r="M80" s="30">
        <v>-35.690600000000003</v>
      </c>
      <c r="N80" s="30">
        <v>0.14312020050125315</v>
      </c>
      <c r="O80" s="29">
        <v>1</v>
      </c>
      <c r="R80" s="27">
        <v>291</v>
      </c>
      <c r="S80" s="28" t="s">
        <v>487</v>
      </c>
      <c r="T80" s="28" t="s">
        <v>380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-2.7799999999999998E-2</v>
      </c>
      <c r="Z80" s="28">
        <v>-3.6999999999999998E-2</v>
      </c>
      <c r="AA80" s="29">
        <v>300</v>
      </c>
      <c r="AB80" s="29">
        <v>475</v>
      </c>
      <c r="AC80" s="30">
        <v>-35.707900000000002</v>
      </c>
      <c r="AD80" s="30">
        <v>0.14318957393483711</v>
      </c>
      <c r="AE80" s="29">
        <v>1</v>
      </c>
    </row>
    <row r="81" spans="2:31" x14ac:dyDescent="0.2">
      <c r="B81" s="27">
        <v>291</v>
      </c>
      <c r="C81" s="28" t="s">
        <v>488</v>
      </c>
      <c r="D81" s="28" t="s">
        <v>382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50.053600000000003</v>
      </c>
      <c r="N81" s="30">
        <v>0.20071619047619049</v>
      </c>
      <c r="O81" s="29">
        <v>1</v>
      </c>
      <c r="R81" s="27">
        <v>291</v>
      </c>
      <c r="S81" s="28" t="s">
        <v>488</v>
      </c>
      <c r="T81" s="28" t="s">
        <v>382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31.4071</v>
      </c>
      <c r="AD81" s="30">
        <v>0.12594325814536339</v>
      </c>
      <c r="AE81" s="29">
        <v>1</v>
      </c>
    </row>
    <row r="82" spans="2:31" x14ac:dyDescent="0.2">
      <c r="B82" s="27">
        <v>292</v>
      </c>
      <c r="C82" s="28" t="s">
        <v>490</v>
      </c>
      <c r="D82" s="28" t="s">
        <v>380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-38.801900000000003</v>
      </c>
      <c r="N82" s="30">
        <v>0.15559659147869676</v>
      </c>
      <c r="O82" s="29">
        <v>1</v>
      </c>
      <c r="R82" s="27">
        <v>292</v>
      </c>
      <c r="S82" s="28" t="s">
        <v>490</v>
      </c>
      <c r="T82" s="28" t="s">
        <v>380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-38.821800000000003</v>
      </c>
      <c r="AD82" s="30">
        <v>0.15567639097744362</v>
      </c>
      <c r="AE82" s="29">
        <v>1</v>
      </c>
    </row>
    <row r="83" spans="2:31" x14ac:dyDescent="0.2">
      <c r="B83" s="27">
        <v>292</v>
      </c>
      <c r="C83" s="28" t="s">
        <v>491</v>
      </c>
      <c r="D83" s="28" t="s">
        <v>382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50.053600000000003</v>
      </c>
      <c r="N83" s="30">
        <v>0.20071619047619049</v>
      </c>
      <c r="O83" s="29">
        <v>1</v>
      </c>
      <c r="R83" s="27">
        <v>292</v>
      </c>
      <c r="S83" s="28" t="s">
        <v>491</v>
      </c>
      <c r="T83" s="28" t="s">
        <v>382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31.4071</v>
      </c>
      <c r="AD83" s="30">
        <v>0.12594325814536339</v>
      </c>
      <c r="AE83" s="29">
        <v>1</v>
      </c>
    </row>
    <row r="84" spans="2:31" x14ac:dyDescent="0.2">
      <c r="B84" s="27">
        <v>293</v>
      </c>
      <c r="C84" s="28" t="s">
        <v>492</v>
      </c>
      <c r="D84" s="28" t="s">
        <v>380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-36.0428</v>
      </c>
      <c r="N84" s="30">
        <v>0.14453253132832081</v>
      </c>
      <c r="O84" s="29">
        <v>1</v>
      </c>
      <c r="R84" s="27">
        <v>293</v>
      </c>
      <c r="S84" s="28" t="s">
        <v>492</v>
      </c>
      <c r="T84" s="28" t="s">
        <v>380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-36.063000000000002</v>
      </c>
      <c r="AD84" s="30">
        <v>0.14461353383458647</v>
      </c>
      <c r="AE84" s="29">
        <v>1</v>
      </c>
    </row>
    <row r="85" spans="2:31" x14ac:dyDescent="0.2">
      <c r="B85" s="27">
        <v>293</v>
      </c>
      <c r="C85" s="28" t="s">
        <v>493</v>
      </c>
      <c r="D85" s="28" t="s">
        <v>382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50.053600000000003</v>
      </c>
      <c r="N85" s="30">
        <v>0.20071619047619049</v>
      </c>
      <c r="O85" s="29">
        <v>1</v>
      </c>
      <c r="R85" s="27">
        <v>293</v>
      </c>
      <c r="S85" s="28" t="s">
        <v>493</v>
      </c>
      <c r="T85" s="28" t="s">
        <v>382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31.4071</v>
      </c>
      <c r="AD85" s="30">
        <v>0.12594325814536339</v>
      </c>
      <c r="AE85" s="29">
        <v>1</v>
      </c>
    </row>
    <row r="86" spans="2:31" x14ac:dyDescent="0.2">
      <c r="B86" s="27">
        <v>294</v>
      </c>
      <c r="C86" s="28" t="s">
        <v>494</v>
      </c>
      <c r="D86" s="28" t="s">
        <v>380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-35.6768</v>
      </c>
      <c r="N86" s="30">
        <v>0.14306486215538849</v>
      </c>
      <c r="O86" s="29">
        <v>1</v>
      </c>
      <c r="R86" s="27">
        <v>294</v>
      </c>
      <c r="S86" s="28" t="s">
        <v>494</v>
      </c>
      <c r="T86" s="28" t="s">
        <v>380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-35.696199999999997</v>
      </c>
      <c r="AD86" s="30">
        <v>0.143142656641604</v>
      </c>
      <c r="AE86" s="29">
        <v>1</v>
      </c>
    </row>
    <row r="87" spans="2:31" x14ac:dyDescent="0.2">
      <c r="B87" s="27">
        <v>294</v>
      </c>
      <c r="C87" s="28" t="s">
        <v>495</v>
      </c>
      <c r="D87" s="28" t="s">
        <v>382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50.053600000000003</v>
      </c>
      <c r="N87" s="30">
        <v>0.20071619047619049</v>
      </c>
      <c r="O87" s="29">
        <v>1</v>
      </c>
      <c r="R87" s="27">
        <v>294</v>
      </c>
      <c r="S87" s="28" t="s">
        <v>495</v>
      </c>
      <c r="T87" s="28" t="s">
        <v>382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31.4071</v>
      </c>
      <c r="AD87" s="30">
        <v>0.12594325814536339</v>
      </c>
      <c r="AE87" s="29">
        <v>1</v>
      </c>
    </row>
    <row r="88" spans="2:31" x14ac:dyDescent="0.2">
      <c r="B88" s="27">
        <v>295</v>
      </c>
      <c r="C88" s="28" t="s">
        <v>497</v>
      </c>
      <c r="D88" s="28" t="s">
        <v>380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-41.533299999999997</v>
      </c>
      <c r="N88" s="30">
        <v>0.16654957393483708</v>
      </c>
      <c r="O88" s="29">
        <v>1</v>
      </c>
      <c r="R88" s="27">
        <v>295</v>
      </c>
      <c r="S88" s="28" t="s">
        <v>497</v>
      </c>
      <c r="T88" s="28" t="s">
        <v>380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-41.5503</v>
      </c>
      <c r="AD88" s="30">
        <v>0.16661774436090226</v>
      </c>
      <c r="AE88" s="29">
        <v>1</v>
      </c>
    </row>
    <row r="89" spans="2:31" x14ac:dyDescent="0.2">
      <c r="B89" s="27">
        <v>295</v>
      </c>
      <c r="C89" s="28" t="s">
        <v>498</v>
      </c>
      <c r="D89" s="28" t="s">
        <v>382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-2.7799999999999998E-2</v>
      </c>
      <c r="J89" s="28">
        <v>-3.6999999999999998E-2</v>
      </c>
      <c r="K89" s="29">
        <v>300</v>
      </c>
      <c r="L89" s="29">
        <v>475</v>
      </c>
      <c r="M89" s="30">
        <v>50.053600000000003</v>
      </c>
      <c r="N89" s="30">
        <v>0.20071619047619049</v>
      </c>
      <c r="O89" s="29">
        <v>1</v>
      </c>
      <c r="R89" s="27">
        <v>295</v>
      </c>
      <c r="S89" s="28" t="s">
        <v>498</v>
      </c>
      <c r="T89" s="28" t="s">
        <v>382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-2.7799999999999998E-2</v>
      </c>
      <c r="Z89" s="28">
        <v>-3.6999999999999998E-2</v>
      </c>
      <c r="AA89" s="29">
        <v>300</v>
      </c>
      <c r="AB89" s="29">
        <v>475</v>
      </c>
      <c r="AC89" s="30">
        <v>31.4071</v>
      </c>
      <c r="AD89" s="30">
        <v>0.12594325814536339</v>
      </c>
      <c r="AE89" s="29">
        <v>1</v>
      </c>
    </row>
    <row r="90" spans="2:31" x14ac:dyDescent="0.2">
      <c r="B90" s="27">
        <v>273</v>
      </c>
      <c r="C90" s="28" t="s">
        <v>500</v>
      </c>
      <c r="D90" s="28" t="s">
        <v>380</v>
      </c>
      <c r="E90" s="28">
        <v>1E-4</v>
      </c>
      <c r="F90" s="28">
        <v>2.8400000000000002E-2</v>
      </c>
      <c r="G90" s="28">
        <v>3.7900000000000003E-2</v>
      </c>
      <c r="H90" s="28">
        <v>-1E-4</v>
      </c>
      <c r="I90" s="28">
        <v>-2.8400000000000002E-2</v>
      </c>
      <c r="J90" s="28">
        <v>-3.7900000000000003E-2</v>
      </c>
      <c r="K90" s="29">
        <v>300</v>
      </c>
      <c r="L90" s="29">
        <v>475</v>
      </c>
      <c r="M90" s="30">
        <v>-64.381</v>
      </c>
      <c r="N90" s="30">
        <v>0.25816942355889727</v>
      </c>
      <c r="O90" s="29">
        <v>1</v>
      </c>
      <c r="R90" s="27">
        <v>273</v>
      </c>
      <c r="S90" s="28" t="s">
        <v>500</v>
      </c>
      <c r="T90" s="28" t="s">
        <v>380</v>
      </c>
      <c r="U90" s="28">
        <v>1E-4</v>
      </c>
      <c r="V90" s="28">
        <v>2.8400000000000002E-2</v>
      </c>
      <c r="W90" s="28">
        <v>3.7900000000000003E-2</v>
      </c>
      <c r="X90" s="28">
        <v>-1E-4</v>
      </c>
      <c r="Y90" s="28">
        <v>-2.8400000000000002E-2</v>
      </c>
      <c r="Z90" s="28">
        <v>-3.7900000000000003E-2</v>
      </c>
      <c r="AA90" s="29">
        <v>300</v>
      </c>
      <c r="AB90" s="29">
        <v>475</v>
      </c>
      <c r="AC90" s="30">
        <v>-64.378600000000006</v>
      </c>
      <c r="AD90" s="30">
        <v>0.2581597994987469</v>
      </c>
      <c r="AE90" s="29">
        <v>1</v>
      </c>
    </row>
    <row r="91" spans="2:31" x14ac:dyDescent="0.2">
      <c r="B91" s="27">
        <v>273</v>
      </c>
      <c r="C91" s="28" t="s">
        <v>501</v>
      </c>
      <c r="D91" s="28" t="s">
        <v>382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50.053600000000003</v>
      </c>
      <c r="N91" s="30">
        <v>0.20071619047619049</v>
      </c>
      <c r="O91" s="29">
        <v>1</v>
      </c>
      <c r="R91" s="27">
        <v>273</v>
      </c>
      <c r="S91" s="28" t="s">
        <v>501</v>
      </c>
      <c r="T91" s="28" t="s">
        <v>382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31.4071</v>
      </c>
      <c r="AD91" s="30">
        <v>0.12594325814536339</v>
      </c>
      <c r="AE91" s="29">
        <v>1</v>
      </c>
    </row>
    <row r="92" spans="2:31" x14ac:dyDescent="0.2">
      <c r="B92" s="27">
        <v>276</v>
      </c>
      <c r="C92" s="28" t="s">
        <v>503</v>
      </c>
      <c r="D92" s="28" t="s">
        <v>380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-83.058499999999995</v>
      </c>
      <c r="N92" s="30">
        <v>0.33306666666666668</v>
      </c>
      <c r="O92" s="29">
        <v>1</v>
      </c>
      <c r="R92" s="27">
        <v>276</v>
      </c>
      <c r="S92" s="28" t="s">
        <v>503</v>
      </c>
      <c r="T92" s="28" t="s">
        <v>380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-83.051000000000002</v>
      </c>
      <c r="AD92" s="30">
        <v>0.33303659147869674</v>
      </c>
      <c r="AE92" s="29">
        <v>1</v>
      </c>
    </row>
    <row r="93" spans="2:31" x14ac:dyDescent="0.2">
      <c r="B93" s="27">
        <v>276</v>
      </c>
      <c r="C93" s="28" t="s">
        <v>504</v>
      </c>
      <c r="D93" s="28" t="s">
        <v>382</v>
      </c>
      <c r="E93" s="28">
        <v>1E-4</v>
      </c>
      <c r="F93" s="28">
        <v>2.8500000000000001E-2</v>
      </c>
      <c r="G93" s="28">
        <v>3.7900000000000003E-2</v>
      </c>
      <c r="H93" s="28">
        <v>-1E-4</v>
      </c>
      <c r="I93" s="28">
        <v>-2.9000000000000001E-2</v>
      </c>
      <c r="J93" s="28">
        <v>-3.8600000000000002E-2</v>
      </c>
      <c r="K93" s="29">
        <v>300</v>
      </c>
      <c r="L93" s="29">
        <v>475</v>
      </c>
      <c r="M93" s="30">
        <v>50.053600000000003</v>
      </c>
      <c r="N93" s="30">
        <v>0.20071619047619049</v>
      </c>
      <c r="O93" s="29">
        <v>1</v>
      </c>
      <c r="R93" s="27">
        <v>276</v>
      </c>
      <c r="S93" s="28" t="s">
        <v>504</v>
      </c>
      <c r="T93" s="28" t="s">
        <v>382</v>
      </c>
      <c r="U93" s="28">
        <v>1E-4</v>
      </c>
      <c r="V93" s="28">
        <v>2.8500000000000001E-2</v>
      </c>
      <c r="W93" s="28">
        <v>3.7900000000000003E-2</v>
      </c>
      <c r="X93" s="28">
        <v>-1E-4</v>
      </c>
      <c r="Y93" s="28">
        <v>-2.9000000000000001E-2</v>
      </c>
      <c r="Z93" s="28">
        <v>-3.8600000000000002E-2</v>
      </c>
      <c r="AA93" s="29">
        <v>300</v>
      </c>
      <c r="AB93" s="29">
        <v>475</v>
      </c>
      <c r="AC93" s="30">
        <v>31.4071</v>
      </c>
      <c r="AD93" s="30">
        <v>0.12594325814536339</v>
      </c>
      <c r="AE93" s="29">
        <v>1</v>
      </c>
    </row>
    <row r="94" spans="2:31" x14ac:dyDescent="0.2">
      <c r="B94" s="27">
        <v>279</v>
      </c>
      <c r="C94" s="28" t="s">
        <v>506</v>
      </c>
      <c r="D94" s="28" t="s">
        <v>380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-83.165499999999994</v>
      </c>
      <c r="N94" s="30">
        <v>0.3334957393483709</v>
      </c>
      <c r="O94" s="29">
        <v>1</v>
      </c>
      <c r="R94" s="27">
        <v>279</v>
      </c>
      <c r="S94" s="28" t="s">
        <v>506</v>
      </c>
      <c r="T94" s="28" t="s">
        <v>380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-83.157799999999995</v>
      </c>
      <c r="AD94" s="30">
        <v>0.3334648621553884</v>
      </c>
      <c r="AE94" s="29">
        <v>1</v>
      </c>
    </row>
    <row r="95" spans="2:31" x14ac:dyDescent="0.2">
      <c r="B95" s="27">
        <v>279</v>
      </c>
      <c r="C95" s="28" t="s">
        <v>507</v>
      </c>
      <c r="D95" s="28" t="s">
        <v>382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50.053600000000003</v>
      </c>
      <c r="N95" s="30">
        <v>0.20071619047619049</v>
      </c>
      <c r="O95" s="29">
        <v>1</v>
      </c>
      <c r="R95" s="27">
        <v>279</v>
      </c>
      <c r="S95" s="28" t="s">
        <v>507</v>
      </c>
      <c r="T95" s="28" t="s">
        <v>382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31.4071</v>
      </c>
      <c r="AD95" s="30">
        <v>0.12594325814536339</v>
      </c>
      <c r="AE95" s="29">
        <v>1</v>
      </c>
    </row>
    <row r="96" spans="2:31" x14ac:dyDescent="0.2">
      <c r="B96" s="27">
        <v>282</v>
      </c>
      <c r="C96" s="28" t="s">
        <v>509</v>
      </c>
      <c r="D96" s="28" t="s">
        <v>380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-83.472399999999993</v>
      </c>
      <c r="N96" s="30">
        <v>0.33472641604010023</v>
      </c>
      <c r="O96" s="29">
        <v>1</v>
      </c>
      <c r="R96" s="27">
        <v>282</v>
      </c>
      <c r="S96" s="28" t="s">
        <v>509</v>
      </c>
      <c r="T96" s="28" t="s">
        <v>380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-83.464299999999994</v>
      </c>
      <c r="AD96" s="30">
        <v>0.3346939348370927</v>
      </c>
      <c r="AE96" s="29">
        <v>1</v>
      </c>
    </row>
    <row r="97" spans="2:31" x14ac:dyDescent="0.2">
      <c r="B97" s="27">
        <v>282</v>
      </c>
      <c r="C97" s="28" t="s">
        <v>510</v>
      </c>
      <c r="D97" s="28" t="s">
        <v>382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50.053600000000003</v>
      </c>
      <c r="N97" s="30">
        <v>0.20071619047619049</v>
      </c>
      <c r="O97" s="29">
        <v>1</v>
      </c>
      <c r="R97" s="27">
        <v>282</v>
      </c>
      <c r="S97" s="28" t="s">
        <v>510</v>
      </c>
      <c r="T97" s="28" t="s">
        <v>382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31.4071</v>
      </c>
      <c r="AD97" s="30">
        <v>0.12594325814536339</v>
      </c>
      <c r="AE97" s="29">
        <v>1</v>
      </c>
    </row>
    <row r="98" spans="2:31" x14ac:dyDescent="0.2">
      <c r="B98" s="27">
        <v>285</v>
      </c>
      <c r="C98" s="28" t="s">
        <v>512</v>
      </c>
      <c r="D98" s="28" t="s">
        <v>380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-85.324600000000004</v>
      </c>
      <c r="N98" s="30">
        <v>0.34215378446115291</v>
      </c>
      <c r="O98" s="29">
        <v>1</v>
      </c>
      <c r="R98" s="27">
        <v>285</v>
      </c>
      <c r="S98" s="28" t="s">
        <v>512</v>
      </c>
      <c r="T98" s="28" t="s">
        <v>380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-85.316000000000003</v>
      </c>
      <c r="AD98" s="30">
        <v>0.34211929824561405</v>
      </c>
      <c r="AE98" s="29">
        <v>1</v>
      </c>
    </row>
    <row r="99" spans="2:31" x14ac:dyDescent="0.2">
      <c r="B99" s="27">
        <v>285</v>
      </c>
      <c r="C99" s="28" t="s">
        <v>513</v>
      </c>
      <c r="D99" s="28" t="s">
        <v>382</v>
      </c>
      <c r="E99" s="28">
        <v>1E-4</v>
      </c>
      <c r="F99" s="28">
        <v>2.8500000000000001E-2</v>
      </c>
      <c r="G99" s="28">
        <v>3.7900000000000003E-2</v>
      </c>
      <c r="H99" s="28">
        <v>-1E-4</v>
      </c>
      <c r="I99" s="28">
        <v>-2.9000000000000001E-2</v>
      </c>
      <c r="J99" s="28">
        <v>-3.8600000000000002E-2</v>
      </c>
      <c r="K99" s="29">
        <v>300</v>
      </c>
      <c r="L99" s="29">
        <v>475</v>
      </c>
      <c r="M99" s="30">
        <v>50.053600000000003</v>
      </c>
      <c r="N99" s="30">
        <v>0.20071619047619049</v>
      </c>
      <c r="O99" s="29">
        <v>1</v>
      </c>
      <c r="R99" s="27">
        <v>285</v>
      </c>
      <c r="S99" s="28" t="s">
        <v>513</v>
      </c>
      <c r="T99" s="28" t="s">
        <v>382</v>
      </c>
      <c r="U99" s="28">
        <v>1E-4</v>
      </c>
      <c r="V99" s="28">
        <v>2.8500000000000001E-2</v>
      </c>
      <c r="W99" s="28">
        <v>3.7900000000000003E-2</v>
      </c>
      <c r="X99" s="28">
        <v>-1E-4</v>
      </c>
      <c r="Y99" s="28">
        <v>-2.9000000000000001E-2</v>
      </c>
      <c r="Z99" s="28">
        <v>-3.8600000000000002E-2</v>
      </c>
      <c r="AA99" s="29">
        <v>300</v>
      </c>
      <c r="AB99" s="29">
        <v>475</v>
      </c>
      <c r="AC99" s="30">
        <v>31.4071</v>
      </c>
      <c r="AD99" s="30">
        <v>0.12594325814536339</v>
      </c>
      <c r="AE99" s="29">
        <v>1</v>
      </c>
    </row>
    <row r="100" spans="2:31" x14ac:dyDescent="0.2">
      <c r="B100" s="27">
        <v>288</v>
      </c>
      <c r="C100" s="28" t="s">
        <v>515</v>
      </c>
      <c r="D100" s="28" t="s">
        <v>380</v>
      </c>
      <c r="E100" s="28">
        <v>1E-4</v>
      </c>
      <c r="F100" s="28">
        <v>2.8400000000000002E-2</v>
      </c>
      <c r="G100" s="28">
        <v>3.7900000000000003E-2</v>
      </c>
      <c r="H100" s="28">
        <v>-1E-4</v>
      </c>
      <c r="I100" s="28">
        <v>-2.8400000000000002E-2</v>
      </c>
      <c r="J100" s="28">
        <v>-3.7900000000000003E-2</v>
      </c>
      <c r="K100" s="29">
        <v>300</v>
      </c>
      <c r="L100" s="29">
        <v>475</v>
      </c>
      <c r="M100" s="30">
        <v>-66.647300000000001</v>
      </c>
      <c r="N100" s="30">
        <v>0.26725734335839602</v>
      </c>
      <c r="O100" s="29">
        <v>1</v>
      </c>
      <c r="R100" s="27">
        <v>288</v>
      </c>
      <c r="S100" s="28" t="s">
        <v>515</v>
      </c>
      <c r="T100" s="28" t="s">
        <v>380</v>
      </c>
      <c r="U100" s="28">
        <v>1E-4</v>
      </c>
      <c r="V100" s="28">
        <v>2.8400000000000002E-2</v>
      </c>
      <c r="W100" s="28">
        <v>3.7900000000000003E-2</v>
      </c>
      <c r="X100" s="28">
        <v>-1E-4</v>
      </c>
      <c r="Y100" s="28">
        <v>-2.8400000000000002E-2</v>
      </c>
      <c r="Z100" s="28">
        <v>-3.7900000000000003E-2</v>
      </c>
      <c r="AA100" s="29">
        <v>300</v>
      </c>
      <c r="AB100" s="29">
        <v>475</v>
      </c>
      <c r="AC100" s="30">
        <v>-66.638900000000007</v>
      </c>
      <c r="AD100" s="30">
        <v>0.26722365914786972</v>
      </c>
      <c r="AE100" s="29">
        <v>1</v>
      </c>
    </row>
    <row r="101" spans="2:31" x14ac:dyDescent="0.2">
      <c r="B101" s="27">
        <v>288</v>
      </c>
      <c r="C101" s="28" t="s">
        <v>516</v>
      </c>
      <c r="D101" s="28" t="s">
        <v>382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50.053600000000003</v>
      </c>
      <c r="N101" s="30">
        <v>0.20071619047619049</v>
      </c>
      <c r="O101" s="29">
        <v>1</v>
      </c>
      <c r="R101" s="27">
        <v>288</v>
      </c>
      <c r="S101" s="28" t="s">
        <v>516</v>
      </c>
      <c r="T101" s="28" t="s">
        <v>382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31.4071</v>
      </c>
      <c r="AD101" s="30">
        <v>0.12594325814536339</v>
      </c>
      <c r="AE101" s="29">
        <v>1</v>
      </c>
    </row>
    <row r="102" spans="2:31" x14ac:dyDescent="0.2">
      <c r="B102" s="27">
        <v>296</v>
      </c>
      <c r="C102" s="28" t="s">
        <v>518</v>
      </c>
      <c r="D102" s="28" t="s">
        <v>380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-45.1158</v>
      </c>
      <c r="N102" s="30">
        <v>0.18091548872180452</v>
      </c>
      <c r="O102" s="29">
        <v>1</v>
      </c>
      <c r="R102" s="27">
        <v>296</v>
      </c>
      <c r="S102" s="28" t="s">
        <v>518</v>
      </c>
      <c r="T102" s="28" t="s">
        <v>380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-45.139000000000003</v>
      </c>
      <c r="AD102" s="30">
        <v>0.18100852130325815</v>
      </c>
      <c r="AE102" s="29">
        <v>1</v>
      </c>
    </row>
    <row r="103" spans="2:31" x14ac:dyDescent="0.2">
      <c r="B103" s="27">
        <v>296</v>
      </c>
      <c r="C103" s="28" t="s">
        <v>519</v>
      </c>
      <c r="D103" s="28" t="s">
        <v>382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50.053600000000003</v>
      </c>
      <c r="N103" s="30">
        <v>0.20071619047619049</v>
      </c>
      <c r="O103" s="29">
        <v>1</v>
      </c>
      <c r="R103" s="27">
        <v>296</v>
      </c>
      <c r="S103" s="28" t="s">
        <v>519</v>
      </c>
      <c r="T103" s="28" t="s">
        <v>382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31.4071</v>
      </c>
      <c r="AD103" s="30">
        <v>0.12594325814536339</v>
      </c>
      <c r="AE103" s="29">
        <v>1</v>
      </c>
    </row>
    <row r="104" spans="2:31" x14ac:dyDescent="0.2">
      <c r="B104" s="27">
        <v>297</v>
      </c>
      <c r="C104" s="28" t="s">
        <v>521</v>
      </c>
      <c r="D104" s="28" t="s">
        <v>380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-42.130400000000002</v>
      </c>
      <c r="N104" s="30">
        <v>0.16894395989974939</v>
      </c>
      <c r="O104" s="29">
        <v>1</v>
      </c>
      <c r="R104" s="27">
        <v>297</v>
      </c>
      <c r="S104" s="28" t="s">
        <v>521</v>
      </c>
      <c r="T104" s="28" t="s">
        <v>380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-42.1524</v>
      </c>
      <c r="AD104" s="30">
        <v>0.16903218045112783</v>
      </c>
      <c r="AE104" s="29">
        <v>1</v>
      </c>
    </row>
    <row r="105" spans="2:31" x14ac:dyDescent="0.2">
      <c r="B105" s="27">
        <v>297</v>
      </c>
      <c r="C105" s="28" t="s">
        <v>522</v>
      </c>
      <c r="D105" s="28" t="s">
        <v>382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50.053600000000003</v>
      </c>
      <c r="N105" s="30">
        <v>0.20071619047619049</v>
      </c>
      <c r="O105" s="29">
        <v>1</v>
      </c>
      <c r="R105" s="27">
        <v>297</v>
      </c>
      <c r="S105" s="28" t="s">
        <v>522</v>
      </c>
      <c r="T105" s="28" t="s">
        <v>382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31.4071</v>
      </c>
      <c r="AD105" s="30">
        <v>0.12594325814536339</v>
      </c>
      <c r="AE105" s="29">
        <v>1</v>
      </c>
    </row>
    <row r="106" spans="2:31" x14ac:dyDescent="0.2">
      <c r="B106" s="27">
        <v>298</v>
      </c>
      <c r="C106" s="28" t="s">
        <v>523</v>
      </c>
      <c r="D106" s="28" t="s">
        <v>380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-46.134500000000003</v>
      </c>
      <c r="N106" s="30">
        <v>0.18500050125313283</v>
      </c>
      <c r="O106" s="29">
        <v>1</v>
      </c>
      <c r="R106" s="27">
        <v>298</v>
      </c>
      <c r="S106" s="28" t="s">
        <v>523</v>
      </c>
      <c r="T106" s="28" t="s">
        <v>380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-46.155799999999999</v>
      </c>
      <c r="AD106" s="30">
        <v>0.18508591478696743</v>
      </c>
      <c r="AE106" s="29">
        <v>1</v>
      </c>
    </row>
    <row r="107" spans="2:31" x14ac:dyDescent="0.2">
      <c r="B107" s="27">
        <v>298</v>
      </c>
      <c r="C107" s="28" t="s">
        <v>524</v>
      </c>
      <c r="D107" s="28" t="s">
        <v>382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50.053600000000003</v>
      </c>
      <c r="N107" s="30">
        <v>0.20071619047619049</v>
      </c>
      <c r="O107" s="29">
        <v>1</v>
      </c>
      <c r="R107" s="27">
        <v>298</v>
      </c>
      <c r="S107" s="28" t="s">
        <v>524</v>
      </c>
      <c r="T107" s="28" t="s">
        <v>382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31.4071</v>
      </c>
      <c r="AD107" s="30">
        <v>0.12594325814536339</v>
      </c>
      <c r="AE107" s="29">
        <v>1</v>
      </c>
    </row>
    <row r="108" spans="2:31" x14ac:dyDescent="0.2">
      <c r="B108" s="27">
        <v>299</v>
      </c>
      <c r="C108" s="28" t="s">
        <v>525</v>
      </c>
      <c r="D108" s="28" t="s">
        <v>380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-45.216799999999999</v>
      </c>
      <c r="N108" s="30">
        <v>0.18132050125313282</v>
      </c>
      <c r="O108" s="29">
        <v>1</v>
      </c>
      <c r="R108" s="27">
        <v>299</v>
      </c>
      <c r="S108" s="28" t="s">
        <v>525</v>
      </c>
      <c r="T108" s="28" t="s">
        <v>380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-45.2395</v>
      </c>
      <c r="AD108" s="30">
        <v>0.18141152882205513</v>
      </c>
      <c r="AE108" s="29">
        <v>1</v>
      </c>
    </row>
    <row r="109" spans="2:31" x14ac:dyDescent="0.2">
      <c r="B109" s="27">
        <v>299</v>
      </c>
      <c r="C109" s="28" t="s">
        <v>526</v>
      </c>
      <c r="D109" s="28" t="s">
        <v>382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50.053600000000003</v>
      </c>
      <c r="N109" s="30">
        <v>0.20071619047619049</v>
      </c>
      <c r="O109" s="29">
        <v>1</v>
      </c>
      <c r="R109" s="27">
        <v>299</v>
      </c>
      <c r="S109" s="28" t="s">
        <v>526</v>
      </c>
      <c r="T109" s="28" t="s">
        <v>382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31.4071</v>
      </c>
      <c r="AD109" s="30">
        <v>0.12594325814536339</v>
      </c>
      <c r="AE109" s="29">
        <v>1</v>
      </c>
    </row>
    <row r="110" spans="2:31" x14ac:dyDescent="0.2">
      <c r="B110" s="27">
        <v>300</v>
      </c>
      <c r="C110" s="28" t="s">
        <v>528</v>
      </c>
      <c r="D110" s="28" t="s">
        <v>380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-44.441400000000002</v>
      </c>
      <c r="N110" s="30">
        <v>0.17821112781954887</v>
      </c>
      <c r="O110" s="29">
        <v>1</v>
      </c>
      <c r="R110" s="27">
        <v>300</v>
      </c>
      <c r="S110" s="28" t="s">
        <v>528</v>
      </c>
      <c r="T110" s="28" t="s">
        <v>380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-44.463999999999999</v>
      </c>
      <c r="AD110" s="30">
        <v>0.17830175438596491</v>
      </c>
      <c r="AE110" s="29">
        <v>1</v>
      </c>
    </row>
    <row r="111" spans="2:31" x14ac:dyDescent="0.2">
      <c r="B111" s="27">
        <v>300</v>
      </c>
      <c r="C111" s="28" t="s">
        <v>529</v>
      </c>
      <c r="D111" s="28" t="s">
        <v>382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50.053600000000003</v>
      </c>
      <c r="N111" s="30">
        <v>0.20071619047619049</v>
      </c>
      <c r="O111" s="29">
        <v>1</v>
      </c>
      <c r="R111" s="27">
        <v>300</v>
      </c>
      <c r="S111" s="28" t="s">
        <v>529</v>
      </c>
      <c r="T111" s="28" t="s">
        <v>382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31.4071</v>
      </c>
      <c r="AD111" s="30">
        <v>0.12594325814536339</v>
      </c>
      <c r="AE111" s="29">
        <v>1</v>
      </c>
    </row>
    <row r="112" spans="2:31" x14ac:dyDescent="0.2">
      <c r="B112" s="27">
        <v>274</v>
      </c>
      <c r="C112" s="28" t="s">
        <v>531</v>
      </c>
      <c r="D112" s="28" t="s">
        <v>380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-65.117999999999995</v>
      </c>
      <c r="N112" s="30">
        <v>0.26112481203007515</v>
      </c>
      <c r="O112" s="29">
        <v>1</v>
      </c>
      <c r="R112" s="27">
        <v>274</v>
      </c>
      <c r="S112" s="28" t="s">
        <v>531</v>
      </c>
      <c r="T112" s="28" t="s">
        <v>380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-65.115099999999998</v>
      </c>
      <c r="AD112" s="30">
        <v>0.2611131829573935</v>
      </c>
      <c r="AE112" s="29">
        <v>1</v>
      </c>
    </row>
    <row r="113" spans="2:31" x14ac:dyDescent="0.2">
      <c r="B113" s="27">
        <v>274</v>
      </c>
      <c r="C113" s="28" t="s">
        <v>532</v>
      </c>
      <c r="D113" s="28" t="s">
        <v>382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50.053600000000003</v>
      </c>
      <c r="N113" s="30">
        <v>0.20071619047619049</v>
      </c>
      <c r="O113" s="29">
        <v>1</v>
      </c>
      <c r="R113" s="27">
        <v>274</v>
      </c>
      <c r="S113" s="28" t="s">
        <v>532</v>
      </c>
      <c r="T113" s="28" t="s">
        <v>382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44.362299999999998</v>
      </c>
      <c r="AD113" s="30">
        <v>0.1778939348370927</v>
      </c>
      <c r="AE113" s="29">
        <v>1</v>
      </c>
    </row>
    <row r="114" spans="2:31" x14ac:dyDescent="0.2">
      <c r="B114" s="27">
        <v>277</v>
      </c>
      <c r="C114" s="28" t="s">
        <v>534</v>
      </c>
      <c r="D114" s="28" t="s">
        <v>380</v>
      </c>
      <c r="E114" s="28">
        <v>1E-4</v>
      </c>
      <c r="F114" s="28">
        <v>2.8500000000000001E-2</v>
      </c>
      <c r="G114" s="28">
        <v>3.7900000000000003E-2</v>
      </c>
      <c r="H114" s="28">
        <v>-1E-4</v>
      </c>
      <c r="I114" s="28">
        <v>-2.9000000000000001E-2</v>
      </c>
      <c r="J114" s="28">
        <v>-3.8600000000000002E-2</v>
      </c>
      <c r="K114" s="29">
        <v>300</v>
      </c>
      <c r="L114" s="29">
        <v>475</v>
      </c>
      <c r="M114" s="30">
        <v>-86.996399999999994</v>
      </c>
      <c r="N114" s="30">
        <v>0.34885774436090222</v>
      </c>
      <c r="O114" s="29">
        <v>1</v>
      </c>
      <c r="R114" s="27">
        <v>277</v>
      </c>
      <c r="S114" s="28" t="s">
        <v>534</v>
      </c>
      <c r="T114" s="28" t="s">
        <v>380</v>
      </c>
      <c r="U114" s="28">
        <v>1E-4</v>
      </c>
      <c r="V114" s="28">
        <v>2.8500000000000001E-2</v>
      </c>
      <c r="W114" s="28">
        <v>3.7900000000000003E-2</v>
      </c>
      <c r="X114" s="28">
        <v>-1E-4</v>
      </c>
      <c r="Y114" s="28">
        <v>-2.9000000000000001E-2</v>
      </c>
      <c r="Z114" s="28">
        <v>-3.8600000000000002E-2</v>
      </c>
      <c r="AA114" s="29">
        <v>300</v>
      </c>
      <c r="AB114" s="29">
        <v>475</v>
      </c>
      <c r="AC114" s="30">
        <v>-86.988600000000005</v>
      </c>
      <c r="AD114" s="30">
        <v>0.34882646616541357</v>
      </c>
      <c r="AE114" s="29">
        <v>1</v>
      </c>
    </row>
    <row r="115" spans="2:31" x14ac:dyDescent="0.2">
      <c r="B115" s="27">
        <v>277</v>
      </c>
      <c r="C115" s="28" t="s">
        <v>535</v>
      </c>
      <c r="D115" s="28" t="s">
        <v>382</v>
      </c>
      <c r="E115" s="28">
        <v>1E-4</v>
      </c>
      <c r="F115" s="28">
        <v>2.8500000000000001E-2</v>
      </c>
      <c r="G115" s="28">
        <v>3.7900000000000003E-2</v>
      </c>
      <c r="H115" s="28">
        <v>-1E-4</v>
      </c>
      <c r="I115" s="28">
        <v>-2.9000000000000001E-2</v>
      </c>
      <c r="J115" s="28">
        <v>-3.8600000000000002E-2</v>
      </c>
      <c r="K115" s="29">
        <v>300</v>
      </c>
      <c r="L115" s="29">
        <v>475</v>
      </c>
      <c r="M115" s="30">
        <v>60.703400000000002</v>
      </c>
      <c r="N115" s="30">
        <v>0.24342215538847117</v>
      </c>
      <c r="O115" s="29">
        <v>1</v>
      </c>
      <c r="R115" s="27">
        <v>277</v>
      </c>
      <c r="S115" s="28" t="s">
        <v>535</v>
      </c>
      <c r="T115" s="28" t="s">
        <v>382</v>
      </c>
      <c r="U115" s="28">
        <v>1E-4</v>
      </c>
      <c r="V115" s="28">
        <v>2.8500000000000001E-2</v>
      </c>
      <c r="W115" s="28">
        <v>3.7900000000000003E-2</v>
      </c>
      <c r="X115" s="28">
        <v>-1E-4</v>
      </c>
      <c r="Y115" s="28">
        <v>-2.9000000000000001E-2</v>
      </c>
      <c r="Z115" s="28">
        <v>-3.8600000000000002E-2</v>
      </c>
      <c r="AA115" s="29">
        <v>300</v>
      </c>
      <c r="AB115" s="29">
        <v>475</v>
      </c>
      <c r="AC115" s="30">
        <v>44.362299999999998</v>
      </c>
      <c r="AD115" s="30">
        <v>0.1778939348370927</v>
      </c>
      <c r="AE115" s="29">
        <v>1</v>
      </c>
    </row>
    <row r="116" spans="2:31" x14ac:dyDescent="0.2">
      <c r="B116" s="27">
        <v>280</v>
      </c>
      <c r="C116" s="28" t="s">
        <v>537</v>
      </c>
      <c r="D116" s="28" t="s">
        <v>380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-81.801900000000003</v>
      </c>
      <c r="N116" s="30">
        <v>0.32802766917293236</v>
      </c>
      <c r="O116" s="29">
        <v>1</v>
      </c>
      <c r="R116" s="27">
        <v>280</v>
      </c>
      <c r="S116" s="28" t="s">
        <v>537</v>
      </c>
      <c r="T116" s="28" t="s">
        <v>380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-81.793700000000001</v>
      </c>
      <c r="AD116" s="30">
        <v>0.32799478696741852</v>
      </c>
      <c r="AE116" s="29">
        <v>1</v>
      </c>
    </row>
    <row r="117" spans="2:31" x14ac:dyDescent="0.2">
      <c r="B117" s="27">
        <v>280</v>
      </c>
      <c r="C117" s="28" t="s">
        <v>538</v>
      </c>
      <c r="D117" s="28" t="s">
        <v>382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60.703400000000002</v>
      </c>
      <c r="N117" s="30">
        <v>0.24342215538847117</v>
      </c>
      <c r="O117" s="29">
        <v>1</v>
      </c>
      <c r="R117" s="27">
        <v>280</v>
      </c>
      <c r="S117" s="28" t="s">
        <v>538</v>
      </c>
      <c r="T117" s="28" t="s">
        <v>382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56.239400000000003</v>
      </c>
      <c r="AD117" s="30">
        <v>0.22552140350877192</v>
      </c>
      <c r="AE117" s="29">
        <v>1</v>
      </c>
    </row>
    <row r="118" spans="2:31" x14ac:dyDescent="0.2">
      <c r="B118" s="27">
        <v>283</v>
      </c>
      <c r="C118" s="28" t="s">
        <v>540</v>
      </c>
      <c r="D118" s="28" t="s">
        <v>380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-81.795900000000003</v>
      </c>
      <c r="N118" s="30">
        <v>0.32800360902255643</v>
      </c>
      <c r="O118" s="29">
        <v>1</v>
      </c>
      <c r="R118" s="27">
        <v>283</v>
      </c>
      <c r="S118" s="28" t="s">
        <v>540</v>
      </c>
      <c r="T118" s="28" t="s">
        <v>380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-81.788300000000007</v>
      </c>
      <c r="AD118" s="30">
        <v>0.32797313283208024</v>
      </c>
      <c r="AE118" s="29">
        <v>1</v>
      </c>
    </row>
    <row r="119" spans="2:31" x14ac:dyDescent="0.2">
      <c r="B119" s="27">
        <v>283</v>
      </c>
      <c r="C119" s="28" t="s">
        <v>541</v>
      </c>
      <c r="D119" s="28" t="s">
        <v>382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60.703400000000002</v>
      </c>
      <c r="N119" s="30">
        <v>0.24342215538847117</v>
      </c>
      <c r="O119" s="29">
        <v>1</v>
      </c>
      <c r="R119" s="27">
        <v>283</v>
      </c>
      <c r="S119" s="28" t="s">
        <v>541</v>
      </c>
      <c r="T119" s="28" t="s">
        <v>382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56.237499999999997</v>
      </c>
      <c r="AD119" s="30">
        <v>0.22551378446115289</v>
      </c>
      <c r="AE119" s="29">
        <v>1</v>
      </c>
    </row>
    <row r="120" spans="2:31" x14ac:dyDescent="0.2">
      <c r="B120" s="27">
        <v>286</v>
      </c>
      <c r="C120" s="28" t="s">
        <v>543</v>
      </c>
      <c r="D120" s="28" t="s">
        <v>380</v>
      </c>
      <c r="E120" s="28">
        <v>1E-4</v>
      </c>
      <c r="F120" s="28">
        <v>2.8500000000000001E-2</v>
      </c>
      <c r="G120" s="28">
        <v>3.7900000000000003E-2</v>
      </c>
      <c r="H120" s="28">
        <v>-1E-4</v>
      </c>
      <c r="I120" s="28">
        <v>-2.9000000000000001E-2</v>
      </c>
      <c r="J120" s="28">
        <v>-3.8600000000000002E-2</v>
      </c>
      <c r="K120" s="29">
        <v>300</v>
      </c>
      <c r="L120" s="29">
        <v>475</v>
      </c>
      <c r="M120" s="30">
        <v>-87.086799999999997</v>
      </c>
      <c r="N120" s="30">
        <v>0.34922025062656642</v>
      </c>
      <c r="O120" s="29">
        <v>1</v>
      </c>
      <c r="R120" s="27">
        <v>286</v>
      </c>
      <c r="S120" s="28" t="s">
        <v>543</v>
      </c>
      <c r="T120" s="28" t="s">
        <v>380</v>
      </c>
      <c r="U120" s="28">
        <v>1E-4</v>
      </c>
      <c r="V120" s="28">
        <v>2.8500000000000001E-2</v>
      </c>
      <c r="W120" s="28">
        <v>3.7900000000000003E-2</v>
      </c>
      <c r="X120" s="28">
        <v>-1E-4</v>
      </c>
      <c r="Y120" s="28">
        <v>-2.9000000000000001E-2</v>
      </c>
      <c r="Z120" s="28">
        <v>-3.8600000000000002E-2</v>
      </c>
      <c r="AA120" s="29">
        <v>300</v>
      </c>
      <c r="AB120" s="29">
        <v>475</v>
      </c>
      <c r="AC120" s="30">
        <v>-87.078800000000001</v>
      </c>
      <c r="AD120" s="30">
        <v>0.34918817042606515</v>
      </c>
      <c r="AE120" s="29">
        <v>1</v>
      </c>
    </row>
    <row r="121" spans="2:31" x14ac:dyDescent="0.2">
      <c r="B121" s="27">
        <v>286</v>
      </c>
      <c r="C121" s="28" t="s">
        <v>544</v>
      </c>
      <c r="D121" s="28" t="s">
        <v>382</v>
      </c>
      <c r="E121" s="28">
        <v>1E-4</v>
      </c>
      <c r="F121" s="28">
        <v>2.8500000000000001E-2</v>
      </c>
      <c r="G121" s="28">
        <v>3.7900000000000003E-2</v>
      </c>
      <c r="H121" s="28">
        <v>-1E-4</v>
      </c>
      <c r="I121" s="28">
        <v>-2.9000000000000001E-2</v>
      </c>
      <c r="J121" s="28">
        <v>-3.8600000000000002E-2</v>
      </c>
      <c r="K121" s="29">
        <v>300</v>
      </c>
      <c r="L121" s="29">
        <v>475</v>
      </c>
      <c r="M121" s="30">
        <v>60.6601</v>
      </c>
      <c r="N121" s="30">
        <v>0.24324852130325814</v>
      </c>
      <c r="O121" s="29">
        <v>1</v>
      </c>
      <c r="R121" s="27">
        <v>286</v>
      </c>
      <c r="S121" s="28" t="s">
        <v>544</v>
      </c>
      <c r="T121" s="28" t="s">
        <v>382</v>
      </c>
      <c r="U121" s="28">
        <v>1E-4</v>
      </c>
      <c r="V121" s="28">
        <v>2.8500000000000001E-2</v>
      </c>
      <c r="W121" s="28">
        <v>3.7900000000000003E-2</v>
      </c>
      <c r="X121" s="28">
        <v>-1E-4</v>
      </c>
      <c r="Y121" s="28">
        <v>-2.9000000000000001E-2</v>
      </c>
      <c r="Z121" s="28">
        <v>-3.8600000000000002E-2</v>
      </c>
      <c r="AA121" s="29">
        <v>300</v>
      </c>
      <c r="AB121" s="29">
        <v>475</v>
      </c>
      <c r="AC121" s="30">
        <v>56.237499999999997</v>
      </c>
      <c r="AD121" s="30">
        <v>0.22551378446115289</v>
      </c>
      <c r="AE121" s="29">
        <v>1</v>
      </c>
    </row>
    <row r="122" spans="2:31" x14ac:dyDescent="0.2">
      <c r="B122" s="27">
        <v>289</v>
      </c>
      <c r="C122" s="28" t="s">
        <v>546</v>
      </c>
      <c r="D122" s="28" t="s">
        <v>380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-65.131299999999996</v>
      </c>
      <c r="N122" s="30">
        <v>0.2611781453634085</v>
      </c>
      <c r="O122" s="29">
        <v>1</v>
      </c>
      <c r="R122" s="27">
        <v>289</v>
      </c>
      <c r="S122" s="28" t="s">
        <v>546</v>
      </c>
      <c r="T122" s="28" t="s">
        <v>380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-65.121899999999997</v>
      </c>
      <c r="AD122" s="30">
        <v>0.26114045112781953</v>
      </c>
      <c r="AE122" s="29">
        <v>1</v>
      </c>
    </row>
    <row r="123" spans="2:31" x14ac:dyDescent="0.2">
      <c r="B123" s="27">
        <v>289</v>
      </c>
      <c r="C123" s="28" t="s">
        <v>547</v>
      </c>
      <c r="D123" s="28" t="s">
        <v>382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60.6601</v>
      </c>
      <c r="N123" s="30">
        <v>0.24324852130325814</v>
      </c>
      <c r="O123" s="29">
        <v>1</v>
      </c>
      <c r="R123" s="27">
        <v>289</v>
      </c>
      <c r="S123" s="28" t="s">
        <v>547</v>
      </c>
      <c r="T123" s="28" t="s">
        <v>382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44.3431</v>
      </c>
      <c r="AD123" s="30">
        <v>0.17781694235588971</v>
      </c>
      <c r="AE123" s="29">
        <v>1</v>
      </c>
    </row>
    <row r="124" spans="2:31" x14ac:dyDescent="0.2">
      <c r="B124" s="27">
        <v>301</v>
      </c>
      <c r="C124" s="28" t="s">
        <v>549</v>
      </c>
      <c r="D124" s="28" t="s">
        <v>380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-44.896599999999999</v>
      </c>
      <c r="N124" s="30">
        <v>0.18003649122807017</v>
      </c>
      <c r="O124" s="29">
        <v>1</v>
      </c>
      <c r="R124" s="27">
        <v>301</v>
      </c>
      <c r="S124" s="28" t="s">
        <v>549</v>
      </c>
      <c r="T124" s="28" t="s">
        <v>380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-44.918799999999997</v>
      </c>
      <c r="AD124" s="30">
        <v>0.18012551378446112</v>
      </c>
      <c r="AE124" s="29">
        <v>1</v>
      </c>
    </row>
    <row r="125" spans="2:31" x14ac:dyDescent="0.2">
      <c r="B125" s="27">
        <v>301</v>
      </c>
      <c r="C125" s="28" t="s">
        <v>550</v>
      </c>
      <c r="D125" s="28" t="s">
        <v>382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60.6601</v>
      </c>
      <c r="N125" s="30">
        <v>0.24324852130325814</v>
      </c>
      <c r="O125" s="29">
        <v>1</v>
      </c>
      <c r="R125" s="27">
        <v>301</v>
      </c>
      <c r="S125" s="28" t="s">
        <v>550</v>
      </c>
      <c r="T125" s="28" t="s">
        <v>382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44.3431</v>
      </c>
      <c r="AD125" s="30">
        <v>0.17781694235588971</v>
      </c>
      <c r="AE125" s="29">
        <v>1</v>
      </c>
    </row>
    <row r="126" spans="2:31" x14ac:dyDescent="0.2">
      <c r="B126" s="27">
        <v>302</v>
      </c>
      <c r="C126" s="28" t="s">
        <v>552</v>
      </c>
      <c r="D126" s="28" t="s">
        <v>380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-42.135100000000001</v>
      </c>
      <c r="N126" s="30">
        <v>0.16896280701754385</v>
      </c>
      <c r="O126" s="29">
        <v>1</v>
      </c>
      <c r="R126" s="27">
        <v>302</v>
      </c>
      <c r="S126" s="28" t="s">
        <v>552</v>
      </c>
      <c r="T126" s="28" t="s">
        <v>380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-42.156399999999998</v>
      </c>
      <c r="AD126" s="30">
        <v>0.16904822055137844</v>
      </c>
      <c r="AE126" s="29">
        <v>1</v>
      </c>
    </row>
    <row r="127" spans="2:31" x14ac:dyDescent="0.2">
      <c r="B127" s="27">
        <v>302</v>
      </c>
      <c r="C127" s="28" t="s">
        <v>553</v>
      </c>
      <c r="D127" s="28" t="s">
        <v>382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60.6601</v>
      </c>
      <c r="N127" s="30">
        <v>0.24324852130325814</v>
      </c>
      <c r="O127" s="29">
        <v>1</v>
      </c>
      <c r="R127" s="27">
        <v>302</v>
      </c>
      <c r="S127" s="28" t="s">
        <v>553</v>
      </c>
      <c r="T127" s="28" t="s">
        <v>382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44.3431</v>
      </c>
      <c r="AD127" s="30">
        <v>0.17781694235588971</v>
      </c>
      <c r="AE127" s="29">
        <v>1</v>
      </c>
    </row>
    <row r="128" spans="2:31" x14ac:dyDescent="0.2">
      <c r="B128" s="27">
        <v>303</v>
      </c>
      <c r="C128" s="28" t="s">
        <v>554</v>
      </c>
      <c r="D128" s="28" t="s">
        <v>380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-46.011600000000001</v>
      </c>
      <c r="N128" s="30">
        <v>0.18450766917293232</v>
      </c>
      <c r="O128" s="29">
        <v>1</v>
      </c>
      <c r="R128" s="27">
        <v>303</v>
      </c>
      <c r="S128" s="28" t="s">
        <v>554</v>
      </c>
      <c r="T128" s="28" t="s">
        <v>380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-46.0321</v>
      </c>
      <c r="AD128" s="30">
        <v>0.18458987468671678</v>
      </c>
      <c r="AE128" s="29">
        <v>1</v>
      </c>
    </row>
    <row r="129" spans="2:31" x14ac:dyDescent="0.2">
      <c r="B129" s="27">
        <v>303</v>
      </c>
      <c r="C129" s="28" t="s">
        <v>555</v>
      </c>
      <c r="D129" s="28" t="s">
        <v>382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60.6601</v>
      </c>
      <c r="N129" s="30">
        <v>0.24324852130325814</v>
      </c>
      <c r="O129" s="29">
        <v>1</v>
      </c>
      <c r="R129" s="27">
        <v>303</v>
      </c>
      <c r="S129" s="28" t="s">
        <v>555</v>
      </c>
      <c r="T129" s="28" t="s">
        <v>382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44.3431</v>
      </c>
      <c r="AD129" s="30">
        <v>0.17781694235588971</v>
      </c>
      <c r="AE129" s="29">
        <v>1</v>
      </c>
    </row>
    <row r="130" spans="2:31" x14ac:dyDescent="0.2">
      <c r="B130" s="27">
        <v>304</v>
      </c>
      <c r="C130" s="28" t="s">
        <v>556</v>
      </c>
      <c r="D130" s="28" t="s">
        <v>380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-45.105699999999999</v>
      </c>
      <c r="N130" s="30">
        <v>0.18087498746867167</v>
      </c>
      <c r="O130" s="29">
        <v>1</v>
      </c>
      <c r="R130" s="27">
        <v>304</v>
      </c>
      <c r="S130" s="28" t="s">
        <v>556</v>
      </c>
      <c r="T130" s="28" t="s">
        <v>380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-45.127699999999997</v>
      </c>
      <c r="AD130" s="30">
        <v>0.18096320802005011</v>
      </c>
      <c r="AE130" s="29">
        <v>1</v>
      </c>
    </row>
    <row r="131" spans="2:31" x14ac:dyDescent="0.2">
      <c r="B131" s="27">
        <v>304</v>
      </c>
      <c r="C131" s="28" t="s">
        <v>557</v>
      </c>
      <c r="D131" s="28" t="s">
        <v>382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60.6601</v>
      </c>
      <c r="N131" s="30">
        <v>0.24324852130325814</v>
      </c>
      <c r="O131" s="29">
        <v>1</v>
      </c>
      <c r="R131" s="27">
        <v>304</v>
      </c>
      <c r="S131" s="28" t="s">
        <v>557</v>
      </c>
      <c r="T131" s="28" t="s">
        <v>382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44.3431</v>
      </c>
      <c r="AD131" s="30">
        <v>0.17781694235588971</v>
      </c>
      <c r="AE131" s="29">
        <v>1</v>
      </c>
    </row>
    <row r="132" spans="2:31" x14ac:dyDescent="0.2">
      <c r="B132" s="27">
        <v>305</v>
      </c>
      <c r="C132" s="28" t="s">
        <v>559</v>
      </c>
      <c r="D132" s="28" t="s">
        <v>380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-42.996200000000002</v>
      </c>
      <c r="N132" s="30">
        <v>0.17241583959899751</v>
      </c>
      <c r="O132" s="29">
        <v>1</v>
      </c>
      <c r="R132" s="27">
        <v>305</v>
      </c>
      <c r="S132" s="28" t="s">
        <v>559</v>
      </c>
      <c r="T132" s="28" t="s">
        <v>380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-43.0182</v>
      </c>
      <c r="AD132" s="30">
        <v>0.17250406015037592</v>
      </c>
      <c r="AE132" s="29">
        <v>1</v>
      </c>
    </row>
    <row r="133" spans="2:31" x14ac:dyDescent="0.2">
      <c r="B133" s="27">
        <v>305</v>
      </c>
      <c r="C133" s="28" t="s">
        <v>560</v>
      </c>
      <c r="D133" s="28" t="s">
        <v>382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60.6601</v>
      </c>
      <c r="N133" s="30">
        <v>0.24324852130325814</v>
      </c>
      <c r="O133" s="29">
        <v>1</v>
      </c>
      <c r="R133" s="27">
        <v>305</v>
      </c>
      <c r="S133" s="28" t="s">
        <v>560</v>
      </c>
      <c r="T133" s="28" t="s">
        <v>382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44.3431</v>
      </c>
      <c r="AD133" s="30">
        <v>0.17781694235588971</v>
      </c>
      <c r="AE133" s="29">
        <v>1</v>
      </c>
    </row>
    <row r="134" spans="2:31" x14ac:dyDescent="0.2">
      <c r="B134" s="27">
        <v>275</v>
      </c>
      <c r="C134" s="28" t="s">
        <v>562</v>
      </c>
      <c r="D134" s="28" t="s">
        <v>380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-64.781499999999994</v>
      </c>
      <c r="N134" s="30">
        <v>0.25977543859649121</v>
      </c>
      <c r="O134" s="29">
        <v>1</v>
      </c>
      <c r="R134" s="27">
        <v>275</v>
      </c>
      <c r="S134" s="28" t="s">
        <v>562</v>
      </c>
      <c r="T134" s="28" t="s">
        <v>380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-64.778800000000004</v>
      </c>
      <c r="AD134" s="30">
        <v>0.25976461152882208</v>
      </c>
      <c r="AE134" s="29">
        <v>1</v>
      </c>
    </row>
    <row r="135" spans="2:31" x14ac:dyDescent="0.2">
      <c r="B135" s="27">
        <v>275</v>
      </c>
      <c r="C135" s="28" t="s">
        <v>563</v>
      </c>
      <c r="D135" s="28" t="s">
        <v>382</v>
      </c>
      <c r="E135" s="28">
        <v>1E-4</v>
      </c>
      <c r="F135" s="28">
        <v>2.8400000000000002E-2</v>
      </c>
      <c r="G135" s="28">
        <v>3.7900000000000003E-2</v>
      </c>
      <c r="H135" s="28">
        <v>-1E-4</v>
      </c>
      <c r="I135" s="28">
        <v>-2.8400000000000002E-2</v>
      </c>
      <c r="J135" s="28">
        <v>-3.7900000000000003E-2</v>
      </c>
      <c r="K135" s="29">
        <v>300</v>
      </c>
      <c r="L135" s="29">
        <v>475</v>
      </c>
      <c r="M135" s="30">
        <v>60.6601</v>
      </c>
      <c r="N135" s="30">
        <v>0.24324852130325814</v>
      </c>
      <c r="O135" s="29">
        <v>1</v>
      </c>
      <c r="R135" s="27">
        <v>275</v>
      </c>
      <c r="S135" s="28" t="s">
        <v>563</v>
      </c>
      <c r="T135" s="28" t="s">
        <v>382</v>
      </c>
      <c r="U135" s="28">
        <v>1E-4</v>
      </c>
      <c r="V135" s="28">
        <v>2.8400000000000002E-2</v>
      </c>
      <c r="W135" s="28">
        <v>3.7900000000000003E-2</v>
      </c>
      <c r="X135" s="28">
        <v>-1E-4</v>
      </c>
      <c r="Y135" s="28">
        <v>-2.8400000000000002E-2</v>
      </c>
      <c r="Z135" s="28">
        <v>-3.7900000000000003E-2</v>
      </c>
      <c r="AA135" s="29">
        <v>300</v>
      </c>
      <c r="AB135" s="29">
        <v>475</v>
      </c>
      <c r="AC135" s="30">
        <v>44.3431</v>
      </c>
      <c r="AD135" s="30">
        <v>0.17781694235588971</v>
      </c>
      <c r="AE135" s="29">
        <v>1</v>
      </c>
    </row>
    <row r="136" spans="2:31" x14ac:dyDescent="0.2">
      <c r="B136" s="27">
        <v>278</v>
      </c>
      <c r="C136" s="28" t="s">
        <v>565</v>
      </c>
      <c r="D136" s="28" t="s">
        <v>380</v>
      </c>
      <c r="E136" s="28">
        <v>1E-4</v>
      </c>
      <c r="F136" s="28">
        <v>2.8500000000000001E-2</v>
      </c>
      <c r="G136" s="28">
        <v>3.7900000000000003E-2</v>
      </c>
      <c r="H136" s="28">
        <v>-1E-4</v>
      </c>
      <c r="I136" s="28">
        <v>-2.9000000000000001E-2</v>
      </c>
      <c r="J136" s="28">
        <v>-3.8600000000000002E-2</v>
      </c>
      <c r="K136" s="29">
        <v>300</v>
      </c>
      <c r="L136" s="29">
        <v>475</v>
      </c>
      <c r="M136" s="30">
        <v>-86.202600000000004</v>
      </c>
      <c r="N136" s="30">
        <v>0.34567458646616545</v>
      </c>
      <c r="O136" s="29">
        <v>1</v>
      </c>
      <c r="R136" s="27">
        <v>278</v>
      </c>
      <c r="S136" s="28" t="s">
        <v>565</v>
      </c>
      <c r="T136" s="28" t="s">
        <v>380</v>
      </c>
      <c r="U136" s="28">
        <v>1E-4</v>
      </c>
      <c r="V136" s="28">
        <v>2.8500000000000001E-2</v>
      </c>
      <c r="W136" s="28">
        <v>3.7900000000000003E-2</v>
      </c>
      <c r="X136" s="28">
        <v>-1E-4</v>
      </c>
      <c r="Y136" s="28">
        <v>-2.9000000000000001E-2</v>
      </c>
      <c r="Z136" s="28">
        <v>-3.8600000000000002E-2</v>
      </c>
      <c r="AA136" s="29">
        <v>300</v>
      </c>
      <c r="AB136" s="29">
        <v>475</v>
      </c>
      <c r="AC136" s="30">
        <v>-86.194699999999997</v>
      </c>
      <c r="AD136" s="30">
        <v>0.34564290726817043</v>
      </c>
      <c r="AE136" s="29">
        <v>1</v>
      </c>
    </row>
    <row r="137" spans="2:31" x14ac:dyDescent="0.2">
      <c r="B137" s="27">
        <v>278</v>
      </c>
      <c r="C137" s="28" t="s">
        <v>566</v>
      </c>
      <c r="D137" s="28" t="s">
        <v>382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60.6601</v>
      </c>
      <c r="N137" s="30">
        <v>0.24324852130325814</v>
      </c>
      <c r="O137" s="29">
        <v>1</v>
      </c>
      <c r="R137" s="27">
        <v>278</v>
      </c>
      <c r="S137" s="28" t="s">
        <v>566</v>
      </c>
      <c r="T137" s="28" t="s">
        <v>382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44.3431</v>
      </c>
      <c r="AD137" s="30">
        <v>0.17781694235588971</v>
      </c>
      <c r="AE137" s="29">
        <v>1</v>
      </c>
    </row>
    <row r="138" spans="2:31" x14ac:dyDescent="0.2">
      <c r="B138" s="27">
        <v>281</v>
      </c>
      <c r="C138" s="28" t="s">
        <v>568</v>
      </c>
      <c r="D138" s="28" t="s">
        <v>380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-81.386099999999999</v>
      </c>
      <c r="N138" s="30">
        <v>0.32636030075187972</v>
      </c>
      <c r="O138" s="29">
        <v>1</v>
      </c>
      <c r="R138" s="27">
        <v>281</v>
      </c>
      <c r="S138" s="28" t="s">
        <v>568</v>
      </c>
      <c r="T138" s="28" t="s">
        <v>380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-81.378</v>
      </c>
      <c r="AD138" s="30">
        <v>0.32632781954887219</v>
      </c>
      <c r="AE138" s="29">
        <v>1</v>
      </c>
    </row>
    <row r="139" spans="2:31" x14ac:dyDescent="0.2">
      <c r="B139" s="27">
        <v>281</v>
      </c>
      <c r="C139" s="28" t="s">
        <v>569</v>
      </c>
      <c r="D139" s="28" t="s">
        <v>382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60.6601</v>
      </c>
      <c r="N139" s="30">
        <v>0.24324852130325814</v>
      </c>
      <c r="O139" s="29">
        <v>1</v>
      </c>
      <c r="R139" s="27">
        <v>281</v>
      </c>
      <c r="S139" s="28" t="s">
        <v>569</v>
      </c>
      <c r="T139" s="28" t="s">
        <v>382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44.3431</v>
      </c>
      <c r="AD139" s="30">
        <v>0.17781694235588971</v>
      </c>
      <c r="AE139" s="29">
        <v>1</v>
      </c>
    </row>
    <row r="140" spans="2:31" x14ac:dyDescent="0.2">
      <c r="B140" s="27">
        <v>284</v>
      </c>
      <c r="C140" s="28" t="s">
        <v>571</v>
      </c>
      <c r="D140" s="28" t="s">
        <v>380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-81.3733</v>
      </c>
      <c r="N140" s="30">
        <v>0.3263089724310777</v>
      </c>
      <c r="O140" s="29">
        <v>1</v>
      </c>
      <c r="R140" s="27">
        <v>284</v>
      </c>
      <c r="S140" s="28" t="s">
        <v>571</v>
      </c>
      <c r="T140" s="28" t="s">
        <v>380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-81.365899999999996</v>
      </c>
      <c r="AD140" s="30">
        <v>0.32627929824561402</v>
      </c>
      <c r="AE140" s="29">
        <v>1</v>
      </c>
    </row>
    <row r="141" spans="2:31" x14ac:dyDescent="0.2">
      <c r="B141" s="27">
        <v>284</v>
      </c>
      <c r="C141" s="28" t="s">
        <v>572</v>
      </c>
      <c r="D141" s="28" t="s">
        <v>382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60.6601</v>
      </c>
      <c r="N141" s="30">
        <v>0.24324852130325814</v>
      </c>
      <c r="O141" s="29">
        <v>1</v>
      </c>
      <c r="R141" s="27">
        <v>284</v>
      </c>
      <c r="S141" s="28" t="s">
        <v>572</v>
      </c>
      <c r="T141" s="28" t="s">
        <v>382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44.3431</v>
      </c>
      <c r="AD141" s="30">
        <v>0.17781694235588971</v>
      </c>
      <c r="AE141" s="29">
        <v>1</v>
      </c>
    </row>
    <row r="142" spans="2:31" x14ac:dyDescent="0.2">
      <c r="B142" s="27">
        <v>287</v>
      </c>
      <c r="C142" s="28" t="s">
        <v>574</v>
      </c>
      <c r="D142" s="28" t="s">
        <v>380</v>
      </c>
      <c r="E142" s="28">
        <v>1E-4</v>
      </c>
      <c r="F142" s="28">
        <v>2.8500000000000001E-2</v>
      </c>
      <c r="G142" s="28">
        <v>3.7900000000000003E-2</v>
      </c>
      <c r="H142" s="28">
        <v>-1E-4</v>
      </c>
      <c r="I142" s="28">
        <v>-2.9000000000000001E-2</v>
      </c>
      <c r="J142" s="28">
        <v>-3.8600000000000002E-2</v>
      </c>
      <c r="K142" s="29">
        <v>300</v>
      </c>
      <c r="L142" s="29">
        <v>475</v>
      </c>
      <c r="M142" s="30">
        <v>-86.166799999999995</v>
      </c>
      <c r="N142" s="30">
        <v>0.34553102756892223</v>
      </c>
      <c r="O142" s="29">
        <v>1</v>
      </c>
      <c r="R142" s="27">
        <v>287</v>
      </c>
      <c r="S142" s="28" t="s">
        <v>574</v>
      </c>
      <c r="T142" s="28" t="s">
        <v>380</v>
      </c>
      <c r="U142" s="28">
        <v>1E-4</v>
      </c>
      <c r="V142" s="28">
        <v>2.8500000000000001E-2</v>
      </c>
      <c r="W142" s="28">
        <v>3.7900000000000003E-2</v>
      </c>
      <c r="X142" s="28">
        <v>-1E-4</v>
      </c>
      <c r="Y142" s="28">
        <v>-2.9000000000000001E-2</v>
      </c>
      <c r="Z142" s="28">
        <v>-3.8600000000000002E-2</v>
      </c>
      <c r="AA142" s="29">
        <v>300</v>
      </c>
      <c r="AB142" s="29">
        <v>475</v>
      </c>
      <c r="AC142" s="30">
        <v>-86.158799999999999</v>
      </c>
      <c r="AD142" s="30">
        <v>0.34549894736842107</v>
      </c>
      <c r="AE142" s="29">
        <v>1</v>
      </c>
    </row>
    <row r="143" spans="2:31" x14ac:dyDescent="0.2">
      <c r="B143" s="27">
        <v>287</v>
      </c>
      <c r="C143" s="28" t="s">
        <v>575</v>
      </c>
      <c r="D143" s="28" t="s">
        <v>382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60.6601</v>
      </c>
      <c r="N143" s="30">
        <v>0.24324852130325814</v>
      </c>
      <c r="O143" s="29">
        <v>1</v>
      </c>
      <c r="R143" s="27">
        <v>287</v>
      </c>
      <c r="S143" s="28" t="s">
        <v>575</v>
      </c>
      <c r="T143" s="28" t="s">
        <v>382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44.3431</v>
      </c>
      <c r="AD143" s="30">
        <v>0.17781694235588971</v>
      </c>
      <c r="AE143" s="29">
        <v>1</v>
      </c>
    </row>
    <row r="144" spans="2:31" x14ac:dyDescent="0.2">
      <c r="B144" s="27">
        <v>290</v>
      </c>
      <c r="C144" s="28" t="s">
        <v>577</v>
      </c>
      <c r="D144" s="28" t="s">
        <v>380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-64.737899999999996</v>
      </c>
      <c r="N144" s="30">
        <v>0.25960060150375935</v>
      </c>
      <c r="O144" s="29">
        <v>1</v>
      </c>
      <c r="R144" s="27">
        <v>290</v>
      </c>
      <c r="S144" s="28" t="s">
        <v>577</v>
      </c>
      <c r="T144" s="28" t="s">
        <v>380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-64.728800000000007</v>
      </c>
      <c r="AD144" s="30">
        <v>0.25956411027568926</v>
      </c>
      <c r="AE144" s="29">
        <v>1</v>
      </c>
    </row>
    <row r="145" spans="2:31" x14ac:dyDescent="0.2">
      <c r="B145" s="27">
        <v>290</v>
      </c>
      <c r="C145" s="28" t="s">
        <v>578</v>
      </c>
      <c r="D145" s="28" t="s">
        <v>382</v>
      </c>
      <c r="E145" s="28">
        <v>1E-4</v>
      </c>
      <c r="F145" s="28">
        <v>2.8400000000000002E-2</v>
      </c>
      <c r="G145" s="28">
        <v>3.7900000000000003E-2</v>
      </c>
      <c r="H145" s="28">
        <v>-1E-4</v>
      </c>
      <c r="I145" s="28">
        <v>-2.8400000000000002E-2</v>
      </c>
      <c r="J145" s="28">
        <v>-3.7900000000000003E-2</v>
      </c>
      <c r="K145" s="29">
        <v>300</v>
      </c>
      <c r="L145" s="29">
        <v>475</v>
      </c>
      <c r="M145" s="30">
        <v>60.6601</v>
      </c>
      <c r="N145" s="30">
        <v>0.24324852130325814</v>
      </c>
      <c r="O145" s="29">
        <v>1</v>
      </c>
      <c r="R145" s="27">
        <v>290</v>
      </c>
      <c r="S145" s="28" t="s">
        <v>578</v>
      </c>
      <c r="T145" s="28" t="s">
        <v>382</v>
      </c>
      <c r="U145" s="28">
        <v>1E-4</v>
      </c>
      <c r="V145" s="28">
        <v>2.8400000000000002E-2</v>
      </c>
      <c r="W145" s="28">
        <v>3.7900000000000003E-2</v>
      </c>
      <c r="X145" s="28">
        <v>-1E-4</v>
      </c>
      <c r="Y145" s="28">
        <v>-2.8400000000000002E-2</v>
      </c>
      <c r="Z145" s="28">
        <v>-3.7900000000000003E-2</v>
      </c>
      <c r="AA145" s="29">
        <v>300</v>
      </c>
      <c r="AB145" s="29">
        <v>475</v>
      </c>
      <c r="AC145" s="30">
        <v>44.3431</v>
      </c>
      <c r="AD145" s="30">
        <v>0.17781694235588971</v>
      </c>
      <c r="AE145" s="29">
        <v>1</v>
      </c>
    </row>
    <row r="146" spans="2:31" x14ac:dyDescent="0.2">
      <c r="B146" s="27">
        <v>306</v>
      </c>
      <c r="C146" s="28" t="s">
        <v>580</v>
      </c>
      <c r="D146" s="28" t="s">
        <v>380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-2.7799999999999998E-2</v>
      </c>
      <c r="J146" s="28">
        <v>-3.6999999999999998E-2</v>
      </c>
      <c r="K146" s="29">
        <v>300</v>
      </c>
      <c r="L146" s="29">
        <v>475</v>
      </c>
      <c r="M146" s="30">
        <v>-34.5745</v>
      </c>
      <c r="N146" s="30">
        <v>0.13864461152882204</v>
      </c>
      <c r="O146" s="29">
        <v>1</v>
      </c>
      <c r="R146" s="27">
        <v>306</v>
      </c>
      <c r="S146" s="28" t="s">
        <v>580</v>
      </c>
      <c r="T146" s="28" t="s">
        <v>380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-2.7799999999999998E-2</v>
      </c>
      <c r="Z146" s="28">
        <v>-3.6999999999999998E-2</v>
      </c>
      <c r="AA146" s="29">
        <v>300</v>
      </c>
      <c r="AB146" s="29">
        <v>475</v>
      </c>
      <c r="AC146" s="30">
        <v>-34.591099999999997</v>
      </c>
      <c r="AD146" s="30">
        <v>0.13871117794486215</v>
      </c>
      <c r="AE146" s="29">
        <v>1</v>
      </c>
    </row>
    <row r="147" spans="2:31" x14ac:dyDescent="0.2">
      <c r="B147" s="27">
        <v>306</v>
      </c>
      <c r="C147" s="28" t="s">
        <v>581</v>
      </c>
      <c r="D147" s="28" t="s">
        <v>382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60.6601</v>
      </c>
      <c r="N147" s="30">
        <v>0.24324852130325814</v>
      </c>
      <c r="O147" s="29">
        <v>1</v>
      </c>
      <c r="R147" s="27">
        <v>306</v>
      </c>
      <c r="S147" s="28" t="s">
        <v>581</v>
      </c>
      <c r="T147" s="28" t="s">
        <v>382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44.3431</v>
      </c>
      <c r="AD147" s="30">
        <v>0.17781694235588971</v>
      </c>
      <c r="AE147" s="29">
        <v>1</v>
      </c>
    </row>
    <row r="148" spans="2:31" x14ac:dyDescent="0.2">
      <c r="B148" s="27">
        <v>307</v>
      </c>
      <c r="C148" s="28" t="s">
        <v>583</v>
      </c>
      <c r="D148" s="28" t="s">
        <v>380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-37.248699999999999</v>
      </c>
      <c r="N148" s="30">
        <v>0.14936822055137844</v>
      </c>
      <c r="O148" s="29">
        <v>1</v>
      </c>
      <c r="R148" s="27">
        <v>307</v>
      </c>
      <c r="S148" s="28" t="s">
        <v>583</v>
      </c>
      <c r="T148" s="28" t="s">
        <v>380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-37.268099999999997</v>
      </c>
      <c r="AD148" s="30">
        <v>0.14944601503759397</v>
      </c>
      <c r="AE148" s="29">
        <v>1</v>
      </c>
    </row>
    <row r="149" spans="2:31" x14ac:dyDescent="0.2">
      <c r="B149" s="27">
        <v>307</v>
      </c>
      <c r="C149" s="28" t="s">
        <v>584</v>
      </c>
      <c r="D149" s="28" t="s">
        <v>382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60.6601</v>
      </c>
      <c r="N149" s="30">
        <v>0.24324852130325814</v>
      </c>
      <c r="O149" s="29">
        <v>1</v>
      </c>
      <c r="R149" s="27">
        <v>307</v>
      </c>
      <c r="S149" s="28" t="s">
        <v>584</v>
      </c>
      <c r="T149" s="28" t="s">
        <v>382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44.3431</v>
      </c>
      <c r="AD149" s="30">
        <v>0.17781694235588971</v>
      </c>
      <c r="AE149" s="29">
        <v>1</v>
      </c>
    </row>
    <row r="150" spans="2:31" x14ac:dyDescent="0.2">
      <c r="B150" s="27">
        <v>308</v>
      </c>
      <c r="C150" s="28" t="s">
        <v>585</v>
      </c>
      <c r="D150" s="28" t="s">
        <v>380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-34.525300000000001</v>
      </c>
      <c r="N150" s="30">
        <v>0.13844731829573936</v>
      </c>
      <c r="O150" s="29">
        <v>1</v>
      </c>
      <c r="R150" s="27">
        <v>308</v>
      </c>
      <c r="S150" s="28" t="s">
        <v>585</v>
      </c>
      <c r="T150" s="28" t="s">
        <v>380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-34.544800000000002</v>
      </c>
      <c r="AD150" s="30">
        <v>0.13852551378446115</v>
      </c>
      <c r="AE150" s="29">
        <v>1</v>
      </c>
    </row>
    <row r="151" spans="2:31" x14ac:dyDescent="0.2">
      <c r="B151" s="27">
        <v>308</v>
      </c>
      <c r="C151" s="28" t="s">
        <v>586</v>
      </c>
      <c r="D151" s="28" t="s">
        <v>382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60.6601</v>
      </c>
      <c r="N151" s="30">
        <v>0.24324852130325814</v>
      </c>
      <c r="O151" s="29">
        <v>1</v>
      </c>
      <c r="R151" s="27">
        <v>308</v>
      </c>
      <c r="S151" s="28" t="s">
        <v>586</v>
      </c>
      <c r="T151" s="28" t="s">
        <v>382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44.3431</v>
      </c>
      <c r="AD151" s="30">
        <v>0.17781694235588971</v>
      </c>
      <c r="AE151" s="29">
        <v>1</v>
      </c>
    </row>
    <row r="152" spans="2:31" x14ac:dyDescent="0.2">
      <c r="B152" s="27">
        <v>309</v>
      </c>
      <c r="C152" s="28" t="s">
        <v>587</v>
      </c>
      <c r="D152" s="28" t="s">
        <v>380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-34.305199999999999</v>
      </c>
      <c r="N152" s="30">
        <v>0.13756471177944862</v>
      </c>
      <c r="O152" s="29">
        <v>1</v>
      </c>
      <c r="R152" s="27">
        <v>309</v>
      </c>
      <c r="S152" s="28" t="s">
        <v>587</v>
      </c>
      <c r="T152" s="28" t="s">
        <v>380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-34.323999999999998</v>
      </c>
      <c r="AD152" s="30">
        <v>0.13764010025062656</v>
      </c>
      <c r="AE152" s="29">
        <v>1</v>
      </c>
    </row>
    <row r="153" spans="2:31" x14ac:dyDescent="0.2">
      <c r="B153" s="27">
        <v>309</v>
      </c>
      <c r="C153" s="28" t="s">
        <v>588</v>
      </c>
      <c r="D153" s="28" t="s">
        <v>382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60.6601</v>
      </c>
      <c r="N153" s="30">
        <v>0.24324852130325814</v>
      </c>
      <c r="O153" s="29">
        <v>1</v>
      </c>
      <c r="R153" s="27">
        <v>309</v>
      </c>
      <c r="S153" s="28" t="s">
        <v>588</v>
      </c>
      <c r="T153" s="28" t="s">
        <v>382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44.3431</v>
      </c>
      <c r="AD153" s="30">
        <v>0.17781694235588971</v>
      </c>
      <c r="AE153" s="29">
        <v>1</v>
      </c>
    </row>
    <row r="154" spans="2:31" x14ac:dyDescent="0.2">
      <c r="B154" s="27">
        <v>310</v>
      </c>
      <c r="C154" s="28" t="s">
        <v>590</v>
      </c>
      <c r="D154" s="28" t="s">
        <v>380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-37.773699999999998</v>
      </c>
      <c r="N154" s="30">
        <v>0.15147348370927316</v>
      </c>
      <c r="O154" s="29">
        <v>1</v>
      </c>
      <c r="R154" s="27">
        <v>310</v>
      </c>
      <c r="S154" s="28" t="s">
        <v>590</v>
      </c>
      <c r="T154" s="28" t="s">
        <v>380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-37.790700000000001</v>
      </c>
      <c r="AD154" s="30">
        <v>0.15154165413533835</v>
      </c>
      <c r="AE154" s="29">
        <v>1</v>
      </c>
    </row>
    <row r="155" spans="2:31" x14ac:dyDescent="0.2">
      <c r="B155" s="27">
        <v>310</v>
      </c>
      <c r="C155" s="28" t="s">
        <v>591</v>
      </c>
      <c r="D155" s="28" t="s">
        <v>382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-2.7799999999999998E-2</v>
      </c>
      <c r="J155" s="28">
        <v>-3.6999999999999998E-2</v>
      </c>
      <c r="K155" s="29">
        <v>300</v>
      </c>
      <c r="L155" s="29">
        <v>475</v>
      </c>
      <c r="M155" s="30">
        <v>60.6601</v>
      </c>
      <c r="N155" s="30">
        <v>0.24324852130325814</v>
      </c>
      <c r="O155" s="29">
        <v>1</v>
      </c>
      <c r="R155" s="27">
        <v>310</v>
      </c>
      <c r="S155" s="28" t="s">
        <v>591</v>
      </c>
      <c r="T155" s="28" t="s">
        <v>382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-2.7799999999999998E-2</v>
      </c>
      <c r="Z155" s="28">
        <v>-3.6999999999999998E-2</v>
      </c>
      <c r="AA155" s="29">
        <v>300</v>
      </c>
      <c r="AB155" s="29">
        <v>475</v>
      </c>
      <c r="AC155" s="30">
        <v>44.3431</v>
      </c>
      <c r="AD155" s="30">
        <v>0.17781694235588971</v>
      </c>
      <c r="AE155" s="29">
        <v>1</v>
      </c>
    </row>
    <row r="156" spans="2:31" x14ac:dyDescent="0.2">
      <c r="B156" s="27">
        <v>105</v>
      </c>
      <c r="C156" s="28" t="s">
        <v>593</v>
      </c>
      <c r="D156" s="28" t="s">
        <v>380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-2.7799999999999998E-2</v>
      </c>
      <c r="J156" s="28">
        <v>-3.6999999999999998E-2</v>
      </c>
      <c r="K156" s="29">
        <v>300</v>
      </c>
      <c r="L156" s="29">
        <v>475</v>
      </c>
      <c r="M156" s="30">
        <v>-35.750799999999998</v>
      </c>
      <c r="N156" s="30">
        <v>0.14336160401002504</v>
      </c>
      <c r="O156" s="29">
        <v>1</v>
      </c>
      <c r="R156" s="27">
        <v>105</v>
      </c>
      <c r="S156" s="28" t="s">
        <v>593</v>
      </c>
      <c r="T156" s="28" t="s">
        <v>380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-2.7799999999999998E-2</v>
      </c>
      <c r="Z156" s="28">
        <v>-3.6999999999999998E-2</v>
      </c>
      <c r="AA156" s="29">
        <v>300</v>
      </c>
      <c r="AB156" s="29">
        <v>475</v>
      </c>
      <c r="AC156" s="30">
        <v>-35.773800000000001</v>
      </c>
      <c r="AD156" s="30">
        <v>0.14345383458646618</v>
      </c>
      <c r="AE156" s="29">
        <v>1</v>
      </c>
    </row>
    <row r="157" spans="2:31" x14ac:dyDescent="0.2">
      <c r="B157" s="27">
        <v>105</v>
      </c>
      <c r="C157" s="28" t="s">
        <v>594</v>
      </c>
      <c r="D157" s="28" t="s">
        <v>382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60.6601</v>
      </c>
      <c r="N157" s="30">
        <v>0.24324852130325814</v>
      </c>
      <c r="O157" s="29">
        <v>1</v>
      </c>
      <c r="R157" s="27">
        <v>105</v>
      </c>
      <c r="S157" s="28" t="s">
        <v>594</v>
      </c>
      <c r="T157" s="28" t="s">
        <v>382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44.3431</v>
      </c>
      <c r="AD157" s="30">
        <v>0.17781694235588971</v>
      </c>
      <c r="AE157" s="29">
        <v>1</v>
      </c>
    </row>
    <row r="158" spans="2:31" x14ac:dyDescent="0.2">
      <c r="B158" s="27">
        <v>106</v>
      </c>
      <c r="C158" s="28" t="s">
        <v>596</v>
      </c>
      <c r="D158" s="28" t="s">
        <v>380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-39.036000000000001</v>
      </c>
      <c r="N158" s="30">
        <v>0.15653533834586467</v>
      </c>
      <c r="O158" s="29">
        <v>1</v>
      </c>
      <c r="R158" s="27">
        <v>106</v>
      </c>
      <c r="S158" s="28" t="s">
        <v>596</v>
      </c>
      <c r="T158" s="28" t="s">
        <v>380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-39.062600000000003</v>
      </c>
      <c r="AD158" s="30">
        <v>0.15664200501253134</v>
      </c>
      <c r="AE158" s="29">
        <v>1</v>
      </c>
    </row>
    <row r="159" spans="2:31" x14ac:dyDescent="0.2">
      <c r="B159" s="27">
        <v>106</v>
      </c>
      <c r="C159" s="28" t="s">
        <v>597</v>
      </c>
      <c r="D159" s="28" t="s">
        <v>382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60.6601</v>
      </c>
      <c r="N159" s="30">
        <v>0.24324852130325814</v>
      </c>
      <c r="O159" s="29">
        <v>1</v>
      </c>
      <c r="R159" s="27">
        <v>106</v>
      </c>
      <c r="S159" s="28" t="s">
        <v>597</v>
      </c>
      <c r="T159" s="28" t="s">
        <v>382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44.3431</v>
      </c>
      <c r="AD159" s="30">
        <v>0.17781694235588971</v>
      </c>
      <c r="AE159" s="29">
        <v>1</v>
      </c>
    </row>
    <row r="160" spans="2:31" x14ac:dyDescent="0.2">
      <c r="B160" s="27">
        <v>107</v>
      </c>
      <c r="C160" s="28" t="s">
        <v>598</v>
      </c>
      <c r="D160" s="28" t="s">
        <v>380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-36.2012</v>
      </c>
      <c r="N160" s="30">
        <v>0.1451677192982456</v>
      </c>
      <c r="O160" s="29">
        <v>1</v>
      </c>
      <c r="R160" s="27">
        <v>107</v>
      </c>
      <c r="S160" s="28" t="s">
        <v>598</v>
      </c>
      <c r="T160" s="28" t="s">
        <v>380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-36.228299999999997</v>
      </c>
      <c r="AD160" s="30">
        <v>0.1452763909774436</v>
      </c>
      <c r="AE160" s="29">
        <v>1</v>
      </c>
    </row>
    <row r="161" spans="2:31" x14ac:dyDescent="0.2">
      <c r="B161" s="27">
        <v>107</v>
      </c>
      <c r="C161" s="28" t="s">
        <v>599</v>
      </c>
      <c r="D161" s="28" t="s">
        <v>382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60.6601</v>
      </c>
      <c r="N161" s="30">
        <v>0.24324852130325814</v>
      </c>
      <c r="O161" s="29">
        <v>1</v>
      </c>
      <c r="R161" s="27">
        <v>107</v>
      </c>
      <c r="S161" s="28" t="s">
        <v>599</v>
      </c>
      <c r="T161" s="28" t="s">
        <v>382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44.3431</v>
      </c>
      <c r="AD161" s="30">
        <v>0.17781694235588971</v>
      </c>
      <c r="AE161" s="29">
        <v>1</v>
      </c>
    </row>
    <row r="162" spans="2:31" x14ac:dyDescent="0.2">
      <c r="B162" s="27">
        <v>108</v>
      </c>
      <c r="C162" s="28" t="s">
        <v>600</v>
      </c>
      <c r="D162" s="28" t="s">
        <v>380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-35.892499999999998</v>
      </c>
      <c r="N162" s="30">
        <v>0.14392982456140352</v>
      </c>
      <c r="O162" s="29">
        <v>1</v>
      </c>
      <c r="R162" s="27">
        <v>108</v>
      </c>
      <c r="S162" s="28" t="s">
        <v>600</v>
      </c>
      <c r="T162" s="28" t="s">
        <v>380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-35.918500000000002</v>
      </c>
      <c r="AD162" s="30">
        <v>0.14403408521303257</v>
      </c>
      <c r="AE162" s="29">
        <v>1</v>
      </c>
    </row>
    <row r="163" spans="2:31" x14ac:dyDescent="0.2">
      <c r="B163" s="27">
        <v>108</v>
      </c>
      <c r="C163" s="28" t="s">
        <v>601</v>
      </c>
      <c r="D163" s="28" t="s">
        <v>382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60.6601</v>
      </c>
      <c r="N163" s="30">
        <v>0.24324852130325814</v>
      </c>
      <c r="O163" s="29">
        <v>1</v>
      </c>
      <c r="R163" s="27">
        <v>108</v>
      </c>
      <c r="S163" s="28" t="s">
        <v>601</v>
      </c>
      <c r="T163" s="28" t="s">
        <v>382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44.3431</v>
      </c>
      <c r="AD163" s="30">
        <v>0.17781694235588971</v>
      </c>
      <c r="AE163" s="29">
        <v>1</v>
      </c>
    </row>
    <row r="164" spans="2:31" x14ac:dyDescent="0.2">
      <c r="B164" s="27">
        <v>109</v>
      </c>
      <c r="C164" s="28" t="s">
        <v>603</v>
      </c>
      <c r="D164" s="28" t="s">
        <v>380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-39.877699999999997</v>
      </c>
      <c r="N164" s="30">
        <v>0.15991057644110274</v>
      </c>
      <c r="O164" s="29">
        <v>1</v>
      </c>
      <c r="R164" s="27">
        <v>109</v>
      </c>
      <c r="S164" s="28" t="s">
        <v>603</v>
      </c>
      <c r="T164" s="28" t="s">
        <v>380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-39.900700000000001</v>
      </c>
      <c r="AD164" s="30">
        <v>0.16000280701754385</v>
      </c>
      <c r="AE164" s="29">
        <v>1</v>
      </c>
    </row>
    <row r="165" spans="2:31" x14ac:dyDescent="0.2">
      <c r="B165" s="27">
        <v>109</v>
      </c>
      <c r="C165" s="28" t="s">
        <v>604</v>
      </c>
      <c r="D165" s="28" t="s">
        <v>382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-2.7799999999999998E-2</v>
      </c>
      <c r="J165" s="28">
        <v>-3.6999999999999998E-2</v>
      </c>
      <c r="K165" s="29">
        <v>300</v>
      </c>
      <c r="L165" s="29">
        <v>475</v>
      </c>
      <c r="M165" s="30">
        <v>60.6601</v>
      </c>
      <c r="N165" s="30">
        <v>0.24324852130325814</v>
      </c>
      <c r="O165" s="29">
        <v>1</v>
      </c>
      <c r="R165" s="27">
        <v>109</v>
      </c>
      <c r="S165" s="28" t="s">
        <v>604</v>
      </c>
      <c r="T165" s="28" t="s">
        <v>382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-2.7799999999999998E-2</v>
      </c>
      <c r="Z165" s="28">
        <v>-3.6999999999999998E-2</v>
      </c>
      <c r="AA165" s="29">
        <v>300</v>
      </c>
      <c r="AB165" s="29">
        <v>475</v>
      </c>
      <c r="AC165" s="30">
        <v>44.3431</v>
      </c>
      <c r="AD165" s="30">
        <v>0.17781694235588971</v>
      </c>
      <c r="AE165" s="29">
        <v>1</v>
      </c>
    </row>
    <row r="166" spans="2:31" x14ac:dyDescent="0.2">
      <c r="B166" s="27">
        <v>87</v>
      </c>
      <c r="C166" s="28" t="s">
        <v>606</v>
      </c>
      <c r="D166" s="28" t="s">
        <v>380</v>
      </c>
      <c r="E166" s="28">
        <v>1E-4</v>
      </c>
      <c r="F166" s="28">
        <v>2.8400000000000002E-2</v>
      </c>
      <c r="G166" s="28">
        <v>3.7900000000000003E-2</v>
      </c>
      <c r="H166" s="28">
        <v>-1E-4</v>
      </c>
      <c r="I166" s="28">
        <v>-2.8400000000000002E-2</v>
      </c>
      <c r="J166" s="28">
        <v>-3.7900000000000003E-2</v>
      </c>
      <c r="K166" s="29">
        <v>300</v>
      </c>
      <c r="L166" s="29">
        <v>475</v>
      </c>
      <c r="M166" s="30">
        <v>-66.443100000000001</v>
      </c>
      <c r="N166" s="30">
        <v>0.26643849624060151</v>
      </c>
      <c r="O166" s="29">
        <v>1</v>
      </c>
      <c r="R166" s="27">
        <v>87</v>
      </c>
      <c r="S166" s="28" t="s">
        <v>606</v>
      </c>
      <c r="T166" s="28" t="s">
        <v>380</v>
      </c>
      <c r="U166" s="28">
        <v>1E-4</v>
      </c>
      <c r="V166" s="28">
        <v>2.8400000000000002E-2</v>
      </c>
      <c r="W166" s="28">
        <v>3.7900000000000003E-2</v>
      </c>
      <c r="X166" s="28">
        <v>-1E-4</v>
      </c>
      <c r="Y166" s="28">
        <v>-2.8400000000000002E-2</v>
      </c>
      <c r="Z166" s="28">
        <v>-3.7900000000000003E-2</v>
      </c>
      <c r="AA166" s="29">
        <v>300</v>
      </c>
      <c r="AB166" s="29">
        <v>475</v>
      </c>
      <c r="AC166" s="30">
        <v>-66.444699999999997</v>
      </c>
      <c r="AD166" s="30">
        <v>0.26644491228070172</v>
      </c>
      <c r="AE166" s="29">
        <v>1</v>
      </c>
    </row>
    <row r="167" spans="2:31" x14ac:dyDescent="0.2">
      <c r="B167" s="27">
        <v>87</v>
      </c>
      <c r="C167" s="28" t="s">
        <v>607</v>
      </c>
      <c r="D167" s="28" t="s">
        <v>382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-2.86E-2</v>
      </c>
      <c r="J167" s="28">
        <v>-3.8100000000000002E-2</v>
      </c>
      <c r="K167" s="29">
        <v>300</v>
      </c>
      <c r="L167" s="29">
        <v>475</v>
      </c>
      <c r="M167" s="30">
        <v>60.6601</v>
      </c>
      <c r="N167" s="30">
        <v>0.24324852130325814</v>
      </c>
      <c r="O167" s="29">
        <v>1</v>
      </c>
      <c r="R167" s="27">
        <v>87</v>
      </c>
      <c r="S167" s="28" t="s">
        <v>607</v>
      </c>
      <c r="T167" s="28" t="s">
        <v>382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-2.86E-2</v>
      </c>
      <c r="Z167" s="28">
        <v>-3.8100000000000002E-2</v>
      </c>
      <c r="AA167" s="29">
        <v>300</v>
      </c>
      <c r="AB167" s="29">
        <v>475</v>
      </c>
      <c r="AC167" s="30">
        <v>44.3431</v>
      </c>
      <c r="AD167" s="30">
        <v>0.17781694235588971</v>
      </c>
      <c r="AE167" s="29">
        <v>1</v>
      </c>
    </row>
    <row r="168" spans="2:31" x14ac:dyDescent="0.2">
      <c r="B168" s="27">
        <v>90</v>
      </c>
      <c r="C168" s="28" t="s">
        <v>609</v>
      </c>
      <c r="D168" s="28" t="s">
        <v>380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-85.735799999999998</v>
      </c>
      <c r="N168" s="30">
        <v>0.34380270676691732</v>
      </c>
      <c r="O168" s="29">
        <v>1</v>
      </c>
      <c r="R168" s="27">
        <v>90</v>
      </c>
      <c r="S168" s="28" t="s">
        <v>609</v>
      </c>
      <c r="T168" s="28" t="s">
        <v>380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-85.7333</v>
      </c>
      <c r="AD168" s="30">
        <v>0.34379268170426064</v>
      </c>
      <c r="AE168" s="29">
        <v>1</v>
      </c>
    </row>
    <row r="169" spans="2:31" x14ac:dyDescent="0.2">
      <c r="B169" s="27">
        <v>90</v>
      </c>
      <c r="C169" s="28" t="s">
        <v>610</v>
      </c>
      <c r="D169" s="28" t="s">
        <v>382</v>
      </c>
      <c r="E169" s="28">
        <v>1E-4</v>
      </c>
      <c r="F169" s="28">
        <v>2.8500000000000001E-2</v>
      </c>
      <c r="G169" s="28">
        <v>3.7900000000000003E-2</v>
      </c>
      <c r="H169" s="28">
        <v>-1E-4</v>
      </c>
      <c r="I169" s="28">
        <v>-2.9000000000000001E-2</v>
      </c>
      <c r="J169" s="28">
        <v>-3.8600000000000002E-2</v>
      </c>
      <c r="K169" s="29">
        <v>300</v>
      </c>
      <c r="L169" s="29">
        <v>475</v>
      </c>
      <c r="M169" s="30">
        <v>60.6601</v>
      </c>
      <c r="N169" s="30">
        <v>0.24324852130325814</v>
      </c>
      <c r="O169" s="29">
        <v>1</v>
      </c>
      <c r="R169" s="27">
        <v>90</v>
      </c>
      <c r="S169" s="28" t="s">
        <v>610</v>
      </c>
      <c r="T169" s="28" t="s">
        <v>382</v>
      </c>
      <c r="U169" s="28">
        <v>1E-4</v>
      </c>
      <c r="V169" s="28">
        <v>2.8500000000000001E-2</v>
      </c>
      <c r="W169" s="28">
        <v>3.7900000000000003E-2</v>
      </c>
      <c r="X169" s="28">
        <v>-1E-4</v>
      </c>
      <c r="Y169" s="28">
        <v>-2.9000000000000001E-2</v>
      </c>
      <c r="Z169" s="28">
        <v>-3.8600000000000002E-2</v>
      </c>
      <c r="AA169" s="29">
        <v>300</v>
      </c>
      <c r="AB169" s="29">
        <v>475</v>
      </c>
      <c r="AC169" s="30">
        <v>44.3431</v>
      </c>
      <c r="AD169" s="30">
        <v>0.17781694235588971</v>
      </c>
      <c r="AE169" s="29">
        <v>1</v>
      </c>
    </row>
    <row r="170" spans="2:31" x14ac:dyDescent="0.2">
      <c r="B170" s="27">
        <v>93</v>
      </c>
      <c r="C170" s="28" t="s">
        <v>612</v>
      </c>
      <c r="D170" s="28" t="s">
        <v>380</v>
      </c>
      <c r="E170" s="28">
        <v>1E-4</v>
      </c>
      <c r="F170" s="28">
        <v>2.8500000000000001E-2</v>
      </c>
      <c r="G170" s="28">
        <v>3.7999999999999999E-2</v>
      </c>
      <c r="H170" s="28">
        <v>-1E-4</v>
      </c>
      <c r="I170" s="28">
        <v>-2.87E-2</v>
      </c>
      <c r="J170" s="28">
        <v>-3.8300000000000001E-2</v>
      </c>
      <c r="K170" s="29">
        <v>300</v>
      </c>
      <c r="L170" s="29">
        <v>475</v>
      </c>
      <c r="M170" s="30">
        <v>-85.517300000000006</v>
      </c>
      <c r="N170" s="30">
        <v>0.34292651629072685</v>
      </c>
      <c r="O170" s="29">
        <v>1</v>
      </c>
      <c r="R170" s="27">
        <v>93</v>
      </c>
      <c r="S170" s="28" t="s">
        <v>612</v>
      </c>
      <c r="T170" s="28" t="s">
        <v>380</v>
      </c>
      <c r="U170" s="28">
        <v>1E-4</v>
      </c>
      <c r="V170" s="28">
        <v>2.8500000000000001E-2</v>
      </c>
      <c r="W170" s="28">
        <v>3.7999999999999999E-2</v>
      </c>
      <c r="X170" s="28">
        <v>-1E-4</v>
      </c>
      <c r="Y170" s="28">
        <v>-2.87E-2</v>
      </c>
      <c r="Z170" s="28">
        <v>-3.8300000000000001E-2</v>
      </c>
      <c r="AA170" s="29">
        <v>300</v>
      </c>
      <c r="AB170" s="29">
        <v>475</v>
      </c>
      <c r="AC170" s="30">
        <v>-85.514200000000002</v>
      </c>
      <c r="AD170" s="30">
        <v>0.34291408521303257</v>
      </c>
      <c r="AE170" s="29">
        <v>1</v>
      </c>
    </row>
    <row r="171" spans="2:31" x14ac:dyDescent="0.2">
      <c r="B171" s="27">
        <v>93</v>
      </c>
      <c r="C171" s="28" t="s">
        <v>613</v>
      </c>
      <c r="D171" s="28" t="s">
        <v>382</v>
      </c>
      <c r="E171" s="28">
        <v>1E-4</v>
      </c>
      <c r="F171" s="28">
        <v>2.8500000000000001E-2</v>
      </c>
      <c r="G171" s="28">
        <v>3.7999999999999999E-2</v>
      </c>
      <c r="H171" s="28">
        <v>-1E-4</v>
      </c>
      <c r="I171" s="28">
        <v>-2.87E-2</v>
      </c>
      <c r="J171" s="28">
        <v>-3.8300000000000001E-2</v>
      </c>
      <c r="K171" s="29">
        <v>300</v>
      </c>
      <c r="L171" s="29">
        <v>475</v>
      </c>
      <c r="M171" s="30">
        <v>60.6601</v>
      </c>
      <c r="N171" s="30">
        <v>0.24324852130325814</v>
      </c>
      <c r="O171" s="29">
        <v>1</v>
      </c>
      <c r="R171" s="27">
        <v>93</v>
      </c>
      <c r="S171" s="28" t="s">
        <v>613</v>
      </c>
      <c r="T171" s="28" t="s">
        <v>382</v>
      </c>
      <c r="U171" s="28">
        <v>1E-4</v>
      </c>
      <c r="V171" s="28">
        <v>2.8500000000000001E-2</v>
      </c>
      <c r="W171" s="28">
        <v>3.7999999999999999E-2</v>
      </c>
      <c r="X171" s="28">
        <v>-1E-4</v>
      </c>
      <c r="Y171" s="28">
        <v>-2.87E-2</v>
      </c>
      <c r="Z171" s="28">
        <v>-3.8300000000000001E-2</v>
      </c>
      <c r="AA171" s="29">
        <v>300</v>
      </c>
      <c r="AB171" s="29">
        <v>475</v>
      </c>
      <c r="AC171" s="30">
        <v>44.3431</v>
      </c>
      <c r="AD171" s="30">
        <v>0.17781694235588971</v>
      </c>
      <c r="AE171" s="29">
        <v>1</v>
      </c>
    </row>
    <row r="172" spans="2:31" x14ac:dyDescent="0.2">
      <c r="B172" s="27">
        <v>96</v>
      </c>
      <c r="C172" s="28" t="s">
        <v>615</v>
      </c>
      <c r="D172" s="28" t="s">
        <v>380</v>
      </c>
      <c r="E172" s="28">
        <v>1E-4</v>
      </c>
      <c r="F172" s="28">
        <v>2.8500000000000001E-2</v>
      </c>
      <c r="G172" s="28">
        <v>3.7999999999999999E-2</v>
      </c>
      <c r="H172" s="28">
        <v>-1E-4</v>
      </c>
      <c r="I172" s="28">
        <v>-2.87E-2</v>
      </c>
      <c r="J172" s="28">
        <v>-3.8300000000000001E-2</v>
      </c>
      <c r="K172" s="29">
        <v>300</v>
      </c>
      <c r="L172" s="29">
        <v>475</v>
      </c>
      <c r="M172" s="30">
        <v>-85.507599999999996</v>
      </c>
      <c r="N172" s="30">
        <v>0.342887619047619</v>
      </c>
      <c r="O172" s="29">
        <v>1</v>
      </c>
      <c r="R172" s="27">
        <v>96</v>
      </c>
      <c r="S172" s="28" t="s">
        <v>615</v>
      </c>
      <c r="T172" s="28" t="s">
        <v>380</v>
      </c>
      <c r="U172" s="28">
        <v>1E-4</v>
      </c>
      <c r="V172" s="28">
        <v>2.8500000000000001E-2</v>
      </c>
      <c r="W172" s="28">
        <v>3.7999999999999999E-2</v>
      </c>
      <c r="X172" s="28">
        <v>-1E-4</v>
      </c>
      <c r="Y172" s="28">
        <v>-2.87E-2</v>
      </c>
      <c r="Z172" s="28">
        <v>-3.8300000000000001E-2</v>
      </c>
      <c r="AA172" s="29">
        <v>300</v>
      </c>
      <c r="AB172" s="29">
        <v>475</v>
      </c>
      <c r="AC172" s="30">
        <v>-85.503900000000002</v>
      </c>
      <c r="AD172" s="30">
        <v>0.34287278195488724</v>
      </c>
      <c r="AE172" s="29">
        <v>1</v>
      </c>
    </row>
    <row r="173" spans="2:31" x14ac:dyDescent="0.2">
      <c r="B173" s="27">
        <v>96</v>
      </c>
      <c r="C173" s="28" t="s">
        <v>616</v>
      </c>
      <c r="D173" s="28" t="s">
        <v>382</v>
      </c>
      <c r="E173" s="28">
        <v>1E-4</v>
      </c>
      <c r="F173" s="28">
        <v>2.8500000000000001E-2</v>
      </c>
      <c r="G173" s="28">
        <v>3.7999999999999999E-2</v>
      </c>
      <c r="H173" s="28">
        <v>-1E-4</v>
      </c>
      <c r="I173" s="28">
        <v>-2.87E-2</v>
      </c>
      <c r="J173" s="28">
        <v>-3.8300000000000001E-2</v>
      </c>
      <c r="K173" s="29">
        <v>300</v>
      </c>
      <c r="L173" s="29">
        <v>475</v>
      </c>
      <c r="M173" s="30">
        <v>60.6601</v>
      </c>
      <c r="N173" s="30">
        <v>0.24324852130325814</v>
      </c>
      <c r="O173" s="29">
        <v>1</v>
      </c>
      <c r="R173" s="27">
        <v>96</v>
      </c>
      <c r="S173" s="28" t="s">
        <v>616</v>
      </c>
      <c r="T173" s="28" t="s">
        <v>382</v>
      </c>
      <c r="U173" s="28">
        <v>1E-4</v>
      </c>
      <c r="V173" s="28">
        <v>2.8500000000000001E-2</v>
      </c>
      <c r="W173" s="28">
        <v>3.7999999999999999E-2</v>
      </c>
      <c r="X173" s="28">
        <v>-1E-4</v>
      </c>
      <c r="Y173" s="28">
        <v>-2.87E-2</v>
      </c>
      <c r="Z173" s="28">
        <v>-3.8300000000000001E-2</v>
      </c>
      <c r="AA173" s="29">
        <v>300</v>
      </c>
      <c r="AB173" s="29">
        <v>475</v>
      </c>
      <c r="AC173" s="30">
        <v>44.3431</v>
      </c>
      <c r="AD173" s="30">
        <v>0.17781694235588971</v>
      </c>
      <c r="AE173" s="29">
        <v>1</v>
      </c>
    </row>
    <row r="174" spans="2:31" x14ac:dyDescent="0.2">
      <c r="B174" s="27">
        <v>99</v>
      </c>
      <c r="C174" s="28" t="s">
        <v>618</v>
      </c>
      <c r="D174" s="28" t="s">
        <v>380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-85.6952</v>
      </c>
      <c r="N174" s="30">
        <v>0.34363989974937342</v>
      </c>
      <c r="O174" s="29">
        <v>1</v>
      </c>
      <c r="R174" s="27">
        <v>99</v>
      </c>
      <c r="S174" s="28" t="s">
        <v>618</v>
      </c>
      <c r="T174" s="28" t="s">
        <v>380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-85.691199999999995</v>
      </c>
      <c r="AD174" s="30">
        <v>0.34362385964912279</v>
      </c>
      <c r="AE174" s="29">
        <v>1</v>
      </c>
    </row>
    <row r="175" spans="2:31" x14ac:dyDescent="0.2">
      <c r="B175" s="27">
        <v>99</v>
      </c>
      <c r="C175" s="28" t="s">
        <v>619</v>
      </c>
      <c r="D175" s="28" t="s">
        <v>382</v>
      </c>
      <c r="E175" s="28">
        <v>1E-4</v>
      </c>
      <c r="F175" s="28">
        <v>2.8500000000000001E-2</v>
      </c>
      <c r="G175" s="28">
        <v>3.7900000000000003E-2</v>
      </c>
      <c r="H175" s="28">
        <v>-1E-4</v>
      </c>
      <c r="I175" s="28">
        <v>-2.9000000000000001E-2</v>
      </c>
      <c r="J175" s="28">
        <v>-3.8600000000000002E-2</v>
      </c>
      <c r="K175" s="29">
        <v>300</v>
      </c>
      <c r="L175" s="29">
        <v>475</v>
      </c>
      <c r="M175" s="30">
        <v>60.6601</v>
      </c>
      <c r="N175" s="30">
        <v>0.24324852130325814</v>
      </c>
      <c r="O175" s="29">
        <v>1</v>
      </c>
      <c r="R175" s="27">
        <v>99</v>
      </c>
      <c r="S175" s="28" t="s">
        <v>619</v>
      </c>
      <c r="T175" s="28" t="s">
        <v>382</v>
      </c>
      <c r="U175" s="28">
        <v>1E-4</v>
      </c>
      <c r="V175" s="28">
        <v>2.8500000000000001E-2</v>
      </c>
      <c r="W175" s="28">
        <v>3.7900000000000003E-2</v>
      </c>
      <c r="X175" s="28">
        <v>-1E-4</v>
      </c>
      <c r="Y175" s="28">
        <v>-2.9000000000000001E-2</v>
      </c>
      <c r="Z175" s="28">
        <v>-3.8600000000000002E-2</v>
      </c>
      <c r="AA175" s="29">
        <v>300</v>
      </c>
      <c r="AB175" s="29">
        <v>475</v>
      </c>
      <c r="AC175" s="30">
        <v>44.3431</v>
      </c>
      <c r="AD175" s="30">
        <v>0.17781694235588971</v>
      </c>
      <c r="AE175" s="29">
        <v>1</v>
      </c>
    </row>
    <row r="176" spans="2:31" x14ac:dyDescent="0.2">
      <c r="B176" s="27">
        <v>102</v>
      </c>
      <c r="C176" s="28" t="s">
        <v>621</v>
      </c>
      <c r="D176" s="28" t="s">
        <v>380</v>
      </c>
      <c r="E176" s="28">
        <v>1E-4</v>
      </c>
      <c r="F176" s="28">
        <v>2.8400000000000002E-2</v>
      </c>
      <c r="G176" s="28">
        <v>3.7900000000000003E-2</v>
      </c>
      <c r="H176" s="28">
        <v>-1E-4</v>
      </c>
      <c r="I176" s="28">
        <v>-2.8400000000000002E-2</v>
      </c>
      <c r="J176" s="28">
        <v>-3.7900000000000003E-2</v>
      </c>
      <c r="K176" s="29">
        <v>300</v>
      </c>
      <c r="L176" s="29">
        <v>475</v>
      </c>
      <c r="M176" s="30">
        <v>-66.4315</v>
      </c>
      <c r="N176" s="30">
        <v>0.26639197994987468</v>
      </c>
      <c r="O176" s="29">
        <v>1</v>
      </c>
      <c r="R176" s="27">
        <v>102</v>
      </c>
      <c r="S176" s="28" t="s">
        <v>621</v>
      </c>
      <c r="T176" s="28" t="s">
        <v>380</v>
      </c>
      <c r="U176" s="28">
        <v>1E-4</v>
      </c>
      <c r="V176" s="28">
        <v>2.8400000000000002E-2</v>
      </c>
      <c r="W176" s="28">
        <v>3.7900000000000003E-2</v>
      </c>
      <c r="X176" s="28">
        <v>-1E-4</v>
      </c>
      <c r="Y176" s="28">
        <v>-2.8400000000000002E-2</v>
      </c>
      <c r="Z176" s="28">
        <v>-3.7900000000000003E-2</v>
      </c>
      <c r="AA176" s="29">
        <v>300</v>
      </c>
      <c r="AB176" s="29">
        <v>475</v>
      </c>
      <c r="AC176" s="30">
        <v>-66.425600000000003</v>
      </c>
      <c r="AD176" s="30">
        <v>0.26636832080200501</v>
      </c>
      <c r="AE176" s="29">
        <v>1</v>
      </c>
    </row>
    <row r="177" spans="2:31" x14ac:dyDescent="0.2">
      <c r="B177" s="27">
        <v>102</v>
      </c>
      <c r="C177" s="28" t="s">
        <v>622</v>
      </c>
      <c r="D177" s="28" t="s">
        <v>382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-2.86E-2</v>
      </c>
      <c r="J177" s="28">
        <v>-3.8100000000000002E-2</v>
      </c>
      <c r="K177" s="29">
        <v>300</v>
      </c>
      <c r="L177" s="29">
        <v>475</v>
      </c>
      <c r="M177" s="30">
        <v>60.6601</v>
      </c>
      <c r="N177" s="30">
        <v>0.24324852130325814</v>
      </c>
      <c r="O177" s="29">
        <v>1</v>
      </c>
      <c r="R177" s="27">
        <v>102</v>
      </c>
      <c r="S177" s="28" t="s">
        <v>622</v>
      </c>
      <c r="T177" s="28" t="s">
        <v>382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-2.86E-2</v>
      </c>
      <c r="Z177" s="28">
        <v>-3.8100000000000002E-2</v>
      </c>
      <c r="AA177" s="29">
        <v>300</v>
      </c>
      <c r="AB177" s="29">
        <v>475</v>
      </c>
      <c r="AC177" s="30">
        <v>44.3431</v>
      </c>
      <c r="AD177" s="30">
        <v>0.17781694235588971</v>
      </c>
      <c r="AE177" s="29">
        <v>1</v>
      </c>
    </row>
    <row r="178" spans="2:31" x14ac:dyDescent="0.2">
      <c r="B178" s="27">
        <v>110</v>
      </c>
      <c r="C178" s="28" t="s">
        <v>624</v>
      </c>
      <c r="D178" s="28" t="s">
        <v>380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-2.7900000000000001E-2</v>
      </c>
      <c r="J178" s="28">
        <v>-3.7199999999999997E-2</v>
      </c>
      <c r="K178" s="29">
        <v>300</v>
      </c>
      <c r="L178" s="29">
        <v>475</v>
      </c>
      <c r="M178" s="30">
        <v>-44.720100000000002</v>
      </c>
      <c r="N178" s="30">
        <v>0.17932872180451132</v>
      </c>
      <c r="O178" s="29">
        <v>1</v>
      </c>
      <c r="R178" s="27">
        <v>110</v>
      </c>
      <c r="S178" s="28" t="s">
        <v>624</v>
      </c>
      <c r="T178" s="28" t="s">
        <v>380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-2.7900000000000001E-2</v>
      </c>
      <c r="Z178" s="28">
        <v>-3.7199999999999997E-2</v>
      </c>
      <c r="AA178" s="29">
        <v>300</v>
      </c>
      <c r="AB178" s="29">
        <v>475</v>
      </c>
      <c r="AC178" s="30">
        <v>-44.750700000000002</v>
      </c>
      <c r="AD178" s="30">
        <v>0.1794514285714286</v>
      </c>
      <c r="AE178" s="29">
        <v>1</v>
      </c>
    </row>
    <row r="179" spans="2:31" x14ac:dyDescent="0.2">
      <c r="B179" s="27">
        <v>110</v>
      </c>
      <c r="C179" s="28" t="s">
        <v>625</v>
      </c>
      <c r="D179" s="28" t="s">
        <v>382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-2.7900000000000001E-2</v>
      </c>
      <c r="J179" s="28">
        <v>-3.7199999999999997E-2</v>
      </c>
      <c r="K179" s="29">
        <v>300</v>
      </c>
      <c r="L179" s="29">
        <v>475</v>
      </c>
      <c r="M179" s="30">
        <v>60.6601</v>
      </c>
      <c r="N179" s="30">
        <v>0.24324852130325814</v>
      </c>
      <c r="O179" s="29">
        <v>1</v>
      </c>
      <c r="R179" s="27">
        <v>110</v>
      </c>
      <c r="S179" s="28" t="s">
        <v>625</v>
      </c>
      <c r="T179" s="28" t="s">
        <v>382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-2.7900000000000001E-2</v>
      </c>
      <c r="Z179" s="28">
        <v>-3.7199999999999997E-2</v>
      </c>
      <c r="AA179" s="29">
        <v>300</v>
      </c>
      <c r="AB179" s="29">
        <v>475</v>
      </c>
      <c r="AC179" s="30">
        <v>44.3431</v>
      </c>
      <c r="AD179" s="30">
        <v>0.17781694235588971</v>
      </c>
      <c r="AE179" s="29">
        <v>1</v>
      </c>
    </row>
    <row r="180" spans="2:31" x14ac:dyDescent="0.2">
      <c r="B180" s="27">
        <v>111</v>
      </c>
      <c r="C180" s="28" t="s">
        <v>627</v>
      </c>
      <c r="D180" s="28" t="s">
        <v>380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-2.7900000000000001E-2</v>
      </c>
      <c r="J180" s="28">
        <v>-3.7199999999999997E-2</v>
      </c>
      <c r="K180" s="29">
        <v>300</v>
      </c>
      <c r="L180" s="29">
        <v>475</v>
      </c>
      <c r="M180" s="30">
        <v>-42.139299999999999</v>
      </c>
      <c r="N180" s="30">
        <v>0.168979649122807</v>
      </c>
      <c r="O180" s="29">
        <v>1</v>
      </c>
      <c r="R180" s="27">
        <v>111</v>
      </c>
      <c r="S180" s="28" t="s">
        <v>627</v>
      </c>
      <c r="T180" s="28" t="s">
        <v>380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-2.7900000000000001E-2</v>
      </c>
      <c r="Z180" s="28">
        <v>-3.7199999999999997E-2</v>
      </c>
      <c r="AA180" s="29">
        <v>300</v>
      </c>
      <c r="AB180" s="29">
        <v>475</v>
      </c>
      <c r="AC180" s="30">
        <v>-42.168100000000003</v>
      </c>
      <c r="AD180" s="30">
        <v>0.16909513784461155</v>
      </c>
      <c r="AE180" s="29">
        <v>1</v>
      </c>
    </row>
    <row r="181" spans="2:31" x14ac:dyDescent="0.2">
      <c r="B181" s="27">
        <v>111</v>
      </c>
      <c r="C181" s="28" t="s">
        <v>628</v>
      </c>
      <c r="D181" s="28" t="s">
        <v>382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-2.7900000000000001E-2</v>
      </c>
      <c r="J181" s="28">
        <v>-3.7199999999999997E-2</v>
      </c>
      <c r="K181" s="29">
        <v>300</v>
      </c>
      <c r="L181" s="29">
        <v>475</v>
      </c>
      <c r="M181" s="30">
        <v>60.6601</v>
      </c>
      <c r="N181" s="30">
        <v>0.24324852130325814</v>
      </c>
      <c r="O181" s="29">
        <v>1</v>
      </c>
      <c r="R181" s="27">
        <v>111</v>
      </c>
      <c r="S181" s="28" t="s">
        <v>628</v>
      </c>
      <c r="T181" s="28" t="s">
        <v>382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-2.7900000000000001E-2</v>
      </c>
      <c r="Z181" s="28">
        <v>-3.7199999999999997E-2</v>
      </c>
      <c r="AA181" s="29">
        <v>300</v>
      </c>
      <c r="AB181" s="29">
        <v>475</v>
      </c>
      <c r="AC181" s="30">
        <v>44.3431</v>
      </c>
      <c r="AD181" s="30">
        <v>0.17781694235588971</v>
      </c>
      <c r="AE181" s="29">
        <v>1</v>
      </c>
    </row>
    <row r="182" spans="2:31" x14ac:dyDescent="0.2">
      <c r="B182" s="27">
        <v>112</v>
      </c>
      <c r="C182" s="28" t="s">
        <v>629</v>
      </c>
      <c r="D182" s="28" t="s">
        <v>380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-2.7900000000000001E-2</v>
      </c>
      <c r="J182" s="28">
        <v>-3.7199999999999997E-2</v>
      </c>
      <c r="K182" s="29">
        <v>300</v>
      </c>
      <c r="L182" s="29">
        <v>475</v>
      </c>
      <c r="M182" s="30">
        <v>-46.1783</v>
      </c>
      <c r="N182" s="30">
        <v>0.18517614035087721</v>
      </c>
      <c r="O182" s="29">
        <v>1</v>
      </c>
      <c r="R182" s="27">
        <v>112</v>
      </c>
      <c r="S182" s="28" t="s">
        <v>629</v>
      </c>
      <c r="T182" s="28" t="s">
        <v>380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-2.7900000000000001E-2</v>
      </c>
      <c r="Z182" s="28">
        <v>-3.7199999999999997E-2</v>
      </c>
      <c r="AA182" s="29">
        <v>300</v>
      </c>
      <c r="AB182" s="29">
        <v>475</v>
      </c>
      <c r="AC182" s="30">
        <v>-46.205599999999997</v>
      </c>
      <c r="AD182" s="30">
        <v>0.18528561403508773</v>
      </c>
      <c r="AE182" s="29">
        <v>1</v>
      </c>
    </row>
    <row r="183" spans="2:31" x14ac:dyDescent="0.2">
      <c r="B183" s="27">
        <v>112</v>
      </c>
      <c r="C183" s="28" t="s">
        <v>630</v>
      </c>
      <c r="D183" s="28" t="s">
        <v>382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-2.7900000000000001E-2</v>
      </c>
      <c r="J183" s="28">
        <v>-3.7199999999999997E-2</v>
      </c>
      <c r="K183" s="29">
        <v>300</v>
      </c>
      <c r="L183" s="29">
        <v>475</v>
      </c>
      <c r="M183" s="30">
        <v>60.6601</v>
      </c>
      <c r="N183" s="30">
        <v>0.24324852130325814</v>
      </c>
      <c r="O183" s="29">
        <v>1</v>
      </c>
      <c r="R183" s="27">
        <v>112</v>
      </c>
      <c r="S183" s="28" t="s">
        <v>630</v>
      </c>
      <c r="T183" s="28" t="s">
        <v>382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-2.7900000000000001E-2</v>
      </c>
      <c r="Z183" s="28">
        <v>-3.7199999999999997E-2</v>
      </c>
      <c r="AA183" s="29">
        <v>300</v>
      </c>
      <c r="AB183" s="29">
        <v>475</v>
      </c>
      <c r="AC183" s="30">
        <v>44.3431</v>
      </c>
      <c r="AD183" s="30">
        <v>0.17781694235588971</v>
      </c>
      <c r="AE183" s="29">
        <v>1</v>
      </c>
    </row>
    <row r="184" spans="2:31" x14ac:dyDescent="0.2">
      <c r="B184" s="27">
        <v>113</v>
      </c>
      <c r="C184" s="28" t="s">
        <v>631</v>
      </c>
      <c r="D184" s="28" t="s">
        <v>380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-2.7900000000000001E-2</v>
      </c>
      <c r="J184" s="28">
        <v>-3.7199999999999997E-2</v>
      </c>
      <c r="K184" s="29">
        <v>300</v>
      </c>
      <c r="L184" s="29">
        <v>475</v>
      </c>
      <c r="M184" s="30">
        <v>-45.342199999999998</v>
      </c>
      <c r="N184" s="30">
        <v>0.18182335839598995</v>
      </c>
      <c r="O184" s="29">
        <v>1</v>
      </c>
      <c r="R184" s="27">
        <v>113</v>
      </c>
      <c r="S184" s="28" t="s">
        <v>631</v>
      </c>
      <c r="T184" s="28" t="s">
        <v>380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-2.7900000000000001E-2</v>
      </c>
      <c r="Z184" s="28">
        <v>-3.7199999999999997E-2</v>
      </c>
      <c r="AA184" s="29">
        <v>300</v>
      </c>
      <c r="AB184" s="29">
        <v>475</v>
      </c>
      <c r="AC184" s="30">
        <v>-45.3718</v>
      </c>
      <c r="AD184" s="30">
        <v>0.18194205513784462</v>
      </c>
      <c r="AE184" s="29">
        <v>1</v>
      </c>
    </row>
    <row r="185" spans="2:31" x14ac:dyDescent="0.2">
      <c r="B185" s="27">
        <v>113</v>
      </c>
      <c r="C185" s="28" t="s">
        <v>632</v>
      </c>
      <c r="D185" s="28" t="s">
        <v>382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-2.7900000000000001E-2</v>
      </c>
      <c r="J185" s="28">
        <v>-3.7199999999999997E-2</v>
      </c>
      <c r="K185" s="29">
        <v>300</v>
      </c>
      <c r="L185" s="29">
        <v>475</v>
      </c>
      <c r="M185" s="30">
        <v>60.6601</v>
      </c>
      <c r="N185" s="30">
        <v>0.24324852130325814</v>
      </c>
      <c r="O185" s="29">
        <v>1</v>
      </c>
      <c r="R185" s="27">
        <v>113</v>
      </c>
      <c r="S185" s="28" t="s">
        <v>632</v>
      </c>
      <c r="T185" s="28" t="s">
        <v>382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-2.7900000000000001E-2</v>
      </c>
      <c r="Z185" s="28">
        <v>-3.7199999999999997E-2</v>
      </c>
      <c r="AA185" s="29">
        <v>300</v>
      </c>
      <c r="AB185" s="29">
        <v>475</v>
      </c>
      <c r="AC185" s="30">
        <v>44.3431</v>
      </c>
      <c r="AD185" s="30">
        <v>0.17781694235588971</v>
      </c>
      <c r="AE185" s="29">
        <v>1</v>
      </c>
    </row>
    <row r="186" spans="2:31" x14ac:dyDescent="0.2">
      <c r="B186" s="27">
        <v>114</v>
      </c>
      <c r="C186" s="28" t="s">
        <v>634</v>
      </c>
      <c r="D186" s="28" t="s">
        <v>380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-2.7900000000000001E-2</v>
      </c>
      <c r="J186" s="28">
        <v>-3.7199999999999997E-2</v>
      </c>
      <c r="K186" s="29">
        <v>300</v>
      </c>
      <c r="L186" s="29">
        <v>475</v>
      </c>
      <c r="M186" s="30">
        <v>-43.267499999999998</v>
      </c>
      <c r="N186" s="30">
        <v>0.17350375939849624</v>
      </c>
      <c r="O186" s="29">
        <v>1</v>
      </c>
      <c r="R186" s="27">
        <v>114</v>
      </c>
      <c r="S186" s="28" t="s">
        <v>634</v>
      </c>
      <c r="T186" s="28" t="s">
        <v>380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-2.7900000000000001E-2</v>
      </c>
      <c r="Z186" s="28">
        <v>-3.7199999999999997E-2</v>
      </c>
      <c r="AA186" s="29">
        <v>300</v>
      </c>
      <c r="AB186" s="29">
        <v>475</v>
      </c>
      <c r="AC186" s="30">
        <v>-43.2973</v>
      </c>
      <c r="AD186" s="30">
        <v>0.17362325814536342</v>
      </c>
      <c r="AE186" s="29">
        <v>1</v>
      </c>
    </row>
    <row r="187" spans="2:31" x14ac:dyDescent="0.2">
      <c r="B187" s="27">
        <v>114</v>
      </c>
      <c r="C187" s="28" t="s">
        <v>635</v>
      </c>
      <c r="D187" s="28" t="s">
        <v>382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-2.7900000000000001E-2</v>
      </c>
      <c r="J187" s="28">
        <v>-3.7199999999999997E-2</v>
      </c>
      <c r="K187" s="29">
        <v>300</v>
      </c>
      <c r="L187" s="29">
        <v>475</v>
      </c>
      <c r="M187" s="30">
        <v>60.6601</v>
      </c>
      <c r="N187" s="30">
        <v>0.24324852130325814</v>
      </c>
      <c r="O187" s="29">
        <v>1</v>
      </c>
      <c r="R187" s="27">
        <v>114</v>
      </c>
      <c r="S187" s="28" t="s">
        <v>635</v>
      </c>
      <c r="T187" s="28" t="s">
        <v>382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-2.7900000000000001E-2</v>
      </c>
      <c r="Z187" s="28">
        <v>-3.7199999999999997E-2</v>
      </c>
      <c r="AA187" s="29">
        <v>300</v>
      </c>
      <c r="AB187" s="29">
        <v>475</v>
      </c>
      <c r="AC187" s="30">
        <v>44.3431</v>
      </c>
      <c r="AD187" s="30">
        <v>0.17781694235588971</v>
      </c>
      <c r="AE187" s="29">
        <v>1</v>
      </c>
    </row>
    <row r="188" spans="2:31" x14ac:dyDescent="0.2">
      <c r="B188" s="27">
        <v>88</v>
      </c>
      <c r="C188" s="28" t="s">
        <v>637</v>
      </c>
      <c r="D188" s="28" t="s">
        <v>380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-2.86E-2</v>
      </c>
      <c r="J188" s="28">
        <v>-3.8100000000000002E-2</v>
      </c>
      <c r="K188" s="29">
        <v>300</v>
      </c>
      <c r="L188" s="29">
        <v>475</v>
      </c>
      <c r="M188" s="30">
        <v>-67.339100000000002</v>
      </c>
      <c r="N188" s="30">
        <v>0.27003147869674188</v>
      </c>
      <c r="O188" s="29">
        <v>1</v>
      </c>
      <c r="R188" s="27">
        <v>88</v>
      </c>
      <c r="S188" s="28" t="s">
        <v>637</v>
      </c>
      <c r="T188" s="28" t="s">
        <v>380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-2.86E-2</v>
      </c>
      <c r="Z188" s="28">
        <v>-3.8100000000000002E-2</v>
      </c>
      <c r="AA188" s="29">
        <v>300</v>
      </c>
      <c r="AB188" s="29">
        <v>475</v>
      </c>
      <c r="AC188" s="30">
        <v>-67.340800000000002</v>
      </c>
      <c r="AD188" s="30">
        <v>0.2700382957393484</v>
      </c>
      <c r="AE188" s="29">
        <v>1</v>
      </c>
    </row>
    <row r="189" spans="2:31" x14ac:dyDescent="0.2">
      <c r="B189" s="27">
        <v>88</v>
      </c>
      <c r="C189" s="28" t="s">
        <v>638</v>
      </c>
      <c r="D189" s="28" t="s">
        <v>382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-2.86E-2</v>
      </c>
      <c r="J189" s="28">
        <v>-3.8100000000000002E-2</v>
      </c>
      <c r="K189" s="29">
        <v>300</v>
      </c>
      <c r="L189" s="29">
        <v>475</v>
      </c>
      <c r="M189" s="30">
        <v>60.6601</v>
      </c>
      <c r="N189" s="30">
        <v>0.24324852130325814</v>
      </c>
      <c r="O189" s="29">
        <v>1</v>
      </c>
      <c r="R189" s="27">
        <v>88</v>
      </c>
      <c r="S189" s="28" t="s">
        <v>638</v>
      </c>
      <c r="T189" s="28" t="s">
        <v>382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-2.86E-2</v>
      </c>
      <c r="Z189" s="28">
        <v>-3.8100000000000002E-2</v>
      </c>
      <c r="AA189" s="29">
        <v>300</v>
      </c>
      <c r="AB189" s="29">
        <v>475</v>
      </c>
      <c r="AC189" s="30">
        <v>42.008499999999998</v>
      </c>
      <c r="AD189" s="30">
        <v>0.16845513784461152</v>
      </c>
      <c r="AE189" s="29">
        <v>1</v>
      </c>
    </row>
    <row r="190" spans="2:31" x14ac:dyDescent="0.2">
      <c r="B190" s="27">
        <v>91</v>
      </c>
      <c r="C190" s="28" t="s">
        <v>640</v>
      </c>
      <c r="D190" s="28" t="s">
        <v>380</v>
      </c>
      <c r="E190" s="28">
        <v>1E-4</v>
      </c>
      <c r="F190" s="28">
        <v>2.8500000000000001E-2</v>
      </c>
      <c r="G190" s="28">
        <v>3.7900000000000003E-2</v>
      </c>
      <c r="H190" s="28">
        <v>-1E-4</v>
      </c>
      <c r="I190" s="28">
        <v>-2.9000000000000001E-2</v>
      </c>
      <c r="J190" s="28">
        <v>-3.8600000000000002E-2</v>
      </c>
      <c r="K190" s="29">
        <v>300</v>
      </c>
      <c r="L190" s="29">
        <v>475</v>
      </c>
      <c r="M190" s="30">
        <v>-89.797300000000007</v>
      </c>
      <c r="N190" s="30">
        <v>0.36008942355889728</v>
      </c>
      <c r="O190" s="29">
        <v>1</v>
      </c>
      <c r="R190" s="27">
        <v>91</v>
      </c>
      <c r="S190" s="28" t="s">
        <v>640</v>
      </c>
      <c r="T190" s="28" t="s">
        <v>380</v>
      </c>
      <c r="U190" s="28">
        <v>1E-4</v>
      </c>
      <c r="V190" s="28">
        <v>2.8500000000000001E-2</v>
      </c>
      <c r="W190" s="28">
        <v>3.7900000000000003E-2</v>
      </c>
      <c r="X190" s="28">
        <v>-1E-4</v>
      </c>
      <c r="Y190" s="28">
        <v>-2.9000000000000001E-2</v>
      </c>
      <c r="Z190" s="28">
        <v>-3.8600000000000002E-2</v>
      </c>
      <c r="AA190" s="29">
        <v>300</v>
      </c>
      <c r="AB190" s="29">
        <v>475</v>
      </c>
      <c r="AC190" s="30">
        <v>-89.793999999999997</v>
      </c>
      <c r="AD190" s="30">
        <v>0.36007619047619049</v>
      </c>
      <c r="AE190" s="29">
        <v>1</v>
      </c>
    </row>
    <row r="191" spans="2:31" x14ac:dyDescent="0.2">
      <c r="B191" s="27">
        <v>91</v>
      </c>
      <c r="C191" s="28" t="s">
        <v>641</v>
      </c>
      <c r="D191" s="28" t="s">
        <v>382</v>
      </c>
      <c r="E191" s="28">
        <v>1E-4</v>
      </c>
      <c r="F191" s="28">
        <v>2.8500000000000001E-2</v>
      </c>
      <c r="G191" s="28">
        <v>3.7900000000000003E-2</v>
      </c>
      <c r="H191" s="28">
        <v>-1E-4</v>
      </c>
      <c r="I191" s="28">
        <v>-2.9000000000000001E-2</v>
      </c>
      <c r="J191" s="28">
        <v>-3.8600000000000002E-2</v>
      </c>
      <c r="K191" s="29">
        <v>300</v>
      </c>
      <c r="L191" s="29">
        <v>475</v>
      </c>
      <c r="M191" s="30">
        <v>58.014400000000002</v>
      </c>
      <c r="N191" s="30">
        <v>0.23263919799498747</v>
      </c>
      <c r="O191" s="29">
        <v>1</v>
      </c>
      <c r="R191" s="27">
        <v>91</v>
      </c>
      <c r="S191" s="28" t="s">
        <v>641</v>
      </c>
      <c r="T191" s="28" t="s">
        <v>382</v>
      </c>
      <c r="U191" s="28">
        <v>1E-4</v>
      </c>
      <c r="V191" s="28">
        <v>2.8500000000000001E-2</v>
      </c>
      <c r="W191" s="28">
        <v>3.7900000000000003E-2</v>
      </c>
      <c r="X191" s="28">
        <v>-1E-4</v>
      </c>
      <c r="Y191" s="28">
        <v>-2.9000000000000001E-2</v>
      </c>
      <c r="Z191" s="28">
        <v>-3.8600000000000002E-2</v>
      </c>
      <c r="AA191" s="29">
        <v>300</v>
      </c>
      <c r="AB191" s="29">
        <v>475</v>
      </c>
      <c r="AC191" s="30">
        <v>42.008499999999998</v>
      </c>
      <c r="AD191" s="30">
        <v>0.16845513784461152</v>
      </c>
      <c r="AE191" s="29">
        <v>1</v>
      </c>
    </row>
    <row r="192" spans="2:31" x14ac:dyDescent="0.2">
      <c r="B192" s="27">
        <v>94</v>
      </c>
      <c r="C192" s="28" t="s">
        <v>643</v>
      </c>
      <c r="D192" s="28" t="s">
        <v>380</v>
      </c>
      <c r="E192" s="28">
        <v>1E-4</v>
      </c>
      <c r="F192" s="28">
        <v>2.8500000000000001E-2</v>
      </c>
      <c r="G192" s="28">
        <v>3.7999999999999999E-2</v>
      </c>
      <c r="H192" s="28">
        <v>-1E-4</v>
      </c>
      <c r="I192" s="28">
        <v>-2.87E-2</v>
      </c>
      <c r="J192" s="28">
        <v>-3.8300000000000001E-2</v>
      </c>
      <c r="K192" s="29">
        <v>300</v>
      </c>
      <c r="L192" s="29">
        <v>475</v>
      </c>
      <c r="M192" s="30">
        <v>-84.599800000000002</v>
      </c>
      <c r="N192" s="30">
        <v>0.33924731829573934</v>
      </c>
      <c r="O192" s="29">
        <v>1</v>
      </c>
      <c r="R192" s="27">
        <v>94</v>
      </c>
      <c r="S192" s="28" t="s">
        <v>643</v>
      </c>
      <c r="T192" s="28" t="s">
        <v>380</v>
      </c>
      <c r="U192" s="28">
        <v>1E-4</v>
      </c>
      <c r="V192" s="28">
        <v>2.8500000000000001E-2</v>
      </c>
      <c r="W192" s="28">
        <v>3.7999999999999999E-2</v>
      </c>
      <c r="X192" s="28">
        <v>-1E-4</v>
      </c>
      <c r="Y192" s="28">
        <v>-2.87E-2</v>
      </c>
      <c r="Z192" s="28">
        <v>-3.8300000000000001E-2</v>
      </c>
      <c r="AA192" s="29">
        <v>300</v>
      </c>
      <c r="AB192" s="29">
        <v>475</v>
      </c>
      <c r="AC192" s="30">
        <v>-84.596100000000007</v>
      </c>
      <c r="AD192" s="30">
        <v>0.33923248120300753</v>
      </c>
      <c r="AE192" s="29">
        <v>1</v>
      </c>
    </row>
    <row r="193" spans="2:31" x14ac:dyDescent="0.2">
      <c r="B193" s="27">
        <v>94</v>
      </c>
      <c r="C193" s="28" t="s">
        <v>644</v>
      </c>
      <c r="D193" s="28" t="s">
        <v>382</v>
      </c>
      <c r="E193" s="28">
        <v>1E-4</v>
      </c>
      <c r="F193" s="28">
        <v>2.8500000000000001E-2</v>
      </c>
      <c r="G193" s="28">
        <v>3.7999999999999999E-2</v>
      </c>
      <c r="H193" s="28">
        <v>-1E-4</v>
      </c>
      <c r="I193" s="28">
        <v>-2.87E-2</v>
      </c>
      <c r="J193" s="28">
        <v>-3.8300000000000001E-2</v>
      </c>
      <c r="K193" s="29">
        <v>300</v>
      </c>
      <c r="L193" s="29">
        <v>475</v>
      </c>
      <c r="M193" s="30">
        <v>58.014400000000002</v>
      </c>
      <c r="N193" s="30">
        <v>0.23263919799498747</v>
      </c>
      <c r="O193" s="29">
        <v>1</v>
      </c>
      <c r="R193" s="27">
        <v>94</v>
      </c>
      <c r="S193" s="28" t="s">
        <v>644</v>
      </c>
      <c r="T193" s="28" t="s">
        <v>382</v>
      </c>
      <c r="U193" s="28">
        <v>1E-4</v>
      </c>
      <c r="V193" s="28">
        <v>2.8500000000000001E-2</v>
      </c>
      <c r="W193" s="28">
        <v>3.7999999999999999E-2</v>
      </c>
      <c r="X193" s="28">
        <v>-1E-4</v>
      </c>
      <c r="Y193" s="28">
        <v>-2.87E-2</v>
      </c>
      <c r="Z193" s="28">
        <v>-3.8300000000000001E-2</v>
      </c>
      <c r="AA193" s="29">
        <v>300</v>
      </c>
      <c r="AB193" s="29">
        <v>475</v>
      </c>
      <c r="AC193" s="30">
        <v>53.450099999999999</v>
      </c>
      <c r="AD193" s="30">
        <v>0.21433624060150375</v>
      </c>
      <c r="AE193" s="29">
        <v>1</v>
      </c>
    </row>
    <row r="194" spans="2:31" x14ac:dyDescent="0.2">
      <c r="B194" s="27">
        <v>97</v>
      </c>
      <c r="C194" s="28" t="s">
        <v>646</v>
      </c>
      <c r="D194" s="28" t="s">
        <v>380</v>
      </c>
      <c r="E194" s="28">
        <v>1E-4</v>
      </c>
      <c r="F194" s="28">
        <v>2.8500000000000001E-2</v>
      </c>
      <c r="G194" s="28">
        <v>3.7999999999999999E-2</v>
      </c>
      <c r="H194" s="28">
        <v>-1E-4</v>
      </c>
      <c r="I194" s="28">
        <v>-2.87E-2</v>
      </c>
      <c r="J194" s="28">
        <v>-3.8300000000000001E-2</v>
      </c>
      <c r="K194" s="29">
        <v>300</v>
      </c>
      <c r="L194" s="29">
        <v>475</v>
      </c>
      <c r="M194" s="30">
        <v>-84.586600000000004</v>
      </c>
      <c r="N194" s="30">
        <v>0.3391943859649123</v>
      </c>
      <c r="O194" s="29">
        <v>1</v>
      </c>
      <c r="R194" s="27">
        <v>97</v>
      </c>
      <c r="S194" s="28" t="s">
        <v>646</v>
      </c>
      <c r="T194" s="28" t="s">
        <v>380</v>
      </c>
      <c r="U194" s="28">
        <v>1E-4</v>
      </c>
      <c r="V194" s="28">
        <v>2.8500000000000001E-2</v>
      </c>
      <c r="W194" s="28">
        <v>3.7999999999999999E-2</v>
      </c>
      <c r="X194" s="28">
        <v>-1E-4</v>
      </c>
      <c r="Y194" s="28">
        <v>-2.87E-2</v>
      </c>
      <c r="Z194" s="28">
        <v>-3.8300000000000001E-2</v>
      </c>
      <c r="AA194" s="29">
        <v>300</v>
      </c>
      <c r="AB194" s="29">
        <v>475</v>
      </c>
      <c r="AC194" s="30">
        <v>-84.583799999999997</v>
      </c>
      <c r="AD194" s="30">
        <v>0.33918315789473685</v>
      </c>
      <c r="AE194" s="29">
        <v>1</v>
      </c>
    </row>
    <row r="195" spans="2:31" x14ac:dyDescent="0.2">
      <c r="B195" s="27">
        <v>97</v>
      </c>
      <c r="C195" s="28" t="s">
        <v>647</v>
      </c>
      <c r="D195" s="28" t="s">
        <v>382</v>
      </c>
      <c r="E195" s="28">
        <v>1E-4</v>
      </c>
      <c r="F195" s="28">
        <v>2.8500000000000001E-2</v>
      </c>
      <c r="G195" s="28">
        <v>3.7999999999999999E-2</v>
      </c>
      <c r="H195" s="28">
        <v>-1E-4</v>
      </c>
      <c r="I195" s="28">
        <v>-2.87E-2</v>
      </c>
      <c r="J195" s="28">
        <v>-3.8300000000000001E-2</v>
      </c>
      <c r="K195" s="29">
        <v>300</v>
      </c>
      <c r="L195" s="29">
        <v>475</v>
      </c>
      <c r="M195" s="30">
        <v>58.014400000000002</v>
      </c>
      <c r="N195" s="30">
        <v>0.23263919799498747</v>
      </c>
      <c r="O195" s="29">
        <v>1</v>
      </c>
      <c r="R195" s="27">
        <v>97</v>
      </c>
      <c r="S195" s="28" t="s">
        <v>647</v>
      </c>
      <c r="T195" s="28" t="s">
        <v>382</v>
      </c>
      <c r="U195" s="28">
        <v>1E-4</v>
      </c>
      <c r="V195" s="28">
        <v>2.8500000000000001E-2</v>
      </c>
      <c r="W195" s="28">
        <v>3.7999999999999999E-2</v>
      </c>
      <c r="X195" s="28">
        <v>-1E-4</v>
      </c>
      <c r="Y195" s="28">
        <v>-2.87E-2</v>
      </c>
      <c r="Z195" s="28">
        <v>-3.8300000000000001E-2</v>
      </c>
      <c r="AA195" s="29">
        <v>300</v>
      </c>
      <c r="AB195" s="29">
        <v>475</v>
      </c>
      <c r="AC195" s="30">
        <v>53.464300000000001</v>
      </c>
      <c r="AD195" s="30">
        <v>0.21439318295739349</v>
      </c>
      <c r="AE195" s="29">
        <v>1</v>
      </c>
    </row>
    <row r="196" spans="2:31" x14ac:dyDescent="0.2">
      <c r="B196" s="27">
        <v>100</v>
      </c>
      <c r="C196" s="28" t="s">
        <v>649</v>
      </c>
      <c r="D196" s="28" t="s">
        <v>380</v>
      </c>
      <c r="E196" s="28">
        <v>1E-4</v>
      </c>
      <c r="F196" s="28">
        <v>2.8500000000000001E-2</v>
      </c>
      <c r="G196" s="28">
        <v>3.7900000000000003E-2</v>
      </c>
      <c r="H196" s="28">
        <v>-1E-4</v>
      </c>
      <c r="I196" s="28">
        <v>-2.9000000000000001E-2</v>
      </c>
      <c r="J196" s="28">
        <v>-3.8600000000000002E-2</v>
      </c>
      <c r="K196" s="29">
        <v>300</v>
      </c>
      <c r="L196" s="29">
        <v>475</v>
      </c>
      <c r="M196" s="30">
        <v>-89.745900000000006</v>
      </c>
      <c r="N196" s="30">
        <v>0.35988330827067672</v>
      </c>
      <c r="O196" s="29">
        <v>1</v>
      </c>
      <c r="R196" s="27">
        <v>100</v>
      </c>
      <c r="S196" s="28" t="s">
        <v>649</v>
      </c>
      <c r="T196" s="28" t="s">
        <v>380</v>
      </c>
      <c r="U196" s="28">
        <v>1E-4</v>
      </c>
      <c r="V196" s="28">
        <v>2.8500000000000001E-2</v>
      </c>
      <c r="W196" s="28">
        <v>3.7900000000000003E-2</v>
      </c>
      <c r="X196" s="28">
        <v>-1E-4</v>
      </c>
      <c r="Y196" s="28">
        <v>-2.9000000000000001E-2</v>
      </c>
      <c r="Z196" s="28">
        <v>-3.8600000000000002E-2</v>
      </c>
      <c r="AA196" s="29">
        <v>300</v>
      </c>
      <c r="AB196" s="29">
        <v>475</v>
      </c>
      <c r="AC196" s="30">
        <v>-89.742500000000007</v>
      </c>
      <c r="AD196" s="30">
        <v>0.35986967418546367</v>
      </c>
      <c r="AE196" s="29">
        <v>1</v>
      </c>
    </row>
    <row r="197" spans="2:31" x14ac:dyDescent="0.2">
      <c r="B197" s="27">
        <v>100</v>
      </c>
      <c r="C197" s="28" t="s">
        <v>650</v>
      </c>
      <c r="D197" s="28" t="s">
        <v>382</v>
      </c>
      <c r="E197" s="28">
        <v>1E-4</v>
      </c>
      <c r="F197" s="28">
        <v>2.8500000000000001E-2</v>
      </c>
      <c r="G197" s="28">
        <v>3.7900000000000003E-2</v>
      </c>
      <c r="H197" s="28">
        <v>-1E-4</v>
      </c>
      <c r="I197" s="28">
        <v>-2.9000000000000001E-2</v>
      </c>
      <c r="J197" s="28">
        <v>-3.8600000000000002E-2</v>
      </c>
      <c r="K197" s="29">
        <v>300</v>
      </c>
      <c r="L197" s="29">
        <v>475</v>
      </c>
      <c r="M197" s="30">
        <v>58.060499999999998</v>
      </c>
      <c r="N197" s="30">
        <v>0.23282406015037593</v>
      </c>
      <c r="O197" s="29">
        <v>1</v>
      </c>
      <c r="R197" s="27">
        <v>100</v>
      </c>
      <c r="S197" s="28" t="s">
        <v>650</v>
      </c>
      <c r="T197" s="28" t="s">
        <v>382</v>
      </c>
      <c r="U197" s="28">
        <v>1E-4</v>
      </c>
      <c r="V197" s="28">
        <v>2.8500000000000001E-2</v>
      </c>
      <c r="W197" s="28">
        <v>3.7900000000000003E-2</v>
      </c>
      <c r="X197" s="28">
        <v>-1E-4</v>
      </c>
      <c r="Y197" s="28">
        <v>-2.9000000000000001E-2</v>
      </c>
      <c r="Z197" s="28">
        <v>-3.8600000000000002E-2</v>
      </c>
      <c r="AA197" s="29">
        <v>300</v>
      </c>
      <c r="AB197" s="29">
        <v>475</v>
      </c>
      <c r="AC197" s="30">
        <v>53.464300000000001</v>
      </c>
      <c r="AD197" s="30">
        <v>0.21439318295739349</v>
      </c>
      <c r="AE197" s="29">
        <v>1</v>
      </c>
    </row>
    <row r="198" spans="2:31" x14ac:dyDescent="0.2">
      <c r="B198" s="27">
        <v>103</v>
      </c>
      <c r="C198" s="28" t="s">
        <v>652</v>
      </c>
      <c r="D198" s="28" t="s">
        <v>380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-2.86E-2</v>
      </c>
      <c r="J198" s="28">
        <v>-3.8100000000000002E-2</v>
      </c>
      <c r="K198" s="29">
        <v>300</v>
      </c>
      <c r="L198" s="29">
        <v>475</v>
      </c>
      <c r="M198" s="30">
        <v>-67.296700000000001</v>
      </c>
      <c r="N198" s="30">
        <v>0.2698614536340852</v>
      </c>
      <c r="O198" s="29">
        <v>1</v>
      </c>
      <c r="R198" s="27">
        <v>103</v>
      </c>
      <c r="S198" s="28" t="s">
        <v>652</v>
      </c>
      <c r="T198" s="28" t="s">
        <v>380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-2.86E-2</v>
      </c>
      <c r="Z198" s="28">
        <v>-3.8100000000000002E-2</v>
      </c>
      <c r="AA198" s="29">
        <v>300</v>
      </c>
      <c r="AB198" s="29">
        <v>475</v>
      </c>
      <c r="AC198" s="30">
        <v>-67.289900000000003</v>
      </c>
      <c r="AD198" s="30">
        <v>0.26983418546365917</v>
      </c>
      <c r="AE198" s="29">
        <v>1</v>
      </c>
    </row>
    <row r="199" spans="2:31" x14ac:dyDescent="0.2">
      <c r="B199" s="27">
        <v>103</v>
      </c>
      <c r="C199" s="28" t="s">
        <v>653</v>
      </c>
      <c r="D199" s="28" t="s">
        <v>382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-2.86E-2</v>
      </c>
      <c r="J199" s="28">
        <v>-3.8100000000000002E-2</v>
      </c>
      <c r="K199" s="29">
        <v>300</v>
      </c>
      <c r="L199" s="29">
        <v>475</v>
      </c>
      <c r="M199" s="30">
        <v>58.060499999999998</v>
      </c>
      <c r="N199" s="30">
        <v>0.23282406015037593</v>
      </c>
      <c r="O199" s="29">
        <v>1</v>
      </c>
      <c r="R199" s="27">
        <v>103</v>
      </c>
      <c r="S199" s="28" t="s">
        <v>653</v>
      </c>
      <c r="T199" s="28" t="s">
        <v>382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-2.86E-2</v>
      </c>
      <c r="Z199" s="28">
        <v>-3.8100000000000002E-2</v>
      </c>
      <c r="AA199" s="29">
        <v>300</v>
      </c>
      <c r="AB199" s="29">
        <v>475</v>
      </c>
      <c r="AC199" s="30">
        <v>42.039000000000001</v>
      </c>
      <c r="AD199" s="30">
        <v>0.16857744360902255</v>
      </c>
      <c r="AE199" s="29">
        <v>1</v>
      </c>
    </row>
    <row r="200" spans="2:31" x14ac:dyDescent="0.2">
      <c r="B200" s="27">
        <v>115</v>
      </c>
      <c r="C200" s="28" t="s">
        <v>655</v>
      </c>
      <c r="D200" s="28" t="s">
        <v>380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-2.7900000000000001E-2</v>
      </c>
      <c r="J200" s="28">
        <v>-3.7199999999999997E-2</v>
      </c>
      <c r="K200" s="29">
        <v>300</v>
      </c>
      <c r="L200" s="29">
        <v>475</v>
      </c>
      <c r="M200" s="30">
        <v>-44.418399999999998</v>
      </c>
      <c r="N200" s="30">
        <v>0.17811889724310778</v>
      </c>
      <c r="O200" s="29">
        <v>1</v>
      </c>
      <c r="R200" s="27">
        <v>115</v>
      </c>
      <c r="S200" s="28" t="s">
        <v>655</v>
      </c>
      <c r="T200" s="28" t="s">
        <v>380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-2.7900000000000001E-2</v>
      </c>
      <c r="Z200" s="28">
        <v>-3.7199999999999997E-2</v>
      </c>
      <c r="AA200" s="29">
        <v>300</v>
      </c>
      <c r="AB200" s="29">
        <v>475</v>
      </c>
      <c r="AC200" s="30">
        <v>-44.447800000000001</v>
      </c>
      <c r="AD200" s="30">
        <v>0.17823679197994988</v>
      </c>
      <c r="AE200" s="29">
        <v>1</v>
      </c>
    </row>
    <row r="201" spans="2:31" x14ac:dyDescent="0.2">
      <c r="B201" s="27">
        <v>115</v>
      </c>
      <c r="C201" s="28" t="s">
        <v>656</v>
      </c>
      <c r="D201" s="28" t="s">
        <v>382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-2.7900000000000001E-2</v>
      </c>
      <c r="J201" s="28">
        <v>-3.7199999999999997E-2</v>
      </c>
      <c r="K201" s="29">
        <v>300</v>
      </c>
      <c r="L201" s="29">
        <v>475</v>
      </c>
      <c r="M201" s="30">
        <v>58.060499999999998</v>
      </c>
      <c r="N201" s="30">
        <v>0.23282406015037593</v>
      </c>
      <c r="O201" s="29">
        <v>1</v>
      </c>
      <c r="R201" s="27">
        <v>115</v>
      </c>
      <c r="S201" s="28" t="s">
        <v>656</v>
      </c>
      <c r="T201" s="28" t="s">
        <v>382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-2.7900000000000001E-2</v>
      </c>
      <c r="Z201" s="28">
        <v>-3.7199999999999997E-2</v>
      </c>
      <c r="AA201" s="29">
        <v>300</v>
      </c>
      <c r="AB201" s="29">
        <v>475</v>
      </c>
      <c r="AC201" s="30">
        <v>42.039000000000001</v>
      </c>
      <c r="AD201" s="30">
        <v>0.16857744360902255</v>
      </c>
      <c r="AE201" s="29">
        <v>1</v>
      </c>
    </row>
    <row r="202" spans="2:31" x14ac:dyDescent="0.2">
      <c r="B202" s="27">
        <v>116</v>
      </c>
      <c r="C202" s="28" t="s">
        <v>658</v>
      </c>
      <c r="D202" s="28" t="s">
        <v>380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-2.7900000000000001E-2</v>
      </c>
      <c r="J202" s="28">
        <v>-3.7199999999999997E-2</v>
      </c>
      <c r="K202" s="29">
        <v>300</v>
      </c>
      <c r="L202" s="29">
        <v>475</v>
      </c>
      <c r="M202" s="30">
        <v>-42.176200000000001</v>
      </c>
      <c r="N202" s="30">
        <v>0.16912761904761905</v>
      </c>
      <c r="O202" s="29">
        <v>1</v>
      </c>
      <c r="R202" s="27">
        <v>116</v>
      </c>
      <c r="S202" s="28" t="s">
        <v>658</v>
      </c>
      <c r="T202" s="28" t="s">
        <v>380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-2.7900000000000001E-2</v>
      </c>
      <c r="Z202" s="28">
        <v>-3.7199999999999997E-2</v>
      </c>
      <c r="AA202" s="29">
        <v>300</v>
      </c>
      <c r="AB202" s="29">
        <v>475</v>
      </c>
      <c r="AC202" s="30">
        <v>-42.203899999999997</v>
      </c>
      <c r="AD202" s="30">
        <v>0.1692386967418546</v>
      </c>
      <c r="AE202" s="29">
        <v>1</v>
      </c>
    </row>
    <row r="203" spans="2:31" x14ac:dyDescent="0.2">
      <c r="B203" s="27">
        <v>116</v>
      </c>
      <c r="C203" s="28" t="s">
        <v>659</v>
      </c>
      <c r="D203" s="28" t="s">
        <v>382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-2.7900000000000001E-2</v>
      </c>
      <c r="J203" s="28">
        <v>-3.7199999999999997E-2</v>
      </c>
      <c r="K203" s="29">
        <v>300</v>
      </c>
      <c r="L203" s="29">
        <v>475</v>
      </c>
      <c r="M203" s="30">
        <v>58.060499999999998</v>
      </c>
      <c r="N203" s="30">
        <v>0.23282406015037593</v>
      </c>
      <c r="O203" s="29">
        <v>1</v>
      </c>
      <c r="R203" s="27">
        <v>116</v>
      </c>
      <c r="S203" s="28" t="s">
        <v>659</v>
      </c>
      <c r="T203" s="28" t="s">
        <v>382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-2.7900000000000001E-2</v>
      </c>
      <c r="Z203" s="28">
        <v>-3.7199999999999997E-2</v>
      </c>
      <c r="AA203" s="29">
        <v>300</v>
      </c>
      <c r="AB203" s="29">
        <v>475</v>
      </c>
      <c r="AC203" s="30">
        <v>42.039000000000001</v>
      </c>
      <c r="AD203" s="30">
        <v>0.16857744360902255</v>
      </c>
      <c r="AE203" s="29">
        <v>1</v>
      </c>
    </row>
    <row r="204" spans="2:31" x14ac:dyDescent="0.2">
      <c r="B204" s="27">
        <v>117</v>
      </c>
      <c r="C204" s="28" t="s">
        <v>660</v>
      </c>
      <c r="D204" s="28" t="s">
        <v>380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-2.7900000000000001E-2</v>
      </c>
      <c r="J204" s="28">
        <v>-3.7199999999999997E-2</v>
      </c>
      <c r="K204" s="29">
        <v>300</v>
      </c>
      <c r="L204" s="29">
        <v>475</v>
      </c>
      <c r="M204" s="30">
        <v>-46.013199999999998</v>
      </c>
      <c r="N204" s="30">
        <v>0.18451408521303256</v>
      </c>
      <c r="O204" s="29">
        <v>1</v>
      </c>
      <c r="R204" s="27">
        <v>117</v>
      </c>
      <c r="S204" s="28" t="s">
        <v>660</v>
      </c>
      <c r="T204" s="28" t="s">
        <v>380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-2.7900000000000001E-2</v>
      </c>
      <c r="Z204" s="28">
        <v>-3.7199999999999997E-2</v>
      </c>
      <c r="AA204" s="29">
        <v>300</v>
      </c>
      <c r="AB204" s="29">
        <v>475</v>
      </c>
      <c r="AC204" s="30">
        <v>-46.0396</v>
      </c>
      <c r="AD204" s="30">
        <v>0.18461994987468672</v>
      </c>
      <c r="AE204" s="29">
        <v>1</v>
      </c>
    </row>
    <row r="205" spans="2:31" x14ac:dyDescent="0.2">
      <c r="B205" s="27">
        <v>117</v>
      </c>
      <c r="C205" s="28" t="s">
        <v>661</v>
      </c>
      <c r="D205" s="28" t="s">
        <v>382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-2.7900000000000001E-2</v>
      </c>
      <c r="J205" s="28">
        <v>-3.7199999999999997E-2</v>
      </c>
      <c r="K205" s="29">
        <v>300</v>
      </c>
      <c r="L205" s="29">
        <v>475</v>
      </c>
      <c r="M205" s="30">
        <v>58.060499999999998</v>
      </c>
      <c r="N205" s="30">
        <v>0.23282406015037593</v>
      </c>
      <c r="O205" s="29">
        <v>1</v>
      </c>
      <c r="R205" s="27">
        <v>117</v>
      </c>
      <c r="S205" s="28" t="s">
        <v>661</v>
      </c>
      <c r="T205" s="28" t="s">
        <v>382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-2.7900000000000001E-2</v>
      </c>
      <c r="Z205" s="28">
        <v>-3.7199999999999997E-2</v>
      </c>
      <c r="AA205" s="29">
        <v>300</v>
      </c>
      <c r="AB205" s="29">
        <v>475</v>
      </c>
      <c r="AC205" s="30">
        <v>42.039000000000001</v>
      </c>
      <c r="AD205" s="30">
        <v>0.16857744360902255</v>
      </c>
      <c r="AE205" s="29">
        <v>1</v>
      </c>
    </row>
    <row r="206" spans="2:31" x14ac:dyDescent="0.2">
      <c r="B206" s="27">
        <v>118</v>
      </c>
      <c r="C206" s="28" t="s">
        <v>662</v>
      </c>
      <c r="D206" s="28" t="s">
        <v>380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-2.7900000000000001E-2</v>
      </c>
      <c r="J206" s="28">
        <v>-3.7199999999999997E-2</v>
      </c>
      <c r="K206" s="29">
        <v>300</v>
      </c>
      <c r="L206" s="29">
        <v>475</v>
      </c>
      <c r="M206" s="30">
        <v>-45.081800000000001</v>
      </c>
      <c r="N206" s="30">
        <v>0.18077914786967419</v>
      </c>
      <c r="O206" s="29">
        <v>1</v>
      </c>
      <c r="R206" s="27">
        <v>118</v>
      </c>
      <c r="S206" s="28" t="s">
        <v>662</v>
      </c>
      <c r="T206" s="28" t="s">
        <v>380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-2.7900000000000001E-2</v>
      </c>
      <c r="Z206" s="28">
        <v>-3.7199999999999997E-2</v>
      </c>
      <c r="AA206" s="29">
        <v>300</v>
      </c>
      <c r="AB206" s="29">
        <v>475</v>
      </c>
      <c r="AC206" s="30">
        <v>-45.110399999999998</v>
      </c>
      <c r="AD206" s="30">
        <v>0.18089383458646618</v>
      </c>
      <c r="AE206" s="29">
        <v>1</v>
      </c>
    </row>
    <row r="207" spans="2:31" x14ac:dyDescent="0.2">
      <c r="B207" s="27">
        <v>118</v>
      </c>
      <c r="C207" s="28" t="s">
        <v>663</v>
      </c>
      <c r="D207" s="28" t="s">
        <v>382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-2.7900000000000001E-2</v>
      </c>
      <c r="J207" s="28">
        <v>-3.7199999999999997E-2</v>
      </c>
      <c r="K207" s="29">
        <v>300</v>
      </c>
      <c r="L207" s="29">
        <v>475</v>
      </c>
      <c r="M207" s="30">
        <v>58.060499999999998</v>
      </c>
      <c r="N207" s="30">
        <v>0.23282406015037593</v>
      </c>
      <c r="O207" s="29">
        <v>1</v>
      </c>
      <c r="R207" s="27">
        <v>118</v>
      </c>
      <c r="S207" s="28" t="s">
        <v>663</v>
      </c>
      <c r="T207" s="28" t="s">
        <v>382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-2.7900000000000001E-2</v>
      </c>
      <c r="Z207" s="28">
        <v>-3.7199999999999997E-2</v>
      </c>
      <c r="AA207" s="29">
        <v>300</v>
      </c>
      <c r="AB207" s="29">
        <v>475</v>
      </c>
      <c r="AC207" s="30">
        <v>42.039000000000001</v>
      </c>
      <c r="AD207" s="30">
        <v>0.16857744360902255</v>
      </c>
      <c r="AE207" s="29">
        <v>1</v>
      </c>
    </row>
    <row r="208" spans="2:31" x14ac:dyDescent="0.2">
      <c r="B208" s="27">
        <v>119</v>
      </c>
      <c r="C208" s="28" t="s">
        <v>665</v>
      </c>
      <c r="D208" s="28" t="s">
        <v>380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-2.7900000000000001E-2</v>
      </c>
      <c r="J208" s="28">
        <v>-3.7199999999999997E-2</v>
      </c>
      <c r="K208" s="29">
        <v>300</v>
      </c>
      <c r="L208" s="29">
        <v>475</v>
      </c>
      <c r="M208" s="30">
        <v>-43.295999999999999</v>
      </c>
      <c r="N208" s="30">
        <v>0.17361804511278195</v>
      </c>
      <c r="O208" s="29">
        <v>1</v>
      </c>
      <c r="R208" s="27">
        <v>119</v>
      </c>
      <c r="S208" s="28" t="s">
        <v>665</v>
      </c>
      <c r="T208" s="28" t="s">
        <v>380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-2.7900000000000001E-2</v>
      </c>
      <c r="Z208" s="28">
        <v>-3.7199999999999997E-2</v>
      </c>
      <c r="AA208" s="29">
        <v>300</v>
      </c>
      <c r="AB208" s="29">
        <v>475</v>
      </c>
      <c r="AC208" s="30">
        <v>-43.325000000000003</v>
      </c>
      <c r="AD208" s="30">
        <v>0.17373433583959899</v>
      </c>
      <c r="AE208" s="29">
        <v>1</v>
      </c>
    </row>
    <row r="209" spans="2:31" x14ac:dyDescent="0.2">
      <c r="B209" s="27">
        <v>119</v>
      </c>
      <c r="C209" s="28" t="s">
        <v>666</v>
      </c>
      <c r="D209" s="28" t="s">
        <v>382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-2.7900000000000001E-2</v>
      </c>
      <c r="J209" s="28">
        <v>-3.7199999999999997E-2</v>
      </c>
      <c r="K209" s="29">
        <v>300</v>
      </c>
      <c r="L209" s="29">
        <v>475</v>
      </c>
      <c r="M209" s="30">
        <v>58.060499999999998</v>
      </c>
      <c r="N209" s="30">
        <v>0.23282406015037593</v>
      </c>
      <c r="O209" s="29">
        <v>1</v>
      </c>
      <c r="R209" s="27">
        <v>119</v>
      </c>
      <c r="S209" s="28" t="s">
        <v>666</v>
      </c>
      <c r="T209" s="28" t="s">
        <v>382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-2.7900000000000001E-2</v>
      </c>
      <c r="Z209" s="28">
        <v>-3.7199999999999997E-2</v>
      </c>
      <c r="AA209" s="29">
        <v>300</v>
      </c>
      <c r="AB209" s="29">
        <v>475</v>
      </c>
      <c r="AC209" s="30">
        <v>42.039000000000001</v>
      </c>
      <c r="AD209" s="30">
        <v>0.16857744360902255</v>
      </c>
      <c r="AE209" s="29">
        <v>1</v>
      </c>
    </row>
    <row r="210" spans="2:31" x14ac:dyDescent="0.2">
      <c r="B210" s="27">
        <v>89</v>
      </c>
      <c r="C210" s="28" t="s">
        <v>668</v>
      </c>
      <c r="D210" s="28" t="s">
        <v>380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-2.86E-2</v>
      </c>
      <c r="J210" s="28">
        <v>-3.8100000000000002E-2</v>
      </c>
      <c r="K210" s="29">
        <v>300</v>
      </c>
      <c r="L210" s="29">
        <v>475</v>
      </c>
      <c r="M210" s="30">
        <v>-66.907399999999996</v>
      </c>
      <c r="N210" s="30">
        <v>0.26830035087719295</v>
      </c>
      <c r="O210" s="29">
        <v>1</v>
      </c>
      <c r="R210" s="27">
        <v>89</v>
      </c>
      <c r="S210" s="28" t="s">
        <v>668</v>
      </c>
      <c r="T210" s="28" t="s">
        <v>380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-2.86E-2</v>
      </c>
      <c r="Z210" s="28">
        <v>-3.8100000000000002E-2</v>
      </c>
      <c r="AA210" s="29">
        <v>300</v>
      </c>
      <c r="AB210" s="29">
        <v>475</v>
      </c>
      <c r="AC210" s="30">
        <v>-66.909000000000006</v>
      </c>
      <c r="AD210" s="30">
        <v>0.26830676691729322</v>
      </c>
      <c r="AE210" s="29">
        <v>1</v>
      </c>
    </row>
    <row r="211" spans="2:31" x14ac:dyDescent="0.2">
      <c r="B211" s="27">
        <v>89</v>
      </c>
      <c r="C211" s="28" t="s">
        <v>669</v>
      </c>
      <c r="D211" s="28" t="s">
        <v>382</v>
      </c>
      <c r="E211" s="28">
        <v>1E-4</v>
      </c>
      <c r="F211" s="28">
        <v>2.8400000000000002E-2</v>
      </c>
      <c r="G211" s="28">
        <v>3.7900000000000003E-2</v>
      </c>
      <c r="H211" s="28">
        <v>-1E-4</v>
      </c>
      <c r="I211" s="28">
        <v>-2.8400000000000002E-2</v>
      </c>
      <c r="J211" s="28">
        <v>-3.7900000000000003E-2</v>
      </c>
      <c r="K211" s="29">
        <v>300</v>
      </c>
      <c r="L211" s="29">
        <v>475</v>
      </c>
      <c r="M211" s="30">
        <v>58.060499999999998</v>
      </c>
      <c r="N211" s="30">
        <v>0.23282406015037593</v>
      </c>
      <c r="O211" s="29">
        <v>1</v>
      </c>
      <c r="R211" s="27">
        <v>89</v>
      </c>
      <c r="S211" s="28" t="s">
        <v>669</v>
      </c>
      <c r="T211" s="28" t="s">
        <v>382</v>
      </c>
      <c r="U211" s="28">
        <v>1E-4</v>
      </c>
      <c r="V211" s="28">
        <v>2.8400000000000002E-2</v>
      </c>
      <c r="W211" s="28">
        <v>3.7900000000000003E-2</v>
      </c>
      <c r="X211" s="28">
        <v>-1E-4</v>
      </c>
      <c r="Y211" s="28">
        <v>-2.8400000000000002E-2</v>
      </c>
      <c r="Z211" s="28">
        <v>-3.7900000000000003E-2</v>
      </c>
      <c r="AA211" s="29">
        <v>300</v>
      </c>
      <c r="AB211" s="29">
        <v>475</v>
      </c>
      <c r="AC211" s="30">
        <v>42.039000000000001</v>
      </c>
      <c r="AD211" s="30">
        <v>0.16857744360902255</v>
      </c>
      <c r="AE211" s="29">
        <v>1</v>
      </c>
    </row>
    <row r="212" spans="2:31" x14ac:dyDescent="0.2">
      <c r="B212" s="27">
        <v>92</v>
      </c>
      <c r="C212" s="28" t="s">
        <v>671</v>
      </c>
      <c r="D212" s="28" t="s">
        <v>380</v>
      </c>
      <c r="E212" s="28">
        <v>1E-4</v>
      </c>
      <c r="F212" s="28">
        <v>2.8500000000000001E-2</v>
      </c>
      <c r="G212" s="28">
        <v>3.7900000000000003E-2</v>
      </c>
      <c r="H212" s="28">
        <v>-1E-4</v>
      </c>
      <c r="I212" s="28">
        <v>-2.9000000000000001E-2</v>
      </c>
      <c r="J212" s="28">
        <v>-3.8600000000000002E-2</v>
      </c>
      <c r="K212" s="29">
        <v>300</v>
      </c>
      <c r="L212" s="29">
        <v>475</v>
      </c>
      <c r="M212" s="30">
        <v>-89.326300000000003</v>
      </c>
      <c r="N212" s="30">
        <v>0.35820070175438595</v>
      </c>
      <c r="O212" s="29">
        <v>1</v>
      </c>
      <c r="R212" s="27">
        <v>92</v>
      </c>
      <c r="S212" s="28" t="s">
        <v>671</v>
      </c>
      <c r="T212" s="28" t="s">
        <v>380</v>
      </c>
      <c r="U212" s="28">
        <v>1E-4</v>
      </c>
      <c r="V212" s="28">
        <v>2.8500000000000001E-2</v>
      </c>
      <c r="W212" s="28">
        <v>3.7900000000000003E-2</v>
      </c>
      <c r="X212" s="28">
        <v>-1E-4</v>
      </c>
      <c r="Y212" s="28">
        <v>-2.9000000000000001E-2</v>
      </c>
      <c r="Z212" s="28">
        <v>-3.8600000000000002E-2</v>
      </c>
      <c r="AA212" s="29">
        <v>300</v>
      </c>
      <c r="AB212" s="29">
        <v>475</v>
      </c>
      <c r="AC212" s="30">
        <v>-89.322800000000001</v>
      </c>
      <c r="AD212" s="30">
        <v>0.35818666666666665</v>
      </c>
      <c r="AE212" s="29">
        <v>1</v>
      </c>
    </row>
    <row r="213" spans="2:31" x14ac:dyDescent="0.2">
      <c r="B213" s="27">
        <v>92</v>
      </c>
      <c r="C213" s="28" t="s">
        <v>672</v>
      </c>
      <c r="D213" s="28" t="s">
        <v>382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58.060499999999998</v>
      </c>
      <c r="N213" s="30">
        <v>0.23282406015037593</v>
      </c>
      <c r="O213" s="29">
        <v>1</v>
      </c>
      <c r="R213" s="27">
        <v>92</v>
      </c>
      <c r="S213" s="28" t="s">
        <v>672</v>
      </c>
      <c r="T213" s="28" t="s">
        <v>382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42.039000000000001</v>
      </c>
      <c r="AD213" s="30">
        <v>0.16857744360902255</v>
      </c>
      <c r="AE213" s="29">
        <v>1</v>
      </c>
    </row>
    <row r="214" spans="2:31" x14ac:dyDescent="0.2">
      <c r="B214" s="27">
        <v>95</v>
      </c>
      <c r="C214" s="28" t="s">
        <v>674</v>
      </c>
      <c r="D214" s="28" t="s">
        <v>380</v>
      </c>
      <c r="E214" s="28">
        <v>1E-4</v>
      </c>
      <c r="F214" s="28">
        <v>2.8500000000000001E-2</v>
      </c>
      <c r="G214" s="28">
        <v>3.7999999999999999E-2</v>
      </c>
      <c r="H214" s="28">
        <v>-1E-4</v>
      </c>
      <c r="I214" s="28">
        <v>-2.87E-2</v>
      </c>
      <c r="J214" s="28">
        <v>-3.8300000000000001E-2</v>
      </c>
      <c r="K214" s="29">
        <v>300</v>
      </c>
      <c r="L214" s="29">
        <v>475</v>
      </c>
      <c r="M214" s="30">
        <v>-84.507900000000006</v>
      </c>
      <c r="N214" s="30">
        <v>0.33887879699248125</v>
      </c>
      <c r="O214" s="29">
        <v>1</v>
      </c>
      <c r="R214" s="27">
        <v>95</v>
      </c>
      <c r="S214" s="28" t="s">
        <v>674</v>
      </c>
      <c r="T214" s="28" t="s">
        <v>380</v>
      </c>
      <c r="U214" s="28">
        <v>1E-4</v>
      </c>
      <c r="V214" s="28">
        <v>2.8500000000000001E-2</v>
      </c>
      <c r="W214" s="28">
        <v>3.7999999999999999E-2</v>
      </c>
      <c r="X214" s="28">
        <v>-1E-4</v>
      </c>
      <c r="Y214" s="28">
        <v>-2.87E-2</v>
      </c>
      <c r="Z214" s="28">
        <v>-3.8300000000000001E-2</v>
      </c>
      <c r="AA214" s="29">
        <v>300</v>
      </c>
      <c r="AB214" s="29">
        <v>475</v>
      </c>
      <c r="AC214" s="30">
        <v>-84.504099999999994</v>
      </c>
      <c r="AD214" s="30">
        <v>0.33886355889724307</v>
      </c>
      <c r="AE214" s="29">
        <v>1</v>
      </c>
    </row>
    <row r="215" spans="2:31" x14ac:dyDescent="0.2">
      <c r="B215" s="27">
        <v>95</v>
      </c>
      <c r="C215" s="28" t="s">
        <v>675</v>
      </c>
      <c r="D215" s="28" t="s">
        <v>382</v>
      </c>
      <c r="E215" s="28">
        <v>1E-4</v>
      </c>
      <c r="F215" s="28">
        <v>2.8500000000000001E-2</v>
      </c>
      <c r="G215" s="28">
        <v>3.7999999999999999E-2</v>
      </c>
      <c r="H215" s="28">
        <v>-1E-4</v>
      </c>
      <c r="I215" s="28">
        <v>-2.87E-2</v>
      </c>
      <c r="J215" s="28">
        <v>-3.8300000000000001E-2</v>
      </c>
      <c r="K215" s="29">
        <v>300</v>
      </c>
      <c r="L215" s="29">
        <v>475</v>
      </c>
      <c r="M215" s="30">
        <v>58.060499999999998</v>
      </c>
      <c r="N215" s="30">
        <v>0.23282406015037593</v>
      </c>
      <c r="O215" s="29">
        <v>1</v>
      </c>
      <c r="R215" s="27">
        <v>95</v>
      </c>
      <c r="S215" s="28" t="s">
        <v>675</v>
      </c>
      <c r="T215" s="28" t="s">
        <v>382</v>
      </c>
      <c r="U215" s="28">
        <v>1E-4</v>
      </c>
      <c r="V215" s="28">
        <v>2.8500000000000001E-2</v>
      </c>
      <c r="W215" s="28">
        <v>3.7999999999999999E-2</v>
      </c>
      <c r="X215" s="28">
        <v>-1E-4</v>
      </c>
      <c r="Y215" s="28">
        <v>-2.87E-2</v>
      </c>
      <c r="Z215" s="28">
        <v>-3.8300000000000001E-2</v>
      </c>
      <c r="AA215" s="29">
        <v>300</v>
      </c>
      <c r="AB215" s="29">
        <v>475</v>
      </c>
      <c r="AC215" s="30">
        <v>42.039000000000001</v>
      </c>
      <c r="AD215" s="30">
        <v>0.16857744360902255</v>
      </c>
      <c r="AE215" s="29">
        <v>1</v>
      </c>
    </row>
    <row r="216" spans="2:31" x14ac:dyDescent="0.2">
      <c r="B216" s="27">
        <v>98</v>
      </c>
      <c r="C216" s="28" t="s">
        <v>677</v>
      </c>
      <c r="D216" s="28" t="s">
        <v>380</v>
      </c>
      <c r="E216" s="28">
        <v>1E-4</v>
      </c>
      <c r="F216" s="28">
        <v>2.8500000000000001E-2</v>
      </c>
      <c r="G216" s="28">
        <v>3.7999999999999999E-2</v>
      </c>
      <c r="H216" s="28">
        <v>-1E-4</v>
      </c>
      <c r="I216" s="28">
        <v>-2.87E-2</v>
      </c>
      <c r="J216" s="28">
        <v>-3.8300000000000001E-2</v>
      </c>
      <c r="K216" s="29">
        <v>300</v>
      </c>
      <c r="L216" s="29">
        <v>475</v>
      </c>
      <c r="M216" s="30">
        <v>-84.496099999999998</v>
      </c>
      <c r="N216" s="30">
        <v>0.33883147869674179</v>
      </c>
      <c r="O216" s="29">
        <v>1</v>
      </c>
      <c r="R216" s="27">
        <v>98</v>
      </c>
      <c r="S216" s="28" t="s">
        <v>677</v>
      </c>
      <c r="T216" s="28" t="s">
        <v>380</v>
      </c>
      <c r="U216" s="28">
        <v>1E-4</v>
      </c>
      <c r="V216" s="28">
        <v>2.8500000000000001E-2</v>
      </c>
      <c r="W216" s="28">
        <v>3.7999999999999999E-2</v>
      </c>
      <c r="X216" s="28">
        <v>-1E-4</v>
      </c>
      <c r="Y216" s="28">
        <v>-2.87E-2</v>
      </c>
      <c r="Z216" s="28">
        <v>-3.8300000000000001E-2</v>
      </c>
      <c r="AA216" s="29">
        <v>300</v>
      </c>
      <c r="AB216" s="29">
        <v>475</v>
      </c>
      <c r="AC216" s="30">
        <v>-84.493499999999997</v>
      </c>
      <c r="AD216" s="30">
        <v>0.33882105263157897</v>
      </c>
      <c r="AE216" s="29">
        <v>1</v>
      </c>
    </row>
    <row r="217" spans="2:31" x14ac:dyDescent="0.2">
      <c r="B217" s="27">
        <v>98</v>
      </c>
      <c r="C217" s="28" t="s">
        <v>678</v>
      </c>
      <c r="D217" s="28" t="s">
        <v>382</v>
      </c>
      <c r="E217" s="28">
        <v>1E-4</v>
      </c>
      <c r="F217" s="28">
        <v>2.8500000000000001E-2</v>
      </c>
      <c r="G217" s="28">
        <v>3.7999999999999999E-2</v>
      </c>
      <c r="H217" s="28">
        <v>-1E-4</v>
      </c>
      <c r="I217" s="28">
        <v>-2.87E-2</v>
      </c>
      <c r="J217" s="28">
        <v>-3.8300000000000001E-2</v>
      </c>
      <c r="K217" s="29">
        <v>300</v>
      </c>
      <c r="L217" s="29">
        <v>475</v>
      </c>
      <c r="M217" s="30">
        <v>58.060499999999998</v>
      </c>
      <c r="N217" s="30">
        <v>0.23282406015037593</v>
      </c>
      <c r="O217" s="29">
        <v>1</v>
      </c>
      <c r="R217" s="27">
        <v>98</v>
      </c>
      <c r="S217" s="28" t="s">
        <v>678</v>
      </c>
      <c r="T217" s="28" t="s">
        <v>382</v>
      </c>
      <c r="U217" s="28">
        <v>1E-4</v>
      </c>
      <c r="V217" s="28">
        <v>2.8500000000000001E-2</v>
      </c>
      <c r="W217" s="28">
        <v>3.7999999999999999E-2</v>
      </c>
      <c r="X217" s="28">
        <v>-1E-4</v>
      </c>
      <c r="Y217" s="28">
        <v>-2.87E-2</v>
      </c>
      <c r="Z217" s="28">
        <v>-3.8300000000000001E-2</v>
      </c>
      <c r="AA217" s="29">
        <v>300</v>
      </c>
      <c r="AB217" s="29">
        <v>475</v>
      </c>
      <c r="AC217" s="30">
        <v>42.039000000000001</v>
      </c>
      <c r="AD217" s="30">
        <v>0.16857744360902255</v>
      </c>
      <c r="AE217" s="29">
        <v>1</v>
      </c>
    </row>
    <row r="218" spans="2:31" x14ac:dyDescent="0.2">
      <c r="B218" s="27">
        <v>101</v>
      </c>
      <c r="C218" s="28" t="s">
        <v>680</v>
      </c>
      <c r="D218" s="28" t="s">
        <v>380</v>
      </c>
      <c r="E218" s="28">
        <v>1E-4</v>
      </c>
      <c r="F218" s="28">
        <v>2.8500000000000001E-2</v>
      </c>
      <c r="G218" s="28">
        <v>3.7900000000000003E-2</v>
      </c>
      <c r="H218" s="28">
        <v>-1E-4</v>
      </c>
      <c r="I218" s="28">
        <v>-2.9000000000000001E-2</v>
      </c>
      <c r="J218" s="28">
        <v>-3.8600000000000002E-2</v>
      </c>
      <c r="K218" s="29">
        <v>300</v>
      </c>
      <c r="L218" s="29">
        <v>475</v>
      </c>
      <c r="M218" s="30">
        <v>-89.290400000000005</v>
      </c>
      <c r="N218" s="30">
        <v>0.35805674185463665</v>
      </c>
      <c r="O218" s="29">
        <v>1</v>
      </c>
      <c r="R218" s="27">
        <v>101</v>
      </c>
      <c r="S218" s="28" t="s">
        <v>680</v>
      </c>
      <c r="T218" s="28" t="s">
        <v>380</v>
      </c>
      <c r="U218" s="28">
        <v>1E-4</v>
      </c>
      <c r="V218" s="28">
        <v>2.8500000000000001E-2</v>
      </c>
      <c r="W218" s="28">
        <v>3.7900000000000003E-2</v>
      </c>
      <c r="X218" s="28">
        <v>-1E-4</v>
      </c>
      <c r="Y218" s="28">
        <v>-2.9000000000000001E-2</v>
      </c>
      <c r="Z218" s="28">
        <v>-3.8600000000000002E-2</v>
      </c>
      <c r="AA218" s="29">
        <v>300</v>
      </c>
      <c r="AB218" s="29">
        <v>475</v>
      </c>
      <c r="AC218" s="30">
        <v>-89.287000000000006</v>
      </c>
      <c r="AD218" s="30">
        <v>0.35804310776942355</v>
      </c>
      <c r="AE218" s="29">
        <v>1</v>
      </c>
    </row>
    <row r="219" spans="2:31" x14ac:dyDescent="0.2">
      <c r="B219" s="27">
        <v>101</v>
      </c>
      <c r="C219" s="28" t="s">
        <v>681</v>
      </c>
      <c r="D219" s="28" t="s">
        <v>382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58.060499999999998</v>
      </c>
      <c r="N219" s="30">
        <v>0.23282406015037593</v>
      </c>
      <c r="O219" s="29">
        <v>1</v>
      </c>
      <c r="R219" s="27">
        <v>101</v>
      </c>
      <c r="S219" s="28" t="s">
        <v>681</v>
      </c>
      <c r="T219" s="28" t="s">
        <v>382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42.039000000000001</v>
      </c>
      <c r="AD219" s="30">
        <v>0.16857744360902255</v>
      </c>
      <c r="AE219" s="29">
        <v>1</v>
      </c>
    </row>
    <row r="220" spans="2:31" x14ac:dyDescent="0.2">
      <c r="B220" s="27">
        <v>104</v>
      </c>
      <c r="C220" s="28" t="s">
        <v>683</v>
      </c>
      <c r="D220" s="28" t="s">
        <v>380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-2.86E-2</v>
      </c>
      <c r="J220" s="28">
        <v>-3.8100000000000002E-2</v>
      </c>
      <c r="K220" s="29">
        <v>300</v>
      </c>
      <c r="L220" s="29">
        <v>475</v>
      </c>
      <c r="M220" s="30">
        <v>-66.864500000000007</v>
      </c>
      <c r="N220" s="30">
        <v>0.26812832080200499</v>
      </c>
      <c r="O220" s="29">
        <v>1</v>
      </c>
      <c r="R220" s="27">
        <v>104</v>
      </c>
      <c r="S220" s="28" t="s">
        <v>683</v>
      </c>
      <c r="T220" s="28" t="s">
        <v>380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-2.86E-2</v>
      </c>
      <c r="Z220" s="28">
        <v>-3.8100000000000002E-2</v>
      </c>
      <c r="AA220" s="29">
        <v>300</v>
      </c>
      <c r="AB220" s="29">
        <v>475</v>
      </c>
      <c r="AC220" s="30">
        <v>-66.857699999999994</v>
      </c>
      <c r="AD220" s="30">
        <v>0.26810105263157896</v>
      </c>
      <c r="AE220" s="29">
        <v>1</v>
      </c>
    </row>
    <row r="221" spans="2:31" x14ac:dyDescent="0.2">
      <c r="B221" s="27">
        <v>104</v>
      </c>
      <c r="C221" s="28" t="s">
        <v>684</v>
      </c>
      <c r="D221" s="28" t="s">
        <v>382</v>
      </c>
      <c r="E221" s="28">
        <v>1E-4</v>
      </c>
      <c r="F221" s="28">
        <v>2.8400000000000002E-2</v>
      </c>
      <c r="G221" s="28">
        <v>3.7900000000000003E-2</v>
      </c>
      <c r="H221" s="28">
        <v>-1E-4</v>
      </c>
      <c r="I221" s="28">
        <v>-2.8400000000000002E-2</v>
      </c>
      <c r="J221" s="28">
        <v>-3.7900000000000003E-2</v>
      </c>
      <c r="K221" s="29">
        <v>300</v>
      </c>
      <c r="L221" s="29">
        <v>475</v>
      </c>
      <c r="M221" s="30">
        <v>58.060499999999998</v>
      </c>
      <c r="N221" s="30">
        <v>0.23282406015037593</v>
      </c>
      <c r="O221" s="29">
        <v>1</v>
      </c>
      <c r="R221" s="27">
        <v>104</v>
      </c>
      <c r="S221" s="28" t="s">
        <v>684</v>
      </c>
      <c r="T221" s="28" t="s">
        <v>382</v>
      </c>
      <c r="U221" s="28">
        <v>1E-4</v>
      </c>
      <c r="V221" s="28">
        <v>2.8400000000000002E-2</v>
      </c>
      <c r="W221" s="28">
        <v>3.7900000000000003E-2</v>
      </c>
      <c r="X221" s="28">
        <v>-1E-4</v>
      </c>
      <c r="Y221" s="28">
        <v>-2.8400000000000002E-2</v>
      </c>
      <c r="Z221" s="28">
        <v>-3.7900000000000003E-2</v>
      </c>
      <c r="AA221" s="29">
        <v>300</v>
      </c>
      <c r="AB221" s="29">
        <v>475</v>
      </c>
      <c r="AC221" s="30">
        <v>42.039000000000001</v>
      </c>
      <c r="AD221" s="30">
        <v>0.16857744360902255</v>
      </c>
      <c r="AE221" s="29">
        <v>1</v>
      </c>
    </row>
    <row r="222" spans="2:31" x14ac:dyDescent="0.2">
      <c r="B222" s="27">
        <v>120</v>
      </c>
      <c r="C222" s="28" t="s">
        <v>686</v>
      </c>
      <c r="D222" s="28" t="s">
        <v>380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-2.7799999999999998E-2</v>
      </c>
      <c r="J222" s="28">
        <v>-3.6999999999999998E-2</v>
      </c>
      <c r="K222" s="29">
        <v>300</v>
      </c>
      <c r="L222" s="29">
        <v>475</v>
      </c>
      <c r="M222" s="30">
        <v>-34.290100000000002</v>
      </c>
      <c r="N222" s="30">
        <v>0.13750416040100252</v>
      </c>
      <c r="O222" s="29">
        <v>1</v>
      </c>
      <c r="R222" s="27">
        <v>120</v>
      </c>
      <c r="S222" s="28" t="s">
        <v>686</v>
      </c>
      <c r="T222" s="28" t="s">
        <v>380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-2.7799999999999998E-2</v>
      </c>
      <c r="Z222" s="28">
        <v>-3.6999999999999998E-2</v>
      </c>
      <c r="AA222" s="29">
        <v>300</v>
      </c>
      <c r="AB222" s="29">
        <v>475</v>
      </c>
      <c r="AC222" s="30">
        <v>-34.311599999999999</v>
      </c>
      <c r="AD222" s="30">
        <v>0.13759037593984963</v>
      </c>
      <c r="AE222" s="29">
        <v>1</v>
      </c>
    </row>
    <row r="223" spans="2:31" x14ac:dyDescent="0.2">
      <c r="B223" s="27">
        <v>120</v>
      </c>
      <c r="C223" s="28" t="s">
        <v>687</v>
      </c>
      <c r="D223" s="28" t="s">
        <v>382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58.060499999999998</v>
      </c>
      <c r="N223" s="30">
        <v>0.23282406015037593</v>
      </c>
      <c r="O223" s="29">
        <v>1</v>
      </c>
      <c r="R223" s="27">
        <v>120</v>
      </c>
      <c r="S223" s="28" t="s">
        <v>687</v>
      </c>
      <c r="T223" s="28" t="s">
        <v>382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42.039000000000001</v>
      </c>
      <c r="AD223" s="30">
        <v>0.16857744360902255</v>
      </c>
      <c r="AE223" s="29">
        <v>1</v>
      </c>
    </row>
    <row r="224" spans="2:31" x14ac:dyDescent="0.2">
      <c r="B224" s="27">
        <v>121</v>
      </c>
      <c r="C224" s="28" t="s">
        <v>689</v>
      </c>
      <c r="D224" s="28" t="s">
        <v>380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-37.118600000000001</v>
      </c>
      <c r="N224" s="30">
        <v>0.14884651629072682</v>
      </c>
      <c r="O224" s="29">
        <v>1</v>
      </c>
      <c r="R224" s="27">
        <v>121</v>
      </c>
      <c r="S224" s="28" t="s">
        <v>689</v>
      </c>
      <c r="T224" s="28" t="s">
        <v>380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-37.143500000000003</v>
      </c>
      <c r="AD224" s="30">
        <v>0.14894636591478697</v>
      </c>
      <c r="AE224" s="29">
        <v>1</v>
      </c>
    </row>
    <row r="225" spans="2:31" x14ac:dyDescent="0.2">
      <c r="B225" s="27">
        <v>121</v>
      </c>
      <c r="C225" s="28" t="s">
        <v>690</v>
      </c>
      <c r="D225" s="28" t="s">
        <v>382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58.060499999999998</v>
      </c>
      <c r="N225" s="30">
        <v>0.23282406015037593</v>
      </c>
      <c r="O225" s="29">
        <v>1</v>
      </c>
      <c r="R225" s="27">
        <v>121</v>
      </c>
      <c r="S225" s="28" t="s">
        <v>690</v>
      </c>
      <c r="T225" s="28" t="s">
        <v>382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42.039000000000001</v>
      </c>
      <c r="AD225" s="30">
        <v>0.16857744360902255</v>
      </c>
      <c r="AE225" s="29">
        <v>1</v>
      </c>
    </row>
    <row r="226" spans="2:31" x14ac:dyDescent="0.2">
      <c r="B226" s="27">
        <v>122</v>
      </c>
      <c r="C226" s="28" t="s">
        <v>691</v>
      </c>
      <c r="D226" s="28" t="s">
        <v>380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-34.334699999999998</v>
      </c>
      <c r="N226" s="30">
        <v>0.13768300751879697</v>
      </c>
      <c r="O226" s="29">
        <v>1</v>
      </c>
      <c r="R226" s="27">
        <v>122</v>
      </c>
      <c r="S226" s="28" t="s">
        <v>691</v>
      </c>
      <c r="T226" s="28" t="s">
        <v>380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-34.359900000000003</v>
      </c>
      <c r="AD226" s="30">
        <v>0.13778406015037595</v>
      </c>
      <c r="AE226" s="29">
        <v>1</v>
      </c>
    </row>
    <row r="227" spans="2:31" x14ac:dyDescent="0.2">
      <c r="B227" s="27">
        <v>122</v>
      </c>
      <c r="C227" s="28" t="s">
        <v>692</v>
      </c>
      <c r="D227" s="28" t="s">
        <v>382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58.060499999999998</v>
      </c>
      <c r="N227" s="30">
        <v>0.23282406015037593</v>
      </c>
      <c r="O227" s="29">
        <v>1</v>
      </c>
      <c r="R227" s="27">
        <v>122</v>
      </c>
      <c r="S227" s="28" t="s">
        <v>692</v>
      </c>
      <c r="T227" s="28" t="s">
        <v>382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42.039000000000001</v>
      </c>
      <c r="AD227" s="30">
        <v>0.16857744360902255</v>
      </c>
      <c r="AE227" s="29">
        <v>1</v>
      </c>
    </row>
    <row r="228" spans="2:31" x14ac:dyDescent="0.2">
      <c r="B228" s="27">
        <v>123</v>
      </c>
      <c r="C228" s="28" t="s">
        <v>693</v>
      </c>
      <c r="D228" s="28" t="s">
        <v>380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-34.066800000000001</v>
      </c>
      <c r="N228" s="30">
        <v>0.13660872180451128</v>
      </c>
      <c r="O228" s="29">
        <v>1</v>
      </c>
      <c r="R228" s="27">
        <v>123</v>
      </c>
      <c r="S228" s="28" t="s">
        <v>693</v>
      </c>
      <c r="T228" s="28" t="s">
        <v>380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-34.091000000000001</v>
      </c>
      <c r="AD228" s="30">
        <v>0.13670576441102758</v>
      </c>
      <c r="AE228" s="29">
        <v>1</v>
      </c>
    </row>
    <row r="229" spans="2:31" x14ac:dyDescent="0.2">
      <c r="B229" s="27">
        <v>123</v>
      </c>
      <c r="C229" s="28" t="s">
        <v>694</v>
      </c>
      <c r="D229" s="28" t="s">
        <v>382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58.060499999999998</v>
      </c>
      <c r="N229" s="30">
        <v>0.23282406015037593</v>
      </c>
      <c r="O229" s="29">
        <v>1</v>
      </c>
      <c r="R229" s="27">
        <v>123</v>
      </c>
      <c r="S229" s="28" t="s">
        <v>694</v>
      </c>
      <c r="T229" s="28" t="s">
        <v>382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42.039000000000001</v>
      </c>
      <c r="AD229" s="30">
        <v>0.16857744360902255</v>
      </c>
      <c r="AE229" s="29">
        <v>1</v>
      </c>
    </row>
    <row r="230" spans="2:31" x14ac:dyDescent="0.2">
      <c r="B230" s="27">
        <v>124</v>
      </c>
      <c r="C230" s="28" t="s">
        <v>696</v>
      </c>
      <c r="D230" s="28" t="s">
        <v>380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-37.688400000000001</v>
      </c>
      <c r="N230" s="30">
        <v>0.15113142857142858</v>
      </c>
      <c r="O230" s="29">
        <v>1</v>
      </c>
      <c r="R230" s="27">
        <v>124</v>
      </c>
      <c r="S230" s="28" t="s">
        <v>696</v>
      </c>
      <c r="T230" s="28" t="s">
        <v>380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-37.710099999999997</v>
      </c>
      <c r="AD230" s="30">
        <v>0.1512184461152882</v>
      </c>
      <c r="AE230" s="29">
        <v>1</v>
      </c>
    </row>
    <row r="231" spans="2:31" x14ac:dyDescent="0.2">
      <c r="B231" s="27">
        <v>124</v>
      </c>
      <c r="C231" s="28" t="s">
        <v>697</v>
      </c>
      <c r="D231" s="28" t="s">
        <v>382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-2.7799999999999998E-2</v>
      </c>
      <c r="J231" s="28">
        <v>-3.6999999999999998E-2</v>
      </c>
      <c r="K231" s="29">
        <v>300</v>
      </c>
      <c r="L231" s="29">
        <v>475</v>
      </c>
      <c r="M231" s="30">
        <v>58.060499999999998</v>
      </c>
      <c r="N231" s="30">
        <v>0.23282406015037593</v>
      </c>
      <c r="O231" s="29">
        <v>1</v>
      </c>
      <c r="R231" s="27">
        <v>124</v>
      </c>
      <c r="S231" s="28" t="s">
        <v>697</v>
      </c>
      <c r="T231" s="28" t="s">
        <v>382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-2.7799999999999998E-2</v>
      </c>
      <c r="Z231" s="28">
        <v>-3.6999999999999998E-2</v>
      </c>
      <c r="AA231" s="29">
        <v>300</v>
      </c>
      <c r="AB231" s="29">
        <v>475</v>
      </c>
      <c r="AC231" s="30">
        <v>42.039000000000001</v>
      </c>
      <c r="AD231" s="30">
        <v>0.16857744360902255</v>
      </c>
      <c r="AE231" s="29">
        <v>1</v>
      </c>
    </row>
    <row r="232" spans="2:31" x14ac:dyDescent="0.2">
      <c r="B232" s="27">
        <v>167</v>
      </c>
      <c r="C232" s="28" t="s">
        <v>699</v>
      </c>
      <c r="D232" s="28" t="s">
        <v>380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-2.7799999999999998E-2</v>
      </c>
      <c r="J232" s="28">
        <v>-3.6999999999999998E-2</v>
      </c>
      <c r="K232" s="29">
        <v>300</v>
      </c>
      <c r="L232" s="29">
        <v>475</v>
      </c>
      <c r="M232" s="30">
        <v>-35.857799999999997</v>
      </c>
      <c r="N232" s="30">
        <v>0.14379067669172932</v>
      </c>
      <c r="O232" s="29">
        <v>1</v>
      </c>
      <c r="R232" s="27">
        <v>167</v>
      </c>
      <c r="S232" s="28" t="s">
        <v>699</v>
      </c>
      <c r="T232" s="28" t="s">
        <v>380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-2.7799999999999998E-2</v>
      </c>
      <c r="Z232" s="28">
        <v>-3.6999999999999998E-2</v>
      </c>
      <c r="AA232" s="29">
        <v>300</v>
      </c>
      <c r="AB232" s="29">
        <v>475</v>
      </c>
      <c r="AC232" s="30">
        <v>-35.883400000000002</v>
      </c>
      <c r="AD232" s="30">
        <v>0.14389333333333335</v>
      </c>
      <c r="AE232" s="29">
        <v>1</v>
      </c>
    </row>
    <row r="233" spans="2:31" x14ac:dyDescent="0.2">
      <c r="B233" s="27">
        <v>167</v>
      </c>
      <c r="C233" s="28" t="s">
        <v>700</v>
      </c>
      <c r="D233" s="28" t="s">
        <v>382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58.060499999999998</v>
      </c>
      <c r="N233" s="30">
        <v>0.23282406015037593</v>
      </c>
      <c r="O233" s="29">
        <v>1</v>
      </c>
      <c r="R233" s="27">
        <v>167</v>
      </c>
      <c r="S233" s="28" t="s">
        <v>700</v>
      </c>
      <c r="T233" s="28" t="s">
        <v>382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42.039000000000001</v>
      </c>
      <c r="AD233" s="30">
        <v>0.16857744360902255</v>
      </c>
      <c r="AE233" s="29">
        <v>1</v>
      </c>
    </row>
    <row r="234" spans="2:31" x14ac:dyDescent="0.2">
      <c r="B234" s="27">
        <v>168</v>
      </c>
      <c r="C234" s="28" t="s">
        <v>702</v>
      </c>
      <c r="D234" s="28" t="s">
        <v>380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-39.045299999999997</v>
      </c>
      <c r="N234" s="30">
        <v>0.15657263157894735</v>
      </c>
      <c r="O234" s="29">
        <v>1</v>
      </c>
      <c r="R234" s="27">
        <v>168</v>
      </c>
      <c r="S234" s="28" t="s">
        <v>702</v>
      </c>
      <c r="T234" s="28" t="s">
        <v>380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-39.074800000000003</v>
      </c>
      <c r="AD234" s="30">
        <v>0.15669092731829576</v>
      </c>
      <c r="AE234" s="29">
        <v>1</v>
      </c>
    </row>
    <row r="235" spans="2:31" x14ac:dyDescent="0.2">
      <c r="B235" s="27">
        <v>168</v>
      </c>
      <c r="C235" s="28" t="s">
        <v>703</v>
      </c>
      <c r="D235" s="28" t="s">
        <v>382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58.060499999999998</v>
      </c>
      <c r="N235" s="30">
        <v>0.23282406015037593</v>
      </c>
      <c r="O235" s="29">
        <v>1</v>
      </c>
      <c r="R235" s="27">
        <v>168</v>
      </c>
      <c r="S235" s="28" t="s">
        <v>703</v>
      </c>
      <c r="T235" s="28" t="s">
        <v>382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42.039000000000001</v>
      </c>
      <c r="AD235" s="30">
        <v>0.16857744360902255</v>
      </c>
      <c r="AE235" s="29">
        <v>1</v>
      </c>
    </row>
    <row r="236" spans="2:31" x14ac:dyDescent="0.2">
      <c r="B236" s="27">
        <v>169</v>
      </c>
      <c r="C236" s="28" t="s">
        <v>704</v>
      </c>
      <c r="D236" s="28" t="s">
        <v>380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-36.239100000000001</v>
      </c>
      <c r="N236" s="30">
        <v>0.1453196992481203</v>
      </c>
      <c r="O236" s="29">
        <v>1</v>
      </c>
      <c r="R236" s="27">
        <v>169</v>
      </c>
      <c r="S236" s="28" t="s">
        <v>704</v>
      </c>
      <c r="T236" s="28" t="s">
        <v>380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-36.269199999999998</v>
      </c>
      <c r="AD236" s="30">
        <v>0.14544040100250624</v>
      </c>
      <c r="AE236" s="29">
        <v>1</v>
      </c>
    </row>
    <row r="237" spans="2:31" x14ac:dyDescent="0.2">
      <c r="B237" s="27">
        <v>169</v>
      </c>
      <c r="C237" s="28" t="s">
        <v>705</v>
      </c>
      <c r="D237" s="28" t="s">
        <v>382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58.060499999999998</v>
      </c>
      <c r="N237" s="30">
        <v>0.23282406015037593</v>
      </c>
      <c r="O237" s="29">
        <v>1</v>
      </c>
      <c r="R237" s="27">
        <v>169</v>
      </c>
      <c r="S237" s="28" t="s">
        <v>705</v>
      </c>
      <c r="T237" s="28" t="s">
        <v>382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42.039000000000001</v>
      </c>
      <c r="AD237" s="30">
        <v>0.16857744360902255</v>
      </c>
      <c r="AE237" s="29">
        <v>1</v>
      </c>
    </row>
    <row r="238" spans="2:31" x14ac:dyDescent="0.2">
      <c r="B238" s="27">
        <v>170</v>
      </c>
      <c r="C238" s="28" t="s">
        <v>706</v>
      </c>
      <c r="D238" s="28" t="s">
        <v>380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-35.934100000000001</v>
      </c>
      <c r="N238" s="30">
        <v>0.14409664160401001</v>
      </c>
      <c r="O238" s="29">
        <v>1</v>
      </c>
      <c r="R238" s="27">
        <v>170</v>
      </c>
      <c r="S238" s="28" t="s">
        <v>706</v>
      </c>
      <c r="T238" s="28" t="s">
        <v>380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-35.963099999999997</v>
      </c>
      <c r="AD238" s="30">
        <v>0.14421293233082705</v>
      </c>
      <c r="AE238" s="29">
        <v>1</v>
      </c>
    </row>
    <row r="239" spans="2:31" x14ac:dyDescent="0.2">
      <c r="B239" s="27">
        <v>170</v>
      </c>
      <c r="C239" s="28" t="s">
        <v>707</v>
      </c>
      <c r="D239" s="28" t="s">
        <v>382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58.060499999999998</v>
      </c>
      <c r="N239" s="30">
        <v>0.23282406015037593</v>
      </c>
      <c r="O239" s="29">
        <v>1</v>
      </c>
      <c r="R239" s="27">
        <v>170</v>
      </c>
      <c r="S239" s="28" t="s">
        <v>707</v>
      </c>
      <c r="T239" s="28" t="s">
        <v>382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42.039000000000001</v>
      </c>
      <c r="AD239" s="30">
        <v>0.16857744360902255</v>
      </c>
      <c r="AE239" s="29">
        <v>1</v>
      </c>
    </row>
    <row r="240" spans="2:31" x14ac:dyDescent="0.2">
      <c r="B240" s="27">
        <v>171</v>
      </c>
      <c r="C240" s="28" t="s">
        <v>709</v>
      </c>
      <c r="D240" s="28" t="s">
        <v>380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-39.828000000000003</v>
      </c>
      <c r="N240" s="30">
        <v>0.15971127819548872</v>
      </c>
      <c r="O240" s="29">
        <v>1</v>
      </c>
      <c r="R240" s="27">
        <v>171</v>
      </c>
      <c r="S240" s="28" t="s">
        <v>709</v>
      </c>
      <c r="T240" s="28" t="s">
        <v>380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-39.853999999999999</v>
      </c>
      <c r="AD240" s="30">
        <v>0.1598155388471178</v>
      </c>
      <c r="AE240" s="29">
        <v>1</v>
      </c>
    </row>
    <row r="241" spans="2:31" x14ac:dyDescent="0.2">
      <c r="B241" s="27">
        <v>171</v>
      </c>
      <c r="C241" s="28" t="s">
        <v>710</v>
      </c>
      <c r="D241" s="28" t="s">
        <v>382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-2.7799999999999998E-2</v>
      </c>
      <c r="J241" s="28">
        <v>-3.6999999999999998E-2</v>
      </c>
      <c r="K241" s="29">
        <v>300</v>
      </c>
      <c r="L241" s="29">
        <v>475</v>
      </c>
      <c r="M241" s="30">
        <v>58.060499999999998</v>
      </c>
      <c r="N241" s="30">
        <v>0.23282406015037593</v>
      </c>
      <c r="O241" s="29">
        <v>1</v>
      </c>
      <c r="R241" s="27">
        <v>171</v>
      </c>
      <c r="S241" s="28" t="s">
        <v>710</v>
      </c>
      <c r="T241" s="28" t="s">
        <v>382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-2.7799999999999998E-2</v>
      </c>
      <c r="Z241" s="28">
        <v>-3.6999999999999998E-2</v>
      </c>
      <c r="AA241" s="29">
        <v>300</v>
      </c>
      <c r="AB241" s="29">
        <v>475</v>
      </c>
      <c r="AC241" s="30">
        <v>42.039000000000001</v>
      </c>
      <c r="AD241" s="30">
        <v>0.16857744360902255</v>
      </c>
      <c r="AE241" s="29">
        <v>1</v>
      </c>
    </row>
    <row r="242" spans="2:31" x14ac:dyDescent="0.2">
      <c r="B242" s="27">
        <v>149</v>
      </c>
      <c r="C242" s="28" t="s">
        <v>712</v>
      </c>
      <c r="D242" s="28" t="s">
        <v>380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-2.86E-2</v>
      </c>
      <c r="J242" s="28">
        <v>-3.8100000000000002E-2</v>
      </c>
      <c r="K242" s="29">
        <v>300</v>
      </c>
      <c r="L242" s="29">
        <v>475</v>
      </c>
      <c r="M242" s="30">
        <v>-68.691999999999993</v>
      </c>
      <c r="N242" s="30">
        <v>0.27545664160401001</v>
      </c>
      <c r="O242" s="29">
        <v>1</v>
      </c>
      <c r="R242" s="27">
        <v>149</v>
      </c>
      <c r="S242" s="28" t="s">
        <v>712</v>
      </c>
      <c r="T242" s="28" t="s">
        <v>380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-2.86E-2</v>
      </c>
      <c r="Z242" s="28">
        <v>-3.8100000000000002E-2</v>
      </c>
      <c r="AA242" s="29">
        <v>300</v>
      </c>
      <c r="AB242" s="29">
        <v>475</v>
      </c>
      <c r="AC242" s="30">
        <v>-68.699600000000004</v>
      </c>
      <c r="AD242" s="30">
        <v>0.27548711779448626</v>
      </c>
      <c r="AE242" s="29">
        <v>1</v>
      </c>
    </row>
    <row r="243" spans="2:31" x14ac:dyDescent="0.2">
      <c r="B243" s="27">
        <v>149</v>
      </c>
      <c r="C243" s="28" t="s">
        <v>713</v>
      </c>
      <c r="D243" s="28" t="s">
        <v>382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-2.86E-2</v>
      </c>
      <c r="J243" s="28">
        <v>-3.8100000000000002E-2</v>
      </c>
      <c r="K243" s="29">
        <v>300</v>
      </c>
      <c r="L243" s="29">
        <v>475</v>
      </c>
      <c r="M243" s="30">
        <v>58.060499999999998</v>
      </c>
      <c r="N243" s="30">
        <v>0.23282406015037593</v>
      </c>
      <c r="O243" s="29">
        <v>1</v>
      </c>
      <c r="R243" s="27">
        <v>149</v>
      </c>
      <c r="S243" s="28" t="s">
        <v>713</v>
      </c>
      <c r="T243" s="28" t="s">
        <v>382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-2.86E-2</v>
      </c>
      <c r="Z243" s="28">
        <v>-3.8100000000000002E-2</v>
      </c>
      <c r="AA243" s="29">
        <v>300</v>
      </c>
      <c r="AB243" s="29">
        <v>475</v>
      </c>
      <c r="AC243" s="30">
        <v>42.039000000000001</v>
      </c>
      <c r="AD243" s="30">
        <v>0.16857744360902255</v>
      </c>
      <c r="AE243" s="29">
        <v>1</v>
      </c>
    </row>
    <row r="244" spans="2:31" x14ac:dyDescent="0.2">
      <c r="B244" s="27">
        <v>152</v>
      </c>
      <c r="C244" s="28" t="s">
        <v>715</v>
      </c>
      <c r="D244" s="28" t="s">
        <v>380</v>
      </c>
      <c r="E244" s="28">
        <v>1E-4</v>
      </c>
      <c r="F244" s="28">
        <v>2.8500000000000001E-2</v>
      </c>
      <c r="G244" s="28">
        <v>3.7999999999999999E-2</v>
      </c>
      <c r="H244" s="28">
        <v>-1E-4</v>
      </c>
      <c r="I244" s="28">
        <v>-2.87E-2</v>
      </c>
      <c r="J244" s="28">
        <v>-3.8300000000000001E-2</v>
      </c>
      <c r="K244" s="29">
        <v>300</v>
      </c>
      <c r="L244" s="29">
        <v>475</v>
      </c>
      <c r="M244" s="30">
        <v>-85.854600000000005</v>
      </c>
      <c r="N244" s="30">
        <v>0.34427909774436094</v>
      </c>
      <c r="O244" s="29">
        <v>1</v>
      </c>
      <c r="R244" s="27">
        <v>152</v>
      </c>
      <c r="S244" s="28" t="s">
        <v>715</v>
      </c>
      <c r="T244" s="28" t="s">
        <v>380</v>
      </c>
      <c r="U244" s="28">
        <v>1E-4</v>
      </c>
      <c r="V244" s="28">
        <v>2.8500000000000001E-2</v>
      </c>
      <c r="W244" s="28">
        <v>3.7999999999999999E-2</v>
      </c>
      <c r="X244" s="28">
        <v>-1E-4</v>
      </c>
      <c r="Y244" s="28">
        <v>-2.87E-2</v>
      </c>
      <c r="Z244" s="28">
        <v>-3.8300000000000001E-2</v>
      </c>
      <c r="AA244" s="29">
        <v>300</v>
      </c>
      <c r="AB244" s="29">
        <v>475</v>
      </c>
      <c r="AC244" s="30">
        <v>-85.859800000000007</v>
      </c>
      <c r="AD244" s="30">
        <v>0.34429994987468671</v>
      </c>
      <c r="AE244" s="29">
        <v>1</v>
      </c>
    </row>
    <row r="245" spans="2:31" x14ac:dyDescent="0.2">
      <c r="B245" s="27">
        <v>152</v>
      </c>
      <c r="C245" s="28" t="s">
        <v>716</v>
      </c>
      <c r="D245" s="28" t="s">
        <v>382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58.060499999999998</v>
      </c>
      <c r="N245" s="30">
        <v>0.23282406015037593</v>
      </c>
      <c r="O245" s="29">
        <v>1</v>
      </c>
      <c r="R245" s="27">
        <v>152</v>
      </c>
      <c r="S245" s="28" t="s">
        <v>716</v>
      </c>
      <c r="T245" s="28" t="s">
        <v>382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42.039000000000001</v>
      </c>
      <c r="AD245" s="30">
        <v>0.16857744360902255</v>
      </c>
      <c r="AE245" s="29">
        <v>1</v>
      </c>
    </row>
    <row r="246" spans="2:31" x14ac:dyDescent="0.2">
      <c r="B246" s="27">
        <v>155</v>
      </c>
      <c r="C246" s="28" t="s">
        <v>718</v>
      </c>
      <c r="D246" s="28" t="s">
        <v>380</v>
      </c>
      <c r="E246" s="28">
        <v>1E-4</v>
      </c>
      <c r="F246" s="28">
        <v>2.8500000000000001E-2</v>
      </c>
      <c r="G246" s="28">
        <v>3.7999999999999999E-2</v>
      </c>
      <c r="H246" s="28">
        <v>-1E-4</v>
      </c>
      <c r="I246" s="28">
        <v>-2.87E-2</v>
      </c>
      <c r="J246" s="28">
        <v>-3.8300000000000001E-2</v>
      </c>
      <c r="K246" s="29">
        <v>300</v>
      </c>
      <c r="L246" s="29">
        <v>475</v>
      </c>
      <c r="M246" s="30">
        <v>-86.028999999999996</v>
      </c>
      <c r="N246" s="30">
        <v>0.34497844611528822</v>
      </c>
      <c r="O246" s="29">
        <v>1</v>
      </c>
      <c r="R246" s="27">
        <v>155</v>
      </c>
      <c r="S246" s="28" t="s">
        <v>718</v>
      </c>
      <c r="T246" s="28" t="s">
        <v>380</v>
      </c>
      <c r="U246" s="28">
        <v>1E-4</v>
      </c>
      <c r="V246" s="28">
        <v>2.8500000000000001E-2</v>
      </c>
      <c r="W246" s="28">
        <v>3.7999999999999999E-2</v>
      </c>
      <c r="X246" s="28">
        <v>-1E-4</v>
      </c>
      <c r="Y246" s="28">
        <v>-2.87E-2</v>
      </c>
      <c r="Z246" s="28">
        <v>-3.8300000000000001E-2</v>
      </c>
      <c r="AA246" s="29">
        <v>300</v>
      </c>
      <c r="AB246" s="29">
        <v>475</v>
      </c>
      <c r="AC246" s="30">
        <v>-86.033600000000007</v>
      </c>
      <c r="AD246" s="30">
        <v>0.34499689223057645</v>
      </c>
      <c r="AE246" s="29">
        <v>1</v>
      </c>
    </row>
    <row r="247" spans="2:31" x14ac:dyDescent="0.2">
      <c r="B247" s="27">
        <v>155</v>
      </c>
      <c r="C247" s="28" t="s">
        <v>719</v>
      </c>
      <c r="D247" s="28" t="s">
        <v>382</v>
      </c>
      <c r="E247" s="28">
        <v>1E-4</v>
      </c>
      <c r="F247" s="28">
        <v>2.8500000000000001E-2</v>
      </c>
      <c r="G247" s="28">
        <v>3.7999999999999999E-2</v>
      </c>
      <c r="H247" s="28">
        <v>-1E-4</v>
      </c>
      <c r="I247" s="28">
        <v>-2.87E-2</v>
      </c>
      <c r="J247" s="28">
        <v>-3.8300000000000001E-2</v>
      </c>
      <c r="K247" s="29">
        <v>300</v>
      </c>
      <c r="L247" s="29">
        <v>475</v>
      </c>
      <c r="M247" s="30">
        <v>58.060499999999998</v>
      </c>
      <c r="N247" s="30">
        <v>0.23282406015037593</v>
      </c>
      <c r="O247" s="29">
        <v>1</v>
      </c>
      <c r="R247" s="27">
        <v>155</v>
      </c>
      <c r="S247" s="28" t="s">
        <v>719</v>
      </c>
      <c r="T247" s="28" t="s">
        <v>382</v>
      </c>
      <c r="U247" s="28">
        <v>1E-4</v>
      </c>
      <c r="V247" s="28">
        <v>2.8500000000000001E-2</v>
      </c>
      <c r="W247" s="28">
        <v>3.7999999999999999E-2</v>
      </c>
      <c r="X247" s="28">
        <v>-1E-4</v>
      </c>
      <c r="Y247" s="28">
        <v>-2.87E-2</v>
      </c>
      <c r="Z247" s="28">
        <v>-3.8300000000000001E-2</v>
      </c>
      <c r="AA247" s="29">
        <v>300</v>
      </c>
      <c r="AB247" s="29">
        <v>475</v>
      </c>
      <c r="AC247" s="30">
        <v>42.039000000000001</v>
      </c>
      <c r="AD247" s="30">
        <v>0.16857744360902255</v>
      </c>
      <c r="AE247" s="29">
        <v>1</v>
      </c>
    </row>
    <row r="248" spans="2:31" x14ac:dyDescent="0.2">
      <c r="B248" s="27">
        <v>158</v>
      </c>
      <c r="C248" s="28" t="s">
        <v>721</v>
      </c>
      <c r="D248" s="28" t="s">
        <v>380</v>
      </c>
      <c r="E248" s="28">
        <v>1E-4</v>
      </c>
      <c r="F248" s="28">
        <v>2.8500000000000001E-2</v>
      </c>
      <c r="G248" s="28">
        <v>3.7999999999999999E-2</v>
      </c>
      <c r="H248" s="28">
        <v>-1E-4</v>
      </c>
      <c r="I248" s="28">
        <v>-2.87E-2</v>
      </c>
      <c r="J248" s="28">
        <v>-3.8300000000000001E-2</v>
      </c>
      <c r="K248" s="29">
        <v>300</v>
      </c>
      <c r="L248" s="29">
        <v>475</v>
      </c>
      <c r="M248" s="30">
        <v>-86.017600000000002</v>
      </c>
      <c r="N248" s="30">
        <v>0.34493273182957396</v>
      </c>
      <c r="O248" s="29">
        <v>1</v>
      </c>
      <c r="R248" s="27">
        <v>158</v>
      </c>
      <c r="S248" s="28" t="s">
        <v>721</v>
      </c>
      <c r="T248" s="28" t="s">
        <v>380</v>
      </c>
      <c r="U248" s="28">
        <v>1E-4</v>
      </c>
      <c r="V248" s="28">
        <v>2.8500000000000001E-2</v>
      </c>
      <c r="W248" s="28">
        <v>3.7999999999999999E-2</v>
      </c>
      <c r="X248" s="28">
        <v>-1E-4</v>
      </c>
      <c r="Y248" s="28">
        <v>-2.87E-2</v>
      </c>
      <c r="Z248" s="28">
        <v>-3.8300000000000001E-2</v>
      </c>
      <c r="AA248" s="29">
        <v>300</v>
      </c>
      <c r="AB248" s="29">
        <v>475</v>
      </c>
      <c r="AC248" s="30">
        <v>-86.021699999999996</v>
      </c>
      <c r="AD248" s="30">
        <v>0.34494917293233079</v>
      </c>
      <c r="AE248" s="29">
        <v>1</v>
      </c>
    </row>
    <row r="249" spans="2:31" x14ac:dyDescent="0.2">
      <c r="B249" s="27">
        <v>158</v>
      </c>
      <c r="C249" s="28" t="s">
        <v>722</v>
      </c>
      <c r="D249" s="28" t="s">
        <v>382</v>
      </c>
      <c r="E249" s="28">
        <v>1E-4</v>
      </c>
      <c r="F249" s="28">
        <v>2.8500000000000001E-2</v>
      </c>
      <c r="G249" s="28">
        <v>3.7999999999999999E-2</v>
      </c>
      <c r="H249" s="28">
        <v>-1E-4</v>
      </c>
      <c r="I249" s="28">
        <v>-2.87E-2</v>
      </c>
      <c r="J249" s="28">
        <v>-3.8300000000000001E-2</v>
      </c>
      <c r="K249" s="29">
        <v>300</v>
      </c>
      <c r="L249" s="29">
        <v>475</v>
      </c>
      <c r="M249" s="30">
        <v>58.060499999999998</v>
      </c>
      <c r="N249" s="30">
        <v>0.23282406015037593</v>
      </c>
      <c r="O249" s="29">
        <v>1</v>
      </c>
      <c r="R249" s="27">
        <v>158</v>
      </c>
      <c r="S249" s="28" t="s">
        <v>722</v>
      </c>
      <c r="T249" s="28" t="s">
        <v>382</v>
      </c>
      <c r="U249" s="28">
        <v>1E-4</v>
      </c>
      <c r="V249" s="28">
        <v>2.8500000000000001E-2</v>
      </c>
      <c r="W249" s="28">
        <v>3.7999999999999999E-2</v>
      </c>
      <c r="X249" s="28">
        <v>-1E-4</v>
      </c>
      <c r="Y249" s="28">
        <v>-2.87E-2</v>
      </c>
      <c r="Z249" s="28">
        <v>-3.8300000000000001E-2</v>
      </c>
      <c r="AA249" s="29">
        <v>300</v>
      </c>
      <c r="AB249" s="29">
        <v>475</v>
      </c>
      <c r="AC249" s="30">
        <v>42.039000000000001</v>
      </c>
      <c r="AD249" s="30">
        <v>0.16857744360902255</v>
      </c>
      <c r="AE249" s="29">
        <v>1</v>
      </c>
    </row>
    <row r="250" spans="2:31" x14ac:dyDescent="0.2">
      <c r="B250" s="27">
        <v>161</v>
      </c>
      <c r="C250" s="28" t="s">
        <v>724</v>
      </c>
      <c r="D250" s="28" t="s">
        <v>380</v>
      </c>
      <c r="E250" s="28">
        <v>1E-4</v>
      </c>
      <c r="F250" s="28">
        <v>2.8500000000000001E-2</v>
      </c>
      <c r="G250" s="28">
        <v>3.7999999999999999E-2</v>
      </c>
      <c r="H250" s="28">
        <v>-1E-4</v>
      </c>
      <c r="I250" s="28">
        <v>-2.87E-2</v>
      </c>
      <c r="J250" s="28">
        <v>-3.8300000000000001E-2</v>
      </c>
      <c r="K250" s="29">
        <v>300</v>
      </c>
      <c r="L250" s="29">
        <v>475</v>
      </c>
      <c r="M250" s="30">
        <v>-85.822500000000005</v>
      </c>
      <c r="N250" s="30">
        <v>0.34415037593984965</v>
      </c>
      <c r="O250" s="29">
        <v>1</v>
      </c>
      <c r="R250" s="27">
        <v>161</v>
      </c>
      <c r="S250" s="28" t="s">
        <v>724</v>
      </c>
      <c r="T250" s="28" t="s">
        <v>380</v>
      </c>
      <c r="U250" s="28">
        <v>1E-4</v>
      </c>
      <c r="V250" s="28">
        <v>2.8500000000000001E-2</v>
      </c>
      <c r="W250" s="28">
        <v>3.7999999999999999E-2</v>
      </c>
      <c r="X250" s="28">
        <v>-1E-4</v>
      </c>
      <c r="Y250" s="28">
        <v>-2.87E-2</v>
      </c>
      <c r="Z250" s="28">
        <v>-3.8300000000000001E-2</v>
      </c>
      <c r="AA250" s="29">
        <v>300</v>
      </c>
      <c r="AB250" s="29">
        <v>475</v>
      </c>
      <c r="AC250" s="30">
        <v>-85.826300000000003</v>
      </c>
      <c r="AD250" s="30">
        <v>0.34416561403508772</v>
      </c>
      <c r="AE250" s="29">
        <v>1</v>
      </c>
    </row>
    <row r="251" spans="2:31" x14ac:dyDescent="0.2">
      <c r="B251" s="27">
        <v>161</v>
      </c>
      <c r="C251" s="28" t="s">
        <v>725</v>
      </c>
      <c r="D251" s="28" t="s">
        <v>382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58.060499999999998</v>
      </c>
      <c r="N251" s="30">
        <v>0.23282406015037593</v>
      </c>
      <c r="O251" s="29">
        <v>1</v>
      </c>
      <c r="R251" s="27">
        <v>161</v>
      </c>
      <c r="S251" s="28" t="s">
        <v>725</v>
      </c>
      <c r="T251" s="28" t="s">
        <v>382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42.039000000000001</v>
      </c>
      <c r="AD251" s="30">
        <v>0.16857744360902255</v>
      </c>
      <c r="AE251" s="29">
        <v>1</v>
      </c>
    </row>
    <row r="252" spans="2:31" x14ac:dyDescent="0.2">
      <c r="B252" s="27">
        <v>164</v>
      </c>
      <c r="C252" s="28" t="s">
        <v>727</v>
      </c>
      <c r="D252" s="28" t="s">
        <v>380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-2.86E-2</v>
      </c>
      <c r="J252" s="28">
        <v>-3.8100000000000002E-2</v>
      </c>
      <c r="K252" s="29">
        <v>300</v>
      </c>
      <c r="L252" s="29">
        <v>475</v>
      </c>
      <c r="M252" s="30">
        <v>-68.659099999999995</v>
      </c>
      <c r="N252" s="30">
        <v>0.27532471177944856</v>
      </c>
      <c r="O252" s="29">
        <v>1</v>
      </c>
      <c r="R252" s="27">
        <v>164</v>
      </c>
      <c r="S252" s="28" t="s">
        <v>727</v>
      </c>
      <c r="T252" s="28" t="s">
        <v>380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-2.86E-2</v>
      </c>
      <c r="Z252" s="28">
        <v>-3.8100000000000002E-2</v>
      </c>
      <c r="AA252" s="29">
        <v>300</v>
      </c>
      <c r="AB252" s="29">
        <v>475</v>
      </c>
      <c r="AC252" s="30">
        <v>-68.658500000000004</v>
      </c>
      <c r="AD252" s="30">
        <v>0.27532230576441102</v>
      </c>
      <c r="AE252" s="29">
        <v>1</v>
      </c>
    </row>
    <row r="253" spans="2:31" x14ac:dyDescent="0.2">
      <c r="B253" s="27">
        <v>164</v>
      </c>
      <c r="C253" s="28" t="s">
        <v>728</v>
      </c>
      <c r="D253" s="28" t="s">
        <v>382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-2.86E-2</v>
      </c>
      <c r="J253" s="28">
        <v>-3.8100000000000002E-2</v>
      </c>
      <c r="K253" s="29">
        <v>300</v>
      </c>
      <c r="L253" s="29">
        <v>475</v>
      </c>
      <c r="M253" s="30">
        <v>58.060499999999998</v>
      </c>
      <c r="N253" s="30">
        <v>0.23282406015037593</v>
      </c>
      <c r="O253" s="29">
        <v>1</v>
      </c>
      <c r="R253" s="27">
        <v>164</v>
      </c>
      <c r="S253" s="28" t="s">
        <v>728</v>
      </c>
      <c r="T253" s="28" t="s">
        <v>382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-2.86E-2</v>
      </c>
      <c r="Z253" s="28">
        <v>-3.8100000000000002E-2</v>
      </c>
      <c r="AA253" s="29">
        <v>300</v>
      </c>
      <c r="AB253" s="29">
        <v>475</v>
      </c>
      <c r="AC253" s="30">
        <v>42.039000000000001</v>
      </c>
      <c r="AD253" s="30">
        <v>0.16857744360902255</v>
      </c>
      <c r="AE253" s="29">
        <v>1</v>
      </c>
    </row>
    <row r="254" spans="2:31" x14ac:dyDescent="0.2">
      <c r="B254" s="27">
        <v>172</v>
      </c>
      <c r="C254" s="28" t="s">
        <v>730</v>
      </c>
      <c r="D254" s="28" t="s">
        <v>380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-2.7900000000000001E-2</v>
      </c>
      <c r="J254" s="28">
        <v>-3.7199999999999997E-2</v>
      </c>
      <c r="K254" s="29">
        <v>300</v>
      </c>
      <c r="L254" s="29">
        <v>475</v>
      </c>
      <c r="M254" s="30">
        <v>-44.601999999999997</v>
      </c>
      <c r="N254" s="30">
        <v>0.17885513784461152</v>
      </c>
      <c r="O254" s="29">
        <v>1</v>
      </c>
      <c r="R254" s="27">
        <v>172</v>
      </c>
      <c r="S254" s="28" t="s">
        <v>730</v>
      </c>
      <c r="T254" s="28" t="s">
        <v>380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-2.7900000000000001E-2</v>
      </c>
      <c r="Z254" s="28">
        <v>-3.7199999999999997E-2</v>
      </c>
      <c r="AA254" s="29">
        <v>300</v>
      </c>
      <c r="AB254" s="29">
        <v>475</v>
      </c>
      <c r="AC254" s="30">
        <v>-44.6357</v>
      </c>
      <c r="AD254" s="30">
        <v>0.17899027568922304</v>
      </c>
      <c r="AE254" s="29">
        <v>1</v>
      </c>
    </row>
    <row r="255" spans="2:31" x14ac:dyDescent="0.2">
      <c r="B255" s="27">
        <v>172</v>
      </c>
      <c r="C255" s="28" t="s">
        <v>731</v>
      </c>
      <c r="D255" s="28" t="s">
        <v>382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-2.7900000000000001E-2</v>
      </c>
      <c r="J255" s="28">
        <v>-3.7199999999999997E-2</v>
      </c>
      <c r="K255" s="29">
        <v>300</v>
      </c>
      <c r="L255" s="29">
        <v>475</v>
      </c>
      <c r="M255" s="30">
        <v>58.060499999999998</v>
      </c>
      <c r="N255" s="30">
        <v>0.23282406015037593</v>
      </c>
      <c r="O255" s="29">
        <v>1</v>
      </c>
      <c r="R255" s="27">
        <v>172</v>
      </c>
      <c r="S255" s="28" t="s">
        <v>731</v>
      </c>
      <c r="T255" s="28" t="s">
        <v>382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-2.7900000000000001E-2</v>
      </c>
      <c r="Z255" s="28">
        <v>-3.7199999999999997E-2</v>
      </c>
      <c r="AA255" s="29">
        <v>300</v>
      </c>
      <c r="AB255" s="29">
        <v>475</v>
      </c>
      <c r="AC255" s="30">
        <v>42.039000000000001</v>
      </c>
      <c r="AD255" s="30">
        <v>0.16857744360902255</v>
      </c>
      <c r="AE255" s="29">
        <v>1</v>
      </c>
    </row>
    <row r="256" spans="2:31" x14ac:dyDescent="0.2">
      <c r="B256" s="27">
        <v>173</v>
      </c>
      <c r="C256" s="28" t="s">
        <v>733</v>
      </c>
      <c r="D256" s="28" t="s">
        <v>380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-2.7900000000000001E-2</v>
      </c>
      <c r="J256" s="28">
        <v>-3.7199999999999997E-2</v>
      </c>
      <c r="K256" s="29">
        <v>300</v>
      </c>
      <c r="L256" s="29">
        <v>475</v>
      </c>
      <c r="M256" s="30">
        <v>-42.120399999999997</v>
      </c>
      <c r="N256" s="30">
        <v>0.16890385964912277</v>
      </c>
      <c r="O256" s="29">
        <v>1</v>
      </c>
      <c r="R256" s="27">
        <v>173</v>
      </c>
      <c r="S256" s="28" t="s">
        <v>733</v>
      </c>
      <c r="T256" s="28" t="s">
        <v>380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-2.7900000000000001E-2</v>
      </c>
      <c r="Z256" s="28">
        <v>-3.7199999999999997E-2</v>
      </c>
      <c r="AA256" s="29">
        <v>300</v>
      </c>
      <c r="AB256" s="29">
        <v>475</v>
      </c>
      <c r="AC256" s="30">
        <v>-42.151899999999998</v>
      </c>
      <c r="AD256" s="30">
        <v>0.16903017543859647</v>
      </c>
      <c r="AE256" s="29">
        <v>1</v>
      </c>
    </row>
    <row r="257" spans="2:31" x14ac:dyDescent="0.2">
      <c r="B257" s="27">
        <v>173</v>
      </c>
      <c r="C257" s="28" t="s">
        <v>734</v>
      </c>
      <c r="D257" s="28" t="s">
        <v>382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-2.7900000000000001E-2</v>
      </c>
      <c r="J257" s="28">
        <v>-3.7199999999999997E-2</v>
      </c>
      <c r="K257" s="29">
        <v>300</v>
      </c>
      <c r="L257" s="29">
        <v>475</v>
      </c>
      <c r="M257" s="30">
        <v>58.060499999999998</v>
      </c>
      <c r="N257" s="30">
        <v>0.23282406015037593</v>
      </c>
      <c r="O257" s="29">
        <v>1</v>
      </c>
      <c r="R257" s="27">
        <v>173</v>
      </c>
      <c r="S257" s="28" t="s">
        <v>734</v>
      </c>
      <c r="T257" s="28" t="s">
        <v>382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-2.7900000000000001E-2</v>
      </c>
      <c r="Z257" s="28">
        <v>-3.7199999999999997E-2</v>
      </c>
      <c r="AA257" s="29">
        <v>300</v>
      </c>
      <c r="AB257" s="29">
        <v>475</v>
      </c>
      <c r="AC257" s="30">
        <v>42.039000000000001</v>
      </c>
      <c r="AD257" s="30">
        <v>0.16857744360902255</v>
      </c>
      <c r="AE257" s="29">
        <v>1</v>
      </c>
    </row>
    <row r="258" spans="2:31" x14ac:dyDescent="0.2">
      <c r="B258" s="27">
        <v>174</v>
      </c>
      <c r="C258" s="28" t="s">
        <v>735</v>
      </c>
      <c r="D258" s="28" t="s">
        <v>380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-2.7900000000000001E-2</v>
      </c>
      <c r="J258" s="28">
        <v>-3.7199999999999997E-2</v>
      </c>
      <c r="K258" s="29">
        <v>300</v>
      </c>
      <c r="L258" s="29">
        <v>475</v>
      </c>
      <c r="M258" s="30">
        <v>-46.182499999999997</v>
      </c>
      <c r="N258" s="30">
        <v>0.18519298245614035</v>
      </c>
      <c r="O258" s="29">
        <v>1</v>
      </c>
      <c r="R258" s="27">
        <v>174</v>
      </c>
      <c r="S258" s="28" t="s">
        <v>735</v>
      </c>
      <c r="T258" s="28" t="s">
        <v>380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-2.7900000000000001E-2</v>
      </c>
      <c r="Z258" s="28">
        <v>-3.7199999999999997E-2</v>
      </c>
      <c r="AA258" s="29">
        <v>300</v>
      </c>
      <c r="AB258" s="29">
        <v>475</v>
      </c>
      <c r="AC258" s="30">
        <v>-46.212499999999999</v>
      </c>
      <c r="AD258" s="30">
        <v>0.18531328320802004</v>
      </c>
      <c r="AE258" s="29">
        <v>1</v>
      </c>
    </row>
    <row r="259" spans="2:31" x14ac:dyDescent="0.2">
      <c r="B259" s="27">
        <v>174</v>
      </c>
      <c r="C259" s="28" t="s">
        <v>736</v>
      </c>
      <c r="D259" s="28" t="s">
        <v>382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-2.7900000000000001E-2</v>
      </c>
      <c r="J259" s="28">
        <v>-3.7199999999999997E-2</v>
      </c>
      <c r="K259" s="29">
        <v>300</v>
      </c>
      <c r="L259" s="29">
        <v>475</v>
      </c>
      <c r="M259" s="30">
        <v>58.060499999999998</v>
      </c>
      <c r="N259" s="30">
        <v>0.23282406015037593</v>
      </c>
      <c r="O259" s="29">
        <v>1</v>
      </c>
      <c r="R259" s="27">
        <v>174</v>
      </c>
      <c r="S259" s="28" t="s">
        <v>736</v>
      </c>
      <c r="T259" s="28" t="s">
        <v>382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-2.7900000000000001E-2</v>
      </c>
      <c r="Z259" s="28">
        <v>-3.7199999999999997E-2</v>
      </c>
      <c r="AA259" s="29">
        <v>300</v>
      </c>
      <c r="AB259" s="29">
        <v>475</v>
      </c>
      <c r="AC259" s="30">
        <v>42.039000000000001</v>
      </c>
      <c r="AD259" s="30">
        <v>0.16857744360902255</v>
      </c>
      <c r="AE259" s="29">
        <v>1</v>
      </c>
    </row>
    <row r="260" spans="2:31" x14ac:dyDescent="0.2">
      <c r="B260" s="27">
        <v>175</v>
      </c>
      <c r="C260" s="28" t="s">
        <v>737</v>
      </c>
      <c r="D260" s="28" t="s">
        <v>380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-2.7900000000000001E-2</v>
      </c>
      <c r="J260" s="28">
        <v>-3.7199999999999997E-2</v>
      </c>
      <c r="K260" s="29">
        <v>300</v>
      </c>
      <c r="L260" s="29">
        <v>475</v>
      </c>
      <c r="M260" s="30">
        <v>-45.3568</v>
      </c>
      <c r="N260" s="30">
        <v>0.18188190476190477</v>
      </c>
      <c r="O260" s="29">
        <v>1</v>
      </c>
      <c r="R260" s="27">
        <v>175</v>
      </c>
      <c r="S260" s="28" t="s">
        <v>737</v>
      </c>
      <c r="T260" s="28" t="s">
        <v>380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-2.7900000000000001E-2</v>
      </c>
      <c r="Z260" s="28">
        <v>-3.7199999999999997E-2</v>
      </c>
      <c r="AA260" s="29">
        <v>300</v>
      </c>
      <c r="AB260" s="29">
        <v>475</v>
      </c>
      <c r="AC260" s="30">
        <v>-45.389299999999999</v>
      </c>
      <c r="AD260" s="30">
        <v>0.18201223057644109</v>
      </c>
      <c r="AE260" s="29">
        <v>1</v>
      </c>
    </row>
    <row r="261" spans="2:31" x14ac:dyDescent="0.2">
      <c r="B261" s="27">
        <v>175</v>
      </c>
      <c r="C261" s="28" t="s">
        <v>738</v>
      </c>
      <c r="D261" s="28" t="s">
        <v>382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-2.7900000000000001E-2</v>
      </c>
      <c r="J261" s="28">
        <v>-3.7199999999999997E-2</v>
      </c>
      <c r="K261" s="29">
        <v>300</v>
      </c>
      <c r="L261" s="29">
        <v>475</v>
      </c>
      <c r="M261" s="30">
        <v>58.060499999999998</v>
      </c>
      <c r="N261" s="30">
        <v>0.23282406015037593</v>
      </c>
      <c r="O261" s="29">
        <v>1</v>
      </c>
      <c r="R261" s="27">
        <v>175</v>
      </c>
      <c r="S261" s="28" t="s">
        <v>738</v>
      </c>
      <c r="T261" s="28" t="s">
        <v>382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-2.7900000000000001E-2</v>
      </c>
      <c r="Z261" s="28">
        <v>-3.7199999999999997E-2</v>
      </c>
      <c r="AA261" s="29">
        <v>300</v>
      </c>
      <c r="AB261" s="29">
        <v>475</v>
      </c>
      <c r="AC261" s="30">
        <v>42.039000000000001</v>
      </c>
      <c r="AD261" s="30">
        <v>0.16857744360902255</v>
      </c>
      <c r="AE261" s="29">
        <v>1</v>
      </c>
    </row>
    <row r="262" spans="2:31" x14ac:dyDescent="0.2">
      <c r="B262" s="27">
        <v>176</v>
      </c>
      <c r="C262" s="28" t="s">
        <v>740</v>
      </c>
      <c r="D262" s="28" t="s">
        <v>380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-2.7900000000000001E-2</v>
      </c>
      <c r="J262" s="28">
        <v>-3.7199999999999997E-2</v>
      </c>
      <c r="K262" s="29">
        <v>300</v>
      </c>
      <c r="L262" s="29">
        <v>475</v>
      </c>
      <c r="M262" s="30">
        <v>-43.364699999999999</v>
      </c>
      <c r="N262" s="30">
        <v>0.17389353383458644</v>
      </c>
      <c r="O262" s="29">
        <v>1</v>
      </c>
      <c r="R262" s="27">
        <v>176</v>
      </c>
      <c r="S262" s="28" t="s">
        <v>740</v>
      </c>
      <c r="T262" s="28" t="s">
        <v>380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-2.7900000000000001E-2</v>
      </c>
      <c r="Z262" s="28">
        <v>-3.7199999999999997E-2</v>
      </c>
      <c r="AA262" s="29">
        <v>300</v>
      </c>
      <c r="AB262" s="29">
        <v>475</v>
      </c>
      <c r="AC262" s="30">
        <v>-43.397599999999997</v>
      </c>
      <c r="AD262" s="30">
        <v>0.17402546365914787</v>
      </c>
      <c r="AE262" s="29">
        <v>1</v>
      </c>
    </row>
    <row r="263" spans="2:31" x14ac:dyDescent="0.2">
      <c r="B263" s="27">
        <v>176</v>
      </c>
      <c r="C263" s="28" t="s">
        <v>741</v>
      </c>
      <c r="D263" s="28" t="s">
        <v>382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-2.7900000000000001E-2</v>
      </c>
      <c r="J263" s="28">
        <v>-3.7199999999999997E-2</v>
      </c>
      <c r="K263" s="29">
        <v>300</v>
      </c>
      <c r="L263" s="29">
        <v>475</v>
      </c>
      <c r="M263" s="30">
        <v>58.060499999999998</v>
      </c>
      <c r="N263" s="30">
        <v>0.23282406015037593</v>
      </c>
      <c r="O263" s="29">
        <v>1</v>
      </c>
      <c r="R263" s="27">
        <v>176</v>
      </c>
      <c r="S263" s="28" t="s">
        <v>741</v>
      </c>
      <c r="T263" s="28" t="s">
        <v>382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-2.7900000000000001E-2</v>
      </c>
      <c r="Z263" s="28">
        <v>-3.7199999999999997E-2</v>
      </c>
      <c r="AA263" s="29">
        <v>300</v>
      </c>
      <c r="AB263" s="29">
        <v>475</v>
      </c>
      <c r="AC263" s="30">
        <v>42.039000000000001</v>
      </c>
      <c r="AD263" s="30">
        <v>0.16857744360902255</v>
      </c>
      <c r="AE263" s="29">
        <v>1</v>
      </c>
    </row>
    <row r="264" spans="2:31" x14ac:dyDescent="0.2">
      <c r="B264" s="27">
        <v>150</v>
      </c>
      <c r="C264" s="28" t="s">
        <v>743</v>
      </c>
      <c r="D264" s="28" t="s">
        <v>380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-2.86E-2</v>
      </c>
      <c r="J264" s="28">
        <v>-3.8100000000000002E-2</v>
      </c>
      <c r="K264" s="29">
        <v>300</v>
      </c>
      <c r="L264" s="29">
        <v>475</v>
      </c>
      <c r="M264" s="30">
        <v>-67.823300000000003</v>
      </c>
      <c r="N264" s="30">
        <v>0.27197313283208019</v>
      </c>
      <c r="O264" s="29">
        <v>1</v>
      </c>
      <c r="R264" s="27">
        <v>150</v>
      </c>
      <c r="S264" s="28" t="s">
        <v>743</v>
      </c>
      <c r="T264" s="28" t="s">
        <v>380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-2.86E-2</v>
      </c>
      <c r="Z264" s="28">
        <v>-3.8100000000000002E-2</v>
      </c>
      <c r="AA264" s="29">
        <v>300</v>
      </c>
      <c r="AB264" s="29">
        <v>475</v>
      </c>
      <c r="AC264" s="30">
        <v>-67.831299999999999</v>
      </c>
      <c r="AD264" s="30">
        <v>0.27200521303258146</v>
      </c>
      <c r="AE264" s="29">
        <v>1</v>
      </c>
    </row>
    <row r="265" spans="2:31" x14ac:dyDescent="0.2">
      <c r="B265" s="27">
        <v>150</v>
      </c>
      <c r="C265" s="28" t="s">
        <v>744</v>
      </c>
      <c r="D265" s="28" t="s">
        <v>382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-2.86E-2</v>
      </c>
      <c r="J265" s="28">
        <v>-3.8100000000000002E-2</v>
      </c>
      <c r="K265" s="29">
        <v>300</v>
      </c>
      <c r="L265" s="29">
        <v>475</v>
      </c>
      <c r="M265" s="30">
        <v>58.060499999999998</v>
      </c>
      <c r="N265" s="30">
        <v>0.23282406015037593</v>
      </c>
      <c r="O265" s="29">
        <v>1</v>
      </c>
      <c r="R265" s="27">
        <v>150</v>
      </c>
      <c r="S265" s="28" t="s">
        <v>744</v>
      </c>
      <c r="T265" s="28" t="s">
        <v>382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-2.86E-2</v>
      </c>
      <c r="Z265" s="28">
        <v>-3.8100000000000002E-2</v>
      </c>
      <c r="AA265" s="29">
        <v>300</v>
      </c>
      <c r="AB265" s="29">
        <v>475</v>
      </c>
      <c r="AC265" s="30">
        <v>41.491500000000002</v>
      </c>
      <c r="AD265" s="30">
        <v>0.16638195488721805</v>
      </c>
      <c r="AE265" s="29">
        <v>1</v>
      </c>
    </row>
    <row r="266" spans="2:31" x14ac:dyDescent="0.2">
      <c r="B266" s="27">
        <v>153</v>
      </c>
      <c r="C266" s="28" t="s">
        <v>746</v>
      </c>
      <c r="D266" s="28" t="s">
        <v>380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-90.419499999999999</v>
      </c>
      <c r="N266" s="30">
        <v>0.36258446115288223</v>
      </c>
      <c r="O266" s="29">
        <v>1</v>
      </c>
      <c r="R266" s="27">
        <v>153</v>
      </c>
      <c r="S266" s="28" t="s">
        <v>746</v>
      </c>
      <c r="T266" s="28" t="s">
        <v>380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-90.423599999999993</v>
      </c>
      <c r="AD266" s="30">
        <v>0.36260090225563907</v>
      </c>
      <c r="AE266" s="29">
        <v>1</v>
      </c>
    </row>
    <row r="267" spans="2:31" x14ac:dyDescent="0.2">
      <c r="B267" s="27">
        <v>153</v>
      </c>
      <c r="C267" s="28" t="s">
        <v>747</v>
      </c>
      <c r="D267" s="28" t="s">
        <v>382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57.411000000000001</v>
      </c>
      <c r="N267" s="30">
        <v>0.23021954887218046</v>
      </c>
      <c r="O267" s="29">
        <v>1</v>
      </c>
      <c r="R267" s="27">
        <v>153</v>
      </c>
      <c r="S267" s="28" t="s">
        <v>747</v>
      </c>
      <c r="T267" s="28" t="s">
        <v>382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41.491500000000002</v>
      </c>
      <c r="AD267" s="30">
        <v>0.16638195488721805</v>
      </c>
      <c r="AE267" s="29">
        <v>1</v>
      </c>
    </row>
    <row r="268" spans="2:31" x14ac:dyDescent="0.2">
      <c r="B268" s="27">
        <v>156</v>
      </c>
      <c r="C268" s="28" t="s">
        <v>749</v>
      </c>
      <c r="D268" s="28" t="s">
        <v>380</v>
      </c>
      <c r="E268" s="28">
        <v>1E-4</v>
      </c>
      <c r="F268" s="28">
        <v>2.8500000000000001E-2</v>
      </c>
      <c r="G268" s="28">
        <v>3.7999999999999999E-2</v>
      </c>
      <c r="H268" s="28">
        <v>-1E-4</v>
      </c>
      <c r="I268" s="28">
        <v>-2.87E-2</v>
      </c>
      <c r="J268" s="28">
        <v>-3.8300000000000001E-2</v>
      </c>
      <c r="K268" s="29">
        <v>300</v>
      </c>
      <c r="L268" s="29">
        <v>475</v>
      </c>
      <c r="M268" s="30">
        <v>-85.215500000000006</v>
      </c>
      <c r="N268" s="30">
        <v>0.34171629072681703</v>
      </c>
      <c r="O268" s="29">
        <v>1</v>
      </c>
      <c r="R268" s="27">
        <v>156</v>
      </c>
      <c r="S268" s="28" t="s">
        <v>749</v>
      </c>
      <c r="T268" s="28" t="s">
        <v>380</v>
      </c>
      <c r="U268" s="28">
        <v>1E-4</v>
      </c>
      <c r="V268" s="28">
        <v>2.8500000000000001E-2</v>
      </c>
      <c r="W268" s="28">
        <v>3.7999999999999999E-2</v>
      </c>
      <c r="X268" s="28">
        <v>-1E-4</v>
      </c>
      <c r="Y268" s="28">
        <v>-2.87E-2</v>
      </c>
      <c r="Z268" s="28">
        <v>-3.8300000000000001E-2</v>
      </c>
      <c r="AA268" s="29">
        <v>300</v>
      </c>
      <c r="AB268" s="29">
        <v>475</v>
      </c>
      <c r="AC268" s="30">
        <v>-85.219200000000001</v>
      </c>
      <c r="AD268" s="30">
        <v>0.34173112781954884</v>
      </c>
      <c r="AE268" s="29">
        <v>1</v>
      </c>
    </row>
    <row r="269" spans="2:31" x14ac:dyDescent="0.2">
      <c r="B269" s="27">
        <v>156</v>
      </c>
      <c r="C269" s="28" t="s">
        <v>750</v>
      </c>
      <c r="D269" s="28" t="s">
        <v>382</v>
      </c>
      <c r="E269" s="28">
        <v>1E-4</v>
      </c>
      <c r="F269" s="28">
        <v>2.8500000000000001E-2</v>
      </c>
      <c r="G269" s="28">
        <v>3.7999999999999999E-2</v>
      </c>
      <c r="H269" s="28">
        <v>-1E-4</v>
      </c>
      <c r="I269" s="28">
        <v>-2.87E-2</v>
      </c>
      <c r="J269" s="28">
        <v>-3.8300000000000001E-2</v>
      </c>
      <c r="K269" s="29">
        <v>300</v>
      </c>
      <c r="L269" s="29">
        <v>475</v>
      </c>
      <c r="M269" s="30">
        <v>57.411000000000001</v>
      </c>
      <c r="N269" s="30">
        <v>0.23021954887218046</v>
      </c>
      <c r="O269" s="29">
        <v>1</v>
      </c>
      <c r="R269" s="27">
        <v>156</v>
      </c>
      <c r="S269" s="28" t="s">
        <v>750</v>
      </c>
      <c r="T269" s="28" t="s">
        <v>382</v>
      </c>
      <c r="U269" s="28">
        <v>1E-4</v>
      </c>
      <c r="V269" s="28">
        <v>2.8500000000000001E-2</v>
      </c>
      <c r="W269" s="28">
        <v>3.7999999999999999E-2</v>
      </c>
      <c r="X269" s="28">
        <v>-1E-4</v>
      </c>
      <c r="Y269" s="28">
        <v>-2.87E-2</v>
      </c>
      <c r="Z269" s="28">
        <v>-3.8300000000000001E-2</v>
      </c>
      <c r="AA269" s="29">
        <v>300</v>
      </c>
      <c r="AB269" s="29">
        <v>475</v>
      </c>
      <c r="AC269" s="30">
        <v>52.833100000000002</v>
      </c>
      <c r="AD269" s="30">
        <v>0.21186205513784462</v>
      </c>
      <c r="AE269" s="29">
        <v>1</v>
      </c>
    </row>
    <row r="270" spans="2:31" x14ac:dyDescent="0.2">
      <c r="B270" s="27">
        <v>159</v>
      </c>
      <c r="C270" s="28" t="s">
        <v>752</v>
      </c>
      <c r="D270" s="28" t="s">
        <v>380</v>
      </c>
      <c r="E270" s="28">
        <v>1E-4</v>
      </c>
      <c r="F270" s="28">
        <v>2.8500000000000001E-2</v>
      </c>
      <c r="G270" s="28">
        <v>3.7999999999999999E-2</v>
      </c>
      <c r="H270" s="28">
        <v>-1E-4</v>
      </c>
      <c r="I270" s="28">
        <v>-2.87E-2</v>
      </c>
      <c r="J270" s="28">
        <v>-3.8300000000000001E-2</v>
      </c>
      <c r="K270" s="29">
        <v>300</v>
      </c>
      <c r="L270" s="29">
        <v>475</v>
      </c>
      <c r="M270" s="30">
        <v>-85.203800000000001</v>
      </c>
      <c r="N270" s="30">
        <v>0.34166937343358394</v>
      </c>
      <c r="O270" s="29">
        <v>1</v>
      </c>
      <c r="R270" s="27">
        <v>159</v>
      </c>
      <c r="S270" s="28" t="s">
        <v>752</v>
      </c>
      <c r="T270" s="28" t="s">
        <v>380</v>
      </c>
      <c r="U270" s="28">
        <v>1E-4</v>
      </c>
      <c r="V270" s="28">
        <v>2.8500000000000001E-2</v>
      </c>
      <c r="W270" s="28">
        <v>3.7999999999999999E-2</v>
      </c>
      <c r="X270" s="28">
        <v>-1E-4</v>
      </c>
      <c r="Y270" s="28">
        <v>-2.87E-2</v>
      </c>
      <c r="Z270" s="28">
        <v>-3.8300000000000001E-2</v>
      </c>
      <c r="AA270" s="29">
        <v>300</v>
      </c>
      <c r="AB270" s="29">
        <v>475</v>
      </c>
      <c r="AC270" s="30">
        <v>-85.208500000000001</v>
      </c>
      <c r="AD270" s="30">
        <v>0.34168822055137843</v>
      </c>
      <c r="AE270" s="29">
        <v>1</v>
      </c>
    </row>
    <row r="271" spans="2:31" x14ac:dyDescent="0.2">
      <c r="B271" s="27">
        <v>159</v>
      </c>
      <c r="C271" s="28" t="s">
        <v>753</v>
      </c>
      <c r="D271" s="28" t="s">
        <v>382</v>
      </c>
      <c r="E271" s="28">
        <v>1E-4</v>
      </c>
      <c r="F271" s="28">
        <v>2.8500000000000001E-2</v>
      </c>
      <c r="G271" s="28">
        <v>3.7999999999999999E-2</v>
      </c>
      <c r="H271" s="28">
        <v>-1E-4</v>
      </c>
      <c r="I271" s="28">
        <v>-2.87E-2</v>
      </c>
      <c r="J271" s="28">
        <v>-3.8300000000000001E-2</v>
      </c>
      <c r="K271" s="29">
        <v>300</v>
      </c>
      <c r="L271" s="29">
        <v>475</v>
      </c>
      <c r="M271" s="30">
        <v>57.411000000000001</v>
      </c>
      <c r="N271" s="30">
        <v>0.23021954887218046</v>
      </c>
      <c r="O271" s="29">
        <v>1</v>
      </c>
      <c r="R271" s="27">
        <v>159</v>
      </c>
      <c r="S271" s="28" t="s">
        <v>753</v>
      </c>
      <c r="T271" s="28" t="s">
        <v>382</v>
      </c>
      <c r="U271" s="28">
        <v>1E-4</v>
      </c>
      <c r="V271" s="28">
        <v>2.8500000000000001E-2</v>
      </c>
      <c r="W271" s="28">
        <v>3.7999999999999999E-2</v>
      </c>
      <c r="X271" s="28">
        <v>-1E-4</v>
      </c>
      <c r="Y271" s="28">
        <v>-2.87E-2</v>
      </c>
      <c r="Z271" s="28">
        <v>-3.8300000000000001E-2</v>
      </c>
      <c r="AA271" s="29">
        <v>300</v>
      </c>
      <c r="AB271" s="29">
        <v>475</v>
      </c>
      <c r="AC271" s="30">
        <v>52.844200000000001</v>
      </c>
      <c r="AD271" s="30">
        <v>0.21190656641604008</v>
      </c>
      <c r="AE271" s="29">
        <v>1</v>
      </c>
    </row>
    <row r="272" spans="2:31" x14ac:dyDescent="0.2">
      <c r="B272" s="27">
        <v>162</v>
      </c>
      <c r="C272" s="28" t="s">
        <v>755</v>
      </c>
      <c r="D272" s="28" t="s">
        <v>380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-90.388000000000005</v>
      </c>
      <c r="N272" s="30">
        <v>0.36245814536340853</v>
      </c>
      <c r="O272" s="29">
        <v>1</v>
      </c>
      <c r="R272" s="27">
        <v>162</v>
      </c>
      <c r="S272" s="28" t="s">
        <v>755</v>
      </c>
      <c r="T272" s="28" t="s">
        <v>380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-90.392099999999999</v>
      </c>
      <c r="AD272" s="30">
        <v>0.36247458646616543</v>
      </c>
      <c r="AE272" s="29">
        <v>1</v>
      </c>
    </row>
    <row r="273" spans="2:31" x14ac:dyDescent="0.2">
      <c r="B273" s="27">
        <v>162</v>
      </c>
      <c r="C273" s="28" t="s">
        <v>756</v>
      </c>
      <c r="D273" s="28" t="s">
        <v>382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57.443199999999997</v>
      </c>
      <c r="N273" s="30">
        <v>0.23034867167919798</v>
      </c>
      <c r="O273" s="29">
        <v>1</v>
      </c>
      <c r="R273" s="27">
        <v>162</v>
      </c>
      <c r="S273" s="28" t="s">
        <v>756</v>
      </c>
      <c r="T273" s="28" t="s">
        <v>382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52.844200000000001</v>
      </c>
      <c r="AD273" s="30">
        <v>0.21190656641604008</v>
      </c>
      <c r="AE273" s="29">
        <v>1</v>
      </c>
    </row>
    <row r="274" spans="2:31" x14ac:dyDescent="0.2">
      <c r="B274" s="27">
        <v>165</v>
      </c>
      <c r="C274" s="28" t="s">
        <v>758</v>
      </c>
      <c r="D274" s="28" t="s">
        <v>380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-2.86E-2</v>
      </c>
      <c r="J274" s="28">
        <v>-3.8100000000000002E-2</v>
      </c>
      <c r="K274" s="29">
        <v>300</v>
      </c>
      <c r="L274" s="29">
        <v>475</v>
      </c>
      <c r="M274" s="30">
        <v>-67.785799999999995</v>
      </c>
      <c r="N274" s="30">
        <v>0.27182275689223051</v>
      </c>
      <c r="O274" s="29">
        <v>1</v>
      </c>
      <c r="R274" s="27">
        <v>165</v>
      </c>
      <c r="S274" s="28" t="s">
        <v>758</v>
      </c>
      <c r="T274" s="28" t="s">
        <v>380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-2.86E-2</v>
      </c>
      <c r="Z274" s="28">
        <v>-3.8100000000000002E-2</v>
      </c>
      <c r="AA274" s="29">
        <v>300</v>
      </c>
      <c r="AB274" s="29">
        <v>475</v>
      </c>
      <c r="AC274" s="30">
        <v>-67.784599999999998</v>
      </c>
      <c r="AD274" s="30">
        <v>0.27181794486215538</v>
      </c>
      <c r="AE274" s="29">
        <v>1</v>
      </c>
    </row>
    <row r="275" spans="2:31" x14ac:dyDescent="0.2">
      <c r="B275" s="27">
        <v>165</v>
      </c>
      <c r="C275" s="28" t="s">
        <v>759</v>
      </c>
      <c r="D275" s="28" t="s">
        <v>382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-2.86E-2</v>
      </c>
      <c r="J275" s="28">
        <v>-3.8100000000000002E-2</v>
      </c>
      <c r="K275" s="29">
        <v>300</v>
      </c>
      <c r="L275" s="29">
        <v>475</v>
      </c>
      <c r="M275" s="30">
        <v>57.443199999999997</v>
      </c>
      <c r="N275" s="30">
        <v>0.23034867167919798</v>
      </c>
      <c r="O275" s="29">
        <v>1</v>
      </c>
      <c r="R275" s="27">
        <v>165</v>
      </c>
      <c r="S275" s="28" t="s">
        <v>759</v>
      </c>
      <c r="T275" s="28" t="s">
        <v>382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-2.86E-2</v>
      </c>
      <c r="Z275" s="28">
        <v>-3.8100000000000002E-2</v>
      </c>
      <c r="AA275" s="29">
        <v>300</v>
      </c>
      <c r="AB275" s="29">
        <v>475</v>
      </c>
      <c r="AC275" s="30">
        <v>41.512</v>
      </c>
      <c r="AD275" s="30">
        <v>0.16646416040100251</v>
      </c>
      <c r="AE275" s="29">
        <v>1</v>
      </c>
    </row>
    <row r="276" spans="2:31" x14ac:dyDescent="0.2">
      <c r="B276" s="27">
        <v>177</v>
      </c>
      <c r="C276" s="28" t="s">
        <v>761</v>
      </c>
      <c r="D276" s="28" t="s">
        <v>380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-2.7900000000000001E-2</v>
      </c>
      <c r="J276" s="28">
        <v>-3.7199999999999997E-2</v>
      </c>
      <c r="K276" s="29">
        <v>300</v>
      </c>
      <c r="L276" s="29">
        <v>475</v>
      </c>
      <c r="M276" s="30">
        <v>-44.277099999999997</v>
      </c>
      <c r="N276" s="30">
        <v>0.17755228070175438</v>
      </c>
      <c r="O276" s="29">
        <v>1</v>
      </c>
      <c r="R276" s="27">
        <v>177</v>
      </c>
      <c r="S276" s="28" t="s">
        <v>761</v>
      </c>
      <c r="T276" s="28" t="s">
        <v>380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-2.7900000000000001E-2</v>
      </c>
      <c r="Z276" s="28">
        <v>-3.7199999999999997E-2</v>
      </c>
      <c r="AA276" s="29">
        <v>300</v>
      </c>
      <c r="AB276" s="29">
        <v>475</v>
      </c>
      <c r="AC276" s="30">
        <v>-44.309199999999997</v>
      </c>
      <c r="AD276" s="30">
        <v>0.17768100250626565</v>
      </c>
      <c r="AE276" s="29">
        <v>1</v>
      </c>
    </row>
    <row r="277" spans="2:31" x14ac:dyDescent="0.2">
      <c r="B277" s="27">
        <v>177</v>
      </c>
      <c r="C277" s="28" t="s">
        <v>762</v>
      </c>
      <c r="D277" s="28" t="s">
        <v>382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-2.7900000000000001E-2</v>
      </c>
      <c r="J277" s="28">
        <v>-3.7199999999999997E-2</v>
      </c>
      <c r="K277" s="29">
        <v>300</v>
      </c>
      <c r="L277" s="29">
        <v>475</v>
      </c>
      <c r="M277" s="30">
        <v>57.443199999999997</v>
      </c>
      <c r="N277" s="30">
        <v>0.23034867167919798</v>
      </c>
      <c r="O277" s="29">
        <v>1</v>
      </c>
      <c r="R277" s="27">
        <v>177</v>
      </c>
      <c r="S277" s="28" t="s">
        <v>762</v>
      </c>
      <c r="T277" s="28" t="s">
        <v>382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-2.7900000000000001E-2</v>
      </c>
      <c r="Z277" s="28">
        <v>-3.7199999999999997E-2</v>
      </c>
      <c r="AA277" s="29">
        <v>300</v>
      </c>
      <c r="AB277" s="29">
        <v>475</v>
      </c>
      <c r="AC277" s="30">
        <v>41.512</v>
      </c>
      <c r="AD277" s="30">
        <v>0.16646416040100251</v>
      </c>
      <c r="AE277" s="29">
        <v>1</v>
      </c>
    </row>
    <row r="278" spans="2:31" x14ac:dyDescent="0.2">
      <c r="B278" s="27">
        <v>178</v>
      </c>
      <c r="C278" s="28" t="s">
        <v>764</v>
      </c>
      <c r="D278" s="28" t="s">
        <v>380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-2.7900000000000001E-2</v>
      </c>
      <c r="J278" s="28">
        <v>-3.7199999999999997E-2</v>
      </c>
      <c r="K278" s="29">
        <v>300</v>
      </c>
      <c r="L278" s="29">
        <v>475</v>
      </c>
      <c r="M278" s="30">
        <v>-42.1648</v>
      </c>
      <c r="N278" s="30">
        <v>0.16908190476190477</v>
      </c>
      <c r="O278" s="29">
        <v>1</v>
      </c>
      <c r="R278" s="27">
        <v>178</v>
      </c>
      <c r="S278" s="28" t="s">
        <v>764</v>
      </c>
      <c r="T278" s="28" t="s">
        <v>380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-2.7900000000000001E-2</v>
      </c>
      <c r="Z278" s="28">
        <v>-3.7199999999999997E-2</v>
      </c>
      <c r="AA278" s="29">
        <v>300</v>
      </c>
      <c r="AB278" s="29">
        <v>475</v>
      </c>
      <c r="AC278" s="30">
        <v>-42.1952</v>
      </c>
      <c r="AD278" s="30">
        <v>0.16920380952380951</v>
      </c>
      <c r="AE278" s="29">
        <v>1</v>
      </c>
    </row>
    <row r="279" spans="2:31" x14ac:dyDescent="0.2">
      <c r="B279" s="27">
        <v>178</v>
      </c>
      <c r="C279" s="28" t="s">
        <v>765</v>
      </c>
      <c r="D279" s="28" t="s">
        <v>382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-2.7900000000000001E-2</v>
      </c>
      <c r="J279" s="28">
        <v>-3.7199999999999997E-2</v>
      </c>
      <c r="K279" s="29">
        <v>300</v>
      </c>
      <c r="L279" s="29">
        <v>475</v>
      </c>
      <c r="M279" s="30">
        <v>57.443199999999997</v>
      </c>
      <c r="N279" s="30">
        <v>0.23034867167919798</v>
      </c>
      <c r="O279" s="29">
        <v>1</v>
      </c>
      <c r="R279" s="27">
        <v>178</v>
      </c>
      <c r="S279" s="28" t="s">
        <v>765</v>
      </c>
      <c r="T279" s="28" t="s">
        <v>382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-2.7900000000000001E-2</v>
      </c>
      <c r="Z279" s="28">
        <v>-3.7199999999999997E-2</v>
      </c>
      <c r="AA279" s="29">
        <v>300</v>
      </c>
      <c r="AB279" s="29">
        <v>475</v>
      </c>
      <c r="AC279" s="30">
        <v>41.512</v>
      </c>
      <c r="AD279" s="30">
        <v>0.16646416040100251</v>
      </c>
      <c r="AE279" s="29">
        <v>1</v>
      </c>
    </row>
    <row r="280" spans="2:31" x14ac:dyDescent="0.2">
      <c r="B280" s="27">
        <v>179</v>
      </c>
      <c r="C280" s="28" t="s">
        <v>766</v>
      </c>
      <c r="D280" s="28" t="s">
        <v>380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-2.7900000000000001E-2</v>
      </c>
      <c r="J280" s="28">
        <v>-3.7199999999999997E-2</v>
      </c>
      <c r="K280" s="29">
        <v>300</v>
      </c>
      <c r="L280" s="29">
        <v>475</v>
      </c>
      <c r="M280" s="30">
        <v>-46.010899999999999</v>
      </c>
      <c r="N280" s="30">
        <v>0.18450486215538847</v>
      </c>
      <c r="O280" s="29">
        <v>1</v>
      </c>
      <c r="R280" s="27">
        <v>179</v>
      </c>
      <c r="S280" s="28" t="s">
        <v>766</v>
      </c>
      <c r="T280" s="28" t="s">
        <v>380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-2.7900000000000001E-2</v>
      </c>
      <c r="Z280" s="28">
        <v>-3.7199999999999997E-2</v>
      </c>
      <c r="AA280" s="29">
        <v>300</v>
      </c>
      <c r="AB280" s="29">
        <v>475</v>
      </c>
      <c r="AC280" s="30">
        <v>-46.0398</v>
      </c>
      <c r="AD280" s="30">
        <v>0.18462075187969926</v>
      </c>
      <c r="AE280" s="29">
        <v>1</v>
      </c>
    </row>
    <row r="281" spans="2:31" x14ac:dyDescent="0.2">
      <c r="B281" s="27">
        <v>179</v>
      </c>
      <c r="C281" s="28" t="s">
        <v>767</v>
      </c>
      <c r="D281" s="28" t="s">
        <v>382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-2.7900000000000001E-2</v>
      </c>
      <c r="J281" s="28">
        <v>-3.7199999999999997E-2</v>
      </c>
      <c r="K281" s="29">
        <v>300</v>
      </c>
      <c r="L281" s="29">
        <v>475</v>
      </c>
      <c r="M281" s="30">
        <v>57.443199999999997</v>
      </c>
      <c r="N281" s="30">
        <v>0.23034867167919798</v>
      </c>
      <c r="O281" s="29">
        <v>1</v>
      </c>
      <c r="R281" s="27">
        <v>179</v>
      </c>
      <c r="S281" s="28" t="s">
        <v>767</v>
      </c>
      <c r="T281" s="28" t="s">
        <v>382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-2.7900000000000001E-2</v>
      </c>
      <c r="Z281" s="28">
        <v>-3.7199999999999997E-2</v>
      </c>
      <c r="AA281" s="29">
        <v>300</v>
      </c>
      <c r="AB281" s="29">
        <v>475</v>
      </c>
      <c r="AC281" s="30">
        <v>41.512</v>
      </c>
      <c r="AD281" s="30">
        <v>0.16646416040100251</v>
      </c>
      <c r="AE281" s="29">
        <v>1</v>
      </c>
    </row>
    <row r="282" spans="2:31" x14ac:dyDescent="0.2">
      <c r="B282" s="27">
        <v>180</v>
      </c>
      <c r="C282" s="28" t="s">
        <v>768</v>
      </c>
      <c r="D282" s="28" t="s">
        <v>380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-2.7900000000000001E-2</v>
      </c>
      <c r="J282" s="28">
        <v>-3.7199999999999997E-2</v>
      </c>
      <c r="K282" s="29">
        <v>300</v>
      </c>
      <c r="L282" s="29">
        <v>475</v>
      </c>
      <c r="M282" s="30">
        <v>-45.089399999999998</v>
      </c>
      <c r="N282" s="30">
        <v>0.18080962406015036</v>
      </c>
      <c r="O282" s="29">
        <v>1</v>
      </c>
      <c r="R282" s="27">
        <v>180</v>
      </c>
      <c r="S282" s="28" t="s">
        <v>768</v>
      </c>
      <c r="T282" s="28" t="s">
        <v>380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-2.7900000000000001E-2</v>
      </c>
      <c r="Z282" s="28">
        <v>-3.7199999999999997E-2</v>
      </c>
      <c r="AA282" s="29">
        <v>300</v>
      </c>
      <c r="AB282" s="29">
        <v>475</v>
      </c>
      <c r="AC282" s="30">
        <v>-45.120600000000003</v>
      </c>
      <c r="AD282" s="30">
        <v>0.18093473684210529</v>
      </c>
      <c r="AE282" s="29">
        <v>1</v>
      </c>
    </row>
    <row r="283" spans="2:31" x14ac:dyDescent="0.2">
      <c r="B283" s="27">
        <v>180</v>
      </c>
      <c r="C283" s="28" t="s">
        <v>769</v>
      </c>
      <c r="D283" s="28" t="s">
        <v>382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-2.7900000000000001E-2</v>
      </c>
      <c r="J283" s="28">
        <v>-3.7199999999999997E-2</v>
      </c>
      <c r="K283" s="29">
        <v>300</v>
      </c>
      <c r="L283" s="29">
        <v>475</v>
      </c>
      <c r="M283" s="30">
        <v>57.443199999999997</v>
      </c>
      <c r="N283" s="30">
        <v>0.23034867167919798</v>
      </c>
      <c r="O283" s="29">
        <v>1</v>
      </c>
      <c r="R283" s="27">
        <v>180</v>
      </c>
      <c r="S283" s="28" t="s">
        <v>769</v>
      </c>
      <c r="T283" s="28" t="s">
        <v>382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-2.7900000000000001E-2</v>
      </c>
      <c r="Z283" s="28">
        <v>-3.7199999999999997E-2</v>
      </c>
      <c r="AA283" s="29">
        <v>300</v>
      </c>
      <c r="AB283" s="29">
        <v>475</v>
      </c>
      <c r="AC283" s="30">
        <v>41.512</v>
      </c>
      <c r="AD283" s="30">
        <v>0.16646416040100251</v>
      </c>
      <c r="AE283" s="29">
        <v>1</v>
      </c>
    </row>
    <row r="284" spans="2:31" x14ac:dyDescent="0.2">
      <c r="B284" s="27">
        <v>181</v>
      </c>
      <c r="C284" s="28" t="s">
        <v>771</v>
      </c>
      <c r="D284" s="28" t="s">
        <v>380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-2.7900000000000001E-2</v>
      </c>
      <c r="J284" s="28">
        <v>-3.7199999999999997E-2</v>
      </c>
      <c r="K284" s="29">
        <v>300</v>
      </c>
      <c r="L284" s="29">
        <v>475</v>
      </c>
      <c r="M284" s="30">
        <v>-43.389899999999997</v>
      </c>
      <c r="N284" s="30">
        <v>0.17399458646616539</v>
      </c>
      <c r="O284" s="29">
        <v>1</v>
      </c>
      <c r="R284" s="27">
        <v>181</v>
      </c>
      <c r="S284" s="28" t="s">
        <v>771</v>
      </c>
      <c r="T284" s="28" t="s">
        <v>380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-2.7900000000000001E-2</v>
      </c>
      <c r="Z284" s="28">
        <v>-3.7199999999999997E-2</v>
      </c>
      <c r="AA284" s="29">
        <v>300</v>
      </c>
      <c r="AB284" s="29">
        <v>475</v>
      </c>
      <c r="AC284" s="30">
        <v>-43.421900000000001</v>
      </c>
      <c r="AD284" s="30">
        <v>0.17412290726817042</v>
      </c>
      <c r="AE284" s="29">
        <v>1</v>
      </c>
    </row>
    <row r="285" spans="2:31" x14ac:dyDescent="0.2">
      <c r="B285" s="27">
        <v>181</v>
      </c>
      <c r="C285" s="28" t="s">
        <v>772</v>
      </c>
      <c r="D285" s="28" t="s">
        <v>382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-2.7900000000000001E-2</v>
      </c>
      <c r="J285" s="28">
        <v>-3.7199999999999997E-2</v>
      </c>
      <c r="K285" s="29">
        <v>300</v>
      </c>
      <c r="L285" s="29">
        <v>475</v>
      </c>
      <c r="M285" s="30">
        <v>57.443199999999997</v>
      </c>
      <c r="N285" s="30">
        <v>0.23034867167919798</v>
      </c>
      <c r="O285" s="29">
        <v>1</v>
      </c>
      <c r="R285" s="27">
        <v>181</v>
      </c>
      <c r="S285" s="28" t="s">
        <v>772</v>
      </c>
      <c r="T285" s="28" t="s">
        <v>382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-2.7900000000000001E-2</v>
      </c>
      <c r="Z285" s="28">
        <v>-3.7199999999999997E-2</v>
      </c>
      <c r="AA285" s="29">
        <v>300</v>
      </c>
      <c r="AB285" s="29">
        <v>475</v>
      </c>
      <c r="AC285" s="30">
        <v>41.512</v>
      </c>
      <c r="AD285" s="30">
        <v>0.16646416040100251</v>
      </c>
      <c r="AE285" s="29">
        <v>1</v>
      </c>
    </row>
    <row r="286" spans="2:31" x14ac:dyDescent="0.2">
      <c r="B286" s="27">
        <v>151</v>
      </c>
      <c r="C286" s="28" t="s">
        <v>774</v>
      </c>
      <c r="D286" s="28" t="s">
        <v>380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-2.86E-2</v>
      </c>
      <c r="J286" s="28">
        <v>-3.8100000000000002E-2</v>
      </c>
      <c r="K286" s="29">
        <v>300</v>
      </c>
      <c r="L286" s="29">
        <v>475</v>
      </c>
      <c r="M286" s="30">
        <v>-69.110500000000002</v>
      </c>
      <c r="N286" s="30">
        <v>0.27713483709273184</v>
      </c>
      <c r="O286" s="29">
        <v>1</v>
      </c>
      <c r="R286" s="27">
        <v>151</v>
      </c>
      <c r="S286" s="28" t="s">
        <v>774</v>
      </c>
      <c r="T286" s="28" t="s">
        <v>380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-2.86E-2</v>
      </c>
      <c r="Z286" s="28">
        <v>-3.8100000000000002E-2</v>
      </c>
      <c r="AA286" s="29">
        <v>300</v>
      </c>
      <c r="AB286" s="29">
        <v>475</v>
      </c>
      <c r="AC286" s="30">
        <v>-69.118099999999998</v>
      </c>
      <c r="AD286" s="30">
        <v>0.27716531328320798</v>
      </c>
      <c r="AE286" s="29">
        <v>1</v>
      </c>
    </row>
    <row r="287" spans="2:31" x14ac:dyDescent="0.2">
      <c r="B287" s="27">
        <v>151</v>
      </c>
      <c r="C287" s="28" t="s">
        <v>775</v>
      </c>
      <c r="D287" s="28" t="s">
        <v>382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-2.86E-2</v>
      </c>
      <c r="J287" s="28">
        <v>-3.8100000000000002E-2</v>
      </c>
      <c r="K287" s="29">
        <v>300</v>
      </c>
      <c r="L287" s="29">
        <v>475</v>
      </c>
      <c r="M287" s="30">
        <v>57.443199999999997</v>
      </c>
      <c r="N287" s="30">
        <v>0.23034867167919798</v>
      </c>
      <c r="O287" s="29">
        <v>1</v>
      </c>
      <c r="R287" s="27">
        <v>151</v>
      </c>
      <c r="S287" s="28" t="s">
        <v>775</v>
      </c>
      <c r="T287" s="28" t="s">
        <v>382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-2.86E-2</v>
      </c>
      <c r="Z287" s="28">
        <v>-3.8100000000000002E-2</v>
      </c>
      <c r="AA287" s="29">
        <v>300</v>
      </c>
      <c r="AB287" s="29">
        <v>475</v>
      </c>
      <c r="AC287" s="30">
        <v>41.512</v>
      </c>
      <c r="AD287" s="30">
        <v>0.16646416040100251</v>
      </c>
      <c r="AE287" s="29">
        <v>1</v>
      </c>
    </row>
    <row r="288" spans="2:31" x14ac:dyDescent="0.2">
      <c r="B288" s="27">
        <v>154</v>
      </c>
      <c r="C288" s="28" t="s">
        <v>777</v>
      </c>
      <c r="D288" s="28" t="s">
        <v>380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-89.547600000000003</v>
      </c>
      <c r="N288" s="30">
        <v>0.35908812030075188</v>
      </c>
      <c r="O288" s="29">
        <v>1</v>
      </c>
      <c r="R288" s="27">
        <v>154</v>
      </c>
      <c r="S288" s="28" t="s">
        <v>777</v>
      </c>
      <c r="T288" s="28" t="s">
        <v>380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-89.551599999999993</v>
      </c>
      <c r="AD288" s="30">
        <v>0.35910416040100246</v>
      </c>
      <c r="AE288" s="29">
        <v>1</v>
      </c>
    </row>
    <row r="289" spans="2:31" x14ac:dyDescent="0.2">
      <c r="B289" s="27">
        <v>154</v>
      </c>
      <c r="C289" s="28" t="s">
        <v>778</v>
      </c>
      <c r="D289" s="28" t="s">
        <v>382</v>
      </c>
      <c r="E289" s="28">
        <v>1E-4</v>
      </c>
      <c r="F289" s="28">
        <v>2.8500000000000001E-2</v>
      </c>
      <c r="G289" s="28">
        <v>3.7999999999999999E-2</v>
      </c>
      <c r="H289" s="28">
        <v>-1E-4</v>
      </c>
      <c r="I289" s="28">
        <v>-2.87E-2</v>
      </c>
      <c r="J289" s="28">
        <v>-3.8300000000000001E-2</v>
      </c>
      <c r="K289" s="29">
        <v>300</v>
      </c>
      <c r="L289" s="29">
        <v>475</v>
      </c>
      <c r="M289" s="30">
        <v>57.443199999999997</v>
      </c>
      <c r="N289" s="30">
        <v>0.23034867167919798</v>
      </c>
      <c r="O289" s="29">
        <v>1</v>
      </c>
      <c r="R289" s="27">
        <v>154</v>
      </c>
      <c r="S289" s="28" t="s">
        <v>778</v>
      </c>
      <c r="T289" s="28" t="s">
        <v>382</v>
      </c>
      <c r="U289" s="28">
        <v>1E-4</v>
      </c>
      <c r="V289" s="28">
        <v>2.8500000000000001E-2</v>
      </c>
      <c r="W289" s="28">
        <v>3.7999999999999999E-2</v>
      </c>
      <c r="X289" s="28">
        <v>-1E-4</v>
      </c>
      <c r="Y289" s="28">
        <v>-2.87E-2</v>
      </c>
      <c r="Z289" s="28">
        <v>-3.8300000000000001E-2</v>
      </c>
      <c r="AA289" s="29">
        <v>300</v>
      </c>
      <c r="AB289" s="29">
        <v>475</v>
      </c>
      <c r="AC289" s="30">
        <v>41.512</v>
      </c>
      <c r="AD289" s="30">
        <v>0.16646416040100251</v>
      </c>
      <c r="AE289" s="29">
        <v>1</v>
      </c>
    </row>
    <row r="290" spans="2:31" x14ac:dyDescent="0.2">
      <c r="B290" s="27">
        <v>157</v>
      </c>
      <c r="C290" s="28" t="s">
        <v>780</v>
      </c>
      <c r="D290" s="28" t="s">
        <v>380</v>
      </c>
      <c r="E290" s="28">
        <v>1E-4</v>
      </c>
      <c r="F290" s="28">
        <v>2.8500000000000001E-2</v>
      </c>
      <c r="G290" s="28">
        <v>3.7999999999999999E-2</v>
      </c>
      <c r="H290" s="28">
        <v>-1E-4</v>
      </c>
      <c r="I290" s="28">
        <v>-2.87E-2</v>
      </c>
      <c r="J290" s="28">
        <v>-3.8300000000000001E-2</v>
      </c>
      <c r="K290" s="29">
        <v>300</v>
      </c>
      <c r="L290" s="29">
        <v>475</v>
      </c>
      <c r="M290" s="30">
        <v>-85.062799999999996</v>
      </c>
      <c r="N290" s="30">
        <v>0.3411039598997494</v>
      </c>
      <c r="O290" s="29">
        <v>1</v>
      </c>
      <c r="R290" s="27">
        <v>157</v>
      </c>
      <c r="S290" s="28" t="s">
        <v>780</v>
      </c>
      <c r="T290" s="28" t="s">
        <v>380</v>
      </c>
      <c r="U290" s="28">
        <v>1E-4</v>
      </c>
      <c r="V290" s="28">
        <v>2.8500000000000001E-2</v>
      </c>
      <c r="W290" s="28">
        <v>3.7999999999999999E-2</v>
      </c>
      <c r="X290" s="28">
        <v>-1E-4</v>
      </c>
      <c r="Y290" s="28">
        <v>-2.87E-2</v>
      </c>
      <c r="Z290" s="28">
        <v>-3.8300000000000001E-2</v>
      </c>
      <c r="AA290" s="29">
        <v>300</v>
      </c>
      <c r="AB290" s="29">
        <v>475</v>
      </c>
      <c r="AC290" s="30">
        <v>-85.066400000000002</v>
      </c>
      <c r="AD290" s="30">
        <v>0.34111839598997495</v>
      </c>
      <c r="AE290" s="29">
        <v>1</v>
      </c>
    </row>
    <row r="291" spans="2:31" x14ac:dyDescent="0.2">
      <c r="B291" s="27">
        <v>157</v>
      </c>
      <c r="C291" s="28" t="s">
        <v>781</v>
      </c>
      <c r="D291" s="28" t="s">
        <v>382</v>
      </c>
      <c r="E291" s="28">
        <v>1E-4</v>
      </c>
      <c r="F291" s="28">
        <v>2.8500000000000001E-2</v>
      </c>
      <c r="G291" s="28">
        <v>3.7999999999999999E-2</v>
      </c>
      <c r="H291" s="28">
        <v>-1E-4</v>
      </c>
      <c r="I291" s="28">
        <v>-2.87E-2</v>
      </c>
      <c r="J291" s="28">
        <v>-3.8300000000000001E-2</v>
      </c>
      <c r="K291" s="29">
        <v>300</v>
      </c>
      <c r="L291" s="29">
        <v>475</v>
      </c>
      <c r="M291" s="30">
        <v>57.443199999999997</v>
      </c>
      <c r="N291" s="30">
        <v>0.23034867167919798</v>
      </c>
      <c r="O291" s="29">
        <v>1</v>
      </c>
      <c r="R291" s="27">
        <v>157</v>
      </c>
      <c r="S291" s="28" t="s">
        <v>781</v>
      </c>
      <c r="T291" s="28" t="s">
        <v>382</v>
      </c>
      <c r="U291" s="28">
        <v>1E-4</v>
      </c>
      <c r="V291" s="28">
        <v>2.8500000000000001E-2</v>
      </c>
      <c r="W291" s="28">
        <v>3.7999999999999999E-2</v>
      </c>
      <c r="X291" s="28">
        <v>-1E-4</v>
      </c>
      <c r="Y291" s="28">
        <v>-2.87E-2</v>
      </c>
      <c r="Z291" s="28">
        <v>-3.8300000000000001E-2</v>
      </c>
      <c r="AA291" s="29">
        <v>300</v>
      </c>
      <c r="AB291" s="29">
        <v>475</v>
      </c>
      <c r="AC291" s="30">
        <v>41.512</v>
      </c>
      <c r="AD291" s="30">
        <v>0.16646416040100251</v>
      </c>
      <c r="AE291" s="29">
        <v>1</v>
      </c>
    </row>
    <row r="292" spans="2:31" x14ac:dyDescent="0.2">
      <c r="B292" s="27">
        <v>160</v>
      </c>
      <c r="C292" s="28" t="s">
        <v>783</v>
      </c>
      <c r="D292" s="28" t="s">
        <v>380</v>
      </c>
      <c r="E292" s="28">
        <v>1E-4</v>
      </c>
      <c r="F292" s="28">
        <v>2.8500000000000001E-2</v>
      </c>
      <c r="G292" s="28">
        <v>3.7999999999999999E-2</v>
      </c>
      <c r="H292" s="28">
        <v>-1E-4</v>
      </c>
      <c r="I292" s="28">
        <v>-2.87E-2</v>
      </c>
      <c r="J292" s="28">
        <v>-3.8300000000000001E-2</v>
      </c>
      <c r="K292" s="29">
        <v>300</v>
      </c>
      <c r="L292" s="29">
        <v>475</v>
      </c>
      <c r="M292" s="30">
        <v>-85.051000000000002</v>
      </c>
      <c r="N292" s="30">
        <v>0.34105664160401</v>
      </c>
      <c r="O292" s="29">
        <v>1</v>
      </c>
      <c r="R292" s="27">
        <v>160</v>
      </c>
      <c r="S292" s="28" t="s">
        <v>783</v>
      </c>
      <c r="T292" s="28" t="s">
        <v>380</v>
      </c>
      <c r="U292" s="28">
        <v>1E-4</v>
      </c>
      <c r="V292" s="28">
        <v>2.8500000000000001E-2</v>
      </c>
      <c r="W292" s="28">
        <v>3.7999999999999999E-2</v>
      </c>
      <c r="X292" s="28">
        <v>-1E-4</v>
      </c>
      <c r="Y292" s="28">
        <v>-2.87E-2</v>
      </c>
      <c r="Z292" s="28">
        <v>-3.8300000000000001E-2</v>
      </c>
      <c r="AA292" s="29">
        <v>300</v>
      </c>
      <c r="AB292" s="29">
        <v>475</v>
      </c>
      <c r="AC292" s="30">
        <v>-85.055899999999994</v>
      </c>
      <c r="AD292" s="30">
        <v>0.341076290726817</v>
      </c>
      <c r="AE292" s="29">
        <v>1</v>
      </c>
    </row>
    <row r="293" spans="2:31" x14ac:dyDescent="0.2">
      <c r="B293" s="27">
        <v>160</v>
      </c>
      <c r="C293" s="28" t="s">
        <v>784</v>
      </c>
      <c r="D293" s="28" t="s">
        <v>382</v>
      </c>
      <c r="E293" s="28">
        <v>1E-4</v>
      </c>
      <c r="F293" s="28">
        <v>2.8500000000000001E-2</v>
      </c>
      <c r="G293" s="28">
        <v>3.7999999999999999E-2</v>
      </c>
      <c r="H293" s="28">
        <v>-1E-4</v>
      </c>
      <c r="I293" s="28">
        <v>-2.87E-2</v>
      </c>
      <c r="J293" s="28">
        <v>-3.8300000000000001E-2</v>
      </c>
      <c r="K293" s="29">
        <v>300</v>
      </c>
      <c r="L293" s="29">
        <v>475</v>
      </c>
      <c r="M293" s="30">
        <v>57.443199999999997</v>
      </c>
      <c r="N293" s="30">
        <v>0.23034867167919798</v>
      </c>
      <c r="O293" s="29">
        <v>1</v>
      </c>
      <c r="R293" s="27">
        <v>160</v>
      </c>
      <c r="S293" s="28" t="s">
        <v>784</v>
      </c>
      <c r="T293" s="28" t="s">
        <v>382</v>
      </c>
      <c r="U293" s="28">
        <v>1E-4</v>
      </c>
      <c r="V293" s="28">
        <v>2.8500000000000001E-2</v>
      </c>
      <c r="W293" s="28">
        <v>3.7999999999999999E-2</v>
      </c>
      <c r="X293" s="28">
        <v>-1E-4</v>
      </c>
      <c r="Y293" s="28">
        <v>-2.87E-2</v>
      </c>
      <c r="Z293" s="28">
        <v>-3.8300000000000001E-2</v>
      </c>
      <c r="AA293" s="29">
        <v>300</v>
      </c>
      <c r="AB293" s="29">
        <v>475</v>
      </c>
      <c r="AC293" s="30">
        <v>41.512</v>
      </c>
      <c r="AD293" s="30">
        <v>0.16646416040100251</v>
      </c>
      <c r="AE293" s="29">
        <v>1</v>
      </c>
    </row>
    <row r="294" spans="2:31" x14ac:dyDescent="0.2">
      <c r="B294" s="27">
        <v>163</v>
      </c>
      <c r="C294" s="28" t="s">
        <v>786</v>
      </c>
      <c r="D294" s="28" t="s">
        <v>380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-89.511700000000005</v>
      </c>
      <c r="N294" s="30">
        <v>0.35894416040100258</v>
      </c>
      <c r="O294" s="29">
        <v>1</v>
      </c>
      <c r="R294" s="27">
        <v>163</v>
      </c>
      <c r="S294" s="28" t="s">
        <v>786</v>
      </c>
      <c r="T294" s="28" t="s">
        <v>380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-89.516000000000005</v>
      </c>
      <c r="AD294" s="30">
        <v>0.35896140350877193</v>
      </c>
      <c r="AE294" s="29">
        <v>1</v>
      </c>
    </row>
    <row r="295" spans="2:31" x14ac:dyDescent="0.2">
      <c r="B295" s="27">
        <v>163</v>
      </c>
      <c r="C295" s="28" t="s">
        <v>787</v>
      </c>
      <c r="D295" s="28" t="s">
        <v>382</v>
      </c>
      <c r="E295" s="28">
        <v>1E-4</v>
      </c>
      <c r="F295" s="28">
        <v>2.8500000000000001E-2</v>
      </c>
      <c r="G295" s="28">
        <v>3.7999999999999999E-2</v>
      </c>
      <c r="H295" s="28">
        <v>-1E-4</v>
      </c>
      <c r="I295" s="28">
        <v>-2.87E-2</v>
      </c>
      <c r="J295" s="28">
        <v>-3.8300000000000001E-2</v>
      </c>
      <c r="K295" s="29">
        <v>300</v>
      </c>
      <c r="L295" s="29">
        <v>475</v>
      </c>
      <c r="M295" s="30">
        <v>57.443199999999997</v>
      </c>
      <c r="N295" s="30">
        <v>0.23034867167919798</v>
      </c>
      <c r="O295" s="29">
        <v>1</v>
      </c>
      <c r="R295" s="27">
        <v>163</v>
      </c>
      <c r="S295" s="28" t="s">
        <v>787</v>
      </c>
      <c r="T295" s="28" t="s">
        <v>382</v>
      </c>
      <c r="U295" s="28">
        <v>1E-4</v>
      </c>
      <c r="V295" s="28">
        <v>2.8500000000000001E-2</v>
      </c>
      <c r="W295" s="28">
        <v>3.7999999999999999E-2</v>
      </c>
      <c r="X295" s="28">
        <v>-1E-4</v>
      </c>
      <c r="Y295" s="28">
        <v>-2.87E-2</v>
      </c>
      <c r="Z295" s="28">
        <v>-3.8300000000000001E-2</v>
      </c>
      <c r="AA295" s="29">
        <v>300</v>
      </c>
      <c r="AB295" s="29">
        <v>475</v>
      </c>
      <c r="AC295" s="30">
        <v>41.512</v>
      </c>
      <c r="AD295" s="30">
        <v>0.16646416040100251</v>
      </c>
      <c r="AE295" s="29">
        <v>1</v>
      </c>
    </row>
    <row r="296" spans="2:31" x14ac:dyDescent="0.2">
      <c r="B296" s="27">
        <v>166</v>
      </c>
      <c r="C296" s="28" t="s">
        <v>789</v>
      </c>
      <c r="D296" s="28" t="s">
        <v>380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-2.86E-2</v>
      </c>
      <c r="J296" s="28">
        <v>-3.8100000000000002E-2</v>
      </c>
      <c r="K296" s="29">
        <v>300</v>
      </c>
      <c r="L296" s="29">
        <v>475</v>
      </c>
      <c r="M296" s="30">
        <v>-69.064700000000002</v>
      </c>
      <c r="N296" s="30">
        <v>0.27695117794486213</v>
      </c>
      <c r="O296" s="29">
        <v>1</v>
      </c>
      <c r="R296" s="27">
        <v>166</v>
      </c>
      <c r="S296" s="28" t="s">
        <v>789</v>
      </c>
      <c r="T296" s="28" t="s">
        <v>380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-2.86E-2</v>
      </c>
      <c r="Z296" s="28">
        <v>-3.8100000000000002E-2</v>
      </c>
      <c r="AA296" s="29">
        <v>300</v>
      </c>
      <c r="AB296" s="29">
        <v>475</v>
      </c>
      <c r="AC296" s="30">
        <v>-69.063199999999995</v>
      </c>
      <c r="AD296" s="30">
        <v>0.27694516290726817</v>
      </c>
      <c r="AE296" s="29">
        <v>1</v>
      </c>
    </row>
    <row r="297" spans="2:31" x14ac:dyDescent="0.2">
      <c r="B297" s="27">
        <v>166</v>
      </c>
      <c r="C297" s="28" t="s">
        <v>790</v>
      </c>
      <c r="D297" s="28" t="s">
        <v>382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-2.86E-2</v>
      </c>
      <c r="J297" s="28">
        <v>-3.8100000000000002E-2</v>
      </c>
      <c r="K297" s="29">
        <v>300</v>
      </c>
      <c r="L297" s="29">
        <v>475</v>
      </c>
      <c r="M297" s="30">
        <v>57.443199999999997</v>
      </c>
      <c r="N297" s="30">
        <v>0.23034867167919798</v>
      </c>
      <c r="O297" s="29">
        <v>1</v>
      </c>
      <c r="R297" s="27">
        <v>166</v>
      </c>
      <c r="S297" s="28" t="s">
        <v>790</v>
      </c>
      <c r="T297" s="28" t="s">
        <v>382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-2.86E-2</v>
      </c>
      <c r="Z297" s="28">
        <v>-3.8100000000000002E-2</v>
      </c>
      <c r="AA297" s="29">
        <v>300</v>
      </c>
      <c r="AB297" s="29">
        <v>475</v>
      </c>
      <c r="AC297" s="30">
        <v>41.512</v>
      </c>
      <c r="AD297" s="30">
        <v>0.16646416040100251</v>
      </c>
      <c r="AE297" s="29">
        <v>1</v>
      </c>
    </row>
    <row r="298" spans="2:31" x14ac:dyDescent="0.2">
      <c r="B298" s="27">
        <v>182</v>
      </c>
      <c r="C298" s="28" t="s">
        <v>792</v>
      </c>
      <c r="D298" s="28" t="s">
        <v>380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-2.7799999999999998E-2</v>
      </c>
      <c r="J298" s="28">
        <v>-3.6999999999999998E-2</v>
      </c>
      <c r="K298" s="29">
        <v>300</v>
      </c>
      <c r="L298" s="29">
        <v>475</v>
      </c>
      <c r="M298" s="30">
        <v>-34.339599999999997</v>
      </c>
      <c r="N298" s="30">
        <v>0.137702656641604</v>
      </c>
      <c r="O298" s="29">
        <v>1</v>
      </c>
      <c r="R298" s="27">
        <v>182</v>
      </c>
      <c r="S298" s="28" t="s">
        <v>792</v>
      </c>
      <c r="T298" s="28" t="s">
        <v>380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-2.7799999999999998E-2</v>
      </c>
      <c r="Z298" s="28">
        <v>-3.6999999999999998E-2</v>
      </c>
      <c r="AA298" s="29">
        <v>300</v>
      </c>
      <c r="AB298" s="29">
        <v>475</v>
      </c>
      <c r="AC298" s="30">
        <v>-34.362900000000003</v>
      </c>
      <c r="AD298" s="30">
        <v>0.13779609022556391</v>
      </c>
      <c r="AE298" s="29">
        <v>1</v>
      </c>
    </row>
    <row r="299" spans="2:31" x14ac:dyDescent="0.2">
      <c r="B299" s="27">
        <v>182</v>
      </c>
      <c r="C299" s="28" t="s">
        <v>793</v>
      </c>
      <c r="D299" s="28" t="s">
        <v>382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57.443199999999997</v>
      </c>
      <c r="N299" s="30">
        <v>0.23034867167919798</v>
      </c>
      <c r="O299" s="29">
        <v>1</v>
      </c>
      <c r="R299" s="27">
        <v>182</v>
      </c>
      <c r="S299" s="28" t="s">
        <v>793</v>
      </c>
      <c r="T299" s="28" t="s">
        <v>382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41.512</v>
      </c>
      <c r="AD299" s="30">
        <v>0.16646416040100251</v>
      </c>
      <c r="AE299" s="29">
        <v>1</v>
      </c>
    </row>
    <row r="300" spans="2:31" x14ac:dyDescent="0.2">
      <c r="B300" s="27">
        <v>183</v>
      </c>
      <c r="C300" s="28" t="s">
        <v>795</v>
      </c>
      <c r="D300" s="28" t="s">
        <v>380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-37.0398</v>
      </c>
      <c r="N300" s="30">
        <v>0.14853052631578947</v>
      </c>
      <c r="O300" s="29">
        <v>1</v>
      </c>
      <c r="R300" s="27">
        <v>183</v>
      </c>
      <c r="S300" s="28" t="s">
        <v>795</v>
      </c>
      <c r="T300" s="28" t="s">
        <v>380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-37.066499999999998</v>
      </c>
      <c r="AD300" s="30">
        <v>0.1486375939849624</v>
      </c>
      <c r="AE300" s="29">
        <v>1</v>
      </c>
    </row>
    <row r="301" spans="2:31" x14ac:dyDescent="0.2">
      <c r="B301" s="27">
        <v>183</v>
      </c>
      <c r="C301" s="28" t="s">
        <v>796</v>
      </c>
      <c r="D301" s="28" t="s">
        <v>382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57.443199999999997</v>
      </c>
      <c r="N301" s="30">
        <v>0.23034867167919798</v>
      </c>
      <c r="O301" s="29">
        <v>1</v>
      </c>
      <c r="R301" s="27">
        <v>183</v>
      </c>
      <c r="S301" s="28" t="s">
        <v>796</v>
      </c>
      <c r="T301" s="28" t="s">
        <v>382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41.512</v>
      </c>
      <c r="AD301" s="30">
        <v>0.16646416040100251</v>
      </c>
      <c r="AE301" s="29">
        <v>1</v>
      </c>
    </row>
    <row r="302" spans="2:31" x14ac:dyDescent="0.2">
      <c r="B302" s="27">
        <v>184</v>
      </c>
      <c r="C302" s="28" t="s">
        <v>797</v>
      </c>
      <c r="D302" s="28" t="s">
        <v>380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-34.293700000000001</v>
      </c>
      <c r="N302" s="30">
        <v>0.13751859649122808</v>
      </c>
      <c r="O302" s="29">
        <v>1</v>
      </c>
      <c r="R302" s="27">
        <v>184</v>
      </c>
      <c r="S302" s="28" t="s">
        <v>797</v>
      </c>
      <c r="T302" s="28" t="s">
        <v>380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-34.320799999999998</v>
      </c>
      <c r="AD302" s="30">
        <v>0.13762726817042606</v>
      </c>
      <c r="AE302" s="29">
        <v>1</v>
      </c>
    </row>
    <row r="303" spans="2:31" x14ac:dyDescent="0.2">
      <c r="B303" s="27">
        <v>184</v>
      </c>
      <c r="C303" s="28" t="s">
        <v>798</v>
      </c>
      <c r="D303" s="28" t="s">
        <v>382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57.443199999999997</v>
      </c>
      <c r="N303" s="30">
        <v>0.23034867167919798</v>
      </c>
      <c r="O303" s="29">
        <v>1</v>
      </c>
      <c r="R303" s="27">
        <v>184</v>
      </c>
      <c r="S303" s="28" t="s">
        <v>798</v>
      </c>
      <c r="T303" s="28" t="s">
        <v>382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41.512</v>
      </c>
      <c r="AD303" s="30">
        <v>0.16646416040100251</v>
      </c>
      <c r="AE303" s="29">
        <v>1</v>
      </c>
    </row>
    <row r="304" spans="2:31" x14ac:dyDescent="0.2">
      <c r="B304" s="27">
        <v>185</v>
      </c>
      <c r="C304" s="28" t="s">
        <v>799</v>
      </c>
      <c r="D304" s="28" t="s">
        <v>380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-34.056100000000001</v>
      </c>
      <c r="N304" s="30">
        <v>0.13656581453634084</v>
      </c>
      <c r="O304" s="29">
        <v>1</v>
      </c>
      <c r="R304" s="27">
        <v>185</v>
      </c>
      <c r="S304" s="28" t="s">
        <v>799</v>
      </c>
      <c r="T304" s="28" t="s">
        <v>380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-34.0822</v>
      </c>
      <c r="AD304" s="30">
        <v>0.13667047619047618</v>
      </c>
      <c r="AE304" s="29">
        <v>1</v>
      </c>
    </row>
    <row r="305" spans="2:31" x14ac:dyDescent="0.2">
      <c r="B305" s="27">
        <v>185</v>
      </c>
      <c r="C305" s="28" t="s">
        <v>800</v>
      </c>
      <c r="D305" s="28" t="s">
        <v>382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57.443199999999997</v>
      </c>
      <c r="N305" s="30">
        <v>0.23034867167919798</v>
      </c>
      <c r="O305" s="29">
        <v>1</v>
      </c>
      <c r="R305" s="27">
        <v>185</v>
      </c>
      <c r="S305" s="28" t="s">
        <v>800</v>
      </c>
      <c r="T305" s="28" t="s">
        <v>382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41.512</v>
      </c>
      <c r="AD305" s="30">
        <v>0.16646416040100251</v>
      </c>
      <c r="AE305" s="29">
        <v>1</v>
      </c>
    </row>
    <row r="306" spans="2:31" x14ac:dyDescent="0.2">
      <c r="B306" s="27">
        <v>186</v>
      </c>
      <c r="C306" s="28" t="s">
        <v>802</v>
      </c>
      <c r="D306" s="28" t="s">
        <v>380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-37.529000000000003</v>
      </c>
      <c r="N306" s="30">
        <v>0.15049223057644109</v>
      </c>
      <c r="O306" s="29">
        <v>1</v>
      </c>
      <c r="R306" s="27">
        <v>186</v>
      </c>
      <c r="S306" s="28" t="s">
        <v>802</v>
      </c>
      <c r="T306" s="28" t="s">
        <v>380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-37.552399999999999</v>
      </c>
      <c r="AD306" s="30">
        <v>0.15058606516290726</v>
      </c>
      <c r="AE306" s="29">
        <v>1</v>
      </c>
    </row>
    <row r="307" spans="2:31" x14ac:dyDescent="0.2">
      <c r="B307" s="27">
        <v>186</v>
      </c>
      <c r="C307" s="28" t="s">
        <v>803</v>
      </c>
      <c r="D307" s="28" t="s">
        <v>382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-2.7799999999999998E-2</v>
      </c>
      <c r="J307" s="28">
        <v>-3.6999999999999998E-2</v>
      </c>
      <c r="K307" s="29">
        <v>300</v>
      </c>
      <c r="L307" s="29">
        <v>475</v>
      </c>
      <c r="M307" s="30">
        <v>57.443199999999997</v>
      </c>
      <c r="N307" s="30">
        <v>0.23034867167919798</v>
      </c>
      <c r="O307" s="29">
        <v>1</v>
      </c>
      <c r="R307" s="27">
        <v>186</v>
      </c>
      <c r="S307" s="28" t="s">
        <v>803</v>
      </c>
      <c r="T307" s="28" t="s">
        <v>382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-2.7799999999999998E-2</v>
      </c>
      <c r="Z307" s="28">
        <v>-3.6999999999999998E-2</v>
      </c>
      <c r="AA307" s="29">
        <v>300</v>
      </c>
      <c r="AB307" s="29">
        <v>475</v>
      </c>
      <c r="AC307" s="30">
        <v>41.512</v>
      </c>
      <c r="AD307" s="30">
        <v>0.16646416040100251</v>
      </c>
      <c r="AE307" s="29">
        <v>1</v>
      </c>
    </row>
    <row r="308" spans="2:31" x14ac:dyDescent="0.2">
      <c r="B308" s="27">
        <v>43</v>
      </c>
      <c r="C308" s="28" t="s">
        <v>805</v>
      </c>
      <c r="D308" s="28" t="s">
        <v>380</v>
      </c>
      <c r="E308" s="28">
        <v>1E-4</v>
      </c>
      <c r="F308" s="28">
        <v>2.7799999999999998E-2</v>
      </c>
      <c r="G308" s="28">
        <v>3.6999999999999998E-2</v>
      </c>
      <c r="H308" s="28">
        <v>-1E-4</v>
      </c>
      <c r="I308" s="28">
        <v>-2.7799999999999998E-2</v>
      </c>
      <c r="J308" s="28">
        <v>-3.6999999999999998E-2</v>
      </c>
      <c r="K308" s="29">
        <v>300</v>
      </c>
      <c r="L308" s="29">
        <v>475</v>
      </c>
      <c r="M308" s="30">
        <v>-35.515500000000003</v>
      </c>
      <c r="N308" s="30">
        <v>0.14241804511278194</v>
      </c>
      <c r="O308" s="29">
        <v>1</v>
      </c>
      <c r="R308" s="27">
        <v>43</v>
      </c>
      <c r="S308" s="28" t="s">
        <v>805</v>
      </c>
      <c r="T308" s="28" t="s">
        <v>380</v>
      </c>
      <c r="U308" s="28">
        <v>1E-4</v>
      </c>
      <c r="V308" s="28">
        <v>2.7799999999999998E-2</v>
      </c>
      <c r="W308" s="28">
        <v>3.6999999999999998E-2</v>
      </c>
      <c r="X308" s="28">
        <v>-1E-4</v>
      </c>
      <c r="Y308" s="28">
        <v>-2.7799999999999998E-2</v>
      </c>
      <c r="Z308" s="28">
        <v>-3.6999999999999998E-2</v>
      </c>
      <c r="AA308" s="29">
        <v>300</v>
      </c>
      <c r="AB308" s="29">
        <v>475</v>
      </c>
      <c r="AC308" s="30">
        <v>-35.536099999999998</v>
      </c>
      <c r="AD308" s="30">
        <v>0.14250065162907269</v>
      </c>
      <c r="AE308" s="29">
        <v>1</v>
      </c>
    </row>
    <row r="309" spans="2:31" x14ac:dyDescent="0.2">
      <c r="B309" s="27">
        <v>43</v>
      </c>
      <c r="C309" s="28" t="s">
        <v>806</v>
      </c>
      <c r="D309" s="28" t="s">
        <v>382</v>
      </c>
      <c r="E309" s="28">
        <v>1E-4</v>
      </c>
      <c r="F309" s="28">
        <v>2.7799999999999998E-2</v>
      </c>
      <c r="G309" s="28">
        <v>3.6999999999999998E-2</v>
      </c>
      <c r="H309" s="28">
        <v>-1E-4</v>
      </c>
      <c r="I309" s="28">
        <v>-2.8000000000000001E-2</v>
      </c>
      <c r="J309" s="28">
        <v>-3.73E-2</v>
      </c>
      <c r="K309" s="29">
        <v>300</v>
      </c>
      <c r="L309" s="29">
        <v>475</v>
      </c>
      <c r="M309" s="30">
        <v>57.443199999999997</v>
      </c>
      <c r="N309" s="30">
        <v>0.23034867167919798</v>
      </c>
      <c r="O309" s="29">
        <v>1</v>
      </c>
      <c r="R309" s="27">
        <v>43</v>
      </c>
      <c r="S309" s="28" t="s">
        <v>806</v>
      </c>
      <c r="T309" s="28" t="s">
        <v>382</v>
      </c>
      <c r="U309" s="28">
        <v>1E-4</v>
      </c>
      <c r="V309" s="28">
        <v>2.7799999999999998E-2</v>
      </c>
      <c r="W309" s="28">
        <v>3.6999999999999998E-2</v>
      </c>
      <c r="X309" s="28">
        <v>-1E-4</v>
      </c>
      <c r="Y309" s="28">
        <v>-2.8000000000000001E-2</v>
      </c>
      <c r="Z309" s="28">
        <v>-3.73E-2</v>
      </c>
      <c r="AA309" s="29">
        <v>300</v>
      </c>
      <c r="AB309" s="29">
        <v>475</v>
      </c>
      <c r="AC309" s="30">
        <v>41.512</v>
      </c>
      <c r="AD309" s="30">
        <v>0.16646416040100251</v>
      </c>
      <c r="AE309" s="29">
        <v>1</v>
      </c>
    </row>
    <row r="310" spans="2:31" x14ac:dyDescent="0.2">
      <c r="B310" s="27">
        <v>44</v>
      </c>
      <c r="C310" s="28" t="s">
        <v>808</v>
      </c>
      <c r="D310" s="28" t="s">
        <v>380</v>
      </c>
      <c r="E310" s="28">
        <v>1E-4</v>
      </c>
      <c r="F310" s="28">
        <v>2.7799999999999998E-2</v>
      </c>
      <c r="G310" s="28">
        <v>3.6999999999999998E-2</v>
      </c>
      <c r="H310" s="28">
        <v>-1E-4</v>
      </c>
      <c r="I310" s="28">
        <v>-2.8000000000000001E-2</v>
      </c>
      <c r="J310" s="28">
        <v>-3.73E-2</v>
      </c>
      <c r="K310" s="29">
        <v>300</v>
      </c>
      <c r="L310" s="29">
        <v>475</v>
      </c>
      <c r="M310" s="30">
        <v>-38.861899999999999</v>
      </c>
      <c r="N310" s="30">
        <v>0.15583719298245616</v>
      </c>
      <c r="O310" s="29">
        <v>1</v>
      </c>
      <c r="R310" s="27">
        <v>44</v>
      </c>
      <c r="S310" s="28" t="s">
        <v>808</v>
      </c>
      <c r="T310" s="28" t="s">
        <v>380</v>
      </c>
      <c r="U310" s="28">
        <v>1E-4</v>
      </c>
      <c r="V310" s="28">
        <v>2.7799999999999998E-2</v>
      </c>
      <c r="W310" s="28">
        <v>3.6999999999999998E-2</v>
      </c>
      <c r="X310" s="28">
        <v>-1E-4</v>
      </c>
      <c r="Y310" s="28">
        <v>-2.8000000000000001E-2</v>
      </c>
      <c r="Z310" s="28">
        <v>-3.73E-2</v>
      </c>
      <c r="AA310" s="29">
        <v>300</v>
      </c>
      <c r="AB310" s="29">
        <v>475</v>
      </c>
      <c r="AC310" s="30">
        <v>-38.885399999999997</v>
      </c>
      <c r="AD310" s="30">
        <v>0.15593142857142855</v>
      </c>
      <c r="AE310" s="29">
        <v>1</v>
      </c>
    </row>
    <row r="311" spans="2:31" x14ac:dyDescent="0.2">
      <c r="B311" s="27">
        <v>44</v>
      </c>
      <c r="C311" s="28" t="s">
        <v>809</v>
      </c>
      <c r="D311" s="28" t="s">
        <v>382</v>
      </c>
      <c r="E311" s="28">
        <v>1E-4</v>
      </c>
      <c r="F311" s="28">
        <v>2.7799999999999998E-2</v>
      </c>
      <c r="G311" s="28">
        <v>3.6999999999999998E-2</v>
      </c>
      <c r="H311" s="28">
        <v>-1E-4</v>
      </c>
      <c r="I311" s="28">
        <v>-2.8000000000000001E-2</v>
      </c>
      <c r="J311" s="28">
        <v>-3.73E-2</v>
      </c>
      <c r="K311" s="29">
        <v>300</v>
      </c>
      <c r="L311" s="29">
        <v>475</v>
      </c>
      <c r="M311" s="30">
        <v>57.443199999999997</v>
      </c>
      <c r="N311" s="30">
        <v>0.23034867167919798</v>
      </c>
      <c r="O311" s="29">
        <v>1</v>
      </c>
      <c r="R311" s="27">
        <v>44</v>
      </c>
      <c r="S311" s="28" t="s">
        <v>809</v>
      </c>
      <c r="T311" s="28" t="s">
        <v>382</v>
      </c>
      <c r="U311" s="28">
        <v>1E-4</v>
      </c>
      <c r="V311" s="28">
        <v>2.7799999999999998E-2</v>
      </c>
      <c r="W311" s="28">
        <v>3.6999999999999998E-2</v>
      </c>
      <c r="X311" s="28">
        <v>-1E-4</v>
      </c>
      <c r="Y311" s="28">
        <v>-2.8000000000000001E-2</v>
      </c>
      <c r="Z311" s="28">
        <v>-3.73E-2</v>
      </c>
      <c r="AA311" s="29">
        <v>300</v>
      </c>
      <c r="AB311" s="29">
        <v>475</v>
      </c>
      <c r="AC311" s="30">
        <v>41.512</v>
      </c>
      <c r="AD311" s="30">
        <v>0.16646416040100251</v>
      </c>
      <c r="AE311" s="29">
        <v>1</v>
      </c>
    </row>
    <row r="312" spans="2:31" x14ac:dyDescent="0.2">
      <c r="B312" s="27">
        <v>45</v>
      </c>
      <c r="C312" s="28" t="s">
        <v>810</v>
      </c>
      <c r="D312" s="28" t="s">
        <v>380</v>
      </c>
      <c r="E312" s="28">
        <v>1E-4</v>
      </c>
      <c r="F312" s="28">
        <v>2.7799999999999998E-2</v>
      </c>
      <c r="G312" s="28">
        <v>3.6999999999999998E-2</v>
      </c>
      <c r="H312" s="28">
        <v>-1E-4</v>
      </c>
      <c r="I312" s="28">
        <v>-2.8000000000000001E-2</v>
      </c>
      <c r="J312" s="28">
        <v>-3.73E-2</v>
      </c>
      <c r="K312" s="29">
        <v>300</v>
      </c>
      <c r="L312" s="29">
        <v>475</v>
      </c>
      <c r="M312" s="30">
        <v>-35.982100000000003</v>
      </c>
      <c r="N312" s="30">
        <v>0.14428912280701756</v>
      </c>
      <c r="O312" s="29">
        <v>1</v>
      </c>
      <c r="R312" s="27">
        <v>45</v>
      </c>
      <c r="S312" s="28" t="s">
        <v>810</v>
      </c>
      <c r="T312" s="28" t="s">
        <v>380</v>
      </c>
      <c r="U312" s="28">
        <v>1E-4</v>
      </c>
      <c r="V312" s="28">
        <v>2.7799999999999998E-2</v>
      </c>
      <c r="W312" s="28">
        <v>3.6999999999999998E-2</v>
      </c>
      <c r="X312" s="28">
        <v>-1E-4</v>
      </c>
      <c r="Y312" s="28">
        <v>-2.8000000000000001E-2</v>
      </c>
      <c r="Z312" s="28">
        <v>-3.73E-2</v>
      </c>
      <c r="AA312" s="29">
        <v>300</v>
      </c>
      <c r="AB312" s="29">
        <v>475</v>
      </c>
      <c r="AC312" s="30">
        <v>-36.006700000000002</v>
      </c>
      <c r="AD312" s="30">
        <v>0.14438776942355891</v>
      </c>
      <c r="AE312" s="29">
        <v>1</v>
      </c>
    </row>
    <row r="313" spans="2:31" x14ac:dyDescent="0.2">
      <c r="B313" s="27">
        <v>45</v>
      </c>
      <c r="C313" s="28" t="s">
        <v>811</v>
      </c>
      <c r="D313" s="28" t="s">
        <v>382</v>
      </c>
      <c r="E313" s="28">
        <v>1E-4</v>
      </c>
      <c r="F313" s="28">
        <v>2.7799999999999998E-2</v>
      </c>
      <c r="G313" s="28">
        <v>3.6999999999999998E-2</v>
      </c>
      <c r="H313" s="28">
        <v>-1E-4</v>
      </c>
      <c r="I313" s="28">
        <v>-2.8000000000000001E-2</v>
      </c>
      <c r="J313" s="28">
        <v>-3.73E-2</v>
      </c>
      <c r="K313" s="29">
        <v>300</v>
      </c>
      <c r="L313" s="29">
        <v>475</v>
      </c>
      <c r="M313" s="30">
        <v>57.443199999999997</v>
      </c>
      <c r="N313" s="30">
        <v>0.23034867167919798</v>
      </c>
      <c r="O313" s="29">
        <v>1</v>
      </c>
      <c r="R313" s="27">
        <v>45</v>
      </c>
      <c r="S313" s="28" t="s">
        <v>811</v>
      </c>
      <c r="T313" s="28" t="s">
        <v>382</v>
      </c>
      <c r="U313" s="28">
        <v>1E-4</v>
      </c>
      <c r="V313" s="28">
        <v>2.7799999999999998E-2</v>
      </c>
      <c r="W313" s="28">
        <v>3.6999999999999998E-2</v>
      </c>
      <c r="X313" s="28">
        <v>-1E-4</v>
      </c>
      <c r="Y313" s="28">
        <v>-2.8000000000000001E-2</v>
      </c>
      <c r="Z313" s="28">
        <v>-3.73E-2</v>
      </c>
      <c r="AA313" s="29">
        <v>300</v>
      </c>
      <c r="AB313" s="29">
        <v>475</v>
      </c>
      <c r="AC313" s="30">
        <v>41.512</v>
      </c>
      <c r="AD313" s="30">
        <v>0.16646416040100251</v>
      </c>
      <c r="AE313" s="29">
        <v>1</v>
      </c>
    </row>
    <row r="314" spans="2:31" x14ac:dyDescent="0.2">
      <c r="B314" s="27">
        <v>46</v>
      </c>
      <c r="C314" s="28" t="s">
        <v>812</v>
      </c>
      <c r="D314" s="28" t="s">
        <v>380</v>
      </c>
      <c r="E314" s="28">
        <v>1E-4</v>
      </c>
      <c r="F314" s="28">
        <v>2.7799999999999998E-2</v>
      </c>
      <c r="G314" s="28">
        <v>3.6999999999999998E-2</v>
      </c>
      <c r="H314" s="28">
        <v>-1E-4</v>
      </c>
      <c r="I314" s="28">
        <v>-2.8000000000000001E-2</v>
      </c>
      <c r="J314" s="28">
        <v>-3.73E-2</v>
      </c>
      <c r="K314" s="29">
        <v>300</v>
      </c>
      <c r="L314" s="29">
        <v>475</v>
      </c>
      <c r="M314" s="30">
        <v>-35.618699999999997</v>
      </c>
      <c r="N314" s="30">
        <v>0.1428318796992481</v>
      </c>
      <c r="O314" s="29">
        <v>1</v>
      </c>
      <c r="R314" s="27">
        <v>46</v>
      </c>
      <c r="S314" s="28" t="s">
        <v>812</v>
      </c>
      <c r="T314" s="28" t="s">
        <v>380</v>
      </c>
      <c r="U314" s="28">
        <v>1E-4</v>
      </c>
      <c r="V314" s="28">
        <v>2.7799999999999998E-2</v>
      </c>
      <c r="W314" s="28">
        <v>3.6999999999999998E-2</v>
      </c>
      <c r="X314" s="28">
        <v>-1E-4</v>
      </c>
      <c r="Y314" s="28">
        <v>-2.8000000000000001E-2</v>
      </c>
      <c r="Z314" s="28">
        <v>-3.73E-2</v>
      </c>
      <c r="AA314" s="29">
        <v>300</v>
      </c>
      <c r="AB314" s="29">
        <v>475</v>
      </c>
      <c r="AC314" s="30">
        <v>-35.642400000000002</v>
      </c>
      <c r="AD314" s="30">
        <v>0.14292691729323309</v>
      </c>
      <c r="AE314" s="29">
        <v>1</v>
      </c>
    </row>
    <row r="315" spans="2:31" x14ac:dyDescent="0.2">
      <c r="B315" s="27">
        <v>46</v>
      </c>
      <c r="C315" s="28" t="s">
        <v>813</v>
      </c>
      <c r="D315" s="28" t="s">
        <v>382</v>
      </c>
      <c r="E315" s="28">
        <v>1E-4</v>
      </c>
      <c r="F315" s="28">
        <v>2.7799999999999998E-2</v>
      </c>
      <c r="G315" s="28">
        <v>3.6999999999999998E-2</v>
      </c>
      <c r="H315" s="28">
        <v>-1E-4</v>
      </c>
      <c r="I315" s="28">
        <v>-2.8000000000000001E-2</v>
      </c>
      <c r="J315" s="28">
        <v>-3.73E-2</v>
      </c>
      <c r="K315" s="29">
        <v>300</v>
      </c>
      <c r="L315" s="29">
        <v>475</v>
      </c>
      <c r="M315" s="30">
        <v>57.443199999999997</v>
      </c>
      <c r="N315" s="30">
        <v>0.23034867167919798</v>
      </c>
      <c r="O315" s="29">
        <v>1</v>
      </c>
      <c r="R315" s="27">
        <v>46</v>
      </c>
      <c r="S315" s="28" t="s">
        <v>813</v>
      </c>
      <c r="T315" s="28" t="s">
        <v>382</v>
      </c>
      <c r="U315" s="28">
        <v>1E-4</v>
      </c>
      <c r="V315" s="28">
        <v>2.7799999999999998E-2</v>
      </c>
      <c r="W315" s="28">
        <v>3.6999999999999998E-2</v>
      </c>
      <c r="X315" s="28">
        <v>-1E-4</v>
      </c>
      <c r="Y315" s="28">
        <v>-2.8000000000000001E-2</v>
      </c>
      <c r="Z315" s="28">
        <v>-3.73E-2</v>
      </c>
      <c r="AA315" s="29">
        <v>300</v>
      </c>
      <c r="AB315" s="29">
        <v>475</v>
      </c>
      <c r="AC315" s="30">
        <v>41.512</v>
      </c>
      <c r="AD315" s="30">
        <v>0.16646416040100251</v>
      </c>
      <c r="AE315" s="29">
        <v>1</v>
      </c>
    </row>
    <row r="316" spans="2:31" x14ac:dyDescent="0.2">
      <c r="B316" s="27">
        <v>47</v>
      </c>
      <c r="C316" s="28" t="s">
        <v>815</v>
      </c>
      <c r="D316" s="28" t="s">
        <v>380</v>
      </c>
      <c r="E316" s="28">
        <v>1E-4</v>
      </c>
      <c r="F316" s="28">
        <v>2.7799999999999998E-2</v>
      </c>
      <c r="G316" s="28">
        <v>3.6999999999999998E-2</v>
      </c>
      <c r="H316" s="28">
        <v>-1E-4</v>
      </c>
      <c r="I316" s="28">
        <v>-2.8000000000000001E-2</v>
      </c>
      <c r="J316" s="28">
        <v>-3.73E-2</v>
      </c>
      <c r="K316" s="29">
        <v>300</v>
      </c>
      <c r="L316" s="29">
        <v>475</v>
      </c>
      <c r="M316" s="30">
        <v>-39.711199999999998</v>
      </c>
      <c r="N316" s="30">
        <v>0.15924290726817042</v>
      </c>
      <c r="O316" s="29">
        <v>1</v>
      </c>
      <c r="R316" s="27">
        <v>47</v>
      </c>
      <c r="S316" s="28" t="s">
        <v>815</v>
      </c>
      <c r="T316" s="28" t="s">
        <v>380</v>
      </c>
      <c r="U316" s="28">
        <v>1E-4</v>
      </c>
      <c r="V316" s="28">
        <v>2.7799999999999998E-2</v>
      </c>
      <c r="W316" s="28">
        <v>3.6999999999999998E-2</v>
      </c>
      <c r="X316" s="28">
        <v>-1E-4</v>
      </c>
      <c r="Y316" s="28">
        <v>-2.8000000000000001E-2</v>
      </c>
      <c r="Z316" s="28">
        <v>-3.73E-2</v>
      </c>
      <c r="AA316" s="29">
        <v>300</v>
      </c>
      <c r="AB316" s="29">
        <v>475</v>
      </c>
      <c r="AC316" s="30">
        <v>-39.732500000000002</v>
      </c>
      <c r="AD316" s="30">
        <v>0.15932832080200501</v>
      </c>
      <c r="AE316" s="29">
        <v>1</v>
      </c>
    </row>
    <row r="317" spans="2:31" x14ac:dyDescent="0.2">
      <c r="B317" s="27">
        <v>47</v>
      </c>
      <c r="C317" s="28" t="s">
        <v>816</v>
      </c>
      <c r="D317" s="28" t="s">
        <v>382</v>
      </c>
      <c r="E317" s="28">
        <v>1E-4</v>
      </c>
      <c r="F317" s="28">
        <v>2.7799999999999998E-2</v>
      </c>
      <c r="G317" s="28">
        <v>3.6999999999999998E-2</v>
      </c>
      <c r="H317" s="28">
        <v>-1E-4</v>
      </c>
      <c r="I317" s="28">
        <v>-2.7799999999999998E-2</v>
      </c>
      <c r="J317" s="28">
        <v>-3.6999999999999998E-2</v>
      </c>
      <c r="K317" s="29">
        <v>300</v>
      </c>
      <c r="L317" s="29">
        <v>475</v>
      </c>
      <c r="M317" s="30">
        <v>57.443199999999997</v>
      </c>
      <c r="N317" s="30">
        <v>0.23034867167919798</v>
      </c>
      <c r="O317" s="29">
        <v>1</v>
      </c>
      <c r="R317" s="27">
        <v>47</v>
      </c>
      <c r="S317" s="28" t="s">
        <v>816</v>
      </c>
      <c r="T317" s="28" t="s">
        <v>382</v>
      </c>
      <c r="U317" s="28">
        <v>1E-4</v>
      </c>
      <c r="V317" s="28">
        <v>2.7799999999999998E-2</v>
      </c>
      <c r="W317" s="28">
        <v>3.6999999999999998E-2</v>
      </c>
      <c r="X317" s="28">
        <v>-1E-4</v>
      </c>
      <c r="Y317" s="28">
        <v>-2.7799999999999998E-2</v>
      </c>
      <c r="Z317" s="28">
        <v>-3.6999999999999998E-2</v>
      </c>
      <c r="AA317" s="29">
        <v>300</v>
      </c>
      <c r="AB317" s="29">
        <v>475</v>
      </c>
      <c r="AC317" s="30">
        <v>41.512</v>
      </c>
      <c r="AD317" s="30">
        <v>0.16646416040100251</v>
      </c>
      <c r="AE317" s="29">
        <v>1</v>
      </c>
    </row>
    <row r="318" spans="2:31" x14ac:dyDescent="0.2">
      <c r="B318" s="27">
        <v>25</v>
      </c>
      <c r="C318" s="28" t="s">
        <v>818</v>
      </c>
      <c r="D318" s="28" t="s">
        <v>380</v>
      </c>
      <c r="E318" s="28">
        <v>1E-4</v>
      </c>
      <c r="F318" s="28">
        <v>2.8400000000000002E-2</v>
      </c>
      <c r="G318" s="28">
        <v>3.7900000000000003E-2</v>
      </c>
      <c r="H318" s="28">
        <v>-1E-4</v>
      </c>
      <c r="I318" s="28">
        <v>-2.8400000000000002E-2</v>
      </c>
      <c r="J318" s="28">
        <v>-3.7900000000000003E-2</v>
      </c>
      <c r="K318" s="29">
        <v>300</v>
      </c>
      <c r="L318" s="29">
        <v>475</v>
      </c>
      <c r="M318" s="30">
        <v>-63.883699999999997</v>
      </c>
      <c r="N318" s="30">
        <v>0.25617523809523807</v>
      </c>
      <c r="O318" s="29">
        <v>1</v>
      </c>
      <c r="R318" s="27">
        <v>25</v>
      </c>
      <c r="S318" s="28" t="s">
        <v>818</v>
      </c>
      <c r="T318" s="28" t="s">
        <v>380</v>
      </c>
      <c r="U318" s="28">
        <v>1E-4</v>
      </c>
      <c r="V318" s="28">
        <v>2.8400000000000002E-2</v>
      </c>
      <c r="W318" s="28">
        <v>3.7900000000000003E-2</v>
      </c>
      <c r="X318" s="28">
        <v>-1E-4</v>
      </c>
      <c r="Y318" s="28">
        <v>-2.8400000000000002E-2</v>
      </c>
      <c r="Z318" s="28">
        <v>-3.7900000000000003E-2</v>
      </c>
      <c r="AA318" s="29">
        <v>300</v>
      </c>
      <c r="AB318" s="29">
        <v>475</v>
      </c>
      <c r="AC318" s="30">
        <v>-63.893900000000002</v>
      </c>
      <c r="AD318" s="30">
        <v>0.2562161403508772</v>
      </c>
      <c r="AE318" s="29">
        <v>1</v>
      </c>
    </row>
    <row r="319" spans="2:31" x14ac:dyDescent="0.2">
      <c r="B319" s="27">
        <v>25</v>
      </c>
      <c r="C319" s="28" t="s">
        <v>819</v>
      </c>
      <c r="D319" s="28" t="s">
        <v>382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-2.86E-2</v>
      </c>
      <c r="J319" s="28">
        <v>-3.8100000000000002E-2</v>
      </c>
      <c r="K319" s="29">
        <v>300</v>
      </c>
      <c r="L319" s="29">
        <v>475</v>
      </c>
      <c r="M319" s="30">
        <v>57.443199999999997</v>
      </c>
      <c r="N319" s="30">
        <v>0.23034867167919798</v>
      </c>
      <c r="O319" s="29">
        <v>1</v>
      </c>
      <c r="R319" s="27">
        <v>25</v>
      </c>
      <c r="S319" s="28" t="s">
        <v>819</v>
      </c>
      <c r="T319" s="28" t="s">
        <v>382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-2.86E-2</v>
      </c>
      <c r="Z319" s="28">
        <v>-3.8100000000000002E-2</v>
      </c>
      <c r="AA319" s="29">
        <v>300</v>
      </c>
      <c r="AB319" s="29">
        <v>475</v>
      </c>
      <c r="AC319" s="30">
        <v>41.512</v>
      </c>
      <c r="AD319" s="30">
        <v>0.16646416040100251</v>
      </c>
      <c r="AE319" s="29">
        <v>1</v>
      </c>
    </row>
    <row r="320" spans="2:31" x14ac:dyDescent="0.2">
      <c r="B320" s="27">
        <v>28</v>
      </c>
      <c r="C320" s="28" t="s">
        <v>821</v>
      </c>
      <c r="D320" s="28" t="s">
        <v>380</v>
      </c>
      <c r="E320" s="28">
        <v>1E-4</v>
      </c>
      <c r="F320" s="28">
        <v>2.8500000000000001E-2</v>
      </c>
      <c r="G320" s="28">
        <v>3.7999999999999999E-2</v>
      </c>
      <c r="H320" s="28">
        <v>-1E-4</v>
      </c>
      <c r="I320" s="28">
        <v>-2.87E-2</v>
      </c>
      <c r="J320" s="28">
        <v>-3.8300000000000001E-2</v>
      </c>
      <c r="K320" s="29">
        <v>300</v>
      </c>
      <c r="L320" s="29">
        <v>475</v>
      </c>
      <c r="M320" s="30">
        <v>-82.054400000000001</v>
      </c>
      <c r="N320" s="30">
        <v>0.3290402005012531</v>
      </c>
      <c r="O320" s="29">
        <v>1</v>
      </c>
      <c r="R320" s="27">
        <v>28</v>
      </c>
      <c r="S320" s="28" t="s">
        <v>821</v>
      </c>
      <c r="T320" s="28" t="s">
        <v>380</v>
      </c>
      <c r="U320" s="28">
        <v>1E-4</v>
      </c>
      <c r="V320" s="28">
        <v>2.8500000000000001E-2</v>
      </c>
      <c r="W320" s="28">
        <v>3.7999999999999999E-2</v>
      </c>
      <c r="X320" s="28">
        <v>-1E-4</v>
      </c>
      <c r="Y320" s="28">
        <v>-2.87E-2</v>
      </c>
      <c r="Z320" s="28">
        <v>-3.8300000000000001E-2</v>
      </c>
      <c r="AA320" s="29">
        <v>300</v>
      </c>
      <c r="AB320" s="29">
        <v>475</v>
      </c>
      <c r="AC320" s="30">
        <v>-82.064599999999999</v>
      </c>
      <c r="AD320" s="30">
        <v>0.32908110275689223</v>
      </c>
      <c r="AE320" s="29">
        <v>1</v>
      </c>
    </row>
    <row r="321" spans="2:31" x14ac:dyDescent="0.2">
      <c r="B321" s="27">
        <v>28</v>
      </c>
      <c r="C321" s="28" t="s">
        <v>822</v>
      </c>
      <c r="D321" s="28" t="s">
        <v>382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57.443199999999997</v>
      </c>
      <c r="N321" s="30">
        <v>0.23034867167919798</v>
      </c>
      <c r="O321" s="29">
        <v>1</v>
      </c>
      <c r="R321" s="27">
        <v>28</v>
      </c>
      <c r="S321" s="28" t="s">
        <v>822</v>
      </c>
      <c r="T321" s="28" t="s">
        <v>382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41.512</v>
      </c>
      <c r="AD321" s="30">
        <v>0.16646416040100251</v>
      </c>
      <c r="AE321" s="29">
        <v>1</v>
      </c>
    </row>
    <row r="322" spans="2:31" x14ac:dyDescent="0.2">
      <c r="B322" s="27">
        <v>31</v>
      </c>
      <c r="C322" s="28" t="s">
        <v>824</v>
      </c>
      <c r="D322" s="28" t="s">
        <v>380</v>
      </c>
      <c r="E322" s="28">
        <v>1E-4</v>
      </c>
      <c r="F322" s="28">
        <v>2.8500000000000001E-2</v>
      </c>
      <c r="G322" s="28">
        <v>3.7999999999999999E-2</v>
      </c>
      <c r="H322" s="28">
        <v>-1E-4</v>
      </c>
      <c r="I322" s="28">
        <v>-2.87E-2</v>
      </c>
      <c r="J322" s="28">
        <v>-3.8300000000000001E-2</v>
      </c>
      <c r="K322" s="29">
        <v>300</v>
      </c>
      <c r="L322" s="29">
        <v>475</v>
      </c>
      <c r="M322" s="30">
        <v>-81.817700000000002</v>
      </c>
      <c r="N322" s="30">
        <v>0.32809102756892228</v>
      </c>
      <c r="O322" s="29">
        <v>1</v>
      </c>
      <c r="R322" s="27">
        <v>31</v>
      </c>
      <c r="S322" s="28" t="s">
        <v>824</v>
      </c>
      <c r="T322" s="28" t="s">
        <v>380</v>
      </c>
      <c r="U322" s="28">
        <v>1E-4</v>
      </c>
      <c r="V322" s="28">
        <v>2.8500000000000001E-2</v>
      </c>
      <c r="W322" s="28">
        <v>3.7999999999999999E-2</v>
      </c>
      <c r="X322" s="28">
        <v>-1E-4</v>
      </c>
      <c r="Y322" s="28">
        <v>-2.87E-2</v>
      </c>
      <c r="Z322" s="28">
        <v>-3.8300000000000001E-2</v>
      </c>
      <c r="AA322" s="29">
        <v>300</v>
      </c>
      <c r="AB322" s="29">
        <v>475</v>
      </c>
      <c r="AC322" s="30">
        <v>-81.828000000000003</v>
      </c>
      <c r="AD322" s="30">
        <v>0.32813233082706766</v>
      </c>
      <c r="AE322" s="29">
        <v>1</v>
      </c>
    </row>
    <row r="323" spans="2:31" x14ac:dyDescent="0.2">
      <c r="B323" s="27">
        <v>31</v>
      </c>
      <c r="C323" s="28" t="s">
        <v>825</v>
      </c>
      <c r="D323" s="28" t="s">
        <v>382</v>
      </c>
      <c r="E323" s="28">
        <v>1E-4</v>
      </c>
      <c r="F323" s="28">
        <v>2.8500000000000001E-2</v>
      </c>
      <c r="G323" s="28">
        <v>3.7999999999999999E-2</v>
      </c>
      <c r="H323" s="28">
        <v>-1E-4</v>
      </c>
      <c r="I323" s="28">
        <v>-2.87E-2</v>
      </c>
      <c r="J323" s="28">
        <v>-3.8300000000000001E-2</v>
      </c>
      <c r="K323" s="29">
        <v>300</v>
      </c>
      <c r="L323" s="29">
        <v>475</v>
      </c>
      <c r="M323" s="30">
        <v>57.443199999999997</v>
      </c>
      <c r="N323" s="30">
        <v>0.23034867167919798</v>
      </c>
      <c r="O323" s="29">
        <v>1</v>
      </c>
      <c r="R323" s="27">
        <v>31</v>
      </c>
      <c r="S323" s="28" t="s">
        <v>825</v>
      </c>
      <c r="T323" s="28" t="s">
        <v>382</v>
      </c>
      <c r="U323" s="28">
        <v>1E-4</v>
      </c>
      <c r="V323" s="28">
        <v>2.8500000000000001E-2</v>
      </c>
      <c r="W323" s="28">
        <v>3.7999999999999999E-2</v>
      </c>
      <c r="X323" s="28">
        <v>-1E-4</v>
      </c>
      <c r="Y323" s="28">
        <v>-2.87E-2</v>
      </c>
      <c r="Z323" s="28">
        <v>-3.8300000000000001E-2</v>
      </c>
      <c r="AA323" s="29">
        <v>300</v>
      </c>
      <c r="AB323" s="29">
        <v>475</v>
      </c>
      <c r="AC323" s="30">
        <v>41.512</v>
      </c>
      <c r="AD323" s="30">
        <v>0.16646416040100251</v>
      </c>
      <c r="AE323" s="29">
        <v>1</v>
      </c>
    </row>
    <row r="324" spans="2:31" x14ac:dyDescent="0.2">
      <c r="B324" s="27">
        <v>34</v>
      </c>
      <c r="C324" s="28" t="s">
        <v>827</v>
      </c>
      <c r="D324" s="28" t="s">
        <v>380</v>
      </c>
      <c r="E324" s="28">
        <v>1E-4</v>
      </c>
      <c r="F324" s="28">
        <v>2.8500000000000001E-2</v>
      </c>
      <c r="G324" s="28">
        <v>3.7999999999999999E-2</v>
      </c>
      <c r="H324" s="28">
        <v>-1E-4</v>
      </c>
      <c r="I324" s="28">
        <v>-2.87E-2</v>
      </c>
      <c r="J324" s="28">
        <v>-3.8300000000000001E-2</v>
      </c>
      <c r="K324" s="29">
        <v>300</v>
      </c>
      <c r="L324" s="29">
        <v>475</v>
      </c>
      <c r="M324" s="30">
        <v>-81.8095</v>
      </c>
      <c r="N324" s="30">
        <v>0.32805814536340855</v>
      </c>
      <c r="O324" s="29">
        <v>1</v>
      </c>
      <c r="R324" s="27">
        <v>34</v>
      </c>
      <c r="S324" s="28" t="s">
        <v>827</v>
      </c>
      <c r="T324" s="28" t="s">
        <v>380</v>
      </c>
      <c r="U324" s="28">
        <v>1E-4</v>
      </c>
      <c r="V324" s="28">
        <v>2.8500000000000001E-2</v>
      </c>
      <c r="W324" s="28">
        <v>3.7999999999999999E-2</v>
      </c>
      <c r="X324" s="28">
        <v>-1E-4</v>
      </c>
      <c r="Y324" s="28">
        <v>-2.87E-2</v>
      </c>
      <c r="Z324" s="28">
        <v>-3.8300000000000001E-2</v>
      </c>
      <c r="AA324" s="29">
        <v>300</v>
      </c>
      <c r="AB324" s="29">
        <v>475</v>
      </c>
      <c r="AC324" s="30">
        <v>-81.819299999999998</v>
      </c>
      <c r="AD324" s="30">
        <v>0.32809744360902254</v>
      </c>
      <c r="AE324" s="29">
        <v>1</v>
      </c>
    </row>
    <row r="325" spans="2:31" x14ac:dyDescent="0.2">
      <c r="B325" s="27">
        <v>34</v>
      </c>
      <c r="C325" s="28" t="s">
        <v>828</v>
      </c>
      <c r="D325" s="28" t="s">
        <v>382</v>
      </c>
      <c r="E325" s="28">
        <v>1E-4</v>
      </c>
      <c r="F325" s="28">
        <v>2.8500000000000001E-2</v>
      </c>
      <c r="G325" s="28">
        <v>3.7999999999999999E-2</v>
      </c>
      <c r="H325" s="28">
        <v>-1E-4</v>
      </c>
      <c r="I325" s="28">
        <v>-2.87E-2</v>
      </c>
      <c r="J325" s="28">
        <v>-3.8300000000000001E-2</v>
      </c>
      <c r="K325" s="29">
        <v>300</v>
      </c>
      <c r="L325" s="29">
        <v>475</v>
      </c>
      <c r="M325" s="30">
        <v>57.443199999999997</v>
      </c>
      <c r="N325" s="30">
        <v>0.23034867167919798</v>
      </c>
      <c r="O325" s="29">
        <v>1</v>
      </c>
      <c r="R325" s="27">
        <v>34</v>
      </c>
      <c r="S325" s="28" t="s">
        <v>828</v>
      </c>
      <c r="T325" s="28" t="s">
        <v>382</v>
      </c>
      <c r="U325" s="28">
        <v>1E-4</v>
      </c>
      <c r="V325" s="28">
        <v>2.8500000000000001E-2</v>
      </c>
      <c r="W325" s="28">
        <v>3.7999999999999999E-2</v>
      </c>
      <c r="X325" s="28">
        <v>-1E-4</v>
      </c>
      <c r="Y325" s="28">
        <v>-2.87E-2</v>
      </c>
      <c r="Z325" s="28">
        <v>-3.8300000000000001E-2</v>
      </c>
      <c r="AA325" s="29">
        <v>300</v>
      </c>
      <c r="AB325" s="29">
        <v>475</v>
      </c>
      <c r="AC325" s="30">
        <v>41.512</v>
      </c>
      <c r="AD325" s="30">
        <v>0.16646416040100251</v>
      </c>
      <c r="AE325" s="29">
        <v>1</v>
      </c>
    </row>
    <row r="326" spans="2:31" x14ac:dyDescent="0.2">
      <c r="B326" s="27">
        <v>37</v>
      </c>
      <c r="C326" s="28" t="s">
        <v>830</v>
      </c>
      <c r="D326" s="28" t="s">
        <v>380</v>
      </c>
      <c r="E326" s="28">
        <v>1E-4</v>
      </c>
      <c r="F326" s="28">
        <v>2.8500000000000001E-2</v>
      </c>
      <c r="G326" s="28">
        <v>3.7999999999999999E-2</v>
      </c>
      <c r="H326" s="28">
        <v>-1E-4</v>
      </c>
      <c r="I326" s="28">
        <v>-2.87E-2</v>
      </c>
      <c r="J326" s="28">
        <v>-3.8300000000000001E-2</v>
      </c>
      <c r="K326" s="29">
        <v>300</v>
      </c>
      <c r="L326" s="29">
        <v>475</v>
      </c>
      <c r="M326" s="30">
        <v>-82.028999999999996</v>
      </c>
      <c r="N326" s="30">
        <v>0.32893834586466164</v>
      </c>
      <c r="O326" s="29">
        <v>1</v>
      </c>
      <c r="R326" s="27">
        <v>37</v>
      </c>
      <c r="S326" s="28" t="s">
        <v>830</v>
      </c>
      <c r="T326" s="28" t="s">
        <v>380</v>
      </c>
      <c r="U326" s="28">
        <v>1E-4</v>
      </c>
      <c r="V326" s="28">
        <v>2.8500000000000001E-2</v>
      </c>
      <c r="W326" s="28">
        <v>3.7999999999999999E-2</v>
      </c>
      <c r="X326" s="28">
        <v>-1E-4</v>
      </c>
      <c r="Y326" s="28">
        <v>-2.87E-2</v>
      </c>
      <c r="Z326" s="28">
        <v>-3.8300000000000001E-2</v>
      </c>
      <c r="AA326" s="29">
        <v>300</v>
      </c>
      <c r="AB326" s="29">
        <v>475</v>
      </c>
      <c r="AC326" s="30">
        <v>-82.038300000000007</v>
      </c>
      <c r="AD326" s="30">
        <v>0.32897563909774435</v>
      </c>
      <c r="AE326" s="29">
        <v>1</v>
      </c>
    </row>
    <row r="327" spans="2:31" x14ac:dyDescent="0.2">
      <c r="B327" s="27">
        <v>37</v>
      </c>
      <c r="C327" s="28" t="s">
        <v>831</v>
      </c>
      <c r="D327" s="28" t="s">
        <v>382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57.443199999999997</v>
      </c>
      <c r="N327" s="30">
        <v>0.23034867167919798</v>
      </c>
      <c r="O327" s="29">
        <v>1</v>
      </c>
      <c r="R327" s="27">
        <v>37</v>
      </c>
      <c r="S327" s="28" t="s">
        <v>831</v>
      </c>
      <c r="T327" s="28" t="s">
        <v>382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41.512</v>
      </c>
      <c r="AD327" s="30">
        <v>0.16646416040100251</v>
      </c>
      <c r="AE327" s="29">
        <v>1</v>
      </c>
    </row>
    <row r="328" spans="2:31" x14ac:dyDescent="0.2">
      <c r="B328" s="27">
        <v>40</v>
      </c>
      <c r="C328" s="28" t="s">
        <v>833</v>
      </c>
      <c r="D328" s="28" t="s">
        <v>380</v>
      </c>
      <c r="E328" s="28">
        <v>1E-4</v>
      </c>
      <c r="F328" s="28">
        <v>2.8400000000000002E-2</v>
      </c>
      <c r="G328" s="28">
        <v>3.7900000000000003E-2</v>
      </c>
      <c r="H328" s="28">
        <v>-1E-4</v>
      </c>
      <c r="I328" s="28">
        <v>-2.8400000000000002E-2</v>
      </c>
      <c r="J328" s="28">
        <v>-3.7900000000000003E-2</v>
      </c>
      <c r="K328" s="29">
        <v>300</v>
      </c>
      <c r="L328" s="29">
        <v>475</v>
      </c>
      <c r="M328" s="30">
        <v>-63.862699999999997</v>
      </c>
      <c r="N328" s="30">
        <v>0.25609102756892227</v>
      </c>
      <c r="O328" s="29">
        <v>1</v>
      </c>
      <c r="R328" s="27">
        <v>40</v>
      </c>
      <c r="S328" s="28" t="s">
        <v>833</v>
      </c>
      <c r="T328" s="28" t="s">
        <v>380</v>
      </c>
      <c r="U328" s="28">
        <v>1E-4</v>
      </c>
      <c r="V328" s="28">
        <v>2.8400000000000002E-2</v>
      </c>
      <c r="W328" s="28">
        <v>3.7900000000000003E-2</v>
      </c>
      <c r="X328" s="28">
        <v>-1E-4</v>
      </c>
      <c r="Y328" s="28">
        <v>-2.8400000000000002E-2</v>
      </c>
      <c r="Z328" s="28">
        <v>-3.7900000000000003E-2</v>
      </c>
      <c r="AA328" s="29">
        <v>300</v>
      </c>
      <c r="AB328" s="29">
        <v>475</v>
      </c>
      <c r="AC328" s="30">
        <v>-63.866300000000003</v>
      </c>
      <c r="AD328" s="30">
        <v>0.25610546365914788</v>
      </c>
      <c r="AE328" s="29">
        <v>1</v>
      </c>
    </row>
    <row r="329" spans="2:31" x14ac:dyDescent="0.2">
      <c r="B329" s="27">
        <v>40</v>
      </c>
      <c r="C329" s="28" t="s">
        <v>834</v>
      </c>
      <c r="D329" s="28" t="s">
        <v>382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-2.86E-2</v>
      </c>
      <c r="J329" s="28">
        <v>-3.8100000000000002E-2</v>
      </c>
      <c r="K329" s="29">
        <v>300</v>
      </c>
      <c r="L329" s="29">
        <v>475</v>
      </c>
      <c r="M329" s="30">
        <v>57.443199999999997</v>
      </c>
      <c r="N329" s="30">
        <v>0.23034867167919798</v>
      </c>
      <c r="O329" s="29">
        <v>1</v>
      </c>
      <c r="R329" s="27">
        <v>40</v>
      </c>
      <c r="S329" s="28" t="s">
        <v>834</v>
      </c>
      <c r="T329" s="28" t="s">
        <v>382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-2.86E-2</v>
      </c>
      <c r="Z329" s="28">
        <v>-3.8100000000000002E-2</v>
      </c>
      <c r="AA329" s="29">
        <v>300</v>
      </c>
      <c r="AB329" s="29">
        <v>475</v>
      </c>
      <c r="AC329" s="30">
        <v>41.512</v>
      </c>
      <c r="AD329" s="30">
        <v>0.16646416040100251</v>
      </c>
      <c r="AE329" s="29">
        <v>1</v>
      </c>
    </row>
    <row r="330" spans="2:31" x14ac:dyDescent="0.2">
      <c r="B330" s="27">
        <v>48</v>
      </c>
      <c r="C330" s="28" t="s">
        <v>836</v>
      </c>
      <c r="D330" s="28" t="s">
        <v>380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-2.7900000000000001E-2</v>
      </c>
      <c r="J330" s="28">
        <v>-3.7199999999999997E-2</v>
      </c>
      <c r="K330" s="29">
        <v>300</v>
      </c>
      <c r="L330" s="29">
        <v>475</v>
      </c>
      <c r="M330" s="30">
        <v>-44.083300000000001</v>
      </c>
      <c r="N330" s="30">
        <v>0.17677513784461155</v>
      </c>
      <c r="O330" s="29">
        <v>1</v>
      </c>
      <c r="R330" s="27">
        <v>48</v>
      </c>
      <c r="S330" s="28" t="s">
        <v>836</v>
      </c>
      <c r="T330" s="28" t="s">
        <v>380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-2.7900000000000001E-2</v>
      </c>
      <c r="Z330" s="28">
        <v>-3.7199999999999997E-2</v>
      </c>
      <c r="AA330" s="29">
        <v>300</v>
      </c>
      <c r="AB330" s="29">
        <v>475</v>
      </c>
      <c r="AC330" s="30">
        <v>-44.110700000000001</v>
      </c>
      <c r="AD330" s="30">
        <v>0.17688501253132835</v>
      </c>
      <c r="AE330" s="29">
        <v>1</v>
      </c>
    </row>
    <row r="331" spans="2:31" x14ac:dyDescent="0.2">
      <c r="B331" s="27">
        <v>48</v>
      </c>
      <c r="C331" s="28" t="s">
        <v>837</v>
      </c>
      <c r="D331" s="28" t="s">
        <v>382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-2.7900000000000001E-2</v>
      </c>
      <c r="J331" s="28">
        <v>-3.7199999999999997E-2</v>
      </c>
      <c r="K331" s="29">
        <v>300</v>
      </c>
      <c r="L331" s="29">
        <v>475</v>
      </c>
      <c r="M331" s="30">
        <v>57.443199999999997</v>
      </c>
      <c r="N331" s="30">
        <v>0.23034867167919798</v>
      </c>
      <c r="O331" s="29">
        <v>1</v>
      </c>
      <c r="R331" s="27">
        <v>48</v>
      </c>
      <c r="S331" s="28" t="s">
        <v>837</v>
      </c>
      <c r="T331" s="28" t="s">
        <v>382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-2.7900000000000001E-2</v>
      </c>
      <c r="Z331" s="28">
        <v>-3.7199999999999997E-2</v>
      </c>
      <c r="AA331" s="29">
        <v>300</v>
      </c>
      <c r="AB331" s="29">
        <v>475</v>
      </c>
      <c r="AC331" s="30">
        <v>41.512</v>
      </c>
      <c r="AD331" s="30">
        <v>0.16646416040100251</v>
      </c>
      <c r="AE331" s="29">
        <v>1</v>
      </c>
    </row>
    <row r="332" spans="2:31" x14ac:dyDescent="0.2">
      <c r="B332" s="27">
        <v>49</v>
      </c>
      <c r="C332" s="28" t="s">
        <v>839</v>
      </c>
      <c r="D332" s="28" t="s">
        <v>380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-2.7900000000000001E-2</v>
      </c>
      <c r="J332" s="28">
        <v>-3.7199999999999997E-2</v>
      </c>
      <c r="K332" s="29">
        <v>300</v>
      </c>
      <c r="L332" s="29">
        <v>475</v>
      </c>
      <c r="M332" s="30">
        <v>-42.158299999999997</v>
      </c>
      <c r="N332" s="30">
        <v>0.16905583959899748</v>
      </c>
      <c r="O332" s="29">
        <v>1</v>
      </c>
      <c r="R332" s="27">
        <v>49</v>
      </c>
      <c r="S332" s="28" t="s">
        <v>839</v>
      </c>
      <c r="T332" s="28" t="s">
        <v>380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-2.7900000000000001E-2</v>
      </c>
      <c r="Z332" s="28">
        <v>-3.7199999999999997E-2</v>
      </c>
      <c r="AA332" s="29">
        <v>300</v>
      </c>
      <c r="AB332" s="29">
        <v>475</v>
      </c>
      <c r="AC332" s="30">
        <v>-42.183199999999999</v>
      </c>
      <c r="AD332" s="30">
        <v>0.16915568922305763</v>
      </c>
      <c r="AE332" s="29">
        <v>1</v>
      </c>
    </row>
    <row r="333" spans="2:31" x14ac:dyDescent="0.2">
      <c r="B333" s="27">
        <v>49</v>
      </c>
      <c r="C333" s="28" t="s">
        <v>840</v>
      </c>
      <c r="D333" s="28" t="s">
        <v>382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-2.7900000000000001E-2</v>
      </c>
      <c r="J333" s="28">
        <v>-3.7199999999999997E-2</v>
      </c>
      <c r="K333" s="29">
        <v>300</v>
      </c>
      <c r="L333" s="29">
        <v>475</v>
      </c>
      <c r="M333" s="30">
        <v>57.443199999999997</v>
      </c>
      <c r="N333" s="30">
        <v>0.23034867167919798</v>
      </c>
      <c r="O333" s="29">
        <v>1</v>
      </c>
      <c r="R333" s="27">
        <v>49</v>
      </c>
      <c r="S333" s="28" t="s">
        <v>840</v>
      </c>
      <c r="T333" s="28" t="s">
        <v>382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-2.7900000000000001E-2</v>
      </c>
      <c r="Z333" s="28">
        <v>-3.7199999999999997E-2</v>
      </c>
      <c r="AA333" s="29">
        <v>300</v>
      </c>
      <c r="AB333" s="29">
        <v>475</v>
      </c>
      <c r="AC333" s="30">
        <v>41.512</v>
      </c>
      <c r="AD333" s="30">
        <v>0.16646416040100251</v>
      </c>
      <c r="AE333" s="29">
        <v>1</v>
      </c>
    </row>
    <row r="334" spans="2:31" x14ac:dyDescent="0.2">
      <c r="B334" s="27">
        <v>50</v>
      </c>
      <c r="C334" s="28" t="s">
        <v>841</v>
      </c>
      <c r="D334" s="28" t="s">
        <v>380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-2.7900000000000001E-2</v>
      </c>
      <c r="J334" s="28">
        <v>-3.7199999999999997E-2</v>
      </c>
      <c r="K334" s="29">
        <v>300</v>
      </c>
      <c r="L334" s="29">
        <v>475</v>
      </c>
      <c r="M334" s="30">
        <v>-46.184600000000003</v>
      </c>
      <c r="N334" s="30">
        <v>0.18520140350877196</v>
      </c>
      <c r="O334" s="29">
        <v>1</v>
      </c>
      <c r="R334" s="27">
        <v>50</v>
      </c>
      <c r="S334" s="28" t="s">
        <v>841</v>
      </c>
      <c r="T334" s="28" t="s">
        <v>380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-2.7900000000000001E-2</v>
      </c>
      <c r="Z334" s="28">
        <v>-3.7199999999999997E-2</v>
      </c>
      <c r="AA334" s="29">
        <v>300</v>
      </c>
      <c r="AB334" s="29">
        <v>475</v>
      </c>
      <c r="AC334" s="30">
        <v>-46.207900000000002</v>
      </c>
      <c r="AD334" s="30">
        <v>0.18529483709273184</v>
      </c>
      <c r="AE334" s="29">
        <v>1</v>
      </c>
    </row>
    <row r="335" spans="2:31" x14ac:dyDescent="0.2">
      <c r="B335" s="27">
        <v>50</v>
      </c>
      <c r="C335" s="28" t="s">
        <v>842</v>
      </c>
      <c r="D335" s="28" t="s">
        <v>382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-2.7900000000000001E-2</v>
      </c>
      <c r="J335" s="28">
        <v>-3.7199999999999997E-2</v>
      </c>
      <c r="K335" s="29">
        <v>300</v>
      </c>
      <c r="L335" s="29">
        <v>475</v>
      </c>
      <c r="M335" s="30">
        <v>57.443199999999997</v>
      </c>
      <c r="N335" s="30">
        <v>0.23034867167919798</v>
      </c>
      <c r="O335" s="29">
        <v>1</v>
      </c>
      <c r="R335" s="27">
        <v>50</v>
      </c>
      <c r="S335" s="28" t="s">
        <v>842</v>
      </c>
      <c r="T335" s="28" t="s">
        <v>382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-2.7900000000000001E-2</v>
      </c>
      <c r="Z335" s="28">
        <v>-3.7199999999999997E-2</v>
      </c>
      <c r="AA335" s="29">
        <v>300</v>
      </c>
      <c r="AB335" s="29">
        <v>475</v>
      </c>
      <c r="AC335" s="30">
        <v>41.512</v>
      </c>
      <c r="AD335" s="30">
        <v>0.16646416040100251</v>
      </c>
      <c r="AE335" s="29">
        <v>1</v>
      </c>
    </row>
    <row r="336" spans="2:31" x14ac:dyDescent="0.2">
      <c r="B336" s="27">
        <v>51</v>
      </c>
      <c r="C336" s="28" t="s">
        <v>843</v>
      </c>
      <c r="D336" s="28" t="s">
        <v>380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-2.7900000000000001E-2</v>
      </c>
      <c r="J336" s="28">
        <v>-3.7199999999999997E-2</v>
      </c>
      <c r="K336" s="29">
        <v>300</v>
      </c>
      <c r="L336" s="29">
        <v>475</v>
      </c>
      <c r="M336" s="30">
        <v>-45.334200000000003</v>
      </c>
      <c r="N336" s="30">
        <v>0.18179127819548874</v>
      </c>
      <c r="O336" s="29">
        <v>1</v>
      </c>
      <c r="R336" s="27">
        <v>51</v>
      </c>
      <c r="S336" s="28" t="s">
        <v>843</v>
      </c>
      <c r="T336" s="28" t="s">
        <v>380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-2.7900000000000001E-2</v>
      </c>
      <c r="Z336" s="28">
        <v>-3.7199999999999997E-2</v>
      </c>
      <c r="AA336" s="29">
        <v>300</v>
      </c>
      <c r="AB336" s="29">
        <v>475</v>
      </c>
      <c r="AC336" s="30">
        <v>-45.359699999999997</v>
      </c>
      <c r="AD336" s="30">
        <v>0.18189353383458645</v>
      </c>
      <c r="AE336" s="29">
        <v>1</v>
      </c>
    </row>
    <row r="337" spans="2:31" x14ac:dyDescent="0.2">
      <c r="B337" s="27">
        <v>51</v>
      </c>
      <c r="C337" s="28" t="s">
        <v>844</v>
      </c>
      <c r="D337" s="28" t="s">
        <v>382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-2.7900000000000001E-2</v>
      </c>
      <c r="J337" s="28">
        <v>-3.7199999999999997E-2</v>
      </c>
      <c r="K337" s="29">
        <v>300</v>
      </c>
      <c r="L337" s="29">
        <v>475</v>
      </c>
      <c r="M337" s="30">
        <v>57.443199999999997</v>
      </c>
      <c r="N337" s="30">
        <v>0.23034867167919798</v>
      </c>
      <c r="O337" s="29">
        <v>1</v>
      </c>
      <c r="R337" s="27">
        <v>51</v>
      </c>
      <c r="S337" s="28" t="s">
        <v>844</v>
      </c>
      <c r="T337" s="28" t="s">
        <v>382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-2.7900000000000001E-2</v>
      </c>
      <c r="Z337" s="28">
        <v>-3.7199999999999997E-2</v>
      </c>
      <c r="AA337" s="29">
        <v>300</v>
      </c>
      <c r="AB337" s="29">
        <v>475</v>
      </c>
      <c r="AC337" s="30">
        <v>41.512</v>
      </c>
      <c r="AD337" s="30">
        <v>0.16646416040100251</v>
      </c>
      <c r="AE337" s="29">
        <v>1</v>
      </c>
    </row>
    <row r="338" spans="2:31" x14ac:dyDescent="0.2">
      <c r="B338" s="27">
        <v>52</v>
      </c>
      <c r="C338" s="28" t="s">
        <v>846</v>
      </c>
      <c r="D338" s="28" t="s">
        <v>380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-2.7900000000000001E-2</v>
      </c>
      <c r="J338" s="28">
        <v>-3.7199999999999997E-2</v>
      </c>
      <c r="K338" s="29">
        <v>300</v>
      </c>
      <c r="L338" s="29">
        <v>475</v>
      </c>
      <c r="M338" s="30">
        <v>-43.891100000000002</v>
      </c>
      <c r="N338" s="30">
        <v>0.17600441102756892</v>
      </c>
      <c r="O338" s="29">
        <v>1</v>
      </c>
      <c r="R338" s="27">
        <v>52</v>
      </c>
      <c r="S338" s="28" t="s">
        <v>846</v>
      </c>
      <c r="T338" s="28" t="s">
        <v>380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-2.7900000000000001E-2</v>
      </c>
      <c r="Z338" s="28">
        <v>-3.7199999999999997E-2</v>
      </c>
      <c r="AA338" s="29">
        <v>300</v>
      </c>
      <c r="AB338" s="29">
        <v>475</v>
      </c>
      <c r="AC338" s="30">
        <v>-43.916699999999999</v>
      </c>
      <c r="AD338" s="30">
        <v>0.17610706766917292</v>
      </c>
      <c r="AE338" s="29">
        <v>1</v>
      </c>
    </row>
    <row r="339" spans="2:31" x14ac:dyDescent="0.2">
      <c r="B339" s="27">
        <v>52</v>
      </c>
      <c r="C339" s="28" t="s">
        <v>847</v>
      </c>
      <c r="D339" s="28" t="s">
        <v>382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-2.7900000000000001E-2</v>
      </c>
      <c r="J339" s="28">
        <v>-3.7199999999999997E-2</v>
      </c>
      <c r="K339" s="29">
        <v>300</v>
      </c>
      <c r="L339" s="29">
        <v>475</v>
      </c>
      <c r="M339" s="30">
        <v>57.443199999999997</v>
      </c>
      <c r="N339" s="30">
        <v>0.23034867167919798</v>
      </c>
      <c r="O339" s="29">
        <v>1</v>
      </c>
      <c r="R339" s="27">
        <v>52</v>
      </c>
      <c r="S339" s="28" t="s">
        <v>847</v>
      </c>
      <c r="T339" s="28" t="s">
        <v>382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-2.7900000000000001E-2</v>
      </c>
      <c r="Z339" s="28">
        <v>-3.7199999999999997E-2</v>
      </c>
      <c r="AA339" s="29">
        <v>300</v>
      </c>
      <c r="AB339" s="29">
        <v>475</v>
      </c>
      <c r="AC339" s="30">
        <v>41.512</v>
      </c>
      <c r="AD339" s="30">
        <v>0.16646416040100251</v>
      </c>
      <c r="AE339" s="29">
        <v>1</v>
      </c>
    </row>
    <row r="340" spans="2:31" x14ac:dyDescent="0.2">
      <c r="B340" s="27">
        <v>26</v>
      </c>
      <c r="C340" s="28" t="s">
        <v>849</v>
      </c>
      <c r="D340" s="28" t="s">
        <v>380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-2.86E-2</v>
      </c>
      <c r="J340" s="28">
        <v>-3.8100000000000002E-2</v>
      </c>
      <c r="K340" s="29">
        <v>300</v>
      </c>
      <c r="L340" s="29">
        <v>475</v>
      </c>
      <c r="M340" s="30">
        <v>-64.551400000000001</v>
      </c>
      <c r="N340" s="30">
        <v>0.25885273182957397</v>
      </c>
      <c r="O340" s="29">
        <v>1</v>
      </c>
      <c r="R340" s="27">
        <v>26</v>
      </c>
      <c r="S340" s="28" t="s">
        <v>849</v>
      </c>
      <c r="T340" s="28" t="s">
        <v>380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-2.86E-2</v>
      </c>
      <c r="Z340" s="28">
        <v>-3.8100000000000002E-2</v>
      </c>
      <c r="AA340" s="29">
        <v>300</v>
      </c>
      <c r="AB340" s="29">
        <v>475</v>
      </c>
      <c r="AC340" s="30">
        <v>-64.563100000000006</v>
      </c>
      <c r="AD340" s="30">
        <v>0.25889964912280705</v>
      </c>
      <c r="AE340" s="29">
        <v>1</v>
      </c>
    </row>
    <row r="341" spans="2:31" x14ac:dyDescent="0.2">
      <c r="B341" s="27">
        <v>26</v>
      </c>
      <c r="C341" s="28" t="s">
        <v>850</v>
      </c>
      <c r="D341" s="28" t="s">
        <v>382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-2.86E-2</v>
      </c>
      <c r="J341" s="28">
        <v>-3.8100000000000002E-2</v>
      </c>
      <c r="K341" s="29">
        <v>300</v>
      </c>
      <c r="L341" s="29">
        <v>475</v>
      </c>
      <c r="M341" s="30">
        <v>57.443199999999997</v>
      </c>
      <c r="N341" s="30">
        <v>0.23034867167919798</v>
      </c>
      <c r="O341" s="29">
        <v>1</v>
      </c>
      <c r="R341" s="27">
        <v>26</v>
      </c>
      <c r="S341" s="28" t="s">
        <v>850</v>
      </c>
      <c r="T341" s="28" t="s">
        <v>382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-2.86E-2</v>
      </c>
      <c r="Z341" s="28">
        <v>-3.8100000000000002E-2</v>
      </c>
      <c r="AA341" s="29">
        <v>300</v>
      </c>
      <c r="AB341" s="29">
        <v>475</v>
      </c>
      <c r="AC341" s="30">
        <v>44.601199999999999</v>
      </c>
      <c r="AD341" s="30">
        <v>0.17885192982456138</v>
      </c>
      <c r="AE341" s="29">
        <v>1</v>
      </c>
    </row>
    <row r="342" spans="2:31" x14ac:dyDescent="0.2">
      <c r="B342" s="27">
        <v>29</v>
      </c>
      <c r="C342" s="28" t="s">
        <v>852</v>
      </c>
      <c r="D342" s="28" t="s">
        <v>380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-86.520200000000003</v>
      </c>
      <c r="N342" s="30">
        <v>0.34694817042606513</v>
      </c>
      <c r="O342" s="29">
        <v>1</v>
      </c>
      <c r="R342" s="27">
        <v>29</v>
      </c>
      <c r="S342" s="28" t="s">
        <v>852</v>
      </c>
      <c r="T342" s="28" t="s">
        <v>380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-86.529499999999999</v>
      </c>
      <c r="AD342" s="30">
        <v>0.3469854636591479</v>
      </c>
      <c r="AE342" s="29">
        <v>1</v>
      </c>
    </row>
    <row r="343" spans="2:31" x14ac:dyDescent="0.2">
      <c r="B343" s="27">
        <v>29</v>
      </c>
      <c r="C343" s="28" t="s">
        <v>853</v>
      </c>
      <c r="D343" s="28" t="s">
        <v>382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61.445900000000002</v>
      </c>
      <c r="N343" s="30">
        <v>0.24639959899749375</v>
      </c>
      <c r="O343" s="29">
        <v>1</v>
      </c>
      <c r="R343" s="27">
        <v>29</v>
      </c>
      <c r="S343" s="28" t="s">
        <v>853</v>
      </c>
      <c r="T343" s="28" t="s">
        <v>382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44.601199999999999</v>
      </c>
      <c r="AD343" s="30">
        <v>0.17885192982456138</v>
      </c>
      <c r="AE343" s="29">
        <v>1</v>
      </c>
    </row>
    <row r="344" spans="2:31" x14ac:dyDescent="0.2">
      <c r="B344" s="27">
        <v>32</v>
      </c>
      <c r="C344" s="28" t="s">
        <v>855</v>
      </c>
      <c r="D344" s="28" t="s">
        <v>380</v>
      </c>
      <c r="E344" s="28">
        <v>1E-4</v>
      </c>
      <c r="F344" s="28">
        <v>2.8500000000000001E-2</v>
      </c>
      <c r="G344" s="28">
        <v>3.7999999999999999E-2</v>
      </c>
      <c r="H344" s="28">
        <v>-1E-4</v>
      </c>
      <c r="I344" s="28">
        <v>-2.87E-2</v>
      </c>
      <c r="J344" s="28">
        <v>-3.8300000000000001E-2</v>
      </c>
      <c r="K344" s="29">
        <v>300</v>
      </c>
      <c r="L344" s="29">
        <v>475</v>
      </c>
      <c r="M344" s="30">
        <v>-81.375399999999999</v>
      </c>
      <c r="N344" s="30">
        <v>0.32631739348370925</v>
      </c>
      <c r="O344" s="29">
        <v>1</v>
      </c>
      <c r="R344" s="27">
        <v>32</v>
      </c>
      <c r="S344" s="28" t="s">
        <v>855</v>
      </c>
      <c r="T344" s="28" t="s">
        <v>380</v>
      </c>
      <c r="U344" s="28">
        <v>1E-4</v>
      </c>
      <c r="V344" s="28">
        <v>2.8500000000000001E-2</v>
      </c>
      <c r="W344" s="28">
        <v>3.7999999999999999E-2</v>
      </c>
      <c r="X344" s="28">
        <v>-1E-4</v>
      </c>
      <c r="Y344" s="28">
        <v>-2.87E-2</v>
      </c>
      <c r="Z344" s="28">
        <v>-3.8300000000000001E-2</v>
      </c>
      <c r="AA344" s="29">
        <v>300</v>
      </c>
      <c r="AB344" s="29">
        <v>475</v>
      </c>
      <c r="AC344" s="30">
        <v>-81.383799999999994</v>
      </c>
      <c r="AD344" s="30">
        <v>0.32635107769423555</v>
      </c>
      <c r="AE344" s="29">
        <v>1</v>
      </c>
    </row>
    <row r="345" spans="2:31" x14ac:dyDescent="0.2">
      <c r="B345" s="27">
        <v>32</v>
      </c>
      <c r="C345" s="28" t="s">
        <v>856</v>
      </c>
      <c r="D345" s="28" t="s">
        <v>382</v>
      </c>
      <c r="E345" s="28">
        <v>1E-4</v>
      </c>
      <c r="F345" s="28">
        <v>2.8500000000000001E-2</v>
      </c>
      <c r="G345" s="28">
        <v>3.7999999999999999E-2</v>
      </c>
      <c r="H345" s="28">
        <v>-1E-4</v>
      </c>
      <c r="I345" s="28">
        <v>-2.87E-2</v>
      </c>
      <c r="J345" s="28">
        <v>-3.8300000000000001E-2</v>
      </c>
      <c r="K345" s="29">
        <v>300</v>
      </c>
      <c r="L345" s="29">
        <v>475</v>
      </c>
      <c r="M345" s="30">
        <v>61.445900000000002</v>
      </c>
      <c r="N345" s="30">
        <v>0.24639959899749375</v>
      </c>
      <c r="O345" s="29">
        <v>1</v>
      </c>
      <c r="R345" s="27">
        <v>32</v>
      </c>
      <c r="S345" s="28" t="s">
        <v>856</v>
      </c>
      <c r="T345" s="28" t="s">
        <v>382</v>
      </c>
      <c r="U345" s="28">
        <v>1E-4</v>
      </c>
      <c r="V345" s="28">
        <v>2.8500000000000001E-2</v>
      </c>
      <c r="W345" s="28">
        <v>3.7999999999999999E-2</v>
      </c>
      <c r="X345" s="28">
        <v>-1E-4</v>
      </c>
      <c r="Y345" s="28">
        <v>-2.87E-2</v>
      </c>
      <c r="Z345" s="28">
        <v>-3.8300000000000001E-2</v>
      </c>
      <c r="AA345" s="29">
        <v>300</v>
      </c>
      <c r="AB345" s="29">
        <v>475</v>
      </c>
      <c r="AC345" s="30">
        <v>56.6845</v>
      </c>
      <c r="AD345" s="30">
        <v>0.2273062656641604</v>
      </c>
      <c r="AE345" s="29">
        <v>1</v>
      </c>
    </row>
    <row r="346" spans="2:31" x14ac:dyDescent="0.2">
      <c r="B346" s="27">
        <v>35</v>
      </c>
      <c r="C346" s="28" t="s">
        <v>858</v>
      </c>
      <c r="D346" s="28" t="s">
        <v>380</v>
      </c>
      <c r="E346" s="28">
        <v>1E-4</v>
      </c>
      <c r="F346" s="28">
        <v>2.8500000000000001E-2</v>
      </c>
      <c r="G346" s="28">
        <v>3.7999999999999999E-2</v>
      </c>
      <c r="H346" s="28">
        <v>-1E-4</v>
      </c>
      <c r="I346" s="28">
        <v>-2.87E-2</v>
      </c>
      <c r="J346" s="28">
        <v>-3.8300000000000001E-2</v>
      </c>
      <c r="K346" s="29">
        <v>300</v>
      </c>
      <c r="L346" s="29">
        <v>475</v>
      </c>
      <c r="M346" s="30">
        <v>-81.366299999999995</v>
      </c>
      <c r="N346" s="30">
        <v>0.32628090225563905</v>
      </c>
      <c r="O346" s="29">
        <v>1</v>
      </c>
      <c r="R346" s="27">
        <v>35</v>
      </c>
      <c r="S346" s="28" t="s">
        <v>858</v>
      </c>
      <c r="T346" s="28" t="s">
        <v>380</v>
      </c>
      <c r="U346" s="28">
        <v>1E-4</v>
      </c>
      <c r="V346" s="28">
        <v>2.8500000000000001E-2</v>
      </c>
      <c r="W346" s="28">
        <v>3.7999999999999999E-2</v>
      </c>
      <c r="X346" s="28">
        <v>-1E-4</v>
      </c>
      <c r="Y346" s="28">
        <v>-2.87E-2</v>
      </c>
      <c r="Z346" s="28">
        <v>-3.8300000000000001E-2</v>
      </c>
      <c r="AA346" s="29">
        <v>300</v>
      </c>
      <c r="AB346" s="29">
        <v>475</v>
      </c>
      <c r="AC346" s="30">
        <v>-81.375699999999995</v>
      </c>
      <c r="AD346" s="30">
        <v>0.32631859649122807</v>
      </c>
      <c r="AE346" s="29">
        <v>1</v>
      </c>
    </row>
    <row r="347" spans="2:31" x14ac:dyDescent="0.2">
      <c r="B347" s="27">
        <v>35</v>
      </c>
      <c r="C347" s="28" t="s">
        <v>859</v>
      </c>
      <c r="D347" s="28" t="s">
        <v>382</v>
      </c>
      <c r="E347" s="28">
        <v>1E-4</v>
      </c>
      <c r="F347" s="28">
        <v>2.8500000000000001E-2</v>
      </c>
      <c r="G347" s="28">
        <v>3.7999999999999999E-2</v>
      </c>
      <c r="H347" s="28">
        <v>-1E-4</v>
      </c>
      <c r="I347" s="28">
        <v>-2.87E-2</v>
      </c>
      <c r="J347" s="28">
        <v>-3.8300000000000001E-2</v>
      </c>
      <c r="K347" s="29">
        <v>300</v>
      </c>
      <c r="L347" s="29">
        <v>475</v>
      </c>
      <c r="M347" s="30">
        <v>61.445900000000002</v>
      </c>
      <c r="N347" s="30">
        <v>0.24639959899749375</v>
      </c>
      <c r="O347" s="29">
        <v>1</v>
      </c>
      <c r="R347" s="27">
        <v>35</v>
      </c>
      <c r="S347" s="28" t="s">
        <v>859</v>
      </c>
      <c r="T347" s="28" t="s">
        <v>382</v>
      </c>
      <c r="U347" s="28">
        <v>1E-4</v>
      </c>
      <c r="V347" s="28">
        <v>2.8500000000000001E-2</v>
      </c>
      <c r="W347" s="28">
        <v>3.7999999999999999E-2</v>
      </c>
      <c r="X347" s="28">
        <v>-1E-4</v>
      </c>
      <c r="Y347" s="28">
        <v>-2.87E-2</v>
      </c>
      <c r="Z347" s="28">
        <v>-3.8300000000000001E-2</v>
      </c>
      <c r="AA347" s="29">
        <v>300</v>
      </c>
      <c r="AB347" s="29">
        <v>475</v>
      </c>
      <c r="AC347" s="30">
        <v>56.693399999999997</v>
      </c>
      <c r="AD347" s="30">
        <v>0.22734195488721803</v>
      </c>
      <c r="AE347" s="29">
        <v>1</v>
      </c>
    </row>
    <row r="348" spans="2:31" x14ac:dyDescent="0.2">
      <c r="B348" s="27">
        <v>38</v>
      </c>
      <c r="C348" s="28" t="s">
        <v>861</v>
      </c>
      <c r="D348" s="28" t="s">
        <v>380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-86.493200000000002</v>
      </c>
      <c r="N348" s="30">
        <v>0.3468398997493734</v>
      </c>
      <c r="O348" s="29">
        <v>1</v>
      </c>
      <c r="R348" s="27">
        <v>38</v>
      </c>
      <c r="S348" s="28" t="s">
        <v>861</v>
      </c>
      <c r="T348" s="28" t="s">
        <v>380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-86.502700000000004</v>
      </c>
      <c r="AD348" s="30">
        <v>0.34687799498746874</v>
      </c>
      <c r="AE348" s="29">
        <v>1</v>
      </c>
    </row>
    <row r="349" spans="2:31" x14ac:dyDescent="0.2">
      <c r="B349" s="27">
        <v>38</v>
      </c>
      <c r="C349" s="28" t="s">
        <v>862</v>
      </c>
      <c r="D349" s="28" t="s">
        <v>382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61.4726</v>
      </c>
      <c r="N349" s="30">
        <v>0.24650666666666665</v>
      </c>
      <c r="O349" s="29">
        <v>1</v>
      </c>
      <c r="R349" s="27">
        <v>38</v>
      </c>
      <c r="S349" s="28" t="s">
        <v>862</v>
      </c>
      <c r="T349" s="28" t="s">
        <v>382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56.693399999999997</v>
      </c>
      <c r="AD349" s="30">
        <v>0.22734195488721803</v>
      </c>
      <c r="AE349" s="29">
        <v>1</v>
      </c>
    </row>
    <row r="350" spans="2:31" x14ac:dyDescent="0.2">
      <c r="B350" s="27">
        <v>41</v>
      </c>
      <c r="C350" s="28" t="s">
        <v>864</v>
      </c>
      <c r="D350" s="28" t="s">
        <v>380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-2.86E-2</v>
      </c>
      <c r="J350" s="28">
        <v>-3.8100000000000002E-2</v>
      </c>
      <c r="K350" s="29">
        <v>300</v>
      </c>
      <c r="L350" s="29">
        <v>475</v>
      </c>
      <c r="M350" s="30">
        <v>-64.522800000000004</v>
      </c>
      <c r="N350" s="30">
        <v>0.25873804511278198</v>
      </c>
      <c r="O350" s="29">
        <v>1</v>
      </c>
      <c r="R350" s="27">
        <v>41</v>
      </c>
      <c r="S350" s="28" t="s">
        <v>864</v>
      </c>
      <c r="T350" s="28" t="s">
        <v>380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-2.86E-2</v>
      </c>
      <c r="Z350" s="28">
        <v>-3.8100000000000002E-2</v>
      </c>
      <c r="AA350" s="29">
        <v>300</v>
      </c>
      <c r="AB350" s="29">
        <v>475</v>
      </c>
      <c r="AC350" s="30">
        <v>-64.527100000000004</v>
      </c>
      <c r="AD350" s="30">
        <v>0.25875528822055138</v>
      </c>
      <c r="AE350" s="29">
        <v>1</v>
      </c>
    </row>
    <row r="351" spans="2:31" x14ac:dyDescent="0.2">
      <c r="B351" s="27">
        <v>41</v>
      </c>
      <c r="C351" s="28" t="s">
        <v>865</v>
      </c>
      <c r="D351" s="28" t="s">
        <v>382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-2.86E-2</v>
      </c>
      <c r="J351" s="28">
        <v>-3.8100000000000002E-2</v>
      </c>
      <c r="K351" s="29">
        <v>300</v>
      </c>
      <c r="L351" s="29">
        <v>475</v>
      </c>
      <c r="M351" s="30">
        <v>61.4726</v>
      </c>
      <c r="N351" s="30">
        <v>0.24650666666666665</v>
      </c>
      <c r="O351" s="29">
        <v>1</v>
      </c>
      <c r="R351" s="27">
        <v>41</v>
      </c>
      <c r="S351" s="28" t="s">
        <v>865</v>
      </c>
      <c r="T351" s="28" t="s">
        <v>382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-2.86E-2</v>
      </c>
      <c r="Z351" s="28">
        <v>-3.8100000000000002E-2</v>
      </c>
      <c r="AA351" s="29">
        <v>300</v>
      </c>
      <c r="AB351" s="29">
        <v>475</v>
      </c>
      <c r="AC351" s="30">
        <v>44.617100000000001</v>
      </c>
      <c r="AD351" s="30">
        <v>0.17891568922305764</v>
      </c>
      <c r="AE351" s="29">
        <v>1</v>
      </c>
    </row>
    <row r="352" spans="2:31" x14ac:dyDescent="0.2">
      <c r="B352" s="27">
        <v>53</v>
      </c>
      <c r="C352" s="28" t="s">
        <v>867</v>
      </c>
      <c r="D352" s="28" t="s">
        <v>380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-2.7900000000000001E-2</v>
      </c>
      <c r="J352" s="28">
        <v>-3.7199999999999997E-2</v>
      </c>
      <c r="K352" s="29">
        <v>300</v>
      </c>
      <c r="L352" s="29">
        <v>475</v>
      </c>
      <c r="M352" s="30">
        <v>-43.846800000000002</v>
      </c>
      <c r="N352" s="30">
        <v>0.17582676691729324</v>
      </c>
      <c r="O352" s="29">
        <v>1</v>
      </c>
      <c r="R352" s="27">
        <v>53</v>
      </c>
      <c r="S352" s="28" t="s">
        <v>867</v>
      </c>
      <c r="T352" s="28" t="s">
        <v>380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-2.7900000000000001E-2</v>
      </c>
      <c r="Z352" s="28">
        <v>-3.7199999999999997E-2</v>
      </c>
      <c r="AA352" s="29">
        <v>300</v>
      </c>
      <c r="AB352" s="29">
        <v>475</v>
      </c>
      <c r="AC352" s="30">
        <v>-43.872700000000002</v>
      </c>
      <c r="AD352" s="30">
        <v>0.17593062656641606</v>
      </c>
      <c r="AE352" s="29">
        <v>1</v>
      </c>
    </row>
    <row r="353" spans="2:31" x14ac:dyDescent="0.2">
      <c r="B353" s="27">
        <v>53</v>
      </c>
      <c r="C353" s="28" t="s">
        <v>868</v>
      </c>
      <c r="D353" s="28" t="s">
        <v>382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-2.7900000000000001E-2</v>
      </c>
      <c r="J353" s="28">
        <v>-3.7199999999999997E-2</v>
      </c>
      <c r="K353" s="29">
        <v>300</v>
      </c>
      <c r="L353" s="29">
        <v>475</v>
      </c>
      <c r="M353" s="30">
        <v>61.4726</v>
      </c>
      <c r="N353" s="30">
        <v>0.24650666666666665</v>
      </c>
      <c r="O353" s="29">
        <v>1</v>
      </c>
      <c r="R353" s="27">
        <v>53</v>
      </c>
      <c r="S353" s="28" t="s">
        <v>868</v>
      </c>
      <c r="T353" s="28" t="s">
        <v>382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-2.7900000000000001E-2</v>
      </c>
      <c r="Z353" s="28">
        <v>-3.7199999999999997E-2</v>
      </c>
      <c r="AA353" s="29">
        <v>300</v>
      </c>
      <c r="AB353" s="29">
        <v>475</v>
      </c>
      <c r="AC353" s="30">
        <v>44.617100000000001</v>
      </c>
      <c r="AD353" s="30">
        <v>0.17891568922305764</v>
      </c>
      <c r="AE353" s="29">
        <v>1</v>
      </c>
    </row>
    <row r="354" spans="2:31" x14ac:dyDescent="0.2">
      <c r="B354" s="27">
        <v>54</v>
      </c>
      <c r="C354" s="28" t="s">
        <v>870</v>
      </c>
      <c r="D354" s="28" t="s">
        <v>380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-2.7900000000000001E-2</v>
      </c>
      <c r="J354" s="28">
        <v>-3.7199999999999997E-2</v>
      </c>
      <c r="K354" s="29">
        <v>300</v>
      </c>
      <c r="L354" s="29">
        <v>475</v>
      </c>
      <c r="M354" s="30">
        <v>-42.1997</v>
      </c>
      <c r="N354" s="30">
        <v>0.16922185463659148</v>
      </c>
      <c r="O354" s="29">
        <v>1</v>
      </c>
      <c r="R354" s="27">
        <v>54</v>
      </c>
      <c r="S354" s="28" t="s">
        <v>870</v>
      </c>
      <c r="T354" s="28" t="s">
        <v>380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-2.7900000000000001E-2</v>
      </c>
      <c r="Z354" s="28">
        <v>-3.7199999999999997E-2</v>
      </c>
      <c r="AA354" s="29">
        <v>300</v>
      </c>
      <c r="AB354" s="29">
        <v>475</v>
      </c>
      <c r="AC354" s="30">
        <v>-42.223399999999998</v>
      </c>
      <c r="AD354" s="30">
        <v>0.16931689223057644</v>
      </c>
      <c r="AE354" s="29">
        <v>1</v>
      </c>
    </row>
    <row r="355" spans="2:31" x14ac:dyDescent="0.2">
      <c r="B355" s="27">
        <v>54</v>
      </c>
      <c r="C355" s="28" t="s">
        <v>871</v>
      </c>
      <c r="D355" s="28" t="s">
        <v>382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-2.7900000000000001E-2</v>
      </c>
      <c r="J355" s="28">
        <v>-3.7199999999999997E-2</v>
      </c>
      <c r="K355" s="29">
        <v>300</v>
      </c>
      <c r="L355" s="29">
        <v>475</v>
      </c>
      <c r="M355" s="30">
        <v>61.4726</v>
      </c>
      <c r="N355" s="30">
        <v>0.24650666666666665</v>
      </c>
      <c r="O355" s="29">
        <v>1</v>
      </c>
      <c r="R355" s="27">
        <v>54</v>
      </c>
      <c r="S355" s="28" t="s">
        <v>871</v>
      </c>
      <c r="T355" s="28" t="s">
        <v>382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-2.7900000000000001E-2</v>
      </c>
      <c r="Z355" s="28">
        <v>-3.7199999999999997E-2</v>
      </c>
      <c r="AA355" s="29">
        <v>300</v>
      </c>
      <c r="AB355" s="29">
        <v>475</v>
      </c>
      <c r="AC355" s="30">
        <v>44.617100000000001</v>
      </c>
      <c r="AD355" s="30">
        <v>0.17891568922305764</v>
      </c>
      <c r="AE355" s="29">
        <v>1</v>
      </c>
    </row>
    <row r="356" spans="2:31" x14ac:dyDescent="0.2">
      <c r="B356" s="27">
        <v>55</v>
      </c>
      <c r="C356" s="28" t="s">
        <v>872</v>
      </c>
      <c r="D356" s="28" t="s">
        <v>380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-2.7900000000000001E-2</v>
      </c>
      <c r="J356" s="28">
        <v>-3.7199999999999997E-2</v>
      </c>
      <c r="K356" s="29">
        <v>300</v>
      </c>
      <c r="L356" s="29">
        <v>475</v>
      </c>
      <c r="M356" s="30">
        <v>-46.0563</v>
      </c>
      <c r="N356" s="30">
        <v>0.18468691729323308</v>
      </c>
      <c r="O356" s="29">
        <v>1</v>
      </c>
      <c r="R356" s="27">
        <v>55</v>
      </c>
      <c r="S356" s="28" t="s">
        <v>872</v>
      </c>
      <c r="T356" s="28" t="s">
        <v>380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-2.7900000000000001E-2</v>
      </c>
      <c r="Z356" s="28">
        <v>-3.7199999999999997E-2</v>
      </c>
      <c r="AA356" s="29">
        <v>300</v>
      </c>
      <c r="AB356" s="29">
        <v>475</v>
      </c>
      <c r="AC356" s="30">
        <v>-46.078499999999998</v>
      </c>
      <c r="AD356" s="30">
        <v>0.18477593984962407</v>
      </c>
      <c r="AE356" s="29">
        <v>1</v>
      </c>
    </row>
    <row r="357" spans="2:31" x14ac:dyDescent="0.2">
      <c r="B357" s="27">
        <v>55</v>
      </c>
      <c r="C357" s="28" t="s">
        <v>873</v>
      </c>
      <c r="D357" s="28" t="s">
        <v>382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-2.7900000000000001E-2</v>
      </c>
      <c r="J357" s="28">
        <v>-3.7199999999999997E-2</v>
      </c>
      <c r="K357" s="29">
        <v>300</v>
      </c>
      <c r="L357" s="29">
        <v>475</v>
      </c>
      <c r="M357" s="30">
        <v>61.4726</v>
      </c>
      <c r="N357" s="30">
        <v>0.24650666666666665</v>
      </c>
      <c r="O357" s="29">
        <v>1</v>
      </c>
      <c r="R357" s="27">
        <v>55</v>
      </c>
      <c r="S357" s="28" t="s">
        <v>873</v>
      </c>
      <c r="T357" s="28" t="s">
        <v>382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-2.7900000000000001E-2</v>
      </c>
      <c r="Z357" s="28">
        <v>-3.7199999999999997E-2</v>
      </c>
      <c r="AA357" s="29">
        <v>300</v>
      </c>
      <c r="AB357" s="29">
        <v>475</v>
      </c>
      <c r="AC357" s="30">
        <v>44.617100000000001</v>
      </c>
      <c r="AD357" s="30">
        <v>0.17891568922305764</v>
      </c>
      <c r="AE357" s="29">
        <v>1</v>
      </c>
    </row>
    <row r="358" spans="2:31" x14ac:dyDescent="0.2">
      <c r="B358" s="27">
        <v>56</v>
      </c>
      <c r="C358" s="28" t="s">
        <v>874</v>
      </c>
      <c r="D358" s="28" t="s">
        <v>380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-2.7900000000000001E-2</v>
      </c>
      <c r="J358" s="28">
        <v>-3.7199999999999997E-2</v>
      </c>
      <c r="K358" s="29">
        <v>300</v>
      </c>
      <c r="L358" s="29">
        <v>475</v>
      </c>
      <c r="M358" s="30">
        <v>-45.125100000000003</v>
      </c>
      <c r="N358" s="30">
        <v>0.18095278195488723</v>
      </c>
      <c r="O358" s="29">
        <v>1</v>
      </c>
      <c r="R358" s="27">
        <v>56</v>
      </c>
      <c r="S358" s="28" t="s">
        <v>874</v>
      </c>
      <c r="T358" s="28" t="s">
        <v>380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-2.7900000000000001E-2</v>
      </c>
      <c r="Z358" s="28">
        <v>-3.7199999999999997E-2</v>
      </c>
      <c r="AA358" s="29">
        <v>300</v>
      </c>
      <c r="AB358" s="29">
        <v>475</v>
      </c>
      <c r="AC358" s="30">
        <v>-45.149500000000003</v>
      </c>
      <c r="AD358" s="30">
        <v>0.18105062656641605</v>
      </c>
      <c r="AE358" s="29">
        <v>1</v>
      </c>
    </row>
    <row r="359" spans="2:31" x14ac:dyDescent="0.2">
      <c r="B359" s="27">
        <v>56</v>
      </c>
      <c r="C359" s="28" t="s">
        <v>875</v>
      </c>
      <c r="D359" s="28" t="s">
        <v>382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-2.7900000000000001E-2</v>
      </c>
      <c r="J359" s="28">
        <v>-3.7199999999999997E-2</v>
      </c>
      <c r="K359" s="29">
        <v>300</v>
      </c>
      <c r="L359" s="29">
        <v>475</v>
      </c>
      <c r="M359" s="30">
        <v>61.4726</v>
      </c>
      <c r="N359" s="30">
        <v>0.24650666666666665</v>
      </c>
      <c r="O359" s="29">
        <v>1</v>
      </c>
      <c r="R359" s="27">
        <v>56</v>
      </c>
      <c r="S359" s="28" t="s">
        <v>875</v>
      </c>
      <c r="T359" s="28" t="s">
        <v>382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-2.7900000000000001E-2</v>
      </c>
      <c r="Z359" s="28">
        <v>-3.7199999999999997E-2</v>
      </c>
      <c r="AA359" s="29">
        <v>300</v>
      </c>
      <c r="AB359" s="29">
        <v>475</v>
      </c>
      <c r="AC359" s="30">
        <v>44.617100000000001</v>
      </c>
      <c r="AD359" s="30">
        <v>0.17891568922305764</v>
      </c>
      <c r="AE359" s="29">
        <v>1</v>
      </c>
    </row>
    <row r="360" spans="2:31" x14ac:dyDescent="0.2">
      <c r="B360" s="27">
        <v>57</v>
      </c>
      <c r="C360" s="28" t="s">
        <v>877</v>
      </c>
      <c r="D360" s="28" t="s">
        <v>380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-2.7900000000000001E-2</v>
      </c>
      <c r="J360" s="28">
        <v>-3.7199999999999997E-2</v>
      </c>
      <c r="K360" s="29">
        <v>300</v>
      </c>
      <c r="L360" s="29">
        <v>475</v>
      </c>
      <c r="M360" s="30">
        <v>-43.913899999999998</v>
      </c>
      <c r="N360" s="30">
        <v>0.17609583959899749</v>
      </c>
      <c r="O360" s="29">
        <v>1</v>
      </c>
      <c r="R360" s="27">
        <v>57</v>
      </c>
      <c r="S360" s="28" t="s">
        <v>877</v>
      </c>
      <c r="T360" s="28" t="s">
        <v>380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-2.7900000000000001E-2</v>
      </c>
      <c r="Z360" s="28">
        <v>-3.7199999999999997E-2</v>
      </c>
      <c r="AA360" s="29">
        <v>300</v>
      </c>
      <c r="AB360" s="29">
        <v>475</v>
      </c>
      <c r="AC360" s="30">
        <v>-43.938499999999998</v>
      </c>
      <c r="AD360" s="30">
        <v>0.17619448621553885</v>
      </c>
      <c r="AE360" s="29">
        <v>1</v>
      </c>
    </row>
    <row r="361" spans="2:31" x14ac:dyDescent="0.2">
      <c r="B361" s="27">
        <v>57</v>
      </c>
      <c r="C361" s="28" t="s">
        <v>878</v>
      </c>
      <c r="D361" s="28" t="s">
        <v>382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-2.7900000000000001E-2</v>
      </c>
      <c r="J361" s="28">
        <v>-3.7199999999999997E-2</v>
      </c>
      <c r="K361" s="29">
        <v>300</v>
      </c>
      <c r="L361" s="29">
        <v>475</v>
      </c>
      <c r="M361" s="30">
        <v>61.4726</v>
      </c>
      <c r="N361" s="30">
        <v>0.24650666666666665</v>
      </c>
      <c r="O361" s="29">
        <v>1</v>
      </c>
      <c r="R361" s="27">
        <v>57</v>
      </c>
      <c r="S361" s="28" t="s">
        <v>878</v>
      </c>
      <c r="T361" s="28" t="s">
        <v>382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-2.7900000000000001E-2</v>
      </c>
      <c r="Z361" s="28">
        <v>-3.7199999999999997E-2</v>
      </c>
      <c r="AA361" s="29">
        <v>300</v>
      </c>
      <c r="AB361" s="29">
        <v>475</v>
      </c>
      <c r="AC361" s="30">
        <v>44.617100000000001</v>
      </c>
      <c r="AD361" s="30">
        <v>0.17891568922305764</v>
      </c>
      <c r="AE361" s="29">
        <v>1</v>
      </c>
    </row>
    <row r="362" spans="2:31" x14ac:dyDescent="0.2">
      <c r="B362" s="27">
        <v>27</v>
      </c>
      <c r="C362" s="28" t="s">
        <v>880</v>
      </c>
      <c r="D362" s="28" t="s">
        <v>380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-2.86E-2</v>
      </c>
      <c r="J362" s="28">
        <v>-3.8100000000000002E-2</v>
      </c>
      <c r="K362" s="29">
        <v>300</v>
      </c>
      <c r="L362" s="29">
        <v>475</v>
      </c>
      <c r="M362" s="30">
        <v>-64.555199999999999</v>
      </c>
      <c r="N362" s="30">
        <v>0.25886796992481204</v>
      </c>
      <c r="O362" s="29">
        <v>1</v>
      </c>
      <c r="R362" s="27">
        <v>27</v>
      </c>
      <c r="S362" s="28" t="s">
        <v>880</v>
      </c>
      <c r="T362" s="28" t="s">
        <v>380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-2.86E-2</v>
      </c>
      <c r="Z362" s="28">
        <v>-3.8100000000000002E-2</v>
      </c>
      <c r="AA362" s="29">
        <v>300</v>
      </c>
      <c r="AB362" s="29">
        <v>475</v>
      </c>
      <c r="AC362" s="30">
        <v>-64.566100000000006</v>
      </c>
      <c r="AD362" s="30">
        <v>0.25891167919799501</v>
      </c>
      <c r="AE362" s="29">
        <v>1</v>
      </c>
    </row>
    <row r="363" spans="2:31" x14ac:dyDescent="0.2">
      <c r="B363" s="27">
        <v>27</v>
      </c>
      <c r="C363" s="28" t="s">
        <v>881</v>
      </c>
      <c r="D363" s="28" t="s">
        <v>382</v>
      </c>
      <c r="E363" s="28">
        <v>1E-4</v>
      </c>
      <c r="F363" s="28">
        <v>2.8400000000000002E-2</v>
      </c>
      <c r="G363" s="28">
        <v>3.7900000000000003E-2</v>
      </c>
      <c r="H363" s="28">
        <v>-1E-4</v>
      </c>
      <c r="I363" s="28">
        <v>-2.8400000000000002E-2</v>
      </c>
      <c r="J363" s="28">
        <v>-3.7900000000000003E-2</v>
      </c>
      <c r="K363" s="29">
        <v>300</v>
      </c>
      <c r="L363" s="29">
        <v>475</v>
      </c>
      <c r="M363" s="30">
        <v>61.4726</v>
      </c>
      <c r="N363" s="30">
        <v>0.24650666666666665</v>
      </c>
      <c r="O363" s="29">
        <v>1</v>
      </c>
      <c r="R363" s="27">
        <v>27</v>
      </c>
      <c r="S363" s="28" t="s">
        <v>881</v>
      </c>
      <c r="T363" s="28" t="s">
        <v>382</v>
      </c>
      <c r="U363" s="28">
        <v>1E-4</v>
      </c>
      <c r="V363" s="28">
        <v>2.8400000000000002E-2</v>
      </c>
      <c r="W363" s="28">
        <v>3.7900000000000003E-2</v>
      </c>
      <c r="X363" s="28">
        <v>-1E-4</v>
      </c>
      <c r="Y363" s="28">
        <v>-2.8400000000000002E-2</v>
      </c>
      <c r="Z363" s="28">
        <v>-3.7900000000000003E-2</v>
      </c>
      <c r="AA363" s="29">
        <v>300</v>
      </c>
      <c r="AB363" s="29">
        <v>475</v>
      </c>
      <c r="AC363" s="30">
        <v>44.617100000000001</v>
      </c>
      <c r="AD363" s="30">
        <v>0.17891568922305764</v>
      </c>
      <c r="AE363" s="29">
        <v>1</v>
      </c>
    </row>
    <row r="364" spans="2:31" x14ac:dyDescent="0.2">
      <c r="B364" s="27">
        <v>30</v>
      </c>
      <c r="C364" s="28" t="s">
        <v>883</v>
      </c>
      <c r="D364" s="28" t="s">
        <v>380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-86.489800000000002</v>
      </c>
      <c r="N364" s="30">
        <v>0.34682626566416042</v>
      </c>
      <c r="O364" s="29">
        <v>1</v>
      </c>
      <c r="R364" s="27">
        <v>30</v>
      </c>
      <c r="S364" s="28" t="s">
        <v>883</v>
      </c>
      <c r="T364" s="28" t="s">
        <v>380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-86.498699999999999</v>
      </c>
      <c r="AD364" s="30">
        <v>0.34686195488721805</v>
      </c>
      <c r="AE364" s="29">
        <v>1</v>
      </c>
    </row>
    <row r="365" spans="2:31" x14ac:dyDescent="0.2">
      <c r="B365" s="27">
        <v>30</v>
      </c>
      <c r="C365" s="28" t="s">
        <v>884</v>
      </c>
      <c r="D365" s="28" t="s">
        <v>382</v>
      </c>
      <c r="E365" s="28">
        <v>1E-4</v>
      </c>
      <c r="F365" s="28">
        <v>2.8500000000000001E-2</v>
      </c>
      <c r="G365" s="28">
        <v>3.7999999999999999E-2</v>
      </c>
      <c r="H365" s="28">
        <v>-1E-4</v>
      </c>
      <c r="I365" s="28">
        <v>-2.87E-2</v>
      </c>
      <c r="J365" s="28">
        <v>-3.8300000000000001E-2</v>
      </c>
      <c r="K365" s="29">
        <v>300</v>
      </c>
      <c r="L365" s="29">
        <v>475</v>
      </c>
      <c r="M365" s="30">
        <v>61.4726</v>
      </c>
      <c r="N365" s="30">
        <v>0.24650666666666665</v>
      </c>
      <c r="O365" s="29">
        <v>1</v>
      </c>
      <c r="R365" s="27">
        <v>30</v>
      </c>
      <c r="S365" s="28" t="s">
        <v>884</v>
      </c>
      <c r="T365" s="28" t="s">
        <v>382</v>
      </c>
      <c r="U365" s="28">
        <v>1E-4</v>
      </c>
      <c r="V365" s="28">
        <v>2.8500000000000001E-2</v>
      </c>
      <c r="W365" s="28">
        <v>3.7999999999999999E-2</v>
      </c>
      <c r="X365" s="28">
        <v>-1E-4</v>
      </c>
      <c r="Y365" s="28">
        <v>-2.87E-2</v>
      </c>
      <c r="Z365" s="28">
        <v>-3.8300000000000001E-2</v>
      </c>
      <c r="AA365" s="29">
        <v>300</v>
      </c>
      <c r="AB365" s="29">
        <v>475</v>
      </c>
      <c r="AC365" s="30">
        <v>44.617100000000001</v>
      </c>
      <c r="AD365" s="30">
        <v>0.17891568922305764</v>
      </c>
      <c r="AE365" s="29">
        <v>1</v>
      </c>
    </row>
    <row r="366" spans="2:31" x14ac:dyDescent="0.2">
      <c r="B366" s="27">
        <v>33</v>
      </c>
      <c r="C366" s="28" t="s">
        <v>886</v>
      </c>
      <c r="D366" s="28" t="s">
        <v>380</v>
      </c>
      <c r="E366" s="28">
        <v>1E-4</v>
      </c>
      <c r="F366" s="28">
        <v>2.8500000000000001E-2</v>
      </c>
      <c r="G366" s="28">
        <v>3.7999999999999999E-2</v>
      </c>
      <c r="H366" s="28">
        <v>-1E-4</v>
      </c>
      <c r="I366" s="28">
        <v>-2.87E-2</v>
      </c>
      <c r="J366" s="28">
        <v>-3.8300000000000001E-2</v>
      </c>
      <c r="K366" s="29">
        <v>300</v>
      </c>
      <c r="L366" s="29">
        <v>475</v>
      </c>
      <c r="M366" s="30">
        <v>-81.8262</v>
      </c>
      <c r="N366" s="30">
        <v>0.32812511278195489</v>
      </c>
      <c r="O366" s="29">
        <v>1</v>
      </c>
      <c r="R366" s="27">
        <v>33</v>
      </c>
      <c r="S366" s="28" t="s">
        <v>886</v>
      </c>
      <c r="T366" s="28" t="s">
        <v>380</v>
      </c>
      <c r="U366" s="28">
        <v>1E-4</v>
      </c>
      <c r="V366" s="28">
        <v>2.8500000000000001E-2</v>
      </c>
      <c r="W366" s="28">
        <v>3.7999999999999999E-2</v>
      </c>
      <c r="X366" s="28">
        <v>-1E-4</v>
      </c>
      <c r="Y366" s="28">
        <v>-2.87E-2</v>
      </c>
      <c r="Z366" s="28">
        <v>-3.8300000000000001E-2</v>
      </c>
      <c r="AA366" s="29">
        <v>300</v>
      </c>
      <c r="AB366" s="29">
        <v>475</v>
      </c>
      <c r="AC366" s="30">
        <v>-81.834800000000001</v>
      </c>
      <c r="AD366" s="30">
        <v>0.32815959899749375</v>
      </c>
      <c r="AE366" s="29">
        <v>1</v>
      </c>
    </row>
    <row r="367" spans="2:31" x14ac:dyDescent="0.2">
      <c r="B367" s="27">
        <v>33</v>
      </c>
      <c r="C367" s="28" t="s">
        <v>887</v>
      </c>
      <c r="D367" s="28" t="s">
        <v>382</v>
      </c>
      <c r="E367" s="28">
        <v>1E-4</v>
      </c>
      <c r="F367" s="28">
        <v>2.8500000000000001E-2</v>
      </c>
      <c r="G367" s="28">
        <v>3.7999999999999999E-2</v>
      </c>
      <c r="H367" s="28">
        <v>-1E-4</v>
      </c>
      <c r="I367" s="28">
        <v>-2.87E-2</v>
      </c>
      <c r="J367" s="28">
        <v>-3.8300000000000001E-2</v>
      </c>
      <c r="K367" s="29">
        <v>300</v>
      </c>
      <c r="L367" s="29">
        <v>475</v>
      </c>
      <c r="M367" s="30">
        <v>61.4726</v>
      </c>
      <c r="N367" s="30">
        <v>0.24650666666666665</v>
      </c>
      <c r="O367" s="29">
        <v>1</v>
      </c>
      <c r="R367" s="27">
        <v>33</v>
      </c>
      <c r="S367" s="28" t="s">
        <v>887</v>
      </c>
      <c r="T367" s="28" t="s">
        <v>382</v>
      </c>
      <c r="U367" s="28">
        <v>1E-4</v>
      </c>
      <c r="V367" s="28">
        <v>2.8500000000000001E-2</v>
      </c>
      <c r="W367" s="28">
        <v>3.7999999999999999E-2</v>
      </c>
      <c r="X367" s="28">
        <v>-1E-4</v>
      </c>
      <c r="Y367" s="28">
        <v>-2.87E-2</v>
      </c>
      <c r="Z367" s="28">
        <v>-3.8300000000000001E-2</v>
      </c>
      <c r="AA367" s="29">
        <v>300</v>
      </c>
      <c r="AB367" s="29">
        <v>475</v>
      </c>
      <c r="AC367" s="30">
        <v>44.617100000000001</v>
      </c>
      <c r="AD367" s="30">
        <v>0.17891568922305764</v>
      </c>
      <c r="AE367" s="29">
        <v>1</v>
      </c>
    </row>
    <row r="368" spans="2:31" x14ac:dyDescent="0.2">
      <c r="B368" s="27">
        <v>36</v>
      </c>
      <c r="C368" s="28" t="s">
        <v>889</v>
      </c>
      <c r="D368" s="28" t="s">
        <v>380</v>
      </c>
      <c r="E368" s="28">
        <v>1E-4</v>
      </c>
      <c r="F368" s="28">
        <v>2.8500000000000001E-2</v>
      </c>
      <c r="G368" s="28">
        <v>3.7999999999999999E-2</v>
      </c>
      <c r="H368" s="28">
        <v>-1E-4</v>
      </c>
      <c r="I368" s="28">
        <v>-2.87E-2</v>
      </c>
      <c r="J368" s="28">
        <v>-3.8300000000000001E-2</v>
      </c>
      <c r="K368" s="29">
        <v>300</v>
      </c>
      <c r="L368" s="29">
        <v>475</v>
      </c>
      <c r="M368" s="30">
        <v>-81.817300000000003</v>
      </c>
      <c r="N368" s="30">
        <v>0.32808942355889725</v>
      </c>
      <c r="O368" s="29">
        <v>1</v>
      </c>
      <c r="R368" s="27">
        <v>36</v>
      </c>
      <c r="S368" s="28" t="s">
        <v>889</v>
      </c>
      <c r="T368" s="28" t="s">
        <v>380</v>
      </c>
      <c r="U368" s="28">
        <v>1E-4</v>
      </c>
      <c r="V368" s="28">
        <v>2.8500000000000001E-2</v>
      </c>
      <c r="W368" s="28">
        <v>3.7999999999999999E-2</v>
      </c>
      <c r="X368" s="28">
        <v>-1E-4</v>
      </c>
      <c r="Y368" s="28">
        <v>-2.87E-2</v>
      </c>
      <c r="Z368" s="28">
        <v>-3.8300000000000001E-2</v>
      </c>
      <c r="AA368" s="29">
        <v>300</v>
      </c>
      <c r="AB368" s="29">
        <v>475</v>
      </c>
      <c r="AC368" s="30">
        <v>-81.827100000000002</v>
      </c>
      <c r="AD368" s="30">
        <v>0.3281287218045113</v>
      </c>
      <c r="AE368" s="29">
        <v>1</v>
      </c>
    </row>
    <row r="369" spans="2:31" x14ac:dyDescent="0.2">
      <c r="B369" s="27">
        <v>36</v>
      </c>
      <c r="C369" s="28" t="s">
        <v>890</v>
      </c>
      <c r="D369" s="28" t="s">
        <v>382</v>
      </c>
      <c r="E369" s="28">
        <v>1E-4</v>
      </c>
      <c r="F369" s="28">
        <v>2.8500000000000001E-2</v>
      </c>
      <c r="G369" s="28">
        <v>3.7999999999999999E-2</v>
      </c>
      <c r="H369" s="28">
        <v>-1E-4</v>
      </c>
      <c r="I369" s="28">
        <v>-2.87E-2</v>
      </c>
      <c r="J369" s="28">
        <v>-3.8300000000000001E-2</v>
      </c>
      <c r="K369" s="29">
        <v>300</v>
      </c>
      <c r="L369" s="29">
        <v>475</v>
      </c>
      <c r="M369" s="30">
        <v>61.4726</v>
      </c>
      <c r="N369" s="30">
        <v>0.24650666666666665</v>
      </c>
      <c r="O369" s="29">
        <v>1</v>
      </c>
      <c r="R369" s="27">
        <v>36</v>
      </c>
      <c r="S369" s="28" t="s">
        <v>890</v>
      </c>
      <c r="T369" s="28" t="s">
        <v>382</v>
      </c>
      <c r="U369" s="28">
        <v>1E-4</v>
      </c>
      <c r="V369" s="28">
        <v>2.8500000000000001E-2</v>
      </c>
      <c r="W369" s="28">
        <v>3.7999999999999999E-2</v>
      </c>
      <c r="X369" s="28">
        <v>-1E-4</v>
      </c>
      <c r="Y369" s="28">
        <v>-2.87E-2</v>
      </c>
      <c r="Z369" s="28">
        <v>-3.8300000000000001E-2</v>
      </c>
      <c r="AA369" s="29">
        <v>300</v>
      </c>
      <c r="AB369" s="29">
        <v>475</v>
      </c>
      <c r="AC369" s="30">
        <v>44.617100000000001</v>
      </c>
      <c r="AD369" s="30">
        <v>0.17891568922305764</v>
      </c>
      <c r="AE369" s="29">
        <v>1</v>
      </c>
    </row>
    <row r="370" spans="2:31" x14ac:dyDescent="0.2">
      <c r="B370" s="27">
        <v>39</v>
      </c>
      <c r="C370" s="28" t="s">
        <v>892</v>
      </c>
      <c r="D370" s="28" t="s">
        <v>380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-86.462299999999999</v>
      </c>
      <c r="N370" s="30">
        <v>0.34671598997493736</v>
      </c>
      <c r="O370" s="29">
        <v>1</v>
      </c>
      <c r="R370" s="27">
        <v>39</v>
      </c>
      <c r="S370" s="28" t="s">
        <v>892</v>
      </c>
      <c r="T370" s="28" t="s">
        <v>380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-86.471900000000005</v>
      </c>
      <c r="AD370" s="30">
        <v>0.34675448621553889</v>
      </c>
      <c r="AE370" s="29">
        <v>1</v>
      </c>
    </row>
    <row r="371" spans="2:31" x14ac:dyDescent="0.2">
      <c r="B371" s="27">
        <v>39</v>
      </c>
      <c r="C371" s="28" t="s">
        <v>893</v>
      </c>
      <c r="D371" s="28" t="s">
        <v>382</v>
      </c>
      <c r="E371" s="28">
        <v>1E-4</v>
      </c>
      <c r="F371" s="28">
        <v>2.8500000000000001E-2</v>
      </c>
      <c r="G371" s="28">
        <v>3.7999999999999999E-2</v>
      </c>
      <c r="H371" s="28">
        <v>-1E-4</v>
      </c>
      <c r="I371" s="28">
        <v>-2.87E-2</v>
      </c>
      <c r="J371" s="28">
        <v>-3.8300000000000001E-2</v>
      </c>
      <c r="K371" s="29">
        <v>300</v>
      </c>
      <c r="L371" s="29">
        <v>475</v>
      </c>
      <c r="M371" s="30">
        <v>61.4726</v>
      </c>
      <c r="N371" s="30">
        <v>0.24650666666666665</v>
      </c>
      <c r="O371" s="29">
        <v>1</v>
      </c>
      <c r="R371" s="27">
        <v>39</v>
      </c>
      <c r="S371" s="28" t="s">
        <v>893</v>
      </c>
      <c r="T371" s="28" t="s">
        <v>382</v>
      </c>
      <c r="U371" s="28">
        <v>1E-4</v>
      </c>
      <c r="V371" s="28">
        <v>2.8500000000000001E-2</v>
      </c>
      <c r="W371" s="28">
        <v>3.7999999999999999E-2</v>
      </c>
      <c r="X371" s="28">
        <v>-1E-4</v>
      </c>
      <c r="Y371" s="28">
        <v>-2.87E-2</v>
      </c>
      <c r="Z371" s="28">
        <v>-3.8300000000000001E-2</v>
      </c>
      <c r="AA371" s="29">
        <v>300</v>
      </c>
      <c r="AB371" s="29">
        <v>475</v>
      </c>
      <c r="AC371" s="30">
        <v>44.617100000000001</v>
      </c>
      <c r="AD371" s="30">
        <v>0.17891568922305764</v>
      </c>
      <c r="AE371" s="29">
        <v>1</v>
      </c>
    </row>
    <row r="372" spans="2:31" x14ac:dyDescent="0.2">
      <c r="B372" s="27">
        <v>42</v>
      </c>
      <c r="C372" s="28" t="s">
        <v>895</v>
      </c>
      <c r="D372" s="28" t="s">
        <v>380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-2.86E-2</v>
      </c>
      <c r="J372" s="28">
        <v>-3.8100000000000002E-2</v>
      </c>
      <c r="K372" s="29">
        <v>300</v>
      </c>
      <c r="L372" s="29">
        <v>475</v>
      </c>
      <c r="M372" s="30">
        <v>-64.522199999999998</v>
      </c>
      <c r="N372" s="30">
        <v>0.25873563909774433</v>
      </c>
      <c r="O372" s="29">
        <v>1</v>
      </c>
      <c r="R372" s="27">
        <v>42</v>
      </c>
      <c r="S372" s="28" t="s">
        <v>895</v>
      </c>
      <c r="T372" s="28" t="s">
        <v>380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-2.86E-2</v>
      </c>
      <c r="Z372" s="28">
        <v>-3.8100000000000002E-2</v>
      </c>
      <c r="AA372" s="29">
        <v>300</v>
      </c>
      <c r="AB372" s="29">
        <v>475</v>
      </c>
      <c r="AC372" s="30">
        <v>-64.5261</v>
      </c>
      <c r="AD372" s="30">
        <v>0.25875127819548871</v>
      </c>
      <c r="AE372" s="29">
        <v>1</v>
      </c>
    </row>
    <row r="373" spans="2:31" x14ac:dyDescent="0.2">
      <c r="B373" s="27">
        <v>42</v>
      </c>
      <c r="C373" s="28" t="s">
        <v>896</v>
      </c>
      <c r="D373" s="28" t="s">
        <v>382</v>
      </c>
      <c r="E373" s="28">
        <v>1E-4</v>
      </c>
      <c r="F373" s="28">
        <v>2.8400000000000002E-2</v>
      </c>
      <c r="G373" s="28">
        <v>3.7900000000000003E-2</v>
      </c>
      <c r="H373" s="28">
        <v>-1E-4</v>
      </c>
      <c r="I373" s="28">
        <v>-2.8400000000000002E-2</v>
      </c>
      <c r="J373" s="28">
        <v>-3.7900000000000003E-2</v>
      </c>
      <c r="K373" s="29">
        <v>300</v>
      </c>
      <c r="L373" s="29">
        <v>475</v>
      </c>
      <c r="M373" s="30">
        <v>61.4726</v>
      </c>
      <c r="N373" s="30">
        <v>0.24650666666666665</v>
      </c>
      <c r="O373" s="29">
        <v>1</v>
      </c>
      <c r="R373" s="27">
        <v>42</v>
      </c>
      <c r="S373" s="28" t="s">
        <v>896</v>
      </c>
      <c r="T373" s="28" t="s">
        <v>382</v>
      </c>
      <c r="U373" s="28">
        <v>1E-4</v>
      </c>
      <c r="V373" s="28">
        <v>2.8400000000000002E-2</v>
      </c>
      <c r="W373" s="28">
        <v>3.7900000000000003E-2</v>
      </c>
      <c r="X373" s="28">
        <v>-1E-4</v>
      </c>
      <c r="Y373" s="28">
        <v>-2.8400000000000002E-2</v>
      </c>
      <c r="Z373" s="28">
        <v>-3.7900000000000003E-2</v>
      </c>
      <c r="AA373" s="29">
        <v>300</v>
      </c>
      <c r="AB373" s="29">
        <v>475</v>
      </c>
      <c r="AC373" s="30">
        <v>44.617100000000001</v>
      </c>
      <c r="AD373" s="30">
        <v>0.17891568922305764</v>
      </c>
      <c r="AE373" s="29">
        <v>1</v>
      </c>
    </row>
    <row r="374" spans="2:31" x14ac:dyDescent="0.2">
      <c r="B374" s="27">
        <v>58</v>
      </c>
      <c r="C374" s="28" t="s">
        <v>898</v>
      </c>
      <c r="D374" s="28" t="s">
        <v>380</v>
      </c>
      <c r="E374" s="28">
        <v>1E-4</v>
      </c>
      <c r="F374" s="28">
        <v>2.7799999999999998E-2</v>
      </c>
      <c r="G374" s="28">
        <v>3.6999999999999998E-2</v>
      </c>
      <c r="H374" s="28">
        <v>-1E-4</v>
      </c>
      <c r="I374" s="28">
        <v>-2.7799999999999998E-2</v>
      </c>
      <c r="J374" s="28">
        <v>-3.6999999999999998E-2</v>
      </c>
      <c r="K374" s="29">
        <v>300</v>
      </c>
      <c r="L374" s="29">
        <v>475</v>
      </c>
      <c r="M374" s="30">
        <v>-34.326300000000003</v>
      </c>
      <c r="N374" s="30">
        <v>0.13764932330827068</v>
      </c>
      <c r="O374" s="29">
        <v>1</v>
      </c>
      <c r="R374" s="27">
        <v>58</v>
      </c>
      <c r="S374" s="28" t="s">
        <v>898</v>
      </c>
      <c r="T374" s="28" t="s">
        <v>380</v>
      </c>
      <c r="U374" s="28">
        <v>1E-4</v>
      </c>
      <c r="V374" s="28">
        <v>2.7799999999999998E-2</v>
      </c>
      <c r="W374" s="28">
        <v>3.6999999999999998E-2</v>
      </c>
      <c r="X374" s="28">
        <v>-1E-4</v>
      </c>
      <c r="Y374" s="28">
        <v>-2.7799999999999998E-2</v>
      </c>
      <c r="Z374" s="28">
        <v>-3.6999999999999998E-2</v>
      </c>
      <c r="AA374" s="29">
        <v>300</v>
      </c>
      <c r="AB374" s="29">
        <v>475</v>
      </c>
      <c r="AC374" s="30">
        <v>-34.344099999999997</v>
      </c>
      <c r="AD374" s="30">
        <v>0.13772070175438597</v>
      </c>
      <c r="AE374" s="29">
        <v>1</v>
      </c>
    </row>
    <row r="375" spans="2:31" x14ac:dyDescent="0.2">
      <c r="B375" s="27">
        <v>58</v>
      </c>
      <c r="C375" s="28" t="s">
        <v>899</v>
      </c>
      <c r="D375" s="28" t="s">
        <v>382</v>
      </c>
      <c r="E375" s="28">
        <v>1E-4</v>
      </c>
      <c r="F375" s="28">
        <v>2.7799999999999998E-2</v>
      </c>
      <c r="G375" s="28">
        <v>3.6999999999999998E-2</v>
      </c>
      <c r="H375" s="28">
        <v>-1E-4</v>
      </c>
      <c r="I375" s="28">
        <v>-2.8000000000000001E-2</v>
      </c>
      <c r="J375" s="28">
        <v>-3.73E-2</v>
      </c>
      <c r="K375" s="29">
        <v>300</v>
      </c>
      <c r="L375" s="29">
        <v>475</v>
      </c>
      <c r="M375" s="30">
        <v>61.4726</v>
      </c>
      <c r="N375" s="30">
        <v>0.24650666666666665</v>
      </c>
      <c r="O375" s="29">
        <v>1</v>
      </c>
      <c r="R375" s="27">
        <v>58</v>
      </c>
      <c r="S375" s="28" t="s">
        <v>899</v>
      </c>
      <c r="T375" s="28" t="s">
        <v>382</v>
      </c>
      <c r="U375" s="28">
        <v>1E-4</v>
      </c>
      <c r="V375" s="28">
        <v>2.7799999999999998E-2</v>
      </c>
      <c r="W375" s="28">
        <v>3.6999999999999998E-2</v>
      </c>
      <c r="X375" s="28">
        <v>-1E-4</v>
      </c>
      <c r="Y375" s="28">
        <v>-2.8000000000000001E-2</v>
      </c>
      <c r="Z375" s="28">
        <v>-3.73E-2</v>
      </c>
      <c r="AA375" s="29">
        <v>300</v>
      </c>
      <c r="AB375" s="29">
        <v>475</v>
      </c>
      <c r="AC375" s="30">
        <v>44.617100000000001</v>
      </c>
      <c r="AD375" s="30">
        <v>0.17891568922305764</v>
      </c>
      <c r="AE375" s="29">
        <v>1</v>
      </c>
    </row>
    <row r="376" spans="2:31" x14ac:dyDescent="0.2">
      <c r="B376" s="27">
        <v>59</v>
      </c>
      <c r="C376" s="28" t="s">
        <v>901</v>
      </c>
      <c r="D376" s="28" t="s">
        <v>380</v>
      </c>
      <c r="E376" s="28">
        <v>1E-4</v>
      </c>
      <c r="F376" s="28">
        <v>2.7799999999999998E-2</v>
      </c>
      <c r="G376" s="28">
        <v>3.6999999999999998E-2</v>
      </c>
      <c r="H376" s="28">
        <v>-1E-4</v>
      </c>
      <c r="I376" s="28">
        <v>-2.8000000000000001E-2</v>
      </c>
      <c r="J376" s="28">
        <v>-3.73E-2</v>
      </c>
      <c r="K376" s="29">
        <v>300</v>
      </c>
      <c r="L376" s="29">
        <v>475</v>
      </c>
      <c r="M376" s="30">
        <v>-37.359900000000003</v>
      </c>
      <c r="N376" s="30">
        <v>0.14981413533834587</v>
      </c>
      <c r="O376" s="29">
        <v>1</v>
      </c>
      <c r="R376" s="27">
        <v>59</v>
      </c>
      <c r="S376" s="28" t="s">
        <v>901</v>
      </c>
      <c r="T376" s="28" t="s">
        <v>380</v>
      </c>
      <c r="U376" s="28">
        <v>1E-4</v>
      </c>
      <c r="V376" s="28">
        <v>2.7799999999999998E-2</v>
      </c>
      <c r="W376" s="28">
        <v>3.6999999999999998E-2</v>
      </c>
      <c r="X376" s="28">
        <v>-1E-4</v>
      </c>
      <c r="Y376" s="28">
        <v>-2.8000000000000001E-2</v>
      </c>
      <c r="Z376" s="28">
        <v>-3.73E-2</v>
      </c>
      <c r="AA376" s="29">
        <v>300</v>
      </c>
      <c r="AB376" s="29">
        <v>475</v>
      </c>
      <c r="AC376" s="30">
        <v>-37.380200000000002</v>
      </c>
      <c r="AD376" s="30">
        <v>0.14989553884711782</v>
      </c>
      <c r="AE376" s="29">
        <v>1</v>
      </c>
    </row>
    <row r="377" spans="2:31" x14ac:dyDescent="0.2">
      <c r="B377" s="27">
        <v>59</v>
      </c>
      <c r="C377" s="28" t="s">
        <v>902</v>
      </c>
      <c r="D377" s="28" t="s">
        <v>382</v>
      </c>
      <c r="E377" s="28">
        <v>1E-4</v>
      </c>
      <c r="F377" s="28">
        <v>2.7799999999999998E-2</v>
      </c>
      <c r="G377" s="28">
        <v>3.6999999999999998E-2</v>
      </c>
      <c r="H377" s="28">
        <v>-1E-4</v>
      </c>
      <c r="I377" s="28">
        <v>-2.8000000000000001E-2</v>
      </c>
      <c r="J377" s="28">
        <v>-3.73E-2</v>
      </c>
      <c r="K377" s="29">
        <v>300</v>
      </c>
      <c r="L377" s="29">
        <v>475</v>
      </c>
      <c r="M377" s="30">
        <v>61.4726</v>
      </c>
      <c r="N377" s="30">
        <v>0.24650666666666665</v>
      </c>
      <c r="O377" s="29">
        <v>1</v>
      </c>
      <c r="R377" s="27">
        <v>59</v>
      </c>
      <c r="S377" s="28" t="s">
        <v>902</v>
      </c>
      <c r="T377" s="28" t="s">
        <v>382</v>
      </c>
      <c r="U377" s="28">
        <v>1E-4</v>
      </c>
      <c r="V377" s="28">
        <v>2.7799999999999998E-2</v>
      </c>
      <c r="W377" s="28">
        <v>3.6999999999999998E-2</v>
      </c>
      <c r="X377" s="28">
        <v>-1E-4</v>
      </c>
      <c r="Y377" s="28">
        <v>-2.8000000000000001E-2</v>
      </c>
      <c r="Z377" s="28">
        <v>-3.73E-2</v>
      </c>
      <c r="AA377" s="29">
        <v>300</v>
      </c>
      <c r="AB377" s="29">
        <v>475</v>
      </c>
      <c r="AC377" s="30">
        <v>44.617100000000001</v>
      </c>
      <c r="AD377" s="30">
        <v>0.17891568922305764</v>
      </c>
      <c r="AE377" s="29">
        <v>1</v>
      </c>
    </row>
    <row r="378" spans="2:31" x14ac:dyDescent="0.2">
      <c r="B378" s="27">
        <v>60</v>
      </c>
      <c r="C378" s="28" t="s">
        <v>903</v>
      </c>
      <c r="D378" s="28" t="s">
        <v>380</v>
      </c>
      <c r="E378" s="28">
        <v>1E-4</v>
      </c>
      <c r="F378" s="28">
        <v>2.7799999999999998E-2</v>
      </c>
      <c r="G378" s="28">
        <v>3.6999999999999998E-2</v>
      </c>
      <c r="H378" s="28">
        <v>-1E-4</v>
      </c>
      <c r="I378" s="28">
        <v>-2.8000000000000001E-2</v>
      </c>
      <c r="J378" s="28">
        <v>-3.73E-2</v>
      </c>
      <c r="K378" s="29">
        <v>300</v>
      </c>
      <c r="L378" s="29">
        <v>475</v>
      </c>
      <c r="M378" s="30">
        <v>-34.498199999999997</v>
      </c>
      <c r="N378" s="30">
        <v>0.13833864661654136</v>
      </c>
      <c r="O378" s="29">
        <v>1</v>
      </c>
      <c r="R378" s="27">
        <v>60</v>
      </c>
      <c r="S378" s="28" t="s">
        <v>903</v>
      </c>
      <c r="T378" s="28" t="s">
        <v>380</v>
      </c>
      <c r="U378" s="28">
        <v>1E-4</v>
      </c>
      <c r="V378" s="28">
        <v>2.7799999999999998E-2</v>
      </c>
      <c r="W378" s="28">
        <v>3.6999999999999998E-2</v>
      </c>
      <c r="X378" s="28">
        <v>-1E-4</v>
      </c>
      <c r="Y378" s="28">
        <v>-2.8000000000000001E-2</v>
      </c>
      <c r="Z378" s="28">
        <v>-3.73E-2</v>
      </c>
      <c r="AA378" s="29">
        <v>300</v>
      </c>
      <c r="AB378" s="29">
        <v>475</v>
      </c>
      <c r="AC378" s="30">
        <v>-34.518900000000002</v>
      </c>
      <c r="AD378" s="30">
        <v>0.13842165413533836</v>
      </c>
      <c r="AE378" s="29">
        <v>1</v>
      </c>
    </row>
    <row r="379" spans="2:31" x14ac:dyDescent="0.2">
      <c r="B379" s="27">
        <v>60</v>
      </c>
      <c r="C379" s="28" t="s">
        <v>904</v>
      </c>
      <c r="D379" s="28" t="s">
        <v>382</v>
      </c>
      <c r="E379" s="28">
        <v>1E-4</v>
      </c>
      <c r="F379" s="28">
        <v>2.7799999999999998E-2</v>
      </c>
      <c r="G379" s="28">
        <v>3.6999999999999998E-2</v>
      </c>
      <c r="H379" s="28">
        <v>-1E-4</v>
      </c>
      <c r="I379" s="28">
        <v>-2.8000000000000001E-2</v>
      </c>
      <c r="J379" s="28">
        <v>-3.73E-2</v>
      </c>
      <c r="K379" s="29">
        <v>300</v>
      </c>
      <c r="L379" s="29">
        <v>475</v>
      </c>
      <c r="M379" s="30">
        <v>61.4726</v>
      </c>
      <c r="N379" s="30">
        <v>0.24650666666666665</v>
      </c>
      <c r="O379" s="29">
        <v>1</v>
      </c>
      <c r="R379" s="27">
        <v>60</v>
      </c>
      <c r="S379" s="28" t="s">
        <v>904</v>
      </c>
      <c r="T379" s="28" t="s">
        <v>382</v>
      </c>
      <c r="U379" s="28">
        <v>1E-4</v>
      </c>
      <c r="V379" s="28">
        <v>2.7799999999999998E-2</v>
      </c>
      <c r="W379" s="28">
        <v>3.6999999999999998E-2</v>
      </c>
      <c r="X379" s="28">
        <v>-1E-4</v>
      </c>
      <c r="Y379" s="28">
        <v>-2.8000000000000001E-2</v>
      </c>
      <c r="Z379" s="28">
        <v>-3.73E-2</v>
      </c>
      <c r="AA379" s="29">
        <v>300</v>
      </c>
      <c r="AB379" s="29">
        <v>475</v>
      </c>
      <c r="AC379" s="30">
        <v>44.617100000000001</v>
      </c>
      <c r="AD379" s="30">
        <v>0.17891568922305764</v>
      </c>
      <c r="AE379" s="29">
        <v>1</v>
      </c>
    </row>
    <row r="380" spans="2:31" x14ac:dyDescent="0.2">
      <c r="B380" s="27">
        <v>61</v>
      </c>
      <c r="C380" s="28" t="s">
        <v>905</v>
      </c>
      <c r="D380" s="28" t="s">
        <v>380</v>
      </c>
      <c r="E380" s="28">
        <v>1E-4</v>
      </c>
      <c r="F380" s="28">
        <v>2.7799999999999998E-2</v>
      </c>
      <c r="G380" s="28">
        <v>3.6999999999999998E-2</v>
      </c>
      <c r="H380" s="28">
        <v>-1E-4</v>
      </c>
      <c r="I380" s="28">
        <v>-2.8000000000000001E-2</v>
      </c>
      <c r="J380" s="28">
        <v>-3.73E-2</v>
      </c>
      <c r="K380" s="29">
        <v>300</v>
      </c>
      <c r="L380" s="29">
        <v>475</v>
      </c>
      <c r="M380" s="30">
        <v>-34.161999999999999</v>
      </c>
      <c r="N380" s="30">
        <v>0.13699047619047619</v>
      </c>
      <c r="O380" s="29">
        <v>1</v>
      </c>
      <c r="R380" s="27">
        <v>61</v>
      </c>
      <c r="S380" s="28" t="s">
        <v>905</v>
      </c>
      <c r="T380" s="28" t="s">
        <v>380</v>
      </c>
      <c r="U380" s="28">
        <v>1E-4</v>
      </c>
      <c r="V380" s="28">
        <v>2.7799999999999998E-2</v>
      </c>
      <c r="W380" s="28">
        <v>3.6999999999999998E-2</v>
      </c>
      <c r="X380" s="28">
        <v>-1E-4</v>
      </c>
      <c r="Y380" s="28">
        <v>-2.8000000000000001E-2</v>
      </c>
      <c r="Z380" s="28">
        <v>-3.73E-2</v>
      </c>
      <c r="AA380" s="29">
        <v>300</v>
      </c>
      <c r="AB380" s="29">
        <v>475</v>
      </c>
      <c r="AC380" s="30">
        <v>-34.181800000000003</v>
      </c>
      <c r="AD380" s="30">
        <v>0.1370698746867168</v>
      </c>
      <c r="AE380" s="29">
        <v>1</v>
      </c>
    </row>
    <row r="381" spans="2:31" x14ac:dyDescent="0.2">
      <c r="B381" s="27">
        <v>61</v>
      </c>
      <c r="C381" s="28" t="s">
        <v>906</v>
      </c>
      <c r="D381" s="28" t="s">
        <v>382</v>
      </c>
      <c r="E381" s="28">
        <v>1E-4</v>
      </c>
      <c r="F381" s="28">
        <v>2.7799999999999998E-2</v>
      </c>
      <c r="G381" s="28">
        <v>3.6999999999999998E-2</v>
      </c>
      <c r="H381" s="28">
        <v>-1E-4</v>
      </c>
      <c r="I381" s="28">
        <v>-2.8000000000000001E-2</v>
      </c>
      <c r="J381" s="28">
        <v>-3.73E-2</v>
      </c>
      <c r="K381" s="29">
        <v>300</v>
      </c>
      <c r="L381" s="29">
        <v>475</v>
      </c>
      <c r="M381" s="30">
        <v>61.4726</v>
      </c>
      <c r="N381" s="30">
        <v>0.24650666666666665</v>
      </c>
      <c r="O381" s="29">
        <v>1</v>
      </c>
      <c r="R381" s="27">
        <v>61</v>
      </c>
      <c r="S381" s="28" t="s">
        <v>906</v>
      </c>
      <c r="T381" s="28" t="s">
        <v>382</v>
      </c>
      <c r="U381" s="28">
        <v>1E-4</v>
      </c>
      <c r="V381" s="28">
        <v>2.7799999999999998E-2</v>
      </c>
      <c r="W381" s="28">
        <v>3.6999999999999998E-2</v>
      </c>
      <c r="X381" s="28">
        <v>-1E-4</v>
      </c>
      <c r="Y381" s="28">
        <v>-2.8000000000000001E-2</v>
      </c>
      <c r="Z381" s="28">
        <v>-3.73E-2</v>
      </c>
      <c r="AA381" s="29">
        <v>300</v>
      </c>
      <c r="AB381" s="29">
        <v>475</v>
      </c>
      <c r="AC381" s="30">
        <v>44.617100000000001</v>
      </c>
      <c r="AD381" s="30">
        <v>0.17891568922305764</v>
      </c>
      <c r="AE381" s="29">
        <v>1</v>
      </c>
    </row>
    <row r="382" spans="2:31" x14ac:dyDescent="0.2">
      <c r="B382" s="27">
        <v>62</v>
      </c>
      <c r="C382" s="28" t="s">
        <v>908</v>
      </c>
      <c r="D382" s="28" t="s">
        <v>380</v>
      </c>
      <c r="E382" s="28">
        <v>1E-4</v>
      </c>
      <c r="F382" s="28">
        <v>2.7799999999999998E-2</v>
      </c>
      <c r="G382" s="28">
        <v>3.6999999999999998E-2</v>
      </c>
      <c r="H382" s="28">
        <v>-1E-4</v>
      </c>
      <c r="I382" s="28">
        <v>-2.8000000000000001E-2</v>
      </c>
      <c r="J382" s="28">
        <v>-3.73E-2</v>
      </c>
      <c r="K382" s="29">
        <v>300</v>
      </c>
      <c r="L382" s="29">
        <v>475</v>
      </c>
      <c r="M382" s="30">
        <v>-37.997700000000002</v>
      </c>
      <c r="N382" s="30">
        <v>0.15237172932330828</v>
      </c>
      <c r="O382" s="29">
        <v>1</v>
      </c>
      <c r="R382" s="27">
        <v>62</v>
      </c>
      <c r="S382" s="28" t="s">
        <v>908</v>
      </c>
      <c r="T382" s="28" t="s">
        <v>380</v>
      </c>
      <c r="U382" s="28">
        <v>1E-4</v>
      </c>
      <c r="V382" s="28">
        <v>2.7799999999999998E-2</v>
      </c>
      <c r="W382" s="28">
        <v>3.6999999999999998E-2</v>
      </c>
      <c r="X382" s="28">
        <v>-1E-4</v>
      </c>
      <c r="Y382" s="28">
        <v>-2.8000000000000001E-2</v>
      </c>
      <c r="Z382" s="28">
        <v>-3.73E-2</v>
      </c>
      <c r="AA382" s="29">
        <v>300</v>
      </c>
      <c r="AB382" s="29">
        <v>475</v>
      </c>
      <c r="AC382" s="30">
        <v>-38.0154</v>
      </c>
      <c r="AD382" s="30">
        <v>0.15244270676691729</v>
      </c>
      <c r="AE382" s="29">
        <v>1</v>
      </c>
    </row>
    <row r="383" spans="2:31" x14ac:dyDescent="0.2">
      <c r="B383" s="27">
        <v>62</v>
      </c>
      <c r="C383" s="28" t="s">
        <v>909</v>
      </c>
      <c r="D383" s="28" t="s">
        <v>382</v>
      </c>
      <c r="E383" s="28">
        <v>1E-4</v>
      </c>
      <c r="F383" s="28">
        <v>2.7799999999999998E-2</v>
      </c>
      <c r="G383" s="28">
        <v>3.6999999999999998E-2</v>
      </c>
      <c r="H383" s="28">
        <v>-1E-4</v>
      </c>
      <c r="I383" s="28">
        <v>-2.7799999999999998E-2</v>
      </c>
      <c r="J383" s="28">
        <v>-3.6999999999999998E-2</v>
      </c>
      <c r="K383" s="29">
        <v>300</v>
      </c>
      <c r="L383" s="29">
        <v>475</v>
      </c>
      <c r="M383" s="30">
        <v>61.4726</v>
      </c>
      <c r="N383" s="30">
        <v>0.24650666666666665</v>
      </c>
      <c r="O383" s="29">
        <v>1</v>
      </c>
      <c r="R383" s="27">
        <v>62</v>
      </c>
      <c r="S383" s="28" t="s">
        <v>909</v>
      </c>
      <c r="T383" s="28" t="s">
        <v>382</v>
      </c>
      <c r="U383" s="28">
        <v>1E-4</v>
      </c>
      <c r="V383" s="28">
        <v>2.7799999999999998E-2</v>
      </c>
      <c r="W383" s="28">
        <v>3.6999999999999998E-2</v>
      </c>
      <c r="X383" s="28">
        <v>-1E-4</v>
      </c>
      <c r="Y383" s="28">
        <v>-2.7799999999999998E-2</v>
      </c>
      <c r="Z383" s="28">
        <v>-3.6999999999999998E-2</v>
      </c>
      <c r="AA383" s="29">
        <v>300</v>
      </c>
      <c r="AB383" s="29">
        <v>475</v>
      </c>
      <c r="AC383" s="30">
        <v>44.617100000000001</v>
      </c>
      <c r="AD383" s="30">
        <v>0.17891568922305764</v>
      </c>
      <c r="AE38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B2:B3"/>
    <mergeCell ref="C2:C3"/>
    <mergeCell ref="D2:D3"/>
    <mergeCell ref="E2:G2"/>
    <mergeCell ref="N2:N3"/>
    <mergeCell ref="O2:O3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5546875" defaultRowHeight="13.9" customHeight="1" x14ac:dyDescent="0.25"/>
  <cols>
    <col min="1" max="1" width="5.7109375" style="4" customWidth="1"/>
    <col min="2" max="5" width="10.7109375" style="4" customWidth="1"/>
    <col min="6" max="16384" width="8.85546875" style="4"/>
  </cols>
  <sheetData>
    <row r="1" spans="1:5" ht="13.9" customHeight="1" x14ac:dyDescent="0.25">
      <c r="A1" s="31"/>
    </row>
    <row r="2" spans="1:5" ht="13.9" customHeight="1" x14ac:dyDescent="0.25">
      <c r="B2" s="61" t="s">
        <v>126</v>
      </c>
      <c r="C2" s="62"/>
      <c r="D2" s="62"/>
      <c r="E2" s="63"/>
    </row>
    <row r="3" spans="1:5" ht="13.9" customHeight="1" x14ac:dyDescent="0.25">
      <c r="B3" s="64"/>
      <c r="C3" s="65"/>
      <c r="D3" s="65"/>
      <c r="E3" s="66"/>
    </row>
    <row r="4" spans="1:5" ht="13.9" customHeight="1" x14ac:dyDescent="0.25">
      <c r="B4" s="32" t="s">
        <v>940</v>
      </c>
      <c r="C4" s="67">
        <f>'İtme Analizi'!$C$2</f>
        <v>0.34699999999999998</v>
      </c>
      <c r="D4" s="67"/>
      <c r="E4" s="67"/>
    </row>
    <row r="5" spans="1:5" ht="13.9" customHeight="1" x14ac:dyDescent="0.25">
      <c r="B5" s="33" t="s">
        <v>941</v>
      </c>
      <c r="C5" s="68">
        <f>'İtme Analizi'!$C$3</f>
        <v>9.2999999999999999E-2</v>
      </c>
      <c r="D5" s="68"/>
      <c r="E5" s="68"/>
    </row>
    <row r="6" spans="1:5" ht="13.9" customHeight="1" x14ac:dyDescent="0.25">
      <c r="B6" s="34" t="s">
        <v>0</v>
      </c>
      <c r="C6" s="34" t="s">
        <v>942</v>
      </c>
      <c r="D6" s="34" t="s">
        <v>942</v>
      </c>
      <c r="E6" s="34" t="s">
        <v>943</v>
      </c>
    </row>
    <row r="7" spans="1:5" ht="13.9" customHeight="1" x14ac:dyDescent="0.25">
      <c r="B7" s="25" t="s">
        <v>4</v>
      </c>
      <c r="C7" s="25" t="s">
        <v>5</v>
      </c>
      <c r="D7" s="25" t="s">
        <v>944</v>
      </c>
      <c r="E7" s="25" t="s">
        <v>6</v>
      </c>
    </row>
    <row r="8" spans="1:5" ht="13.9" customHeight="1" x14ac:dyDescent="0.25">
      <c r="B8" s="29">
        <v>0</v>
      </c>
      <c r="C8" s="30">
        <f>(0.4+0.6*$B$8/$B$9)*$C$4</f>
        <v>0.13880000000000001</v>
      </c>
      <c r="D8" s="30">
        <f>C8*9.8067</f>
        <v>1.36116996</v>
      </c>
      <c r="E8" s="30">
        <f>((B8^2)/(4*PI()^2))*D8</f>
        <v>0</v>
      </c>
    </row>
    <row r="9" spans="1:5" ht="13.9" customHeight="1" x14ac:dyDescent="0.25">
      <c r="B9" s="35">
        <f>0.2*$C$5/$C$4</f>
        <v>5.3602305475504333E-2</v>
      </c>
      <c r="C9" s="30">
        <f>$C$4</f>
        <v>0.34699999999999998</v>
      </c>
      <c r="D9" s="30">
        <f>C9*9.8067</f>
        <v>3.4029248999999995</v>
      </c>
      <c r="E9" s="30">
        <f t="shared" ref="E9:E72" si="0">((B9^2)/(4*PI()^2))*D9</f>
        <v>2.4766210893681102E-4</v>
      </c>
    </row>
    <row r="10" spans="1:5" ht="13.9" customHeight="1" x14ac:dyDescent="0.25">
      <c r="B10" s="36">
        <f>$C$5/$C$4</f>
        <v>0.26801152737752165</v>
      </c>
      <c r="C10" s="30">
        <f>$C$9</f>
        <v>0.34699999999999998</v>
      </c>
      <c r="D10" s="30">
        <f>C10*9.8067</f>
        <v>3.4029248999999995</v>
      </c>
      <c r="E10" s="30">
        <f t="shared" si="0"/>
        <v>6.1915527234202745E-3</v>
      </c>
    </row>
    <row r="11" spans="1:5" ht="13.9" customHeight="1" x14ac:dyDescent="0.25">
      <c r="B11" s="29">
        <f>B10+0.01</f>
        <v>0.27801152737752166</v>
      </c>
      <c r="C11" s="30">
        <f>IF(B11&lt;6,$C$5/B11,6*$C$5/B11^2)</f>
        <v>0.33451850316160459</v>
      </c>
      <c r="D11" s="30">
        <f t="shared" ref="D11:D72" si="1">C11*9.8067</f>
        <v>3.2805226049549074</v>
      </c>
      <c r="E11" s="30">
        <f t="shared" si="0"/>
        <v>6.42257087342316E-3</v>
      </c>
    </row>
    <row r="12" spans="1:5" ht="13.9" customHeight="1" x14ac:dyDescent="0.25">
      <c r="B12" s="29">
        <f>B11+0.01</f>
        <v>0.28801152737752167</v>
      </c>
      <c r="C12" s="30">
        <f>IF(B12&lt;6,$C$5/B12,6*$C$5/B12^2)</f>
        <v>0.32290374224534713</v>
      </c>
      <c r="D12" s="30">
        <f t="shared" si="1"/>
        <v>3.1666201290774456</v>
      </c>
      <c r="E12" s="30">
        <f t="shared" si="0"/>
        <v>6.6535890234260446E-3</v>
      </c>
    </row>
    <row r="13" spans="1:5" ht="13.9" customHeight="1" x14ac:dyDescent="0.25">
      <c r="B13" s="29">
        <f>B12+0.01</f>
        <v>0.29801152737752168</v>
      </c>
      <c r="C13" s="30">
        <f t="shared" ref="C13:C76" si="2">IF(B13&lt;6,$C$5/B13,6*$C$5/B13^2)</f>
        <v>0.31206846533217281</v>
      </c>
      <c r="D13" s="30">
        <f t="shared" si="1"/>
        <v>3.0603618189730191</v>
      </c>
      <c r="E13" s="30">
        <f t="shared" si="0"/>
        <v>6.8846071734289319E-3</v>
      </c>
    </row>
    <row r="14" spans="1:5" ht="13.9" customHeight="1" x14ac:dyDescent="0.25">
      <c r="B14" s="29">
        <f t="shared" ref="B14:B77" si="3">B13+0.01</f>
        <v>0.30801152737752169</v>
      </c>
      <c r="C14" s="30">
        <f t="shared" si="2"/>
        <v>0.30193675149700594</v>
      </c>
      <c r="D14" s="30">
        <f>C14*9.8067</f>
        <v>2.9610031409056878</v>
      </c>
      <c r="E14" s="30">
        <f t="shared" si="0"/>
        <v>7.1156253234318165E-3</v>
      </c>
    </row>
    <row r="15" spans="1:5" ht="13.9" customHeight="1" x14ac:dyDescent="0.25">
      <c r="B15" s="29">
        <f t="shared" si="3"/>
        <v>0.3180115273775217</v>
      </c>
      <c r="C15" s="30">
        <f t="shared" si="2"/>
        <v>0.29244222927050284</v>
      </c>
      <c r="D15" s="30">
        <f>C15*9.8067</f>
        <v>2.8678932097870402</v>
      </c>
      <c r="E15" s="30">
        <f t="shared" si="0"/>
        <v>7.3466434734347028E-3</v>
      </c>
    </row>
    <row r="16" spans="1:5" ht="13.9" customHeight="1" x14ac:dyDescent="0.25">
      <c r="B16" s="29">
        <f t="shared" si="3"/>
        <v>0.32801152737752171</v>
      </c>
      <c r="C16" s="30">
        <f t="shared" si="2"/>
        <v>0.28352662098049541</v>
      </c>
      <c r="D16" s="30">
        <f t="shared" si="1"/>
        <v>2.7804605139694241</v>
      </c>
      <c r="E16" s="30">
        <f t="shared" si="0"/>
        <v>7.5776616234375874E-3</v>
      </c>
    </row>
    <row r="17" spans="2:5" ht="13.9" customHeight="1" x14ac:dyDescent="0.25">
      <c r="B17" s="29">
        <f t="shared" si="3"/>
        <v>0.33801152737752171</v>
      </c>
      <c r="C17" s="30">
        <f>IF(B17&lt;6,$C$5/B17,6*$C$5/B17^2)</f>
        <v>0.27513854548554856</v>
      </c>
      <c r="D17" s="30">
        <f t="shared" si="1"/>
        <v>2.6982011740131289</v>
      </c>
      <c r="E17" s="30">
        <f t="shared" si="0"/>
        <v>7.8086797734404738E-3</v>
      </c>
    </row>
    <row r="18" spans="2:5" ht="13.9" customHeight="1" x14ac:dyDescent="0.25">
      <c r="B18" s="29">
        <f t="shared" si="3"/>
        <v>0.34801152737752172</v>
      </c>
      <c r="C18" s="30">
        <f t="shared" si="2"/>
        <v>0.26723252732692937</v>
      </c>
      <c r="D18" s="30">
        <f t="shared" si="1"/>
        <v>2.6206692257369979</v>
      </c>
      <c r="E18" s="30">
        <f t="shared" si="0"/>
        <v>8.0396979234433584E-3</v>
      </c>
    </row>
    <row r="19" spans="2:5" ht="13.9" customHeight="1" x14ac:dyDescent="0.25">
      <c r="B19" s="29">
        <f t="shared" si="3"/>
        <v>0.35801152737752173</v>
      </c>
      <c r="C19" s="30">
        <f t="shared" si="2"/>
        <v>0.25976817193914503</v>
      </c>
      <c r="D19" s="30">
        <f t="shared" si="1"/>
        <v>2.5474685317556136</v>
      </c>
      <c r="E19" s="30">
        <f t="shared" si="0"/>
        <v>8.2707160734462448E-3</v>
      </c>
    </row>
    <row r="20" spans="2:5" ht="13.9" customHeight="1" x14ac:dyDescent="0.25">
      <c r="B20" s="29">
        <f t="shared" si="3"/>
        <v>0.36801152737752174</v>
      </c>
      <c r="C20" s="30">
        <f t="shared" si="2"/>
        <v>0.25270947533281118</v>
      </c>
      <c r="D20" s="30">
        <f t="shared" si="1"/>
        <v>2.4782460117462795</v>
      </c>
      <c r="E20" s="30">
        <f t="shared" si="0"/>
        <v>8.5017342234491311E-3</v>
      </c>
    </row>
    <row r="21" spans="2:5" ht="13.9" customHeight="1" x14ac:dyDescent="0.25">
      <c r="B21" s="29">
        <f t="shared" si="3"/>
        <v>0.37801152737752175</v>
      </c>
      <c r="C21" s="30">
        <f t="shared" si="2"/>
        <v>0.24602424334832651</v>
      </c>
      <c r="D21" s="30">
        <f t="shared" si="1"/>
        <v>2.4126859472440336</v>
      </c>
      <c r="E21" s="30">
        <f t="shared" si="0"/>
        <v>8.7327523734520174E-3</v>
      </c>
    </row>
    <row r="22" spans="2:5" ht="13.9" customHeight="1" x14ac:dyDescent="0.25">
      <c r="B22" s="29">
        <f t="shared" si="3"/>
        <v>0.38801152737752176</v>
      </c>
      <c r="C22" s="30">
        <f t="shared" si="2"/>
        <v>0.2396836007130124</v>
      </c>
      <c r="D22" s="30">
        <f t="shared" si="1"/>
        <v>2.3505051671122983</v>
      </c>
      <c r="E22" s="30">
        <f t="shared" si="0"/>
        <v>8.9637705234549021E-3</v>
      </c>
    </row>
    <row r="23" spans="2:5" ht="13.9" customHeight="1" x14ac:dyDescent="0.25">
      <c r="B23" s="29">
        <f t="shared" si="3"/>
        <v>0.39801152737752177</v>
      </c>
      <c r="C23" s="30">
        <f t="shared" si="2"/>
        <v>0.2336615741075953</v>
      </c>
      <c r="D23" s="30">
        <f t="shared" si="1"/>
        <v>2.2914489588009546</v>
      </c>
      <c r="E23" s="30">
        <f t="shared" si="0"/>
        <v>9.1947886734577867E-3</v>
      </c>
    </row>
    <row r="24" spans="2:5" ht="13.9" customHeight="1" x14ac:dyDescent="0.25">
      <c r="B24" s="29">
        <f t="shared" si="3"/>
        <v>0.40801152737752178</v>
      </c>
      <c r="C24" s="30">
        <f t="shared" si="2"/>
        <v>0.22793473654470961</v>
      </c>
      <c r="D24" s="30">
        <f t="shared" si="1"/>
        <v>2.2352875808730035</v>
      </c>
      <c r="E24" s="30">
        <f t="shared" si="0"/>
        <v>9.4258068234606748E-3</v>
      </c>
    </row>
    <row r="25" spans="2:5" ht="13.9" customHeight="1" x14ac:dyDescent="0.25">
      <c r="B25" s="29">
        <f t="shared" si="3"/>
        <v>0.41801152737752179</v>
      </c>
      <c r="C25" s="30">
        <f t="shared" si="2"/>
        <v>0.22248190279214056</v>
      </c>
      <c r="D25" s="30">
        <f t="shared" si="1"/>
        <v>2.1818132761116846</v>
      </c>
      <c r="E25" s="30">
        <f t="shared" si="0"/>
        <v>9.6568249734635576E-3</v>
      </c>
    </row>
    <row r="26" spans="2:5" ht="13.9" customHeight="1" x14ac:dyDescent="0.25">
      <c r="B26" s="29">
        <f t="shared" si="3"/>
        <v>0.42801152737752179</v>
      </c>
      <c r="C26" s="30">
        <f t="shared" si="2"/>
        <v>0.21728386749259349</v>
      </c>
      <c r="D26" s="30">
        <f t="shared" si="1"/>
        <v>2.1308377033396164</v>
      </c>
      <c r="E26" s="30">
        <f t="shared" si="0"/>
        <v>9.887843123466444E-3</v>
      </c>
    </row>
    <row r="27" spans="2:5" ht="13.9" customHeight="1" x14ac:dyDescent="0.25">
      <c r="B27" s="29">
        <f t="shared" si="3"/>
        <v>0.4380115273775218</v>
      </c>
      <c r="C27" s="30">
        <f t="shared" si="2"/>
        <v>0.21232317915652335</v>
      </c>
      <c r="D27" s="30">
        <f t="shared" si="1"/>
        <v>2.0821897210342772</v>
      </c>
      <c r="E27" s="30">
        <f t="shared" si="0"/>
        <v>1.0118861273469329E-2</v>
      </c>
    </row>
    <row r="28" spans="2:5" ht="13.9" customHeight="1" x14ac:dyDescent="0.25">
      <c r="B28" s="29">
        <f t="shared" si="3"/>
        <v>0.44801152737752181</v>
      </c>
      <c r="C28" s="30">
        <f t="shared" si="2"/>
        <v>0.2075839444230026</v>
      </c>
      <c r="D28" s="30">
        <f t="shared" si="1"/>
        <v>2.0357134677730593</v>
      </c>
      <c r="E28" s="30">
        <f t="shared" si="0"/>
        <v>1.0349879423472215E-2</v>
      </c>
    </row>
    <row r="29" spans="2:5" ht="13.9" customHeight="1" x14ac:dyDescent="0.25">
      <c r="B29" s="29">
        <f t="shared" si="3"/>
        <v>0.45801152737752182</v>
      </c>
      <c r="C29" s="30">
        <f t="shared" si="2"/>
        <v>0.20305165796262495</v>
      </c>
      <c r="D29" s="30">
        <f>C29*9.8067</f>
        <v>1.991266694142074</v>
      </c>
      <c r="E29" s="30">
        <f t="shared" si="0"/>
        <v>1.0580897573475101E-2</v>
      </c>
    </row>
    <row r="30" spans="2:5" ht="13.9" customHeight="1" x14ac:dyDescent="0.25">
      <c r="B30" s="29">
        <f t="shared" si="3"/>
        <v>0.46801152737752183</v>
      </c>
      <c r="C30" s="30">
        <f t="shared" si="2"/>
        <v>0.19871305418719201</v>
      </c>
      <c r="D30" s="30">
        <f t="shared" si="1"/>
        <v>1.9487193084975358</v>
      </c>
      <c r="E30" s="30">
        <f t="shared" si="0"/>
        <v>1.0811915723477988E-2</v>
      </c>
    </row>
    <row r="31" spans="2:5" ht="13.9" customHeight="1" x14ac:dyDescent="0.25">
      <c r="B31" s="29">
        <f t="shared" si="3"/>
        <v>0.47801152737752184</v>
      </c>
      <c r="C31" s="30">
        <f t="shared" si="2"/>
        <v>0.19455597757279788</v>
      </c>
      <c r="D31" s="30">
        <f t="shared" si="1"/>
        <v>1.9079521052631569</v>
      </c>
      <c r="E31" s="30">
        <f t="shared" si="0"/>
        <v>1.1042933873480874E-2</v>
      </c>
    </row>
    <row r="32" spans="2:5" ht="13.9" customHeight="1" x14ac:dyDescent="0.25">
      <c r="B32" s="29">
        <f t="shared" si="3"/>
        <v>0.48801152737752185</v>
      </c>
      <c r="C32" s="30">
        <f t="shared" si="2"/>
        <v>0.19056926892642012</v>
      </c>
      <c r="D32" s="30">
        <f t="shared" si="1"/>
        <v>1.868855649580724</v>
      </c>
      <c r="E32" s="30">
        <f t="shared" si="0"/>
        <v>1.1273952023483759E-2</v>
      </c>
    </row>
    <row r="33" spans="2:5" ht="13.9" customHeight="1" x14ac:dyDescent="0.25">
      <c r="B33" s="29">
        <f t="shared" si="3"/>
        <v>0.49801152737752186</v>
      </c>
      <c r="C33" s="30">
        <f t="shared" si="2"/>
        <v>0.18674266535501408</v>
      </c>
      <c r="D33" s="30">
        <f t="shared" si="1"/>
        <v>1.8313292963370165</v>
      </c>
      <c r="E33" s="30">
        <f t="shared" si="0"/>
        <v>1.1504970173486643E-2</v>
      </c>
    </row>
    <row r="34" spans="2:5" ht="13.9" customHeight="1" x14ac:dyDescent="0.25">
      <c r="B34" s="29">
        <f t="shared" si="3"/>
        <v>0.50801152737752187</v>
      </c>
      <c r="C34" s="30">
        <f t="shared" si="2"/>
        <v>0.18306671204901284</v>
      </c>
      <c r="D34" s="30">
        <f t="shared" si="1"/>
        <v>1.7952803250510541</v>
      </c>
      <c r="E34" s="30">
        <f t="shared" si="0"/>
        <v>1.173598832348953E-2</v>
      </c>
    </row>
    <row r="35" spans="2:5" ht="13.9" customHeight="1" x14ac:dyDescent="0.25">
      <c r="B35" s="29">
        <f t="shared" si="3"/>
        <v>0.51801152737752187</v>
      </c>
      <c r="C35" s="30">
        <f t="shared" si="2"/>
        <v>0.17953268428372732</v>
      </c>
      <c r="D35" s="30">
        <f t="shared" si="1"/>
        <v>1.7606231749652286</v>
      </c>
      <c r="E35" s="30">
        <f t="shared" si="0"/>
        <v>1.1967006473492416E-2</v>
      </c>
    </row>
    <row r="36" spans="2:5" ht="13.9" customHeight="1" x14ac:dyDescent="0.25">
      <c r="B36" s="29">
        <f t="shared" si="3"/>
        <v>0.52801152737752188</v>
      </c>
      <c r="C36" s="30">
        <f t="shared" si="2"/>
        <v>0.17613251828403004</v>
      </c>
      <c r="D36" s="30">
        <f t="shared" si="1"/>
        <v>1.7272787670559973</v>
      </c>
      <c r="E36" s="30">
        <f t="shared" si="0"/>
        <v>1.2198024623495302E-2</v>
      </c>
    </row>
    <row r="37" spans="2:5" ht="13.9" customHeight="1" x14ac:dyDescent="0.25">
      <c r="B37" s="29">
        <f t="shared" si="3"/>
        <v>0.53801152737752189</v>
      </c>
      <c r="C37" s="30">
        <f t="shared" si="2"/>
        <v>0.17285874979913216</v>
      </c>
      <c r="D37" s="30">
        <f t="shared" si="1"/>
        <v>1.6951739016551493</v>
      </c>
      <c r="E37" s="30">
        <f t="shared" si="0"/>
        <v>1.2429042773498187E-2</v>
      </c>
    </row>
    <row r="38" spans="2:5" ht="13.9" customHeight="1" x14ac:dyDescent="0.25">
      <c r="B38" s="29">
        <f t="shared" si="3"/>
        <v>0.5480115273775219</v>
      </c>
      <c r="C38" s="30">
        <f t="shared" si="2"/>
        <v>0.16970445940260823</v>
      </c>
      <c r="D38" s="30">
        <f t="shared" si="1"/>
        <v>1.664240722023558</v>
      </c>
      <c r="E38" s="30">
        <f t="shared" si="0"/>
        <v>1.2660060923501073E-2</v>
      </c>
    </row>
    <row r="39" spans="2:5" ht="13.9" customHeight="1" x14ac:dyDescent="0.25">
      <c r="B39" s="29">
        <f t="shared" si="3"/>
        <v>0.55801152737752191</v>
      </c>
      <c r="C39" s="30">
        <f t="shared" si="2"/>
        <v>0.16666322367401737</v>
      </c>
      <c r="D39" s="30">
        <f t="shared" si="1"/>
        <v>1.634416235603986</v>
      </c>
      <c r="E39" s="30">
        <f t="shared" si="0"/>
        <v>1.289107907350396E-2</v>
      </c>
    </row>
    <row r="40" spans="2:5" ht="13.9" customHeight="1" x14ac:dyDescent="0.25">
      <c r="B40" s="29">
        <f t="shared" si="3"/>
        <v>0.56801152737752192</v>
      </c>
      <c r="C40" s="30">
        <f t="shared" si="2"/>
        <v>0.16372907153729063</v>
      </c>
      <c r="D40" s="30">
        <f t="shared" si="1"/>
        <v>1.6056418858447479</v>
      </c>
      <c r="E40" s="30">
        <f t="shared" si="0"/>
        <v>1.3122097223506844E-2</v>
      </c>
    </row>
    <row r="41" spans="2:5" ht="13.9" customHeight="1" x14ac:dyDescent="0.25">
      <c r="B41" s="29">
        <f t="shared" si="3"/>
        <v>0.57801152737752193</v>
      </c>
      <c r="C41" s="30">
        <f t="shared" si="2"/>
        <v>0.16089644513137549</v>
      </c>
      <c r="D41" s="30">
        <f t="shared" si="1"/>
        <v>1.5778631684698599</v>
      </c>
      <c r="E41" s="30">
        <f t="shared" si="0"/>
        <v>1.3353115373509731E-2</v>
      </c>
    </row>
    <row r="42" spans="2:5" ht="13.9" customHeight="1" x14ac:dyDescent="0.25">
      <c r="B42" s="29">
        <f t="shared" si="3"/>
        <v>0.58801152737752194</v>
      </c>
      <c r="C42" s="30">
        <f t="shared" si="2"/>
        <v>0.15816016467359331</v>
      </c>
      <c r="D42" s="30">
        <f t="shared" si="1"/>
        <v>1.5510292869045275</v>
      </c>
      <c r="E42" s="30">
        <f t="shared" si="0"/>
        <v>1.3584133523512613E-2</v>
      </c>
    </row>
    <row r="43" spans="2:5" ht="13.9" customHeight="1" x14ac:dyDescent="0.25">
      <c r="B43" s="29">
        <f t="shared" si="3"/>
        <v>0.59801152737752195</v>
      </c>
      <c r="C43" s="30">
        <f t="shared" si="2"/>
        <v>0.15551539684834456</v>
      </c>
      <c r="D43" s="30">
        <f t="shared" si="1"/>
        <v>1.5250928422726604</v>
      </c>
      <c r="E43" s="30">
        <f t="shared" si="0"/>
        <v>1.38151516735155E-2</v>
      </c>
    </row>
    <row r="44" spans="2:5" ht="13.9" customHeight="1" x14ac:dyDescent="0.25">
      <c r="B44" s="29">
        <f t="shared" si="3"/>
        <v>0.60801152737752195</v>
      </c>
      <c r="C44" s="30">
        <f t="shared" si="2"/>
        <v>0.15295762631529047</v>
      </c>
      <c r="D44" s="30">
        <f t="shared" si="1"/>
        <v>1.5000095539861589</v>
      </c>
      <c r="E44" s="30">
        <f t="shared" si="0"/>
        <v>1.4046169823518388E-2</v>
      </c>
    </row>
    <row r="45" spans="2:5" ht="13.9" customHeight="1" x14ac:dyDescent="0.25">
      <c r="B45" s="29">
        <f t="shared" si="3"/>
        <v>0.61801152737752196</v>
      </c>
      <c r="C45" s="30">
        <f t="shared" si="2"/>
        <v>0.15048262998367909</v>
      </c>
      <c r="D45" s="30">
        <f t="shared" si="1"/>
        <v>1.4757380074609456</v>
      </c>
      <c r="E45" s="30">
        <f t="shared" si="0"/>
        <v>1.4277187973521271E-2</v>
      </c>
    </row>
    <row r="46" spans="2:5" ht="13.9" customHeight="1" x14ac:dyDescent="0.25">
      <c r="B46" s="29">
        <f t="shared" si="3"/>
        <v>0.62801152737752197</v>
      </c>
      <c r="C46" s="30">
        <f t="shared" si="2"/>
        <v>0.14808645374449331</v>
      </c>
      <c r="D46" s="30">
        <f t="shared" si="1"/>
        <v>1.4522394259361224</v>
      </c>
      <c r="E46" s="30">
        <f t="shared" si="0"/>
        <v>1.4508206123524157E-2</v>
      </c>
    </row>
    <row r="47" spans="2:5" ht="13.9" customHeight="1" x14ac:dyDescent="0.25">
      <c r="B47" s="29">
        <f t="shared" si="3"/>
        <v>0.63801152737752198</v>
      </c>
      <c r="C47" s="30">
        <f t="shared" si="2"/>
        <v>0.14576539139075831</v>
      </c>
      <c r="D47" s="30">
        <f t="shared" si="1"/>
        <v>1.4294774637517493</v>
      </c>
      <c r="E47" s="30">
        <f t="shared" si="0"/>
        <v>1.4739224273527043E-2</v>
      </c>
    </row>
    <row r="48" spans="2:5" ht="13.9" customHeight="1" x14ac:dyDescent="0.25">
      <c r="B48" s="29">
        <f t="shared" si="3"/>
        <v>0.64801152737752199</v>
      </c>
      <c r="C48" s="30">
        <f t="shared" si="2"/>
        <v>0.14351596548963791</v>
      </c>
      <c r="D48" s="30">
        <f t="shared" si="1"/>
        <v>1.407418018767232</v>
      </c>
      <c r="E48" s="30">
        <f t="shared" si="0"/>
        <v>1.4970242423529932E-2</v>
      </c>
    </row>
    <row r="49" spans="2:5" ht="13.9" customHeight="1" x14ac:dyDescent="0.25">
      <c r="B49" s="29">
        <f t="shared" si="3"/>
        <v>0.658011527377522</v>
      </c>
      <c r="C49" s="30">
        <f t="shared" si="2"/>
        <v>0.14133490999868603</v>
      </c>
      <c r="D49" s="30">
        <f t="shared" si="1"/>
        <v>1.3860290618841142</v>
      </c>
      <c r="E49" s="30">
        <f t="shared" si="0"/>
        <v>1.5201260573532816E-2</v>
      </c>
    </row>
    <row r="50" spans="2:5" ht="13.9" customHeight="1" x14ac:dyDescent="0.25">
      <c r="B50" s="29">
        <f t="shared" si="3"/>
        <v>0.66801152737752201</v>
      </c>
      <c r="C50" s="30">
        <f t="shared" si="2"/>
        <v>0.13921915444348568</v>
      </c>
      <c r="D50" s="30">
        <f t="shared" si="1"/>
        <v>1.365280481880931</v>
      </c>
      <c r="E50" s="30">
        <f t="shared" si="0"/>
        <v>1.5432278723535701E-2</v>
      </c>
    </row>
    <row r="51" spans="2:5" ht="13.9" customHeight="1" x14ac:dyDescent="0.25">
      <c r="B51" s="29">
        <f t="shared" si="3"/>
        <v>0.67801152737752202</v>
      </c>
      <c r="C51" s="30">
        <f t="shared" si="2"/>
        <v>0.13716580949547319</v>
      </c>
      <c r="D51" s="30">
        <f t="shared" si="1"/>
        <v>1.3451439439792567</v>
      </c>
      <c r="E51" s="30">
        <f t="shared" si="0"/>
        <v>1.5663296873538585E-2</v>
      </c>
    </row>
    <row r="52" spans="2:5" ht="13.9" customHeight="1" x14ac:dyDescent="0.25">
      <c r="B52" s="29">
        <f t="shared" si="3"/>
        <v>0.68801152737752203</v>
      </c>
      <c r="C52" s="30">
        <f t="shared" si="2"/>
        <v>0.13517215380748923</v>
      </c>
      <c r="D52" s="30">
        <f t="shared" si="1"/>
        <v>1.3255927607439046</v>
      </c>
      <c r="E52" s="30">
        <f t="shared" si="0"/>
        <v>1.5894315023541473E-2</v>
      </c>
    </row>
    <row r="53" spans="2:5" ht="13.9" customHeight="1" x14ac:dyDescent="0.25">
      <c r="B53" s="29">
        <f t="shared" si="3"/>
        <v>0.69801152737752203</v>
      </c>
      <c r="C53" s="30">
        <f t="shared" si="2"/>
        <v>0.13323562198092556</v>
      </c>
      <c r="D53" s="30">
        <f t="shared" si="1"/>
        <v>1.3066017740803426</v>
      </c>
      <c r="E53" s="30">
        <f t="shared" si="0"/>
        <v>1.6125333173544358E-2</v>
      </c>
    </row>
    <row r="54" spans="2:5" ht="13.9" customHeight="1" x14ac:dyDescent="0.25">
      <c r="B54" s="29">
        <f t="shared" si="3"/>
        <v>0.70801152737752204</v>
      </c>
      <c r="C54" s="30">
        <f t="shared" si="2"/>
        <v>0.13135379355258867</v>
      </c>
      <c r="D54" s="30">
        <f t="shared" si="1"/>
        <v>1.2881472472321711</v>
      </c>
      <c r="E54" s="30">
        <f t="shared" si="0"/>
        <v>1.6356351323547246E-2</v>
      </c>
    </row>
    <row r="55" spans="2:5" ht="13.9" customHeight="1" x14ac:dyDescent="0.25">
      <c r="B55" s="29">
        <f t="shared" si="3"/>
        <v>0.71801152737752205</v>
      </c>
      <c r="C55" s="30">
        <f t="shared" si="2"/>
        <v>0.12952438290186627</v>
      </c>
      <c r="D55" s="30">
        <f t="shared" si="1"/>
        <v>1.2702067658037319</v>
      </c>
      <c r="E55" s="30">
        <f t="shared" si="0"/>
        <v>1.6587369473550131E-2</v>
      </c>
    </row>
    <row r="56" spans="2:5" ht="13.9" customHeight="1" x14ac:dyDescent="0.25">
      <c r="B56" s="29">
        <f t="shared" si="3"/>
        <v>0.72801152737752206</v>
      </c>
      <c r="C56" s="30">
        <f t="shared" si="2"/>
        <v>0.12774522998970778</v>
      </c>
      <c r="D56" s="30">
        <f t="shared" si="1"/>
        <v>1.2527591469400672</v>
      </c>
      <c r="E56" s="30">
        <f t="shared" si="0"/>
        <v>1.6818387623553012E-2</v>
      </c>
    </row>
    <row r="57" spans="2:5" ht="13.9" customHeight="1" x14ac:dyDescent="0.25">
      <c r="B57" s="29">
        <f t="shared" si="3"/>
        <v>0.73801152737752207</v>
      </c>
      <c r="C57" s="30">
        <f t="shared" si="2"/>
        <v>0.12601429185052121</v>
      </c>
      <c r="D57" s="30">
        <f t="shared" si="1"/>
        <v>1.2357843558905062</v>
      </c>
      <c r="E57" s="30">
        <f t="shared" si="0"/>
        <v>1.7049405773555897E-2</v>
      </c>
    </row>
    <row r="58" spans="2:5" ht="13.9" customHeight="1" x14ac:dyDescent="0.25">
      <c r="B58" s="29">
        <f t="shared" si="3"/>
        <v>0.74801152737752208</v>
      </c>
      <c r="C58" s="30">
        <f t="shared" si="2"/>
        <v>0.12432963476652789</v>
      </c>
      <c r="D58" s="30">
        <f t="shared" si="1"/>
        <v>1.2192634292649089</v>
      </c>
      <c r="E58" s="30">
        <f t="shared" si="0"/>
        <v>1.7280423923558785E-2</v>
      </c>
    </row>
    <row r="59" spans="2:5" ht="13.9" customHeight="1" x14ac:dyDescent="0.25">
      <c r="B59" s="29">
        <f t="shared" si="3"/>
        <v>0.75801152737752209</v>
      </c>
      <c r="C59" s="30">
        <f t="shared" si="2"/>
        <v>0.12268942706155184</v>
      </c>
      <c r="D59" s="30">
        <f t="shared" si="1"/>
        <v>1.2031784043645204</v>
      </c>
      <c r="E59" s="30">
        <f t="shared" si="0"/>
        <v>1.7511442073561673E-2</v>
      </c>
    </row>
    <row r="60" spans="2:5" ht="13.9" customHeight="1" x14ac:dyDescent="0.25">
      <c r="B60" s="29">
        <f t="shared" si="3"/>
        <v>0.7680115273775221</v>
      </c>
      <c r="C60" s="30">
        <f t="shared" si="2"/>
        <v>0.12109193245778604</v>
      </c>
      <c r="D60" s="30">
        <f t="shared" si="1"/>
        <v>1.1875122540337704</v>
      </c>
      <c r="E60" s="30">
        <f t="shared" si="0"/>
        <v>1.7742460223564561E-2</v>
      </c>
    </row>
    <row r="61" spans="2:5" ht="13.9" customHeight="1" x14ac:dyDescent="0.25">
      <c r="B61" s="29">
        <f t="shared" si="3"/>
        <v>0.77801152737752211</v>
      </c>
      <c r="C61" s="30">
        <f t="shared" si="2"/>
        <v>0.11953550394488269</v>
      </c>
      <c r="D61" s="30">
        <f t="shared" si="1"/>
        <v>1.1722488265362809</v>
      </c>
      <c r="E61" s="30">
        <f t="shared" si="0"/>
        <v>1.7973478373567442E-2</v>
      </c>
    </row>
    <row r="62" spans="2:5" ht="13.9" customHeight="1" x14ac:dyDescent="0.25">
      <c r="B62" s="29">
        <f t="shared" si="3"/>
        <v>0.78801152737752211</v>
      </c>
      <c r="C62" s="30">
        <f t="shared" si="2"/>
        <v>0.11801857811585716</v>
      </c>
      <c r="D62" s="30">
        <f t="shared" si="1"/>
        <v>1.1573727900087762</v>
      </c>
      <c r="E62" s="30">
        <f t="shared" si="0"/>
        <v>1.820449652357033E-2</v>
      </c>
    </row>
    <row r="63" spans="2:5" ht="13.9" customHeight="1" x14ac:dyDescent="0.25">
      <c r="B63" s="29">
        <f t="shared" si="3"/>
        <v>0.79801152737752212</v>
      </c>
      <c r="C63" s="30">
        <f t="shared" si="2"/>
        <v>0.11653966992885767</v>
      </c>
      <c r="D63" s="30">
        <f t="shared" si="1"/>
        <v>1.1428695810913285</v>
      </c>
      <c r="E63" s="30">
        <f t="shared" si="0"/>
        <v>1.8435514673573218E-2</v>
      </c>
    </row>
    <row r="64" spans="2:5" ht="13.9" customHeight="1" x14ac:dyDescent="0.25">
      <c r="B64" s="29">
        <f t="shared" si="3"/>
        <v>0.80801152737752213</v>
      </c>
      <c r="C64" s="30">
        <f t="shared" si="2"/>
        <v>0.11509736785790706</v>
      </c>
      <c r="D64" s="30">
        <f t="shared" si="1"/>
        <v>1.128725357372137</v>
      </c>
      <c r="E64" s="30">
        <f t="shared" si="0"/>
        <v>1.8666532823576103E-2</v>
      </c>
    </row>
    <row r="65" spans="2:5" ht="13.9" customHeight="1" x14ac:dyDescent="0.25">
      <c r="B65" s="29">
        <f t="shared" si="3"/>
        <v>0.81801152737752214</v>
      </c>
      <c r="C65" s="30">
        <f t="shared" si="2"/>
        <v>0.11369032939933056</v>
      </c>
      <c r="D65" s="30">
        <f t="shared" si="1"/>
        <v>1.1149269533204149</v>
      </c>
      <c r="E65" s="30">
        <f t="shared" si="0"/>
        <v>1.8897550973578987E-2</v>
      </c>
    </row>
    <row r="66" spans="2:5" ht="13.9" customHeight="1" x14ac:dyDescent="0.25">
      <c r="B66" s="29">
        <f t="shared" si="3"/>
        <v>0.82801152737752215</v>
      </c>
      <c r="C66" s="30">
        <f t="shared" si="2"/>
        <v>0.11231727690380057</v>
      </c>
      <c r="D66" s="30">
        <f t="shared" si="1"/>
        <v>1.1014618394125009</v>
      </c>
      <c r="E66" s="30">
        <f t="shared" si="0"/>
        <v>1.9128569123581868E-2</v>
      </c>
    </row>
    <row r="67" spans="2:5" ht="13.9" customHeight="1" x14ac:dyDescent="0.25">
      <c r="B67" s="29">
        <f t="shared" si="3"/>
        <v>0.83801152737752216</v>
      </c>
      <c r="C67" s="30">
        <f t="shared" si="2"/>
        <v>0.11097699370679864</v>
      </c>
      <c r="D67" s="30">
        <f t="shared" si="1"/>
        <v>1.0883180841844622</v>
      </c>
      <c r="E67" s="30">
        <f t="shared" si="0"/>
        <v>1.9359587273584757E-2</v>
      </c>
    </row>
    <row r="68" spans="2:5" ht="13.9" customHeight="1" x14ac:dyDescent="0.25">
      <c r="B68" s="29">
        <f t="shared" si="3"/>
        <v>0.84801152737752217</v>
      </c>
      <c r="C68" s="30">
        <f t="shared" si="2"/>
        <v>0.10966832053286202</v>
      </c>
      <c r="D68" s="30">
        <f t="shared" si="1"/>
        <v>1.0754843189696179</v>
      </c>
      <c r="E68" s="30">
        <f t="shared" si="0"/>
        <v>1.9590605423587641E-2</v>
      </c>
    </row>
    <row r="69" spans="2:5" ht="13.9" customHeight="1" x14ac:dyDescent="0.25">
      <c r="B69" s="29">
        <f t="shared" si="3"/>
        <v>0.85801152737752218</v>
      </c>
      <c r="C69" s="30">
        <f t="shared" si="2"/>
        <v>0.10839015215127794</v>
      </c>
      <c r="D69" s="30">
        <f t="shared" si="1"/>
        <v>1.0629497051019372</v>
      </c>
      <c r="E69" s="30">
        <f t="shared" si="0"/>
        <v>1.9821623573590529E-2</v>
      </c>
    </row>
    <row r="70" spans="2:5" ht="13.9" customHeight="1" x14ac:dyDescent="0.25">
      <c r="B70" s="29">
        <f t="shared" si="3"/>
        <v>0.86801152737752219</v>
      </c>
      <c r="C70" s="30">
        <f t="shared" si="2"/>
        <v>0.10714143426294813</v>
      </c>
      <c r="D70" s="30">
        <f t="shared" si="1"/>
        <v>1.0507039033864534</v>
      </c>
      <c r="E70" s="30">
        <f t="shared" si="0"/>
        <v>2.0052641723593417E-2</v>
      </c>
    </row>
    <row r="71" spans="2:5" ht="13.9" customHeight="1" x14ac:dyDescent="0.25">
      <c r="B71" s="29">
        <f t="shared" si="3"/>
        <v>0.87801152737752219</v>
      </c>
      <c r="C71" s="30">
        <f t="shared" si="2"/>
        <v>0.10592116059999336</v>
      </c>
      <c r="D71" s="30">
        <f t="shared" si="1"/>
        <v>1.0387370456559548</v>
      </c>
      <c r="E71" s="30">
        <f t="shared" si="0"/>
        <v>2.0283659873596298E-2</v>
      </c>
    </row>
    <row r="72" spans="2:5" ht="13.9" customHeight="1" x14ac:dyDescent="0.25">
      <c r="B72" s="29">
        <f t="shared" si="3"/>
        <v>0.8880115273775222</v>
      </c>
      <c r="C72" s="30">
        <f t="shared" si="2"/>
        <v>0.1047283702213279</v>
      </c>
      <c r="D72" s="30">
        <f t="shared" si="1"/>
        <v>1.0270397082494962</v>
      </c>
      <c r="E72" s="30">
        <f t="shared" si="0"/>
        <v>2.0514678023599187E-2</v>
      </c>
    </row>
    <row r="73" spans="2:5" ht="13.9" customHeight="1" x14ac:dyDescent="0.25">
      <c r="B73" s="29">
        <f t="shared" si="3"/>
        <v>0.89801152737752221</v>
      </c>
      <c r="C73" s="30">
        <f t="shared" si="2"/>
        <v>0.10356214498892839</v>
      </c>
      <c r="D73" s="30">
        <f t="shared" ref="D73:D136" si="4">C73*9.8067</f>
        <v>1.0156028872629239</v>
      </c>
      <c r="E73" s="30">
        <f t="shared" ref="E73:E136" si="5">((B73^2)/(4*PI()^2))*D73</f>
        <v>2.0745696173602068E-2</v>
      </c>
    </row>
    <row r="74" spans="2:5" ht="13.9" customHeight="1" x14ac:dyDescent="0.25">
      <c r="B74" s="29">
        <f t="shared" si="3"/>
        <v>0.90801152737752222</v>
      </c>
      <c r="C74" s="30">
        <f t="shared" si="2"/>
        <v>0.10242160721086702</v>
      </c>
      <c r="D74" s="30">
        <f t="shared" si="4"/>
        <v>1.0044179754348095</v>
      </c>
      <c r="E74" s="30">
        <f t="shared" si="5"/>
        <v>2.0976714323604956E-2</v>
      </c>
    </row>
    <row r="75" spans="2:5" ht="13.9" customHeight="1" x14ac:dyDescent="0.25">
      <c r="B75" s="29">
        <f t="shared" si="3"/>
        <v>0.91801152737752223</v>
      </c>
      <c r="C75" s="30">
        <f t="shared" si="2"/>
        <v>0.10130591743839265</v>
      </c>
      <c r="D75" s="30">
        <f t="shared" si="4"/>
        <v>0.9934767405430851</v>
      </c>
      <c r="E75" s="30">
        <f t="shared" si="5"/>
        <v>2.1207732473607844E-2</v>
      </c>
    </row>
    <row r="76" spans="2:5" ht="13.9" customHeight="1" x14ac:dyDescent="0.25">
      <c r="B76" s="29">
        <f t="shared" si="3"/>
        <v>0.92801152737752224</v>
      </c>
      <c r="C76" s="30">
        <f t="shared" si="2"/>
        <v>0.10021427240544059</v>
      </c>
      <c r="D76" s="30">
        <f t="shared" si="4"/>
        <v>0.98277130519843414</v>
      </c>
      <c r="E76" s="30">
        <f t="shared" si="5"/>
        <v>2.1438750623610729E-2</v>
      </c>
    </row>
    <row r="77" spans="2:5" ht="13.9" customHeight="1" x14ac:dyDescent="0.25">
      <c r="B77" s="29">
        <f t="shared" si="3"/>
        <v>0.93801152737752225</v>
      </c>
      <c r="C77" s="30">
        <f t="shared" ref="C77:C140" si="6">IF(B77&lt;6,$C$5/B77,6*$C$5/B77^2)</f>
        <v>9.9145903099941562E-2</v>
      </c>
      <c r="D77" s="30">
        <f t="shared" si="4"/>
        <v>0.97229412793019687</v>
      </c>
      <c r="E77" s="30">
        <f t="shared" si="5"/>
        <v>2.1669768773613613E-2</v>
      </c>
    </row>
    <row r="78" spans="2:5" ht="13.9" customHeight="1" x14ac:dyDescent="0.25">
      <c r="B78" s="29">
        <f t="shared" ref="B78:B141" si="7">B77+0.01</f>
        <v>0.94801152737752226</v>
      </c>
      <c r="C78" s="30">
        <f t="shared" si="6"/>
        <v>9.8100072957198373E-2</v>
      </c>
      <c r="D78" s="30">
        <f t="shared" si="4"/>
        <v>0.96203798546935726</v>
      </c>
      <c r="E78" s="30">
        <f t="shared" si="5"/>
        <v>2.1900786923616501E-2</v>
      </c>
    </row>
    <row r="79" spans="2:5" ht="13.9" customHeight="1" x14ac:dyDescent="0.25">
      <c r="B79" s="29">
        <f t="shared" si="7"/>
        <v>0.95801152737752227</v>
      </c>
      <c r="C79" s="30">
        <f t="shared" si="6"/>
        <v>9.707607616641091E-2</v>
      </c>
      <c r="D79" s="30">
        <f t="shared" si="4"/>
        <v>0.95199595614114185</v>
      </c>
      <c r="E79" s="30">
        <f t="shared" si="5"/>
        <v>2.2131805073619386E-2</v>
      </c>
    </row>
    <row r="80" spans="2:5" ht="13.9" customHeight="1" x14ac:dyDescent="0.25">
      <c r="B80" s="29">
        <f t="shared" si="7"/>
        <v>0.96801152737752227</v>
      </c>
      <c r="C80" s="30">
        <f t="shared" si="6"/>
        <v>9.6073236082167252E-2</v>
      </c>
      <c r="D80" s="30">
        <f t="shared" si="4"/>
        <v>0.94216140428698947</v>
      </c>
      <c r="E80" s="30">
        <f t="shared" si="5"/>
        <v>2.236282322362227E-2</v>
      </c>
    </row>
    <row r="81" spans="2:5" ht="13.9" customHeight="1" x14ac:dyDescent="0.25">
      <c r="B81" s="29">
        <f t="shared" si="7"/>
        <v>0.97801152737752228</v>
      </c>
      <c r="C81" s="30">
        <f t="shared" si="6"/>
        <v>9.5090903733388271E-2</v>
      </c>
      <c r="D81" s="30">
        <f t="shared" si="4"/>
        <v>0.93252796564221874</v>
      </c>
      <c r="E81" s="30">
        <f t="shared" si="5"/>
        <v>2.2593841373625155E-2</v>
      </c>
    </row>
    <row r="82" spans="2:5" ht="13.9" customHeight="1" x14ac:dyDescent="0.25">
      <c r="B82" s="29">
        <f t="shared" si="7"/>
        <v>0.98801152737752229</v>
      </c>
      <c r="C82" s="30">
        <f t="shared" si="6"/>
        <v>9.4128456422821069E-2</v>
      </c>
      <c r="D82" s="30">
        <f t="shared" si="4"/>
        <v>0.92308953360167934</v>
      </c>
      <c r="E82" s="30">
        <f t="shared" si="5"/>
        <v>2.282485952362804E-2</v>
      </c>
    </row>
    <row r="83" spans="2:5" ht="13.9" customHeight="1" x14ac:dyDescent="0.25">
      <c r="B83" s="29">
        <f t="shared" si="7"/>
        <v>0.9980115273775223</v>
      </c>
      <c r="C83" s="30">
        <f t="shared" si="6"/>
        <v>9.3185296410730201E-2</v>
      </c>
      <c r="D83" s="30">
        <f t="shared" si="4"/>
        <v>0.91384024631110783</v>
      </c>
      <c r="E83" s="30">
        <f t="shared" si="5"/>
        <v>2.3055877673630928E-2</v>
      </c>
    </row>
    <row r="84" spans="2:5" ht="13.9" customHeight="1" x14ac:dyDescent="0.25">
      <c r="B84" s="29">
        <f t="shared" si="7"/>
        <v>1.0080115273775223</v>
      </c>
      <c r="C84" s="30">
        <f t="shared" si="6"/>
        <v>9.2260849676939732E-2</v>
      </c>
      <c r="D84" s="30">
        <f t="shared" si="4"/>
        <v>0.90477447452684479</v>
      </c>
      <c r="E84" s="30">
        <f t="shared" si="5"/>
        <v>2.3286895823633816E-2</v>
      </c>
    </row>
    <row r="85" spans="2:5" ht="13.9" customHeight="1" x14ac:dyDescent="0.25">
      <c r="B85" s="29">
        <f t="shared" si="7"/>
        <v>1.0180115273775223</v>
      </c>
      <c r="C85" s="30">
        <f t="shared" si="6"/>
        <v>9.1354564755838571E-2</v>
      </c>
      <c r="D85" s="30">
        <f t="shared" si="4"/>
        <v>0.89588681019108207</v>
      </c>
      <c r="E85" s="30">
        <f t="shared" si="5"/>
        <v>2.3517913973636694E-2</v>
      </c>
    </row>
    <row r="86" spans="2:5" ht="13.9" customHeight="1" x14ac:dyDescent="0.25">
      <c r="B86" s="29">
        <f t="shared" si="7"/>
        <v>1.0280115273775223</v>
      </c>
      <c r="C86" s="30">
        <f t="shared" si="6"/>
        <v>9.0465911639380961E-2</v>
      </c>
      <c r="D86" s="30">
        <f t="shared" si="4"/>
        <v>0.88717205567391721</v>
      </c>
      <c r="E86" s="30">
        <f t="shared" si="5"/>
        <v>2.3748932123639582E-2</v>
      </c>
    </row>
    <row r="87" spans="2:5" ht="13.9" customHeight="1" x14ac:dyDescent="0.25">
      <c r="B87" s="29">
        <f t="shared" si="7"/>
        <v>1.0380115273775223</v>
      </c>
      <c r="C87" s="30">
        <f t="shared" si="6"/>
        <v>8.9594380743496418E-2</v>
      </c>
      <c r="D87" s="30">
        <f t="shared" si="4"/>
        <v>0.87862521363724622</v>
      </c>
      <c r="E87" s="30">
        <f t="shared" si="5"/>
        <v>2.3979950273642466E-2</v>
      </c>
    </row>
    <row r="88" spans="2:5" ht="13.9" customHeight="1" x14ac:dyDescent="0.25">
      <c r="B88" s="29">
        <f t="shared" si="7"/>
        <v>1.0480115273775223</v>
      </c>
      <c r="C88" s="30">
        <f t="shared" si="6"/>
        <v>8.8739481933674244E-2</v>
      </c>
      <c r="D88" s="30">
        <f t="shared" si="4"/>
        <v>0.87024147747896319</v>
      </c>
      <c r="E88" s="30">
        <f t="shared" si="5"/>
        <v>2.4210968423645354E-2</v>
      </c>
    </row>
    <row r="89" spans="2:5" ht="13.9" customHeight="1" x14ac:dyDescent="0.25">
      <c r="B89" s="29">
        <f t="shared" si="7"/>
        <v>1.0580115273775224</v>
      </c>
      <c r="C89" s="30">
        <f t="shared" si="6"/>
        <v>8.7900743605807144E-2</v>
      </c>
      <c r="D89" s="30">
        <f t="shared" si="4"/>
        <v>0.86201622231906883</v>
      </c>
      <c r="E89" s="30">
        <f t="shared" si="5"/>
        <v>2.4441986573648242E-2</v>
      </c>
    </row>
    <row r="90" spans="2:5" ht="13.9" customHeight="1" x14ac:dyDescent="0.25">
      <c r="B90" s="29">
        <f t="shared" si="7"/>
        <v>1.0680115273775224</v>
      </c>
      <c r="C90" s="30">
        <f t="shared" si="6"/>
        <v>8.7077711818672368E-2</v>
      </c>
      <c r="D90" s="30">
        <f t="shared" si="4"/>
        <v>0.85394499649217426</v>
      </c>
      <c r="E90" s="30">
        <f t="shared" si="5"/>
        <v>2.467300472365113E-2</v>
      </c>
    </row>
    <row r="91" spans="2:5" ht="13.9" customHeight="1" x14ac:dyDescent="0.25">
      <c r="B91" s="29">
        <f t="shared" si="7"/>
        <v>1.0780115273775224</v>
      </c>
      <c r="C91" s="30">
        <f t="shared" si="6"/>
        <v>8.6269949474697183E-2</v>
      </c>
      <c r="D91" s="30">
        <f t="shared" si="4"/>
        <v>0.84602351351351279</v>
      </c>
      <c r="E91" s="30">
        <f t="shared" si="5"/>
        <v>2.4904022873654008E-2</v>
      </c>
    </row>
    <row r="92" spans="2:5" ht="13.9" customHeight="1" x14ac:dyDescent="0.25">
      <c r="B92" s="29">
        <f t="shared" si="7"/>
        <v>1.0880115273775224</v>
      </c>
      <c r="C92" s="30">
        <f t="shared" si="6"/>
        <v>8.5477035545902358E-2</v>
      </c>
      <c r="D92" s="30">
        <f t="shared" si="4"/>
        <v>0.8382476444880006</v>
      </c>
      <c r="E92" s="30">
        <f t="shared" si="5"/>
        <v>2.51350410236569E-2</v>
      </c>
    </row>
    <row r="93" spans="2:5" ht="13.9" customHeight="1" x14ac:dyDescent="0.25">
      <c r="B93" s="29">
        <f t="shared" si="7"/>
        <v>1.0980115273775224</v>
      </c>
      <c r="C93" s="30">
        <f t="shared" si="6"/>
        <v>8.4698564342143193E-2</v>
      </c>
      <c r="D93" s="30">
        <f t="shared" si="4"/>
        <v>0.83061341093409558</v>
      </c>
      <c r="E93" s="30">
        <f t="shared" si="5"/>
        <v>2.5366059173659788E-2</v>
      </c>
    </row>
    <row r="94" spans="2:5" ht="13.9" customHeight="1" x14ac:dyDescent="0.25">
      <c r="B94" s="29">
        <f t="shared" si="7"/>
        <v>1.1080115273775224</v>
      </c>
      <c r="C94" s="30">
        <f t="shared" si="6"/>
        <v>8.3934144818976222E-2</v>
      </c>
      <c r="D94" s="30">
        <f t="shared" si="4"/>
        <v>0.82311697799625405</v>
      </c>
      <c r="E94" s="30">
        <f t="shared" si="5"/>
        <v>2.5597077323662669E-2</v>
      </c>
    </row>
    <row r="95" spans="2:5" ht="13.9" customHeight="1" x14ac:dyDescent="0.25">
      <c r="B95" s="29">
        <f t="shared" si="7"/>
        <v>1.1180115273775224</v>
      </c>
      <c r="C95" s="30">
        <f t="shared" si="6"/>
        <v>8.318339992267039E-2</v>
      </c>
      <c r="D95" s="30">
        <f t="shared" si="4"/>
        <v>0.81575464802165165</v>
      </c>
      <c r="E95" s="30">
        <f t="shared" si="5"/>
        <v>2.5828095473665554E-2</v>
      </c>
    </row>
    <row r="96" spans="2:5" ht="13.9" customHeight="1" x14ac:dyDescent="0.25">
      <c r="B96" s="29">
        <f t="shared" si="7"/>
        <v>1.1280115273775224</v>
      </c>
      <c r="C96" s="30">
        <f t="shared" si="6"/>
        <v>8.2445965970057683E-2</v>
      </c>
      <c r="D96" s="30">
        <f t="shared" si="4"/>
        <v>0.80852285447856465</v>
      </c>
      <c r="E96" s="30">
        <f t="shared" si="5"/>
        <v>2.6059113623668445E-2</v>
      </c>
    </row>
    <row r="97" spans="2:5" ht="13.9" customHeight="1" x14ac:dyDescent="0.25">
      <c r="B97" s="29">
        <f t="shared" si="7"/>
        <v>1.1380115273775224</v>
      </c>
      <c r="C97" s="30">
        <f t="shared" si="6"/>
        <v>8.1721492061080245E-2</v>
      </c>
      <c r="D97" s="30">
        <f t="shared" si="4"/>
        <v>0.80141815619539558</v>
      </c>
      <c r="E97" s="30">
        <f t="shared" si="5"/>
        <v>2.629013177367133E-2</v>
      </c>
    </row>
    <row r="98" spans="2:5" ht="13.9" customHeight="1" x14ac:dyDescent="0.25">
      <c r="B98" s="29">
        <f t="shared" si="7"/>
        <v>1.1480115273775224</v>
      </c>
      <c r="C98" s="30">
        <f t="shared" si="6"/>
        <v>8.1009639522040308E-2</v>
      </c>
      <c r="D98" s="30">
        <f t="shared" si="4"/>
        <v>0.79443723190079263</v>
      </c>
      <c r="E98" s="30">
        <f t="shared" si="5"/>
        <v>2.6521149923674214E-2</v>
      </c>
    </row>
    <row r="99" spans="2:5" ht="13.9" customHeight="1" x14ac:dyDescent="0.25">
      <c r="B99" s="29">
        <f t="shared" si="7"/>
        <v>1.1580115273775224</v>
      </c>
      <c r="C99" s="30">
        <f t="shared" si="6"/>
        <v>8.0310081377696976E-2</v>
      </c>
      <c r="D99" s="30">
        <f t="shared" si="4"/>
        <v>0.78757687504666085</v>
      </c>
      <c r="E99" s="30">
        <f t="shared" si="5"/>
        <v>2.6752168073677095E-2</v>
      </c>
    </row>
    <row r="100" spans="2:5" ht="13.9" customHeight="1" x14ac:dyDescent="0.25">
      <c r="B100" s="29">
        <f t="shared" si="7"/>
        <v>1.1680115273775225</v>
      </c>
      <c r="C100" s="30">
        <f t="shared" si="6"/>
        <v>7.9622501850481073E-2</v>
      </c>
      <c r="D100" s="30">
        <f t="shared" si="4"/>
        <v>0.78083398889711264</v>
      </c>
      <c r="E100" s="30">
        <f t="shared" si="5"/>
        <v>2.6983186223679987E-2</v>
      </c>
    </row>
    <row r="101" spans="2:5" ht="13.9" customHeight="1" x14ac:dyDescent="0.25">
      <c r="B101" s="29">
        <f t="shared" si="7"/>
        <v>1.1780115273775225</v>
      </c>
      <c r="C101" s="30">
        <f t="shared" si="6"/>
        <v>7.8946595885216575E-2</v>
      </c>
      <c r="D101" s="30">
        <f t="shared" si="4"/>
        <v>0.77420558186755328</v>
      </c>
      <c r="E101" s="30">
        <f t="shared" si="5"/>
        <v>2.7214204373682872E-2</v>
      </c>
    </row>
    <row r="102" spans="2:5" ht="13.9" customHeight="1" x14ac:dyDescent="0.25">
      <c r="B102" s="29">
        <f t="shared" si="7"/>
        <v>1.1880115273775225</v>
      </c>
      <c r="C102" s="30">
        <f t="shared" si="6"/>
        <v>7.8282068697845861E-2</v>
      </c>
      <c r="D102" s="30">
        <f t="shared" si="4"/>
        <v>0.76768876309916489</v>
      </c>
      <c r="E102" s="30">
        <f t="shared" si="5"/>
        <v>2.7445222523685749E-2</v>
      </c>
    </row>
    <row r="103" spans="2:5" ht="13.9" customHeight="1" x14ac:dyDescent="0.25">
      <c r="B103" s="29">
        <f t="shared" si="7"/>
        <v>1.1980115273775225</v>
      </c>
      <c r="C103" s="30">
        <f t="shared" si="6"/>
        <v>7.7628635346756097E-2</v>
      </c>
      <c r="D103" s="30">
        <f t="shared" si="4"/>
        <v>0.76128073825503295</v>
      </c>
      <c r="E103" s="30">
        <f t="shared" si="5"/>
        <v>2.7676240673688644E-2</v>
      </c>
    </row>
    <row r="104" spans="2:5" ht="13.9" customHeight="1" x14ac:dyDescent="0.25">
      <c r="B104" s="29">
        <f t="shared" si="7"/>
        <v>1.2080115273775225</v>
      </c>
      <c r="C104" s="30">
        <f t="shared" si="6"/>
        <v>7.6986020325397142E-2</v>
      </c>
      <c r="D104" s="30">
        <f t="shared" si="4"/>
        <v>0.75497880552507213</v>
      </c>
      <c r="E104" s="30">
        <f t="shared" si="5"/>
        <v>2.7907258823691525E-2</v>
      </c>
    </row>
    <row r="105" spans="2:5" ht="13.9" customHeight="1" x14ac:dyDescent="0.25">
      <c r="B105" s="29">
        <f t="shared" si="7"/>
        <v>1.2180115273775225</v>
      </c>
      <c r="C105" s="30">
        <f t="shared" si="6"/>
        <v>7.6353957174967416E-2</v>
      </c>
      <c r="D105" s="30">
        <f t="shared" si="4"/>
        <v>0.74878035182775293</v>
      </c>
      <c r="E105" s="30">
        <f t="shared" si="5"/>
        <v>2.8138276973694414E-2</v>
      </c>
    </row>
    <row r="106" spans="2:5" ht="13.9" customHeight="1" x14ac:dyDescent="0.25">
      <c r="B106" s="29">
        <f t="shared" si="7"/>
        <v>1.2280115273775225</v>
      </c>
      <c r="C106" s="30">
        <f t="shared" si="6"/>
        <v>7.5732188116023599E-2</v>
      </c>
      <c r="D106" s="30">
        <f t="shared" si="4"/>
        <v>0.74268284919740857</v>
      </c>
      <c r="E106" s="30">
        <f t="shared" si="5"/>
        <v>2.8369295123697298E-2</v>
      </c>
    </row>
    <row r="107" spans="2:5" ht="13.9" customHeight="1" x14ac:dyDescent="0.25">
      <c r="B107" s="29">
        <f t="shared" si="7"/>
        <v>1.2380115273775225</v>
      </c>
      <c r="C107" s="30">
        <f t="shared" si="6"/>
        <v>7.5120463697944492E-2</v>
      </c>
      <c r="D107" s="30">
        <f t="shared" si="4"/>
        <v>0.73668385134663217</v>
      </c>
      <c r="E107" s="30">
        <f t="shared" si="5"/>
        <v>2.8600313273700179E-2</v>
      </c>
    </row>
    <row r="108" spans="2:5" ht="13.9" customHeight="1" x14ac:dyDescent="0.25">
      <c r="B108" s="29">
        <f t="shared" si="7"/>
        <v>1.2480115273775225</v>
      </c>
      <c r="C108" s="30">
        <f t="shared" si="6"/>
        <v>7.4518542465247251E-2</v>
      </c>
      <c r="D108" s="30">
        <f t="shared" si="4"/>
        <v>0.73078099039394018</v>
      </c>
      <c r="E108" s="30">
        <f t="shared" si="5"/>
        <v>2.8831331423703067E-2</v>
      </c>
    </row>
    <row r="109" spans="2:5" ht="13.9" customHeight="1" x14ac:dyDescent="0.25">
      <c r="B109" s="29">
        <f t="shared" si="7"/>
        <v>1.2580115273775225</v>
      </c>
      <c r="C109" s="30">
        <f t="shared" si="6"/>
        <v>7.392619063981852E-2</v>
      </c>
      <c r="D109" s="30">
        <f t="shared" si="4"/>
        <v>0.72497197374750821</v>
      </c>
      <c r="E109" s="30">
        <f t="shared" si="5"/>
        <v>2.9062349573705955E-2</v>
      </c>
    </row>
    <row r="110" spans="2:5" ht="13.9" customHeight="1" x14ac:dyDescent="0.25">
      <c r="B110" s="29">
        <f t="shared" si="7"/>
        <v>1.2680115273775225</v>
      </c>
      <c r="C110" s="30">
        <f t="shared" si="6"/>
        <v>7.3343181818181766E-2</v>
      </c>
      <c r="D110" s="30">
        <f t="shared" si="4"/>
        <v>0.71925458113636309</v>
      </c>
      <c r="E110" s="30">
        <f t="shared" si="5"/>
        <v>2.929336772370884E-2</v>
      </c>
    </row>
    <row r="111" spans="2:5" ht="13.9" customHeight="1" x14ac:dyDescent="0.25">
      <c r="B111" s="29">
        <f t="shared" si="7"/>
        <v>1.2780115273775225</v>
      </c>
      <c r="C111" s="30">
        <f t="shared" si="6"/>
        <v>7.276929668297738E-2</v>
      </c>
      <c r="D111" s="30">
        <f t="shared" si="4"/>
        <v>0.71362666178095424</v>
      </c>
      <c r="E111" s="30">
        <f t="shared" si="5"/>
        <v>2.9524385873711728E-2</v>
      </c>
    </row>
    <row r="112" spans="2:5" ht="13.9" customHeight="1" x14ac:dyDescent="0.25">
      <c r="B112" s="29">
        <f t="shared" si="7"/>
        <v>1.2880115273775226</v>
      </c>
      <c r="C112" s="30">
        <f t="shared" si="6"/>
        <v>7.220432272788288E-2</v>
      </c>
      <c r="D112" s="30">
        <f t="shared" si="4"/>
        <v>0.70808613169552903</v>
      </c>
      <c r="E112" s="30">
        <f t="shared" si="5"/>
        <v>2.9755404023714613E-2</v>
      </c>
    </row>
    <row r="113" spans="2:5" ht="13.9" customHeight="1" x14ac:dyDescent="0.25">
      <c r="B113" s="29">
        <f t="shared" si="7"/>
        <v>1.2980115273775226</v>
      </c>
      <c r="C113" s="30">
        <f t="shared" si="6"/>
        <v>7.164805399524872E-2</v>
      </c>
      <c r="D113" s="30">
        <f t="shared" si="4"/>
        <v>0.70263097111520556</v>
      </c>
      <c r="E113" s="30">
        <f t="shared" si="5"/>
        <v>2.9986422173717494E-2</v>
      </c>
    </row>
    <row r="114" spans="2:5" ht="13.9" customHeight="1" x14ac:dyDescent="0.25">
      <c r="B114" s="29">
        <f t="shared" si="7"/>
        <v>1.3080115273775226</v>
      </c>
      <c r="C114" s="30">
        <f t="shared" si="6"/>
        <v>7.1100290825768866E-2</v>
      </c>
      <c r="D114" s="30">
        <f t="shared" si="4"/>
        <v>0.69725922204106749</v>
      </c>
      <c r="E114" s="30">
        <f t="shared" si="5"/>
        <v>3.0217440323720382E-2</v>
      </c>
    </row>
    <row r="115" spans="2:5" ht="13.9" customHeight="1" x14ac:dyDescent="0.25">
      <c r="B115" s="29">
        <f t="shared" si="7"/>
        <v>1.3180115273775226</v>
      </c>
      <c r="C115" s="30">
        <f t="shared" si="6"/>
        <v>7.0560839619547344E-2</v>
      </c>
      <c r="D115" s="30">
        <f t="shared" si="4"/>
        <v>0.69196898589701494</v>
      </c>
      <c r="E115" s="30">
        <f t="shared" si="5"/>
        <v>3.0448458473723274E-2</v>
      </c>
    </row>
    <row r="116" spans="2:5" ht="13.9" customHeight="1" x14ac:dyDescent="0.25">
      <c r="B116" s="29">
        <f t="shared" si="7"/>
        <v>1.3280115273775226</v>
      </c>
      <c r="C116" s="30">
        <f t="shared" si="6"/>
        <v>7.0029512607959671E-2</v>
      </c>
      <c r="D116" s="30">
        <f t="shared" si="4"/>
        <v>0.68675842129247811</v>
      </c>
      <c r="E116" s="30">
        <f t="shared" si="5"/>
        <v>3.0679476623726155E-2</v>
      </c>
    </row>
    <row r="117" spans="2:5" ht="13.9" customHeight="1" x14ac:dyDescent="0.25">
      <c r="B117" s="29">
        <f t="shared" si="7"/>
        <v>1.3380115273775226</v>
      </c>
      <c r="C117" s="30">
        <f t="shared" si="6"/>
        <v>6.9506127635744847E-2</v>
      </c>
      <c r="D117" s="30">
        <f t="shared" si="4"/>
        <v>0.68162574188545899</v>
      </c>
      <c r="E117" s="30">
        <f t="shared" si="5"/>
        <v>3.0910494773729039E-2</v>
      </c>
    </row>
    <row r="118" spans="2:5" ht="13.9" customHeight="1" x14ac:dyDescent="0.25">
      <c r="B118" s="29">
        <f t="shared" si="7"/>
        <v>1.3480115273775226</v>
      </c>
      <c r="C118" s="30">
        <f t="shared" si="6"/>
        <v>6.8990507952796251E-2</v>
      </c>
      <c r="D118" s="30">
        <f t="shared" si="4"/>
        <v>0.67656921434068695</v>
      </c>
      <c r="E118" s="30">
        <f t="shared" si="5"/>
        <v>3.1141512923731924E-2</v>
      </c>
    </row>
    <row r="119" spans="2:5" ht="13.9" customHeight="1" x14ac:dyDescent="0.25">
      <c r="B119" s="29">
        <f t="shared" si="7"/>
        <v>1.3580115273775226</v>
      </c>
      <c r="C119" s="30">
        <f t="shared" si="6"/>
        <v>6.848248201515178E-2</v>
      </c>
      <c r="D119" s="30">
        <f t="shared" si="4"/>
        <v>0.67158715637798894</v>
      </c>
      <c r="E119" s="30">
        <f t="shared" si="5"/>
        <v>3.1372531073734812E-2</v>
      </c>
    </row>
    <row r="120" spans="2:5" ht="13.9" customHeight="1" x14ac:dyDescent="0.25">
      <c r="B120" s="29">
        <f t="shared" si="7"/>
        <v>1.3680115273775226</v>
      </c>
      <c r="C120" s="30">
        <f t="shared" si="6"/>
        <v>6.79818832947124E-2</v>
      </c>
      <c r="D120" s="30">
        <f t="shared" si="4"/>
        <v>0.66667793490625604</v>
      </c>
      <c r="E120" s="30">
        <f t="shared" si="5"/>
        <v>3.1603549223737697E-2</v>
      </c>
    </row>
    <row r="121" spans="2:5" ht="13.9" customHeight="1" x14ac:dyDescent="0.25">
      <c r="B121" s="29">
        <f t="shared" si="7"/>
        <v>1.3780115273775226</v>
      </c>
      <c r="C121" s="30">
        <f t="shared" si="6"/>
        <v>6.7488550097245692E-2</v>
      </c>
      <c r="D121" s="30">
        <f t="shared" si="4"/>
        <v>0.66183996423865932</v>
      </c>
      <c r="E121" s="30">
        <f t="shared" si="5"/>
        <v>3.1834567373740581E-2</v>
      </c>
    </row>
    <row r="122" spans="2:5" ht="13.9" customHeight="1" x14ac:dyDescent="0.25">
      <c r="B122" s="29">
        <f t="shared" si="7"/>
        <v>1.3880115273775226</v>
      </c>
      <c r="C122" s="30">
        <f t="shared" si="6"/>
        <v>6.7002325388256734E-2</v>
      </c>
      <c r="D122" s="30">
        <f t="shared" si="4"/>
        <v>0.65707170438501727</v>
      </c>
      <c r="E122" s="30">
        <f t="shared" si="5"/>
        <v>3.2065585523743466E-2</v>
      </c>
    </row>
    <row r="123" spans="2:5" ht="13.9" customHeight="1" x14ac:dyDescent="0.25">
      <c r="B123" s="29">
        <f t="shared" si="7"/>
        <v>1.3980115273775227</v>
      </c>
      <c r="C123" s="30">
        <f t="shared" si="6"/>
        <v>6.6523056626332122E-2</v>
      </c>
      <c r="D123" s="30">
        <f t="shared" si="4"/>
        <v>0.65237165941745112</v>
      </c>
      <c r="E123" s="30">
        <f t="shared" si="5"/>
        <v>3.229660367374635E-2</v>
      </c>
    </row>
    <row r="124" spans="2:5" ht="13.9" customHeight="1" x14ac:dyDescent="0.25">
      <c r="B124" s="29">
        <f t="shared" si="7"/>
        <v>1.4080115273775227</v>
      </c>
      <c r="C124" s="30">
        <f t="shared" si="6"/>
        <v>6.6050595603585852E-2</v>
      </c>
      <c r="D124" s="30">
        <f t="shared" si="4"/>
        <v>0.64773837590568528</v>
      </c>
      <c r="E124" s="30">
        <f t="shared" si="5"/>
        <v>3.2527621823749235E-2</v>
      </c>
    </row>
    <row r="125" spans="2:5" ht="13.9" customHeight="1" x14ac:dyDescent="0.25">
      <c r="B125" s="29">
        <f t="shared" si="7"/>
        <v>1.4180115273775227</v>
      </c>
      <c r="C125" s="30">
        <f t="shared" si="6"/>
        <v>6.5584798292856364E-2</v>
      </c>
      <c r="D125" s="30">
        <f t="shared" si="4"/>
        <v>0.64317044141855451</v>
      </c>
      <c r="E125" s="30">
        <f t="shared" si="5"/>
        <v>3.2758639973752127E-2</v>
      </c>
    </row>
    <row r="126" spans="2:5" ht="13.9" customHeight="1" x14ac:dyDescent="0.25">
      <c r="B126" s="29">
        <f t="shared" si="7"/>
        <v>1.4280115273775227</v>
      </c>
      <c r="C126" s="30">
        <f t="shared" si="6"/>
        <v>6.5125524701323809E-2</v>
      </c>
      <c r="D126" s="30">
        <f t="shared" si="4"/>
        <v>0.63866648308847218</v>
      </c>
      <c r="E126" s="30">
        <f t="shared" si="5"/>
        <v>3.2989658123755011E-2</v>
      </c>
    </row>
    <row r="127" spans="2:5" ht="13.9" customHeight="1" x14ac:dyDescent="0.25">
      <c r="B127" s="29">
        <f t="shared" si="7"/>
        <v>1.4380115273775227</v>
      </c>
      <c r="C127" s="30">
        <f t="shared" si="6"/>
        <v>6.467263873023503E-2</v>
      </c>
      <c r="D127" s="30">
        <f t="shared" si="4"/>
        <v>0.63422516623579583</v>
      </c>
      <c r="E127" s="30">
        <f t="shared" si="5"/>
        <v>3.3220676273757903E-2</v>
      </c>
    </row>
    <row r="128" spans="2:5" ht="13.9" customHeight="1" x14ac:dyDescent="0.25">
      <c r="B128" s="29">
        <f t="shared" si="7"/>
        <v>1.4480115273775227</v>
      </c>
      <c r="C128" s="30">
        <f t="shared" si="6"/>
        <v>6.4226008040440985E-2</v>
      </c>
      <c r="D128" s="30">
        <f t="shared" si="4"/>
        <v>0.6298451930501926</v>
      </c>
      <c r="E128" s="30">
        <f t="shared" si="5"/>
        <v>3.3451694423760787E-2</v>
      </c>
    </row>
    <row r="129" spans="2:5" ht="13.9" customHeight="1" x14ac:dyDescent="0.25">
      <c r="B129" s="29">
        <f t="shared" si="7"/>
        <v>1.4580115273775227</v>
      </c>
      <c r="C129" s="30">
        <f t="shared" si="6"/>
        <v>6.3785503923467629E-2</v>
      </c>
      <c r="D129" s="30">
        <f t="shared" si="4"/>
        <v>0.62552530132626993</v>
      </c>
      <c r="E129" s="30">
        <f t="shared" si="5"/>
        <v>3.3682712573763672E-2</v>
      </c>
    </row>
    <row r="130" spans="2:5" ht="13.9" customHeight="1" x14ac:dyDescent="0.25">
      <c r="B130" s="29">
        <f t="shared" si="7"/>
        <v>1.4680115273775227</v>
      </c>
      <c r="C130" s="30">
        <f t="shared" si="6"/>
        <v>6.3351001177856248E-2</v>
      </c>
      <c r="D130" s="30">
        <f t="shared" si="4"/>
        <v>0.6212642632508828</v>
      </c>
      <c r="E130" s="30">
        <f t="shared" si="5"/>
        <v>3.391373072376655E-2</v>
      </c>
    </row>
    <row r="131" spans="2:5" ht="13.9" customHeight="1" x14ac:dyDescent="0.25">
      <c r="B131" s="29">
        <f t="shared" si="7"/>
        <v>1.4780115273775227</v>
      </c>
      <c r="C131" s="30">
        <f t="shared" si="6"/>
        <v>6.2922377990523873E-2</v>
      </c>
      <c r="D131" s="30">
        <f t="shared" si="4"/>
        <v>0.61706088423967043</v>
      </c>
      <c r="E131" s="30">
        <f t="shared" si="5"/>
        <v>3.4144748873769441E-2</v>
      </c>
    </row>
    <row r="132" spans="2:5" ht="13.9" customHeight="1" x14ac:dyDescent="0.25">
      <c r="B132" s="29">
        <f t="shared" si="7"/>
        <v>1.4880115273775227</v>
      </c>
      <c r="C132" s="30">
        <f t="shared" si="6"/>
        <v>6.2499515822907338E-2</v>
      </c>
      <c r="D132" s="30">
        <f t="shared" si="4"/>
        <v>0.61291400182050537</v>
      </c>
      <c r="E132" s="30">
        <f t="shared" si="5"/>
        <v>3.4375767023772326E-2</v>
      </c>
    </row>
    <row r="133" spans="2:5" ht="13.9" customHeight="1" x14ac:dyDescent="0.25">
      <c r="B133" s="29">
        <f t="shared" si="7"/>
        <v>1.4980115273775227</v>
      </c>
      <c r="C133" s="30">
        <f t="shared" si="6"/>
        <v>6.2082299301667872E-2</v>
      </c>
      <c r="D133" s="30">
        <f t="shared" si="4"/>
        <v>0.60882248456166632</v>
      </c>
      <c r="E133" s="30">
        <f t="shared" si="5"/>
        <v>3.4606785173775217E-2</v>
      </c>
    </row>
    <row r="134" spans="2:5" ht="13.9" customHeight="1" x14ac:dyDescent="0.25">
      <c r="B134" s="29">
        <f t="shared" si="7"/>
        <v>1.5080115273775228</v>
      </c>
      <c r="C134" s="30">
        <f t="shared" si="6"/>
        <v>6.1670616113744026E-2</v>
      </c>
      <c r="D134" s="30">
        <f t="shared" si="4"/>
        <v>0.60478523104265347</v>
      </c>
      <c r="E134" s="30">
        <f t="shared" si="5"/>
        <v>3.4837803323778095E-2</v>
      </c>
    </row>
    <row r="135" spans="2:5" ht="13.9" customHeight="1" x14ac:dyDescent="0.25">
      <c r="B135" s="29">
        <f t="shared" si="7"/>
        <v>1.5180115273775228</v>
      </c>
      <c r="C135" s="30">
        <f t="shared" si="6"/>
        <v>6.1264356905552875E-2</v>
      </c>
      <c r="D135" s="30">
        <f t="shared" si="4"/>
        <v>0.60080116886568535</v>
      </c>
      <c r="E135" s="30">
        <f t="shared" si="5"/>
        <v>3.5068821473780987E-2</v>
      </c>
    </row>
    <row r="136" spans="2:5" ht="13.9" customHeight="1" x14ac:dyDescent="0.25">
      <c r="B136" s="29">
        <f t="shared" si="7"/>
        <v>1.5280115273775228</v>
      </c>
      <c r="C136" s="30">
        <f t="shared" si="6"/>
        <v>6.08634151861491E-2</v>
      </c>
      <c r="D136" s="30">
        <f t="shared" si="4"/>
        <v>0.5968692537060083</v>
      </c>
      <c r="E136" s="30">
        <f t="shared" si="5"/>
        <v>3.5299839623783864E-2</v>
      </c>
    </row>
    <row r="137" spans="2:5" ht="13.9" customHeight="1" x14ac:dyDescent="0.25">
      <c r="B137" s="29">
        <f t="shared" si="7"/>
        <v>1.5380115273775228</v>
      </c>
      <c r="C137" s="30">
        <f t="shared" si="6"/>
        <v>6.0467687234162106E-2</v>
      </c>
      <c r="D137" s="30">
        <f t="shared" ref="D137:D200" si="8">C137*9.8067</f>
        <v>0.59298846839925745</v>
      </c>
      <c r="E137" s="30">
        <f t="shared" ref="E137:E200" si="9">((B137^2)/(4*PI()^2))*D137</f>
        <v>3.5530857773786756E-2</v>
      </c>
    </row>
    <row r="138" spans="2:5" ht="13.9" customHeight="1" x14ac:dyDescent="0.25">
      <c r="B138" s="29">
        <f t="shared" si="7"/>
        <v>1.5480115273775228</v>
      </c>
      <c r="C138" s="30">
        <f t="shared" si="6"/>
        <v>6.0077072008340116E-2</v>
      </c>
      <c r="D138" s="30">
        <f t="shared" si="8"/>
        <v>0.58915782206418899</v>
      </c>
      <c r="E138" s="30">
        <f t="shared" si="9"/>
        <v>3.5761875923789647E-2</v>
      </c>
    </row>
    <row r="139" spans="2:5" ht="13.9" customHeight="1" x14ac:dyDescent="0.25">
      <c r="B139" s="29">
        <f t="shared" si="7"/>
        <v>1.5580115273775228</v>
      </c>
      <c r="C139" s="30">
        <f t="shared" si="6"/>
        <v>5.969147106153927E-2</v>
      </c>
      <c r="D139" s="30">
        <f t="shared" si="8"/>
        <v>0.58537634925919713</v>
      </c>
      <c r="E139" s="30">
        <f t="shared" si="9"/>
        <v>3.5992894073792525E-2</v>
      </c>
    </row>
    <row r="140" spans="2:5" ht="13.9" customHeight="1" x14ac:dyDescent="0.25">
      <c r="B140" s="29">
        <f t="shared" si="7"/>
        <v>1.5680115273775228</v>
      </c>
      <c r="C140" s="30">
        <f t="shared" si="6"/>
        <v>5.9310788458003999E-2</v>
      </c>
      <c r="D140" s="30">
        <f t="shared" si="8"/>
        <v>0.58164310917110773</v>
      </c>
      <c r="E140" s="30">
        <f t="shared" si="9"/>
        <v>3.622391222379541E-2</v>
      </c>
    </row>
    <row r="141" spans="2:5" ht="13.9" customHeight="1" x14ac:dyDescent="0.25">
      <c r="B141" s="29">
        <f t="shared" si="7"/>
        <v>1.5780115273775228</v>
      </c>
      <c r="C141" s="30">
        <f t="shared" ref="C141:C204" si="10">IF(B141&lt;6,$C$5/B141,6*$C$5/B141^2)</f>
        <v>5.8934930693792527E-2</v>
      </c>
      <c r="D141" s="30">
        <f t="shared" si="8"/>
        <v>0.57795718483481517</v>
      </c>
      <c r="E141" s="30">
        <f t="shared" si="9"/>
        <v>3.6454930373798301E-2</v>
      </c>
    </row>
    <row r="142" spans="2:5" ht="13.9" customHeight="1" x14ac:dyDescent="0.25">
      <c r="B142" s="29">
        <f t="shared" ref="B142:B205" si="11">B141+0.01</f>
        <v>1.5880115273775228</v>
      </c>
      <c r="C142" s="30">
        <f t="shared" si="10"/>
        <v>5.8563806620209012E-2</v>
      </c>
      <c r="D142" s="30">
        <f t="shared" si="8"/>
        <v>0.57431768238240366</v>
      </c>
      <c r="E142" s="30">
        <f t="shared" si="9"/>
        <v>3.6685948523801179E-2</v>
      </c>
    </row>
    <row r="143" spans="2:5" ht="13.9" customHeight="1" x14ac:dyDescent="0.25">
      <c r="B143" s="29">
        <f t="shared" si="11"/>
        <v>1.5980115273775228</v>
      </c>
      <c r="C143" s="30">
        <f t="shared" si="10"/>
        <v>5.8197327370110505E-2</v>
      </c>
      <c r="D143" s="30">
        <f t="shared" si="8"/>
        <v>0.57072373032046264</v>
      </c>
      <c r="E143" s="30">
        <f t="shared" si="9"/>
        <v>3.6916966673804064E-2</v>
      </c>
    </row>
    <row r="144" spans="2:5" ht="13.9" customHeight="1" x14ac:dyDescent="0.25">
      <c r="B144" s="29">
        <f t="shared" si="11"/>
        <v>1.6080115273775228</v>
      </c>
      <c r="C144" s="30">
        <f t="shared" si="10"/>
        <v>5.7835406286963646E-2</v>
      </c>
      <c r="D144" s="30">
        <f t="shared" si="8"/>
        <v>0.56717447883436634</v>
      </c>
      <c r="E144" s="30">
        <f t="shared" si="9"/>
        <v>3.7147984823806955E-2</v>
      </c>
    </row>
    <row r="145" spans="2:5" ht="13.9" customHeight="1" x14ac:dyDescent="0.25">
      <c r="B145" s="29">
        <f t="shared" si="11"/>
        <v>1.6180115273775229</v>
      </c>
      <c r="C145" s="30">
        <f t="shared" si="10"/>
        <v>5.7477958856532146E-2</v>
      </c>
      <c r="D145" s="30">
        <f t="shared" si="8"/>
        <v>0.56366909911835372</v>
      </c>
      <c r="E145" s="30">
        <f t="shared" si="9"/>
        <v>3.7379002973809833E-2</v>
      </c>
    </row>
    <row r="146" spans="2:5" ht="13.9" customHeight="1" x14ac:dyDescent="0.25">
      <c r="B146" s="29">
        <f t="shared" si="11"/>
        <v>1.6280115273775229</v>
      </c>
      <c r="C146" s="30">
        <f t="shared" si="10"/>
        <v>5.712490264108188E-2</v>
      </c>
      <c r="D146" s="30">
        <f t="shared" si="8"/>
        <v>0.56020678273029767</v>
      </c>
      <c r="E146" s="30">
        <f t="shared" si="9"/>
        <v>3.7610021123812724E-2</v>
      </c>
    </row>
    <row r="147" spans="2:5" ht="13.9" customHeight="1" x14ac:dyDescent="0.25">
      <c r="B147" s="29">
        <f t="shared" si="11"/>
        <v>1.6380115273775229</v>
      </c>
      <c r="C147" s="30">
        <f t="shared" si="10"/>
        <v>5.6776157215996013E-2</v>
      </c>
      <c r="D147" s="30">
        <f t="shared" si="8"/>
        <v>0.55678674097010805</v>
      </c>
      <c r="E147" s="30">
        <f t="shared" si="9"/>
        <v>3.7841039273815609E-2</v>
      </c>
    </row>
    <row r="148" spans="2:5" ht="13.9" customHeight="1" x14ac:dyDescent="0.25">
      <c r="B148" s="29">
        <f t="shared" si="11"/>
        <v>1.6480115273775229</v>
      </c>
      <c r="C148" s="30">
        <f t="shared" si="10"/>
        <v>5.6431644108697887E-2</v>
      </c>
      <c r="D148" s="30">
        <f t="shared" si="8"/>
        <v>0.55340820428076754</v>
      </c>
      <c r="E148" s="30">
        <f t="shared" si="9"/>
        <v>3.8072057423818494E-2</v>
      </c>
    </row>
    <row r="149" spans="2:5" ht="13.9" customHeight="1" x14ac:dyDescent="0.25">
      <c r="B149" s="29">
        <f t="shared" si="11"/>
        <v>1.6580115273775229</v>
      </c>
      <c r="C149" s="30">
        <f t="shared" si="10"/>
        <v>5.6091286739784078E-2</v>
      </c>
      <c r="D149" s="30">
        <f t="shared" si="8"/>
        <v>0.55007042167104048</v>
      </c>
      <c r="E149" s="30">
        <f t="shared" si="9"/>
        <v>3.8303075573821385E-2</v>
      </c>
    </row>
    <row r="150" spans="2:5" ht="13.9" customHeight="1" x14ac:dyDescent="0.25">
      <c r="B150" s="29">
        <f t="shared" si="11"/>
        <v>1.6680115273775229</v>
      </c>
      <c r="C150" s="30">
        <f t="shared" si="10"/>
        <v>5.5755010366275011E-2</v>
      </c>
      <c r="D150" s="30">
        <f t="shared" si="8"/>
        <v>0.5467726601589491</v>
      </c>
      <c r="E150" s="30">
        <f t="shared" si="9"/>
        <v>3.853409372382427E-2</v>
      </c>
    </row>
    <row r="151" spans="2:5" ht="13.9" customHeight="1" x14ac:dyDescent="0.25">
      <c r="B151" s="29">
        <f t="shared" si="11"/>
        <v>1.6780115273775229</v>
      </c>
      <c r="C151" s="30">
        <f t="shared" si="10"/>
        <v>5.5422742026894699E-2</v>
      </c>
      <c r="D151" s="30">
        <f t="shared" si="8"/>
        <v>0.54351420423514818</v>
      </c>
      <c r="E151" s="30">
        <f t="shared" si="9"/>
        <v>3.8765111873827154E-2</v>
      </c>
    </row>
    <row r="152" spans="2:5" ht="13.9" customHeight="1" x14ac:dyDescent="0.25">
      <c r="B152" s="29">
        <f t="shared" si="11"/>
        <v>1.6880115273775229</v>
      </c>
      <c r="C152" s="30">
        <f t="shared" si="10"/>
        <v>5.5094410489295552E-2</v>
      </c>
      <c r="D152" s="30">
        <f t="shared" si="8"/>
        <v>0.54029435534537462</v>
      </c>
      <c r="E152" s="30">
        <f t="shared" si="9"/>
        <v>3.8996130023830039E-2</v>
      </c>
    </row>
    <row r="153" spans="2:5" ht="13.9" customHeight="1" x14ac:dyDescent="0.25">
      <c r="B153" s="29">
        <f t="shared" si="11"/>
        <v>1.6980115273775229</v>
      </c>
      <c r="C153" s="30">
        <f t="shared" si="10"/>
        <v>5.4769946199147969E-2</v>
      </c>
      <c r="D153" s="30">
        <f t="shared" si="8"/>
        <v>0.53711243139118436</v>
      </c>
      <c r="E153" s="30">
        <f t="shared" si="9"/>
        <v>3.9227148173832924E-2</v>
      </c>
    </row>
    <row r="154" spans="2:5" ht="13.9" customHeight="1" x14ac:dyDescent="0.25">
      <c r="B154" s="29">
        <f t="shared" si="11"/>
        <v>1.7080115273775229</v>
      </c>
      <c r="C154" s="30">
        <f t="shared" si="10"/>
        <v>5.444928123101838E-2</v>
      </c>
      <c r="D154" s="30">
        <f t="shared" si="8"/>
        <v>0.53396776624822795</v>
      </c>
      <c r="E154" s="30">
        <f t="shared" si="9"/>
        <v>3.9458166323835815E-2</v>
      </c>
    </row>
    <row r="155" spans="2:5" ht="13.9" customHeight="1" x14ac:dyDescent="0.25">
      <c r="B155" s="29">
        <f t="shared" si="11"/>
        <v>1.7180115273775229</v>
      </c>
      <c r="C155" s="30">
        <f t="shared" si="10"/>
        <v>5.4132349240962802E-2</v>
      </c>
      <c r="D155" s="30">
        <f t="shared" si="8"/>
        <v>0.53085970930134985</v>
      </c>
      <c r="E155" s="30">
        <f t="shared" si="9"/>
        <v>3.9689184473838693E-2</v>
      </c>
    </row>
    <row r="156" spans="2:5" ht="13.9" customHeight="1" x14ac:dyDescent="0.25">
      <c r="B156" s="29">
        <f t="shared" si="11"/>
        <v>1.7280115273775229</v>
      </c>
      <c r="C156" s="30">
        <f t="shared" si="10"/>
        <v>5.3819085420766445E-2</v>
      </c>
      <c r="D156" s="30">
        <f t="shared" si="8"/>
        <v>0.52778762499583021</v>
      </c>
      <c r="E156" s="30">
        <f t="shared" si="9"/>
        <v>3.9920202623841577E-2</v>
      </c>
    </row>
    <row r="157" spans="2:5" ht="13.9" customHeight="1" x14ac:dyDescent="0.25">
      <c r="B157" s="29">
        <f t="shared" si="11"/>
        <v>1.738011527377523</v>
      </c>
      <c r="C157" s="30">
        <f t="shared" si="10"/>
        <v>5.3509426453763081E-2</v>
      </c>
      <c r="D157" s="30">
        <f t="shared" si="8"/>
        <v>0.52475089240411832</v>
      </c>
      <c r="E157" s="30">
        <f t="shared" si="9"/>
        <v>4.0151220773844462E-2</v>
      </c>
    </row>
    <row r="158" spans="2:5" ht="13.9" customHeight="1" x14ac:dyDescent="0.25">
      <c r="B158" s="29">
        <f t="shared" si="11"/>
        <v>1.748011527377523</v>
      </c>
      <c r="C158" s="30">
        <f t="shared" si="10"/>
        <v>5.3203310472170889E-2</v>
      </c>
      <c r="D158" s="30">
        <f t="shared" si="8"/>
        <v>0.52174890480743819</v>
      </c>
      <c r="E158" s="30">
        <f t="shared" si="9"/>
        <v>4.0382238923847354E-2</v>
      </c>
    </row>
    <row r="159" spans="2:5" ht="13.9" customHeight="1" x14ac:dyDescent="0.25">
      <c r="B159" s="29">
        <f t="shared" si="11"/>
        <v>1.758011527377523</v>
      </c>
      <c r="C159" s="30">
        <f t="shared" si="10"/>
        <v>5.2900677015884426E-2</v>
      </c>
      <c r="D159" s="30">
        <f t="shared" si="8"/>
        <v>0.51878106929167378</v>
      </c>
      <c r="E159" s="30">
        <f t="shared" si="9"/>
        <v>4.0613257073850245E-2</v>
      </c>
    </row>
    <row r="160" spans="2:5" ht="13.9" customHeight="1" x14ac:dyDescent="0.25">
      <c r="B160" s="29">
        <f t="shared" si="11"/>
        <v>1.768011527377523</v>
      </c>
      <c r="C160" s="30">
        <f t="shared" si="10"/>
        <v>5.2601466992664998E-2</v>
      </c>
      <c r="D160" s="30">
        <f t="shared" si="8"/>
        <v>0.51584680635696778</v>
      </c>
      <c r="E160" s="30">
        <f t="shared" si="9"/>
        <v>4.084427522385313E-2</v>
      </c>
    </row>
    <row r="161" spans="2:5" ht="13.9" customHeight="1" x14ac:dyDescent="0.25">
      <c r="B161" s="29">
        <f t="shared" si="11"/>
        <v>1.778011527377523</v>
      </c>
      <c r="C161" s="30">
        <f t="shared" si="10"/>
        <v>5.2305622639674497E-2</v>
      </c>
      <c r="D161" s="30">
        <f t="shared" si="8"/>
        <v>0.51294554954049587</v>
      </c>
      <c r="E161" s="30">
        <f t="shared" si="9"/>
        <v>4.1075293373856014E-2</v>
      </c>
    </row>
    <row r="162" spans="2:5" ht="13.9" customHeight="1" x14ac:dyDescent="0.25">
      <c r="B162" s="29">
        <f t="shared" si="11"/>
        <v>1.788011527377523</v>
      </c>
      <c r="C162" s="30">
        <f t="shared" si="10"/>
        <v>5.2013087486300007E-2</v>
      </c>
      <c r="D162" s="30">
        <f t="shared" si="8"/>
        <v>0.51007674505189826</v>
      </c>
      <c r="E162" s="30">
        <f t="shared" si="9"/>
        <v>4.1306311523858899E-2</v>
      </c>
    </row>
    <row r="163" spans="2:5" ht="13.9" customHeight="1" x14ac:dyDescent="0.25">
      <c r="B163" s="29">
        <f t="shared" si="11"/>
        <v>1.798011527377523</v>
      </c>
      <c r="C163" s="30">
        <f t="shared" si="10"/>
        <v>5.1723806318218934E-2</v>
      </c>
      <c r="D163" s="30">
        <f t="shared" si="8"/>
        <v>0.50723985142087757</v>
      </c>
      <c r="E163" s="30">
        <f t="shared" si="9"/>
        <v>4.1537329673861777E-2</v>
      </c>
    </row>
    <row r="164" spans="2:5" ht="13.9" customHeight="1" x14ac:dyDescent="0.25">
      <c r="B164" s="29">
        <f t="shared" si="11"/>
        <v>1.808011527377523</v>
      </c>
      <c r="C164" s="30">
        <f t="shared" si="10"/>
        <v>5.1437725142656723E-2</v>
      </c>
      <c r="D164" s="30">
        <f t="shared" si="8"/>
        <v>0.50443433915649161</v>
      </c>
      <c r="E164" s="30">
        <f t="shared" si="9"/>
        <v>4.1768347823864668E-2</v>
      </c>
    </row>
    <row r="165" spans="2:5" ht="13.9" customHeight="1" x14ac:dyDescent="0.25">
      <c r="B165" s="29">
        <f t="shared" si="11"/>
        <v>1.818011527377523</v>
      </c>
      <c r="C165" s="30">
        <f t="shared" si="10"/>
        <v>5.1154791154791115E-2</v>
      </c>
      <c r="D165" s="30">
        <f t="shared" si="8"/>
        <v>0.50165969041768999</v>
      </c>
      <c r="E165" s="30">
        <f t="shared" si="9"/>
        <v>4.1999365973867553E-2</v>
      </c>
    </row>
    <row r="166" spans="2:5" ht="13.9" customHeight="1" x14ac:dyDescent="0.25">
      <c r="B166" s="29">
        <f t="shared" si="11"/>
        <v>1.828011527377523</v>
      </c>
      <c r="C166" s="30">
        <f t="shared" si="10"/>
        <v>5.0874952705259137E-2</v>
      </c>
      <c r="D166" s="30">
        <f t="shared" si="8"/>
        <v>0.49891539869466472</v>
      </c>
      <c r="E166" s="30">
        <f t="shared" si="9"/>
        <v>4.2230384123870437E-2</v>
      </c>
    </row>
    <row r="167" spans="2:5" ht="13.9" customHeight="1" x14ac:dyDescent="0.25">
      <c r="B167" s="29">
        <f t="shared" si="11"/>
        <v>1.838011527377523</v>
      </c>
      <c r="C167" s="30">
        <f t="shared" si="10"/>
        <v>5.0598159268724775E-2</v>
      </c>
      <c r="D167" s="30">
        <f t="shared" si="8"/>
        <v>0.49620096850060325</v>
      </c>
      <c r="E167" s="30">
        <f t="shared" si="9"/>
        <v>4.2461402273873329E-2</v>
      </c>
    </row>
    <row r="168" spans="2:5" ht="13.9" customHeight="1" x14ac:dyDescent="0.25">
      <c r="B168" s="29">
        <f t="shared" si="11"/>
        <v>1.8480115273775231</v>
      </c>
      <c r="C168" s="30">
        <f t="shared" si="10"/>
        <v>5.0324361413467196E-2</v>
      </c>
      <c r="D168" s="30">
        <f t="shared" si="8"/>
        <v>0.49351591507344872</v>
      </c>
      <c r="E168" s="30">
        <f t="shared" si="9"/>
        <v>4.2692420423876207E-2</v>
      </c>
    </row>
    <row r="169" spans="2:5" ht="13.9" customHeight="1" x14ac:dyDescent="0.25">
      <c r="B169" s="29">
        <f t="shared" si="11"/>
        <v>1.8580115273775231</v>
      </c>
      <c r="C169" s="30">
        <f t="shared" si="10"/>
        <v>5.0053510771951013E-2</v>
      </c>
      <c r="D169" s="30">
        <f t="shared" si="8"/>
        <v>0.49085976408729198</v>
      </c>
      <c r="E169" s="30">
        <f t="shared" si="9"/>
        <v>4.2923438573879098E-2</v>
      </c>
    </row>
    <row r="170" spans="2:5" ht="13.9" customHeight="1" x14ac:dyDescent="0.25">
      <c r="B170" s="29">
        <f t="shared" si="11"/>
        <v>1.8680115273775231</v>
      </c>
      <c r="C170" s="30">
        <f t="shared" si="10"/>
        <v>4.9785560012341828E-2</v>
      </c>
      <c r="D170" s="30">
        <f t="shared" si="8"/>
        <v>0.48823205137303255</v>
      </c>
      <c r="E170" s="30">
        <f t="shared" si="9"/>
        <v>4.3154456723881976E-2</v>
      </c>
    </row>
    <row r="171" spans="2:5" ht="13.9" customHeight="1" x14ac:dyDescent="0.25">
      <c r="B171" s="29">
        <f t="shared" si="11"/>
        <v>1.8780115273775231</v>
      </c>
      <c r="C171" s="30">
        <f t="shared" si="10"/>
        <v>4.9520462810931871E-2</v>
      </c>
      <c r="D171" s="30">
        <f t="shared" si="8"/>
        <v>0.48563232264796558</v>
      </c>
      <c r="E171" s="30">
        <f t="shared" si="9"/>
        <v>4.3385474873884868E-2</v>
      </c>
    </row>
    <row r="172" spans="2:5" ht="13.9" customHeight="1" x14ac:dyDescent="0.25">
      <c r="B172" s="29">
        <f t="shared" si="11"/>
        <v>1.8880115273775231</v>
      </c>
      <c r="C172" s="30">
        <f t="shared" si="10"/>
        <v>4.9258173825441849E-2</v>
      </c>
      <c r="D172" s="30">
        <f t="shared" si="8"/>
        <v>0.48306013325396052</v>
      </c>
      <c r="E172" s="30">
        <f t="shared" si="9"/>
        <v>4.3616493023887752E-2</v>
      </c>
    </row>
    <row r="173" spans="2:5" ht="13.9" customHeight="1" x14ac:dyDescent="0.25">
      <c r="B173" s="29">
        <f t="shared" si="11"/>
        <v>1.8980115273775231</v>
      </c>
      <c r="C173" s="30">
        <f t="shared" si="10"/>
        <v>4.8998648669166846E-2</v>
      </c>
      <c r="D173" s="30">
        <f t="shared" si="8"/>
        <v>0.48051504790391847</v>
      </c>
      <c r="E173" s="30">
        <f t="shared" si="9"/>
        <v>4.3847511173890637E-2</v>
      </c>
    </row>
    <row r="174" spans="2:5" ht="13.9" customHeight="1" x14ac:dyDescent="0.25">
      <c r="B174" s="29">
        <f t="shared" si="11"/>
        <v>1.9080115273775231</v>
      </c>
      <c r="C174" s="30">
        <f t="shared" si="10"/>
        <v>4.8741843885935193E-2</v>
      </c>
      <c r="D174" s="30">
        <f t="shared" si="8"/>
        <v>0.4779966404362006</v>
      </c>
      <c r="E174" s="30">
        <f t="shared" si="9"/>
        <v>4.4078529323893514E-2</v>
      </c>
    </row>
    <row r="175" spans="2:5" ht="13.9" customHeight="1" x14ac:dyDescent="0.25">
      <c r="B175" s="29">
        <f t="shared" si="11"/>
        <v>1.9180115273775231</v>
      </c>
      <c r="C175" s="30">
        <f t="shared" si="10"/>
        <v>4.8487716925850764E-2</v>
      </c>
      <c r="D175" s="30">
        <f t="shared" si="8"/>
        <v>0.47550449357674068</v>
      </c>
      <c r="E175" s="30">
        <f t="shared" si="9"/>
        <v>4.4309547473896413E-2</v>
      </c>
    </row>
    <row r="176" spans="2:5" ht="13.9" customHeight="1" x14ac:dyDescent="0.25">
      <c r="B176" s="29">
        <f t="shared" si="11"/>
        <v>1.9280115273775231</v>
      </c>
      <c r="C176" s="30">
        <f t="shared" si="10"/>
        <v>4.8236226121790043E-2</v>
      </c>
      <c r="D176" s="30">
        <f t="shared" si="8"/>
        <v>0.4730381987085584</v>
      </c>
      <c r="E176" s="30">
        <f t="shared" si="9"/>
        <v>4.4540565623899298E-2</v>
      </c>
    </row>
    <row r="177" spans="2:5" ht="13.9" customHeight="1" x14ac:dyDescent="0.25">
      <c r="B177" s="29">
        <f t="shared" si="11"/>
        <v>1.9380115273775231</v>
      </c>
      <c r="C177" s="30">
        <f t="shared" si="10"/>
        <v>4.7987330666626977E-2</v>
      </c>
      <c r="D177" s="30">
        <f t="shared" si="8"/>
        <v>0.47059735564841076</v>
      </c>
      <c r="E177" s="30">
        <f t="shared" si="9"/>
        <v>4.4771583773902182E-2</v>
      </c>
    </row>
    <row r="178" spans="2:5" ht="13.9" customHeight="1" x14ac:dyDescent="0.25">
      <c r="B178" s="29">
        <f t="shared" si="11"/>
        <v>1.9480115273775231</v>
      </c>
      <c r="C178" s="30">
        <f t="shared" si="10"/>
        <v>4.7740990591159202E-2</v>
      </c>
      <c r="D178" s="30">
        <f t="shared" si="8"/>
        <v>0.46818157243032094</v>
      </c>
      <c r="E178" s="30">
        <f t="shared" si="9"/>
        <v>4.5002601923905074E-2</v>
      </c>
    </row>
    <row r="179" spans="2:5" ht="13.9" customHeight="1" x14ac:dyDescent="0.25">
      <c r="B179" s="29">
        <f t="shared" si="11"/>
        <v>1.9580115273775232</v>
      </c>
      <c r="C179" s="30">
        <f t="shared" si="10"/>
        <v>4.7497166742710761E-2</v>
      </c>
      <c r="D179" s="30">
        <f t="shared" si="8"/>
        <v>0.46579046509574157</v>
      </c>
      <c r="E179" s="30">
        <f t="shared" si="9"/>
        <v>4.5233620073907944E-2</v>
      </c>
    </row>
    <row r="180" spans="2:5" ht="13.9" customHeight="1" x14ac:dyDescent="0.25">
      <c r="B180" s="29">
        <f t="shared" si="11"/>
        <v>1.9680115273775232</v>
      </c>
      <c r="C180" s="30">
        <f t="shared" si="10"/>
        <v>4.7255820764387134E-2</v>
      </c>
      <c r="D180" s="30">
        <f t="shared" si="8"/>
        <v>0.46342365749011527</v>
      </c>
      <c r="E180" s="30">
        <f t="shared" si="9"/>
        <v>4.5464638223910836E-2</v>
      </c>
    </row>
    <row r="181" spans="2:5" ht="13.9" customHeight="1" x14ac:dyDescent="0.25">
      <c r="B181" s="29">
        <f t="shared" si="11"/>
        <v>1.9780115273775232</v>
      </c>
      <c r="C181" s="30">
        <f t="shared" si="10"/>
        <v>4.7016915074959531E-2</v>
      </c>
      <c r="D181" s="30">
        <f t="shared" si="8"/>
        <v>0.46108078106560563</v>
      </c>
      <c r="E181" s="30">
        <f t="shared" si="9"/>
        <v>4.5695656373913728E-2</v>
      </c>
    </row>
    <row r="182" spans="2:5" ht="13.9" customHeight="1" x14ac:dyDescent="0.25">
      <c r="B182" s="29">
        <f t="shared" si="11"/>
        <v>1.9880115273775232</v>
      </c>
      <c r="C182" s="30">
        <f t="shared" si="10"/>
        <v>4.6780412849356336E-2</v>
      </c>
      <c r="D182" s="30">
        <f t="shared" si="8"/>
        <v>0.45876147468978273</v>
      </c>
      <c r="E182" s="30">
        <f t="shared" si="9"/>
        <v>4.5926674523916605E-2</v>
      </c>
    </row>
    <row r="183" spans="2:5" ht="13.9" customHeight="1" x14ac:dyDescent="0.25">
      <c r="B183" s="29">
        <f t="shared" si="11"/>
        <v>1.9980115273775232</v>
      </c>
      <c r="C183" s="30">
        <f t="shared" si="10"/>
        <v>4.6546277999740336E-2</v>
      </c>
      <c r="D183" s="30">
        <f t="shared" si="8"/>
        <v>0.45646538446005352</v>
      </c>
      <c r="E183" s="30">
        <f t="shared" si="9"/>
        <v>4.615769267391949E-2</v>
      </c>
    </row>
    <row r="184" spans="2:5" ht="13.9" customHeight="1" x14ac:dyDescent="0.25">
      <c r="B184" s="29">
        <f t="shared" si="11"/>
        <v>2.0080115273775232</v>
      </c>
      <c r="C184" s="30">
        <f t="shared" si="10"/>
        <v>4.6314475157151432E-2</v>
      </c>
      <c r="D184" s="30">
        <f t="shared" si="8"/>
        <v>0.45419216352363689</v>
      </c>
      <c r="E184" s="30">
        <f t="shared" si="9"/>
        <v>4.6388710823922374E-2</v>
      </c>
    </row>
    <row r="185" spans="2:5" ht="13.9" customHeight="1" x14ac:dyDescent="0.25">
      <c r="B185" s="29">
        <f t="shared" si="11"/>
        <v>2.018011527377523</v>
      </c>
      <c r="C185" s="30">
        <f t="shared" si="10"/>
        <v>4.6084969653695081E-2</v>
      </c>
      <c r="D185" s="30">
        <f t="shared" si="8"/>
        <v>0.45194147190289152</v>
      </c>
      <c r="E185" s="30">
        <f t="shared" si="9"/>
        <v>4.6619728973925266E-2</v>
      </c>
    </row>
    <row r="186" spans="2:5" ht="13.9" customHeight="1" x14ac:dyDescent="0.25">
      <c r="B186" s="29">
        <f t="shared" si="11"/>
        <v>2.0280115273775228</v>
      </c>
      <c r="C186" s="30">
        <f t="shared" si="10"/>
        <v>4.5857727505257746E-2</v>
      </c>
      <c r="D186" s="30">
        <f t="shared" si="8"/>
        <v>0.44971297632581109</v>
      </c>
      <c r="E186" s="30">
        <f t="shared" si="9"/>
        <v>4.6850747123928137E-2</v>
      </c>
    </row>
    <row r="187" spans="2:5" ht="13.9" customHeight="1" x14ac:dyDescent="0.25">
      <c r="B187" s="29">
        <f t="shared" si="11"/>
        <v>2.0380115273775226</v>
      </c>
      <c r="C187" s="30">
        <f t="shared" si="10"/>
        <v>4.5632715394731238E-2</v>
      </c>
      <c r="D187" s="30">
        <f t="shared" si="8"/>
        <v>0.44750635006151079</v>
      </c>
      <c r="E187" s="30">
        <f t="shared" si="9"/>
        <v>4.7081765273931021E-2</v>
      </c>
    </row>
    <row r="188" spans="2:5" ht="13.9" customHeight="1" x14ac:dyDescent="0.25">
      <c r="B188" s="29">
        <f t="shared" si="11"/>
        <v>2.0480115273775223</v>
      </c>
      <c r="C188" s="30">
        <f t="shared" si="10"/>
        <v>4.5409900655728461E-2</v>
      </c>
      <c r="D188" s="30">
        <f t="shared" si="8"/>
        <v>0.44532127276053224</v>
      </c>
      <c r="E188" s="30">
        <f t="shared" si="9"/>
        <v>4.7312783423933892E-2</v>
      </c>
    </row>
    <row r="189" spans="2:5" ht="13.9" customHeight="1" x14ac:dyDescent="0.25">
      <c r="B189" s="29">
        <f t="shared" si="11"/>
        <v>2.0580115273775221</v>
      </c>
      <c r="C189" s="30">
        <f t="shared" si="10"/>
        <v>4.5189251256773963E-2</v>
      </c>
      <c r="D189" s="30">
        <f t="shared" si="8"/>
        <v>0.4431574302998052</v>
      </c>
      <c r="E189" s="30">
        <f t="shared" si="9"/>
        <v>4.7543801573936784E-2</v>
      </c>
    </row>
    <row r="190" spans="2:5" ht="13.9" customHeight="1" x14ac:dyDescent="0.25">
      <c r="B190" s="29">
        <f t="shared" si="11"/>
        <v>2.0680115273775219</v>
      </c>
      <c r="C190" s="30">
        <f t="shared" si="10"/>
        <v>4.4970735785953168E-2</v>
      </c>
      <c r="D190" s="30">
        <f t="shared" si="8"/>
        <v>0.44101451463210689</v>
      </c>
      <c r="E190" s="30">
        <f t="shared" si="9"/>
        <v>4.7774819723939661E-2</v>
      </c>
    </row>
    <row r="191" spans="2:5" ht="13.9" customHeight="1" x14ac:dyDescent="0.25">
      <c r="B191" s="29">
        <f t="shared" si="11"/>
        <v>2.0780115273775217</v>
      </c>
      <c r="C191" s="30">
        <f t="shared" si="10"/>
        <v>4.4754323436004821E-2</v>
      </c>
      <c r="D191" s="30">
        <f t="shared" si="8"/>
        <v>0.43889222363986846</v>
      </c>
      <c r="E191" s="30">
        <f t="shared" si="9"/>
        <v>4.8005837873942546E-2</v>
      </c>
    </row>
    <row r="192" spans="2:5" ht="13.9" customHeight="1" x14ac:dyDescent="0.25">
      <c r="B192" s="29">
        <f t="shared" si="11"/>
        <v>2.0880115273775215</v>
      </c>
      <c r="C192" s="30">
        <f t="shared" si="10"/>
        <v>4.4539983989841832E-2</v>
      </c>
      <c r="D192" s="30">
        <f t="shared" si="8"/>
        <v>0.43679026099318186</v>
      </c>
      <c r="E192" s="30">
        <f t="shared" si="9"/>
        <v>4.8236856023945417E-2</v>
      </c>
    </row>
    <row r="193" spans="2:5" ht="13.9" customHeight="1" x14ac:dyDescent="0.25">
      <c r="B193" s="29">
        <f t="shared" si="11"/>
        <v>2.0980115273775213</v>
      </c>
      <c r="C193" s="30">
        <f t="shared" si="10"/>
        <v>4.4327687806486181E-2</v>
      </c>
      <c r="D193" s="30">
        <f t="shared" si="8"/>
        <v>0.43470833601186798</v>
      </c>
      <c r="E193" s="30">
        <f t="shared" si="9"/>
        <v>4.8467874173948301E-2</v>
      </c>
    </row>
    <row r="194" spans="2:5" ht="13.9" customHeight="1" x14ac:dyDescent="0.25">
      <c r="B194" s="29">
        <f t="shared" si="11"/>
        <v>2.1080115273775211</v>
      </c>
      <c r="C194" s="30">
        <f t="shared" si="10"/>
        <v>4.4117405807404177E-2</v>
      </c>
      <c r="D194" s="30">
        <f t="shared" si="8"/>
        <v>0.43264616353147051</v>
      </c>
      <c r="E194" s="30">
        <f t="shared" si="9"/>
        <v>4.8698892323951179E-2</v>
      </c>
    </row>
    <row r="195" spans="2:5" ht="13.9" customHeight="1" x14ac:dyDescent="0.25">
      <c r="B195" s="29">
        <f t="shared" si="11"/>
        <v>2.1180115273775209</v>
      </c>
      <c r="C195" s="30">
        <f t="shared" si="10"/>
        <v>4.3909109463228804E-2</v>
      </c>
      <c r="D195" s="30">
        <f t="shared" si="8"/>
        <v>0.43060346377304587</v>
      </c>
      <c r="E195" s="30">
        <f t="shared" si="9"/>
        <v>4.8929910473954057E-2</v>
      </c>
    </row>
    <row r="196" spans="2:5" ht="13.9" customHeight="1" x14ac:dyDescent="0.25">
      <c r="B196" s="29">
        <f t="shared" si="11"/>
        <v>2.1280115273775206</v>
      </c>
      <c r="C196" s="30">
        <f t="shared" si="10"/>
        <v>4.3702770780856444E-2</v>
      </c>
      <c r="D196" s="30">
        <f t="shared" si="8"/>
        <v>0.42857996221662487</v>
      </c>
      <c r="E196" s="30">
        <f t="shared" si="9"/>
        <v>4.9160928623956948E-2</v>
      </c>
    </row>
    <row r="197" spans="2:5" ht="13.9" customHeight="1" x14ac:dyDescent="0.25">
      <c r="B197" s="29">
        <f t="shared" si="11"/>
        <v>2.1380115273775204</v>
      </c>
      <c r="C197" s="30">
        <f t="shared" si="10"/>
        <v>4.3498362290905687E-2</v>
      </c>
      <c r="D197" s="30">
        <f t="shared" si="8"/>
        <v>0.42657538947822476</v>
      </c>
      <c r="E197" s="30">
        <f t="shared" si="9"/>
        <v>4.9391946773959826E-2</v>
      </c>
    </row>
    <row r="198" spans="2:5" ht="13.9" customHeight="1" x14ac:dyDescent="0.25">
      <c r="B198" s="29">
        <f t="shared" si="11"/>
        <v>2.1480115273775202</v>
      </c>
      <c r="C198" s="30">
        <f t="shared" si="10"/>
        <v>4.3295857035526485E-2</v>
      </c>
      <c r="D198" s="30">
        <f t="shared" si="8"/>
        <v>0.42458948119029755</v>
      </c>
      <c r="E198" s="30">
        <f t="shared" si="9"/>
        <v>4.962296492396271E-2</v>
      </c>
    </row>
    <row r="199" spans="2:5" ht="13.9" customHeight="1" x14ac:dyDescent="0.25">
      <c r="B199" s="29">
        <f t="shared" si="11"/>
        <v>2.15801152737752</v>
      </c>
      <c r="C199" s="30">
        <f t="shared" si="10"/>
        <v>4.3095228556548244E-2</v>
      </c>
      <c r="D199" s="30">
        <f t="shared" si="8"/>
        <v>0.42262197788550165</v>
      </c>
      <c r="E199" s="30">
        <f t="shared" si="9"/>
        <v>4.9853983073965588E-2</v>
      </c>
    </row>
    <row r="200" spans="2:5" ht="13.9" customHeight="1" x14ac:dyDescent="0.25">
      <c r="B200" s="29">
        <f t="shared" si="11"/>
        <v>2.1680115273775198</v>
      </c>
      <c r="C200" s="30">
        <f t="shared" si="10"/>
        <v>4.2896450883955904E-2</v>
      </c>
      <c r="D200" s="30">
        <f t="shared" si="8"/>
        <v>0.42067262488369034</v>
      </c>
      <c r="E200" s="30">
        <f t="shared" si="9"/>
        <v>5.0085001223968466E-2</v>
      </c>
    </row>
    <row r="201" spans="2:5" ht="13.9" customHeight="1" x14ac:dyDescent="0.25">
      <c r="B201" s="29">
        <f t="shared" si="11"/>
        <v>2.1780115273775196</v>
      </c>
      <c r="C201" s="30">
        <f t="shared" si="10"/>
        <v>4.2699498524683473E-2</v>
      </c>
      <c r="D201" s="30">
        <f t="shared" ref="D201:D264" si="12">C201*9.8067</f>
        <v>0.4187411721820134</v>
      </c>
      <c r="E201" s="30">
        <f t="shared" ref="E201:E264" si="13">((B201^2)/(4*PI()^2))*D201</f>
        <v>5.031601937397135E-2</v>
      </c>
    </row>
    <row r="202" spans="2:5" ht="13.9" customHeight="1" x14ac:dyDescent="0.25">
      <c r="B202" s="29">
        <f t="shared" si="11"/>
        <v>2.1880115273775194</v>
      </c>
      <c r="C202" s="30">
        <f t="shared" si="10"/>
        <v>4.2504346451714914E-2</v>
      </c>
      <c r="D202" s="30">
        <f t="shared" si="12"/>
        <v>0.41682737434803263</v>
      </c>
      <c r="E202" s="30">
        <f t="shared" si="13"/>
        <v>5.0547037523974228E-2</v>
      </c>
    </row>
    <row r="203" spans="2:5" ht="13.9" customHeight="1" x14ac:dyDescent="0.25">
      <c r="B203" s="29">
        <f t="shared" si="11"/>
        <v>2.1980115273775191</v>
      </c>
      <c r="C203" s="30">
        <f t="shared" si="10"/>
        <v>4.2310970093482496E-2</v>
      </c>
      <c r="D203" s="30">
        <f t="shared" si="12"/>
        <v>0.41493099041575476</v>
      </c>
      <c r="E203" s="30">
        <f t="shared" si="13"/>
        <v>5.0778055673977106E-2</v>
      </c>
    </row>
    <row r="204" spans="2:5" ht="13.9" customHeight="1" x14ac:dyDescent="0.25">
      <c r="B204" s="29">
        <f t="shared" si="11"/>
        <v>2.2080115273775189</v>
      </c>
      <c r="C204" s="30">
        <f t="shared" si="10"/>
        <v>4.2119345323553263E-2</v>
      </c>
      <c r="D204" s="30">
        <f t="shared" si="12"/>
        <v>0.41305178378448976</v>
      </c>
      <c r="E204" s="30">
        <f t="shared" si="13"/>
        <v>5.100907382397999E-2</v>
      </c>
    </row>
    <row r="205" spans="2:5" ht="13.9" customHeight="1" x14ac:dyDescent="0.25">
      <c r="B205" s="29">
        <f t="shared" si="11"/>
        <v>2.2180115273775187</v>
      </c>
      <c r="C205" s="30">
        <f t="shared" ref="C205:C268" si="14">IF(B205&lt;6,$C$5/B205,6*$C$5/B205^2)</f>
        <v>4.192944845059448E-2</v>
      </c>
      <c r="D205" s="30">
        <f t="shared" si="12"/>
        <v>0.41118952212044485</v>
      </c>
      <c r="E205" s="30">
        <f t="shared" si="13"/>
        <v>5.1240091973982875E-2</v>
      </c>
    </row>
    <row r="206" spans="2:5" ht="13.9" customHeight="1" x14ac:dyDescent="0.25">
      <c r="B206" s="29">
        <f t="shared" ref="B206:B269" si="15">B205+0.01</f>
        <v>2.2280115273775185</v>
      </c>
      <c r="C206" s="30">
        <f t="shared" si="14"/>
        <v>4.1741256208609329E-2</v>
      </c>
      <c r="D206" s="30">
        <f t="shared" si="12"/>
        <v>0.40934397726096905</v>
      </c>
      <c r="E206" s="30">
        <f t="shared" si="13"/>
        <v>5.1471110123985753E-2</v>
      </c>
    </row>
    <row r="207" spans="2:5" ht="13.9" customHeight="1" x14ac:dyDescent="0.25">
      <c r="B207" s="29">
        <f t="shared" si="15"/>
        <v>2.2380115273775183</v>
      </c>
      <c r="C207" s="30">
        <f t="shared" si="14"/>
        <v>4.1554745747434355E-2</v>
      </c>
      <c r="D207" s="30">
        <f t="shared" si="12"/>
        <v>0.40751492512136445</v>
      </c>
      <c r="E207" s="30">
        <f t="shared" si="13"/>
        <v>5.170212827398863E-2</v>
      </c>
    </row>
    <row r="208" spans="2:5" ht="13.9" customHeight="1" x14ac:dyDescent="0.25">
      <c r="B208" s="29">
        <f t="shared" si="15"/>
        <v>2.2480115273775181</v>
      </c>
      <c r="C208" s="30">
        <f t="shared" si="14"/>
        <v>4.1369894623490562E-2</v>
      </c>
      <c r="D208" s="30">
        <f t="shared" si="12"/>
        <v>0.40570214560418488</v>
      </c>
      <c r="E208" s="30">
        <f t="shared" si="13"/>
        <v>5.1933146423991515E-2</v>
      </c>
    </row>
    <row r="209" spans="2:5" ht="13.9" customHeight="1" x14ac:dyDescent="0.25">
      <c r="B209" s="29">
        <f t="shared" si="15"/>
        <v>2.2580115273775179</v>
      </c>
      <c r="C209" s="30">
        <f t="shared" si="14"/>
        <v>4.1186680790780257E-2</v>
      </c>
      <c r="D209" s="30">
        <f t="shared" si="12"/>
        <v>0.40390542251094474</v>
      </c>
      <c r="E209" s="30">
        <f t="shared" si="13"/>
        <v>5.2164164573994407E-2</v>
      </c>
    </row>
    <row r="210" spans="2:5" ht="13.9" customHeight="1" x14ac:dyDescent="0.25">
      <c r="B210" s="29">
        <f t="shared" si="15"/>
        <v>2.2680115273775177</v>
      </c>
      <c r="C210" s="30">
        <f t="shared" si="14"/>
        <v>4.1005082592122051E-2</v>
      </c>
      <c r="D210" s="30">
        <f t="shared" si="12"/>
        <v>0.40212454345616327</v>
      </c>
      <c r="E210" s="30">
        <f t="shared" si="13"/>
        <v>5.239518272399727E-2</v>
      </c>
    </row>
    <row r="211" spans="2:5" ht="13.9" customHeight="1" x14ac:dyDescent="0.25">
      <c r="B211" s="29">
        <f t="shared" si="15"/>
        <v>2.2780115273775174</v>
      </c>
      <c r="C211" s="30">
        <f t="shared" si="14"/>
        <v>4.0825078750616799E-2</v>
      </c>
      <c r="D211" s="30">
        <f t="shared" si="12"/>
        <v>0.40035929978367374</v>
      </c>
      <c r="E211" s="30">
        <f t="shared" si="13"/>
        <v>5.2626200874000155E-2</v>
      </c>
    </row>
    <row r="212" spans="2:5" ht="13.9" customHeight="1" x14ac:dyDescent="0.25">
      <c r="B212" s="29">
        <f t="shared" si="15"/>
        <v>2.2880115273775172</v>
      </c>
      <c r="C212" s="30">
        <f t="shared" si="14"/>
        <v>4.0646648361337204E-2</v>
      </c>
      <c r="D212" s="30">
        <f t="shared" si="12"/>
        <v>0.39860948648512551</v>
      </c>
      <c r="E212" s="30">
        <f t="shared" si="13"/>
        <v>5.2857219024003033E-2</v>
      </c>
    </row>
    <row r="213" spans="2:5" ht="13.9" customHeight="1" x14ac:dyDescent="0.25">
      <c r="B213" s="29">
        <f t="shared" si="15"/>
        <v>2.298011527377517</v>
      </c>
      <c r="C213" s="30">
        <f t="shared" si="14"/>
        <v>4.046977088323455E-2</v>
      </c>
      <c r="D213" s="30">
        <f t="shared" si="12"/>
        <v>0.39687490212061621</v>
      </c>
      <c r="E213" s="30">
        <f t="shared" si="13"/>
        <v>5.308823717400591E-2</v>
      </c>
    </row>
    <row r="214" spans="2:5" ht="13.9" customHeight="1" x14ac:dyDescent="0.25">
      <c r="B214" s="29">
        <f t="shared" si="15"/>
        <v>2.3080115273775168</v>
      </c>
      <c r="C214" s="30">
        <f t="shared" si="14"/>
        <v>4.0294426131255702E-2</v>
      </c>
      <c r="D214" s="30">
        <f t="shared" si="12"/>
        <v>0.39515534874138525</v>
      </c>
      <c r="E214" s="30">
        <f t="shared" si="13"/>
        <v>5.3319255324008795E-2</v>
      </c>
    </row>
    <row r="215" spans="2:5" ht="13.9" customHeight="1" x14ac:dyDescent="0.25">
      <c r="B215" s="29">
        <f t="shared" si="15"/>
        <v>2.3180115273775166</v>
      </c>
      <c r="C215" s="30">
        <f t="shared" si="14"/>
        <v>4.0120594268664225E-2</v>
      </c>
      <c r="D215" s="30">
        <f t="shared" si="12"/>
        <v>0.39345063181450945</v>
      </c>
      <c r="E215" s="30">
        <f t="shared" si="13"/>
        <v>5.3550273474011686E-2</v>
      </c>
    </row>
    <row r="216" spans="2:5" ht="13.9" customHeight="1" x14ac:dyDescent="0.25">
      <c r="B216" s="29">
        <f t="shared" si="15"/>
        <v>2.3280115273775164</v>
      </c>
      <c r="C216" s="30">
        <f t="shared" si="14"/>
        <v>3.99482557995594E-2</v>
      </c>
      <c r="D216" s="30">
        <f t="shared" si="12"/>
        <v>0.39176056014953914</v>
      </c>
      <c r="E216" s="30">
        <f t="shared" si="13"/>
        <v>5.3781291624014557E-2</v>
      </c>
    </row>
    <row r="217" spans="2:5" ht="13.9" customHeight="1" x14ac:dyDescent="0.25">
      <c r="B217" s="29">
        <f t="shared" si="15"/>
        <v>2.3380115273775162</v>
      </c>
      <c r="C217" s="30">
        <f t="shared" si="14"/>
        <v>3.9777391561587196E-2</v>
      </c>
      <c r="D217" s="30">
        <f t="shared" si="12"/>
        <v>0.39008494582701714</v>
      </c>
      <c r="E217" s="30">
        <f t="shared" si="13"/>
        <v>5.4012309774017435E-2</v>
      </c>
    </row>
    <row r="218" spans="2:5" ht="13.9" customHeight="1" x14ac:dyDescent="0.25">
      <c r="B218" s="29">
        <f t="shared" si="15"/>
        <v>2.348011527377516</v>
      </c>
      <c r="C218" s="30">
        <f t="shared" si="14"/>
        <v>3.9607982718837545E-2</v>
      </c>
      <c r="D218" s="30">
        <f t="shared" si="12"/>
        <v>0.38842360412882415</v>
      </c>
      <c r="E218" s="30">
        <f t="shared" si="13"/>
        <v>5.4243327924020326E-2</v>
      </c>
    </row>
    <row r="219" spans="2:5" ht="13.9" customHeight="1" x14ac:dyDescent="0.25">
      <c r="B219" s="29">
        <f t="shared" si="15"/>
        <v>2.3580115273775157</v>
      </c>
      <c r="C219" s="30">
        <f t="shared" si="14"/>
        <v>3.944001075492231E-2</v>
      </c>
      <c r="D219" s="30">
        <f t="shared" si="12"/>
        <v>0.3867763534702966</v>
      </c>
      <c r="E219" s="30">
        <f t="shared" si="13"/>
        <v>5.4474346074023204E-2</v>
      </c>
    </row>
    <row r="220" spans="2:5" ht="13.9" customHeight="1" x14ac:dyDescent="0.25">
      <c r="B220" s="29">
        <f t="shared" si="15"/>
        <v>2.3680115273775155</v>
      </c>
      <c r="C220" s="30">
        <f t="shared" si="14"/>
        <v>3.9273457466228651E-2</v>
      </c>
      <c r="D220" s="30">
        <f t="shared" si="12"/>
        <v>0.38514301533406448</v>
      </c>
      <c r="E220" s="30">
        <f t="shared" si="13"/>
        <v>5.4705364224026075E-2</v>
      </c>
    </row>
    <row r="221" spans="2:5" ht="13.9" customHeight="1" x14ac:dyDescent="0.25">
      <c r="B221" s="29">
        <f t="shared" si="15"/>
        <v>2.3780115273775153</v>
      </c>
      <c r="C221" s="30">
        <f t="shared" si="14"/>
        <v>3.9108304955342642E-2</v>
      </c>
      <c r="D221" s="30">
        <f t="shared" si="12"/>
        <v>0.38352341420555863</v>
      </c>
      <c r="E221" s="30">
        <f t="shared" si="13"/>
        <v>5.4936382374028959E-2</v>
      </c>
    </row>
    <row r="222" spans="2:5" ht="13.9" customHeight="1" x14ac:dyDescent="0.25">
      <c r="B222" s="29">
        <f t="shared" si="15"/>
        <v>2.3880115273775151</v>
      </c>
      <c r="C222" s="30">
        <f t="shared" si="14"/>
        <v>3.8944535624638066E-2</v>
      </c>
      <c r="D222" s="30">
        <f t="shared" si="12"/>
        <v>0.3819173775101381</v>
      </c>
      <c r="E222" s="30">
        <f t="shared" si="13"/>
        <v>5.5167400524031844E-2</v>
      </c>
    </row>
    <row r="223" spans="2:5" ht="13.9" customHeight="1" x14ac:dyDescent="0.25">
      <c r="B223" s="29">
        <f t="shared" si="15"/>
        <v>2.3980115273775149</v>
      </c>
      <c r="C223" s="30">
        <f t="shared" si="14"/>
        <v>3.8782132170025706E-2</v>
      </c>
      <c r="D223" s="30">
        <f t="shared" si="12"/>
        <v>0.38032473555179108</v>
      </c>
      <c r="E223" s="30">
        <f t="shared" si="13"/>
        <v>5.5398418674034715E-2</v>
      </c>
    </row>
    <row r="224" spans="2:5" ht="13.9" customHeight="1" x14ac:dyDescent="0.25">
      <c r="B224" s="29">
        <f t="shared" si="15"/>
        <v>2.4080115273775147</v>
      </c>
      <c r="C224" s="30">
        <f t="shared" si="14"/>
        <v>3.8621077574858297E-2</v>
      </c>
      <c r="D224" s="30">
        <f t="shared" si="12"/>
        <v>0.37874532145336282</v>
      </c>
      <c r="E224" s="30">
        <f t="shared" si="13"/>
        <v>5.5629436824037606E-2</v>
      </c>
    </row>
    <row r="225" spans="2:5" ht="13.9" customHeight="1" x14ac:dyDescent="0.25">
      <c r="B225" s="29">
        <f t="shared" si="15"/>
        <v>2.4180115273775145</v>
      </c>
      <c r="C225" s="30">
        <f t="shared" si="14"/>
        <v>3.8461355103986766E-2</v>
      </c>
      <c r="D225" s="30">
        <f t="shared" si="12"/>
        <v>0.37717897109826698</v>
      </c>
      <c r="E225" s="30">
        <f t="shared" si="13"/>
        <v>5.5860454974040477E-2</v>
      </c>
    </row>
    <row r="226" spans="2:5" ht="13.9" customHeight="1" x14ac:dyDescent="0.25">
      <c r="B226" s="29">
        <f t="shared" si="15"/>
        <v>2.4280115273775142</v>
      </c>
      <c r="C226" s="30">
        <f t="shared" si="14"/>
        <v>3.8302948297963366E-2</v>
      </c>
      <c r="D226" s="30">
        <f t="shared" si="12"/>
        <v>0.37562552307363734</v>
      </c>
      <c r="E226" s="30">
        <f t="shared" si="13"/>
        <v>5.6091473124043362E-2</v>
      </c>
    </row>
    <row r="227" spans="2:5" ht="13.9" customHeight="1" x14ac:dyDescent="0.25">
      <c r="B227" s="29">
        <f t="shared" si="15"/>
        <v>2.438011527377514</v>
      </c>
      <c r="C227" s="30">
        <f t="shared" si="14"/>
        <v>3.8145840967387441E-2</v>
      </c>
      <c r="D227" s="30">
        <f t="shared" si="12"/>
        <v>0.37408481861487841</v>
      </c>
      <c r="E227" s="30">
        <f t="shared" si="13"/>
        <v>5.6322491274046239E-2</v>
      </c>
    </row>
    <row r="228" spans="2:5" ht="13.9" customHeight="1" x14ac:dyDescent="0.25">
      <c r="B228" s="29">
        <f t="shared" si="15"/>
        <v>2.4480115273775138</v>
      </c>
      <c r="C228" s="30">
        <f t="shared" si="14"/>
        <v>3.7990017187389757E-2</v>
      </c>
      <c r="D228" s="30">
        <f t="shared" si="12"/>
        <v>0.37255670155157511</v>
      </c>
      <c r="E228" s="30">
        <f t="shared" si="13"/>
        <v>5.6553509424049124E-2</v>
      </c>
    </row>
    <row r="229" spans="2:5" ht="13.9" customHeight="1" x14ac:dyDescent="0.25">
      <c r="B229" s="29">
        <f t="shared" si="15"/>
        <v>2.4580115273775136</v>
      </c>
      <c r="C229" s="30">
        <f t="shared" si="14"/>
        <v>3.7835461292251536E-2</v>
      </c>
      <c r="D229" s="30">
        <f t="shared" si="12"/>
        <v>0.37104101825472313</v>
      </c>
      <c r="E229" s="30">
        <f t="shared" si="13"/>
        <v>5.6784527574052002E-2</v>
      </c>
    </row>
    <row r="230" spans="2:5" ht="13.9" customHeight="1" x14ac:dyDescent="0.25">
      <c r="B230" s="29">
        <f t="shared" si="15"/>
        <v>2.4680115273775134</v>
      </c>
      <c r="C230" s="30">
        <f t="shared" si="14"/>
        <v>3.7682157870154262E-2</v>
      </c>
      <c r="D230" s="30">
        <f t="shared" si="12"/>
        <v>0.36953761758524178</v>
      </c>
      <c r="E230" s="30">
        <f t="shared" si="13"/>
        <v>5.7015545724054886E-2</v>
      </c>
    </row>
    <row r="231" spans="2:5" ht="13.9" customHeight="1" x14ac:dyDescent="0.25">
      <c r="B231" s="29">
        <f t="shared" si="15"/>
        <v>2.4780115273775132</v>
      </c>
      <c r="C231" s="30">
        <f t="shared" si="14"/>
        <v>3.7530091758056577E-2</v>
      </c>
      <c r="D231" s="30">
        <f t="shared" si="12"/>
        <v>0.36804635084373344</v>
      </c>
      <c r="E231" s="30">
        <f t="shared" si="13"/>
        <v>5.7246563874057778E-2</v>
      </c>
    </row>
    <row r="232" spans="2:5" ht="13.9" customHeight="1" x14ac:dyDescent="0.25">
      <c r="B232" s="29">
        <f t="shared" si="15"/>
        <v>2.488011527377513</v>
      </c>
      <c r="C232" s="30">
        <f t="shared" si="14"/>
        <v>3.7379248036694825E-2</v>
      </c>
      <c r="D232" s="30">
        <f t="shared" si="12"/>
        <v>0.36656707172145508</v>
      </c>
      <c r="E232" s="30">
        <f t="shared" si="13"/>
        <v>5.7477582024060628E-2</v>
      </c>
    </row>
    <row r="233" spans="2:5" ht="13.9" customHeight="1" x14ac:dyDescent="0.25">
      <c r="B233" s="29">
        <f t="shared" si="15"/>
        <v>2.4980115273775128</v>
      </c>
      <c r="C233" s="30">
        <f t="shared" si="14"/>
        <v>3.7229612025703573E-2</v>
      </c>
      <c r="D233" s="30">
        <f t="shared" si="12"/>
        <v>0.36509963625246722</v>
      </c>
      <c r="E233" s="30">
        <f t="shared" si="13"/>
        <v>5.7708600174063526E-2</v>
      </c>
    </row>
    <row r="234" spans="2:5" ht="13.9" customHeight="1" x14ac:dyDescent="0.25">
      <c r="B234" s="29">
        <f t="shared" si="15"/>
        <v>2.5080115273775125</v>
      </c>
      <c r="C234" s="30">
        <f t="shared" si="14"/>
        <v>3.7081169278852917E-2</v>
      </c>
      <c r="D234" s="30">
        <f t="shared" si="12"/>
        <v>0.36364390276692687</v>
      </c>
      <c r="E234" s="30">
        <f t="shared" si="13"/>
        <v>5.7939618324066411E-2</v>
      </c>
    </row>
    <row r="235" spans="2:5" ht="13.9" customHeight="1" x14ac:dyDescent="0.25">
      <c r="B235" s="29">
        <f t="shared" si="15"/>
        <v>2.5180115273775123</v>
      </c>
      <c r="C235" s="30">
        <f t="shared" si="14"/>
        <v>3.6933905579399275E-2</v>
      </c>
      <c r="D235" s="30">
        <f t="shared" si="12"/>
        <v>0.36219973184549487</v>
      </c>
      <c r="E235" s="30">
        <f t="shared" si="13"/>
        <v>5.8170636474069282E-2</v>
      </c>
    </row>
    <row r="236" spans="2:5" ht="13.9" customHeight="1" x14ac:dyDescent="0.25">
      <c r="B236" s="29">
        <f t="shared" si="15"/>
        <v>2.5280115273775121</v>
      </c>
      <c r="C236" s="30">
        <f t="shared" si="14"/>
        <v>3.6787806935546521E-2</v>
      </c>
      <c r="D236" s="30">
        <f t="shared" si="12"/>
        <v>0.36076698627482406</v>
      </c>
      <c r="E236" s="30">
        <f t="shared" si="13"/>
        <v>5.8401654624072166E-2</v>
      </c>
    </row>
    <row r="237" spans="2:5" ht="13.9" customHeight="1" x14ac:dyDescent="0.25">
      <c r="B237" s="29">
        <f t="shared" si="15"/>
        <v>2.5380115273775119</v>
      </c>
      <c r="C237" s="30">
        <f t="shared" si="14"/>
        <v>3.6642859576014403E-2</v>
      </c>
      <c r="D237" s="30">
        <f t="shared" si="12"/>
        <v>0.35934553100410044</v>
      </c>
      <c r="E237" s="30">
        <f t="shared" si="13"/>
        <v>5.8632672774075058E-2</v>
      </c>
    </row>
    <row r="238" spans="2:5" ht="13.9" customHeight="1" x14ac:dyDescent="0.25">
      <c r="B238" s="29">
        <f t="shared" si="15"/>
        <v>2.5480115273775117</v>
      </c>
      <c r="C238" s="30">
        <f t="shared" si="14"/>
        <v>3.6499049945711327E-2</v>
      </c>
      <c r="D238" s="30">
        <f t="shared" si="12"/>
        <v>0.35793523310260728</v>
      </c>
      <c r="E238" s="30">
        <f t="shared" si="13"/>
        <v>5.8863690924077942E-2</v>
      </c>
    </row>
    <row r="239" spans="2:5" ht="13.9" customHeight="1" x14ac:dyDescent="0.25">
      <c r="B239" s="29">
        <f t="shared" si="15"/>
        <v>2.5580115273775115</v>
      </c>
      <c r="C239" s="30">
        <f t="shared" si="14"/>
        <v>3.6356364701508652E-2</v>
      </c>
      <c r="D239" s="30">
        <f t="shared" si="12"/>
        <v>0.35653596171828489</v>
      </c>
      <c r="E239" s="30">
        <f t="shared" si="13"/>
        <v>5.9094709074080813E-2</v>
      </c>
    </row>
    <row r="240" spans="2:5" ht="13.9" customHeight="1" x14ac:dyDescent="0.25">
      <c r="B240" s="29">
        <f t="shared" si="15"/>
        <v>2.5680115273775113</v>
      </c>
      <c r="C240" s="30">
        <f t="shared" si="14"/>
        <v>3.621479070811371E-2</v>
      </c>
      <c r="D240" s="30">
        <f t="shared" si="12"/>
        <v>0.35514758803725871</v>
      </c>
      <c r="E240" s="30">
        <f t="shared" si="13"/>
        <v>5.9325727224083684E-2</v>
      </c>
    </row>
    <row r="241" spans="2:5" ht="13.9" customHeight="1" x14ac:dyDescent="0.25">
      <c r="B241" s="29">
        <f t="shared" si="15"/>
        <v>2.578011527377511</v>
      </c>
      <c r="C241" s="30">
        <f t="shared" si="14"/>
        <v>3.6074315034038851E-2</v>
      </c>
      <c r="D241" s="30">
        <f t="shared" si="12"/>
        <v>0.35376998524430875</v>
      </c>
      <c r="E241" s="30">
        <f t="shared" si="13"/>
        <v>5.9556745374086575E-2</v>
      </c>
    </row>
    <row r="242" spans="2:5" ht="13.9" customHeight="1" x14ac:dyDescent="0.25">
      <c r="B242" s="29">
        <f t="shared" si="15"/>
        <v>2.5880115273775108</v>
      </c>
      <c r="C242" s="30">
        <f t="shared" si="14"/>
        <v>3.5934924947663947E-2</v>
      </c>
      <c r="D242" s="30">
        <f t="shared" si="12"/>
        <v>0.35240302848425603</v>
      </c>
      <c r="E242" s="30">
        <f t="shared" si="13"/>
        <v>5.9787763524089453E-2</v>
      </c>
    </row>
    <row r="243" spans="2:5" ht="13.9" customHeight="1" x14ac:dyDescent="0.25">
      <c r="B243" s="29">
        <f t="shared" si="15"/>
        <v>2.5980115273775106</v>
      </c>
      <c r="C243" s="30">
        <f t="shared" si="14"/>
        <v>3.5796607913389906E-2</v>
      </c>
      <c r="D243" s="30">
        <f t="shared" si="12"/>
        <v>0.35104659482424078</v>
      </c>
      <c r="E243" s="30">
        <f t="shared" si="13"/>
        <v>6.0018781674092324E-2</v>
      </c>
    </row>
    <row r="244" spans="2:5" ht="13.9" customHeight="1" x14ac:dyDescent="0.25">
      <c r="B244" s="29">
        <f t="shared" si="15"/>
        <v>2.6080115273775104</v>
      </c>
      <c r="C244" s="30">
        <f t="shared" si="14"/>
        <v>3.5659351587880549E-2</v>
      </c>
      <c r="D244" s="30">
        <f t="shared" si="12"/>
        <v>0.34970056321686815</v>
      </c>
      <c r="E244" s="30">
        <f t="shared" si="13"/>
        <v>6.0249799824095208E-2</v>
      </c>
    </row>
    <row r="245" spans="2:5" ht="13.9" customHeight="1" x14ac:dyDescent="0.25">
      <c r="B245" s="29">
        <f t="shared" si="15"/>
        <v>2.6180115273775102</v>
      </c>
      <c r="C245" s="30">
        <f t="shared" si="14"/>
        <v>3.5523143816390712E-2</v>
      </c>
      <c r="D245" s="30">
        <f t="shared" si="12"/>
        <v>0.34836481446419876</v>
      </c>
      <c r="E245" s="30">
        <f t="shared" si="13"/>
        <v>6.0480817974098093E-2</v>
      </c>
    </row>
    <row r="246" spans="2:5" ht="13.9" customHeight="1" x14ac:dyDescent="0.25">
      <c r="B246" s="29">
        <f t="shared" si="15"/>
        <v>2.62801152737751</v>
      </c>
      <c r="C246" s="30">
        <f t="shared" si="14"/>
        <v>3.5387972629178158E-2</v>
      </c>
      <c r="D246" s="30">
        <f t="shared" si="12"/>
        <v>0.34703923118256141</v>
      </c>
      <c r="E246" s="30">
        <f t="shared" si="13"/>
        <v>6.0711836124100978E-2</v>
      </c>
    </row>
    <row r="247" spans="2:5" ht="13.9" customHeight="1" x14ac:dyDescent="0.25">
      <c r="B247" s="29">
        <f t="shared" si="15"/>
        <v>2.6380115273775098</v>
      </c>
      <c r="C247" s="30">
        <f t="shared" si="14"/>
        <v>3.5253826237997075E-2</v>
      </c>
      <c r="D247" s="30">
        <f t="shared" si="12"/>
        <v>0.34572369776816592</v>
      </c>
      <c r="E247" s="30">
        <f t="shared" si="13"/>
        <v>6.0942854274103848E-2</v>
      </c>
    </row>
    <row r="248" spans="2:5" ht="13.9" customHeight="1" x14ac:dyDescent="0.25">
      <c r="B248" s="29">
        <f t="shared" si="15"/>
        <v>2.6480115273775096</v>
      </c>
      <c r="C248" s="30">
        <f t="shared" si="14"/>
        <v>3.5120693032671076E-2</v>
      </c>
      <c r="D248" s="30">
        <f t="shared" si="12"/>
        <v>0.34441810036349541</v>
      </c>
      <c r="E248" s="30">
        <f t="shared" si="13"/>
        <v>6.1173872424106733E-2</v>
      </c>
    </row>
    <row r="249" spans="2:5" ht="13.9" customHeight="1" x14ac:dyDescent="0.25">
      <c r="B249" s="29">
        <f t="shared" si="15"/>
        <v>2.6580115273775093</v>
      </c>
      <c r="C249" s="30">
        <f t="shared" si="14"/>
        <v>3.4988561577743486E-2</v>
      </c>
      <c r="D249" s="30">
        <f t="shared" si="12"/>
        <v>0.34312232682445704</v>
      </c>
      <c r="E249" s="30">
        <f t="shared" si="13"/>
        <v>6.1404890574109618E-2</v>
      </c>
    </row>
    <row r="250" spans="2:5" ht="13.9" customHeight="1" x14ac:dyDescent="0.25">
      <c r="B250" s="29">
        <f t="shared" si="15"/>
        <v>2.6680115273775091</v>
      </c>
      <c r="C250" s="30">
        <f t="shared" si="14"/>
        <v>3.4857420609203014E-2</v>
      </c>
      <c r="D250" s="30">
        <f t="shared" si="12"/>
        <v>0.34183626668827116</v>
      </c>
      <c r="E250" s="30">
        <f t="shared" si="13"/>
        <v>6.1635908724112488E-2</v>
      </c>
    </row>
    <row r="251" spans="2:5" ht="13.9" customHeight="1" x14ac:dyDescent="0.25">
      <c r="B251" s="29">
        <f t="shared" si="15"/>
        <v>2.6780115273775089</v>
      </c>
      <c r="C251" s="30">
        <f t="shared" si="14"/>
        <v>3.4727259031282785E-2</v>
      </c>
      <c r="D251" s="30">
        <f t="shared" si="12"/>
        <v>0.34055981114208089</v>
      </c>
      <c r="E251" s="30">
        <f t="shared" si="13"/>
        <v>6.186692687411538E-2</v>
      </c>
    </row>
    <row r="252" spans="2:5" ht="13.9" customHeight="1" x14ac:dyDescent="0.25">
      <c r="B252" s="29">
        <f t="shared" si="15"/>
        <v>2.6880115273775087</v>
      </c>
      <c r="C252" s="30">
        <f t="shared" si="14"/>
        <v>3.4598065913330783E-2</v>
      </c>
      <c r="D252" s="30">
        <f t="shared" si="12"/>
        <v>0.33929285299226097</v>
      </c>
      <c r="E252" s="30">
        <f t="shared" si="13"/>
        <v>6.2097945024118258E-2</v>
      </c>
    </row>
    <row r="253" spans="2:5" ht="13.9" customHeight="1" x14ac:dyDescent="0.25">
      <c r="B253" s="29">
        <f t="shared" si="15"/>
        <v>2.6980115273775085</v>
      </c>
      <c r="C253" s="30">
        <f t="shared" si="14"/>
        <v>3.4469830486749932E-2</v>
      </c>
      <c r="D253" s="30">
        <f t="shared" si="12"/>
        <v>0.33803528663441051</v>
      </c>
      <c r="E253" s="30">
        <f t="shared" si="13"/>
        <v>6.2328963174121128E-2</v>
      </c>
    </row>
    <row r="254" spans="2:5" ht="13.9" customHeight="1" x14ac:dyDescent="0.25">
      <c r="B254" s="29">
        <f t="shared" si="15"/>
        <v>2.7080115273775083</v>
      </c>
      <c r="C254" s="30">
        <f t="shared" si="14"/>
        <v>3.4342542142005959E-2</v>
      </c>
      <c r="D254" s="30">
        <f t="shared" si="12"/>
        <v>0.33678700802400979</v>
      </c>
      <c r="E254" s="30">
        <f t="shared" si="13"/>
        <v>6.255998132412402E-2</v>
      </c>
    </row>
    <row r="255" spans="2:5" ht="13.9" customHeight="1" x14ac:dyDescent="0.25">
      <c r="B255" s="29">
        <f t="shared" si="15"/>
        <v>2.7180115273775081</v>
      </c>
      <c r="C255" s="30">
        <f t="shared" si="14"/>
        <v>3.421619042570128E-2</v>
      </c>
      <c r="D255" s="30">
        <f t="shared" si="12"/>
        <v>0.33554791464772471</v>
      </c>
      <c r="E255" s="30">
        <f t="shared" si="13"/>
        <v>6.2790999474126905E-2</v>
      </c>
    </row>
    <row r="256" spans="2:5" ht="13.9" customHeight="1" x14ac:dyDescent="0.25">
      <c r="B256" s="29">
        <f t="shared" si="15"/>
        <v>2.7280115273775078</v>
      </c>
      <c r="C256" s="30">
        <f t="shared" si="14"/>
        <v>3.40907650377133E-2</v>
      </c>
      <c r="D256" s="30">
        <f t="shared" si="12"/>
        <v>0.33431790549534302</v>
      </c>
      <c r="E256" s="30">
        <f t="shared" si="13"/>
        <v>6.3022017624129775E-2</v>
      </c>
    </row>
    <row r="257" spans="2:5" ht="13.9" customHeight="1" x14ac:dyDescent="0.25">
      <c r="B257" s="29">
        <f t="shared" si="15"/>
        <v>2.7380115273775076</v>
      </c>
      <c r="C257" s="30">
        <f t="shared" si="14"/>
        <v>3.3966255828395381E-2</v>
      </c>
      <c r="D257" s="30">
        <f t="shared" si="12"/>
        <v>0.33309688103232493</v>
      </c>
      <c r="E257" s="30">
        <f t="shared" si="13"/>
        <v>6.325303577413266E-2</v>
      </c>
    </row>
    <row r="258" spans="2:5" ht="13.9" customHeight="1" x14ac:dyDescent="0.25">
      <c r="B258" s="29">
        <f t="shared" si="15"/>
        <v>2.7480115273775074</v>
      </c>
      <c r="C258" s="30">
        <f t="shared" si="14"/>
        <v>3.3842652795838923E-2</v>
      </c>
      <c r="D258" s="30">
        <f t="shared" si="12"/>
        <v>0.33188474317295352</v>
      </c>
      <c r="E258" s="30">
        <f t="shared" si="13"/>
        <v>6.3484053924135531E-2</v>
      </c>
    </row>
    <row r="259" spans="2:5" ht="13.9" customHeight="1" x14ac:dyDescent="0.25">
      <c r="B259" s="29">
        <f t="shared" si="15"/>
        <v>2.7580115273775072</v>
      </c>
      <c r="C259" s="30">
        <f t="shared" si="14"/>
        <v>3.3719946083195063E-2</v>
      </c>
      <c r="D259" s="30">
        <f t="shared" si="12"/>
        <v>0.33068139525406898</v>
      </c>
      <c r="E259" s="30">
        <f t="shared" si="13"/>
        <v>6.3715072074138415E-2</v>
      </c>
    </row>
    <row r="260" spans="2:5" ht="13.9" customHeight="1" x14ac:dyDescent="0.25">
      <c r="B260" s="29">
        <f t="shared" si="15"/>
        <v>2.768011527377507</v>
      </c>
      <c r="C260" s="30">
        <f t="shared" si="14"/>
        <v>3.3598125976054313E-2</v>
      </c>
      <c r="D260" s="30">
        <f t="shared" si="12"/>
        <v>0.32948674200937184</v>
      </c>
      <c r="E260" s="30">
        <f t="shared" si="13"/>
        <v>6.39460902241413E-2</v>
      </c>
    </row>
    <row r="261" spans="2:5" ht="13.9" customHeight="1" x14ac:dyDescent="0.25">
      <c r="B261" s="29">
        <f t="shared" si="15"/>
        <v>2.7780115273775068</v>
      </c>
      <c r="C261" s="30">
        <f t="shared" si="14"/>
        <v>3.3477182899882954E-2</v>
      </c>
      <c r="D261" s="30">
        <f t="shared" si="12"/>
        <v>0.32830068954428215</v>
      </c>
      <c r="E261" s="30">
        <f t="shared" si="13"/>
        <v>6.4177108374144184E-2</v>
      </c>
    </row>
    <row r="262" spans="2:5" ht="13.9" customHeight="1" x14ac:dyDescent="0.25">
      <c r="B262" s="29">
        <f t="shared" si="15"/>
        <v>2.7880115273775066</v>
      </c>
      <c r="C262" s="30">
        <f t="shared" si="14"/>
        <v>3.3357107417514444E-2</v>
      </c>
      <c r="D262" s="30">
        <f t="shared" si="12"/>
        <v>0.32712314531133885</v>
      </c>
      <c r="E262" s="30">
        <f t="shared" si="13"/>
        <v>6.4408126524147055E-2</v>
      </c>
    </row>
    <row r="263" spans="2:5" ht="13.9" customHeight="1" x14ac:dyDescent="0.25">
      <c r="B263" s="29">
        <f t="shared" si="15"/>
        <v>2.7980115273775064</v>
      </c>
      <c r="C263" s="30">
        <f t="shared" si="14"/>
        <v>3.3237890226694725E-2</v>
      </c>
      <c r="D263" s="30">
        <f t="shared" si="12"/>
        <v>0.32595401808612712</v>
      </c>
      <c r="E263" s="30">
        <f t="shared" si="13"/>
        <v>6.463914467414994E-2</v>
      </c>
    </row>
    <row r="264" spans="2:5" ht="13.9" customHeight="1" x14ac:dyDescent="0.25">
      <c r="B264" s="29">
        <f t="shared" si="15"/>
        <v>2.8080115273775061</v>
      </c>
      <c r="C264" s="30">
        <f t="shared" si="14"/>
        <v>3.3119522157679937E-2</v>
      </c>
      <c r="D264" s="30">
        <f t="shared" si="12"/>
        <v>0.32479321794371979</v>
      </c>
      <c r="E264" s="30">
        <f t="shared" si="13"/>
        <v>6.4870162824152824E-2</v>
      </c>
    </row>
    <row r="265" spans="2:5" ht="13.9" customHeight="1" x14ac:dyDescent="0.25">
      <c r="B265" s="29">
        <f t="shared" si="15"/>
        <v>2.8180115273775059</v>
      </c>
      <c r="C265" s="30">
        <f t="shared" si="14"/>
        <v>3.3001994170885292E-2</v>
      </c>
      <c r="D265" s="30">
        <f t="shared" ref="D265:D328" si="16">C265*9.8067</f>
        <v>0.32364065623562077</v>
      </c>
      <c r="E265" s="30">
        <f t="shared" ref="E265:E328" si="17">((B265^2)/(4*PI()^2))*D265</f>
        <v>6.5101180974155709E-2</v>
      </c>
    </row>
    <row r="266" spans="2:5" ht="13.9" customHeight="1" x14ac:dyDescent="0.25">
      <c r="B266" s="29">
        <f t="shared" si="15"/>
        <v>2.8280115273775057</v>
      </c>
      <c r="C266" s="30">
        <f t="shared" si="14"/>
        <v>3.2885297354583808E-2</v>
      </c>
      <c r="D266" s="30">
        <f t="shared" si="16"/>
        <v>0.32249624556719703</v>
      </c>
      <c r="E266" s="30">
        <f t="shared" si="17"/>
        <v>6.5332199124158594E-2</v>
      </c>
    </row>
    <row r="267" spans="2:5" ht="13.9" customHeight="1" x14ac:dyDescent="0.25">
      <c r="B267" s="29">
        <f t="shared" si="15"/>
        <v>2.8380115273775055</v>
      </c>
      <c r="C267" s="30">
        <f t="shared" si="14"/>
        <v>3.2769422922653745E-2</v>
      </c>
      <c r="D267" s="30">
        <f t="shared" si="16"/>
        <v>0.32135989977558843</v>
      </c>
      <c r="E267" s="30">
        <f t="shared" si="17"/>
        <v>6.5563217274161451E-2</v>
      </c>
    </row>
    <row r="268" spans="2:5" ht="13.9" customHeight="1" x14ac:dyDescent="0.25">
      <c r="B268" s="29">
        <f t="shared" si="15"/>
        <v>2.8480115273775053</v>
      </c>
      <c r="C268" s="30">
        <f t="shared" si="14"/>
        <v>3.2654362212373451E-2</v>
      </c>
      <c r="D268" s="30">
        <f t="shared" si="16"/>
        <v>0.32023153390808268</v>
      </c>
      <c r="E268" s="30">
        <f t="shared" si="17"/>
        <v>6.5794235424164335E-2</v>
      </c>
    </row>
    <row r="269" spans="2:5" ht="13.9" customHeight="1" x14ac:dyDescent="0.25">
      <c r="B269" s="29">
        <f t="shared" si="15"/>
        <v>2.8580115273775051</v>
      </c>
      <c r="C269" s="30">
        <f t="shared" ref="C269:C332" si="18">IF(B269&lt;6,$C$5/B269,6*$C$5/B269^2)</f>
        <v>3.2540106682262496E-2</v>
      </c>
      <c r="D269" s="30">
        <f t="shared" si="16"/>
        <v>0.31911106420094359</v>
      </c>
      <c r="E269" s="30">
        <f t="shared" si="17"/>
        <v>6.602525357416722E-2</v>
      </c>
    </row>
    <row r="270" spans="2:5" ht="13.9" customHeight="1" x14ac:dyDescent="0.25">
      <c r="B270" s="29">
        <f t="shared" ref="B270:B333" si="19">B269+0.01</f>
        <v>2.8680115273775049</v>
      </c>
      <c r="C270" s="30">
        <f t="shared" si="18"/>
        <v>3.2426647909968034E-2</v>
      </c>
      <c r="D270" s="30">
        <f t="shared" si="16"/>
        <v>0.31799840805868351</v>
      </c>
      <c r="E270" s="30">
        <f t="shared" si="17"/>
        <v>6.6256271724170104E-2</v>
      </c>
    </row>
    <row r="271" spans="2:5" ht="13.9" customHeight="1" x14ac:dyDescent="0.25">
      <c r="B271" s="29">
        <f t="shared" si="19"/>
        <v>2.8780115273775047</v>
      </c>
      <c r="C271" s="30">
        <f t="shared" si="18"/>
        <v>3.231397759019515E-2</v>
      </c>
      <c r="D271" s="30">
        <f t="shared" si="16"/>
        <v>0.31689348403376677</v>
      </c>
      <c r="E271" s="30">
        <f t="shared" si="17"/>
        <v>6.6487289874172989E-2</v>
      </c>
    </row>
    <row r="272" spans="2:5" ht="13.9" customHeight="1" x14ac:dyDescent="0.25">
      <c r="B272" s="29">
        <f t="shared" si="19"/>
        <v>2.8880115273775044</v>
      </c>
      <c r="C272" s="30">
        <f t="shared" si="18"/>
        <v>3.2202087532680258E-2</v>
      </c>
      <c r="D272" s="30">
        <f t="shared" si="16"/>
        <v>0.31579621180673545</v>
      </c>
      <c r="E272" s="30">
        <f t="shared" si="17"/>
        <v>6.6718308024175874E-2</v>
      </c>
    </row>
    <row r="273" spans="2:5" ht="13.9" customHeight="1" x14ac:dyDescent="0.25">
      <c r="B273" s="29">
        <f t="shared" si="19"/>
        <v>2.8980115273775042</v>
      </c>
      <c r="C273" s="30">
        <f t="shared" si="18"/>
        <v>3.2090969660206435E-2</v>
      </c>
      <c r="D273" s="30">
        <f t="shared" si="16"/>
        <v>0.31470651216674644</v>
      </c>
      <c r="E273" s="30">
        <f t="shared" si="17"/>
        <v>6.6949326174178758E-2</v>
      </c>
    </row>
    <row r="274" spans="2:5" ht="13.9" customHeight="1" x14ac:dyDescent="0.25">
      <c r="B274" s="29">
        <f t="shared" si="19"/>
        <v>2.908011527377504</v>
      </c>
      <c r="C274" s="30">
        <f t="shared" si="18"/>
        <v>3.1980616006659725E-2</v>
      </c>
      <c r="D274" s="30">
        <f t="shared" si="16"/>
        <v>0.31362430699250993</v>
      </c>
      <c r="E274" s="30">
        <f t="shared" si="17"/>
        <v>6.7180344324181643E-2</v>
      </c>
    </row>
    <row r="275" spans="2:5" ht="13.9" customHeight="1" x14ac:dyDescent="0.25">
      <c r="B275" s="29">
        <f t="shared" si="19"/>
        <v>2.9180115273775038</v>
      </c>
      <c r="C275" s="30">
        <f t="shared" si="18"/>
        <v>3.1871018715125377E-2</v>
      </c>
      <c r="D275" s="30">
        <f t="shared" si="16"/>
        <v>0.31254951923362001</v>
      </c>
      <c r="E275" s="30">
        <f t="shared" si="17"/>
        <v>6.7411362474184514E-2</v>
      </c>
    </row>
    <row r="276" spans="2:5" ht="13.9" customHeight="1" x14ac:dyDescent="0.25">
      <c r="B276" s="29">
        <f t="shared" si="19"/>
        <v>2.9280115273775036</v>
      </c>
      <c r="C276" s="30">
        <f t="shared" si="18"/>
        <v>3.1762170036023107E-2</v>
      </c>
      <c r="D276" s="30">
        <f t="shared" si="16"/>
        <v>0.31148207289226776</v>
      </c>
      <c r="E276" s="30">
        <f t="shared" si="17"/>
        <v>6.7642380624187384E-2</v>
      </c>
    </row>
    <row r="277" spans="2:5" ht="13.9" customHeight="1" x14ac:dyDescent="0.25">
      <c r="B277" s="29">
        <f t="shared" si="19"/>
        <v>2.9380115273775034</v>
      </c>
      <c r="C277" s="30">
        <f t="shared" si="18"/>
        <v>3.1654062325280487E-2</v>
      </c>
      <c r="D277" s="30">
        <f t="shared" si="16"/>
        <v>0.31042189300532813</v>
      </c>
      <c r="E277" s="30">
        <f t="shared" si="17"/>
        <v>6.7873398774190269E-2</v>
      </c>
    </row>
    <row r="278" spans="2:5" ht="13.9" customHeight="1" x14ac:dyDescent="0.25">
      <c r="B278" s="29">
        <f t="shared" si="19"/>
        <v>2.9480115273775032</v>
      </c>
      <c r="C278" s="30">
        <f t="shared" si="18"/>
        <v>3.1546688042543403E-2</v>
      </c>
      <c r="D278" s="30">
        <f t="shared" si="16"/>
        <v>0.30936890562681035</v>
      </c>
      <c r="E278" s="30">
        <f t="shared" si="17"/>
        <v>6.810441692419314E-2</v>
      </c>
    </row>
    <row r="279" spans="2:5" ht="13.9" customHeight="1" x14ac:dyDescent="0.25">
      <c r="B279" s="29">
        <f t="shared" si="19"/>
        <v>2.9580115273775029</v>
      </c>
      <c r="C279" s="30">
        <f t="shared" si="18"/>
        <v>3.1440039749422957E-2</v>
      </c>
      <c r="D279" s="30">
        <f t="shared" si="16"/>
        <v>0.30832303781066611</v>
      </c>
      <c r="E279" s="30">
        <f t="shared" si="17"/>
        <v>6.8335435074196038E-2</v>
      </c>
    </row>
    <row r="280" spans="2:5" ht="13.9" customHeight="1" x14ac:dyDescent="0.25">
      <c r="B280" s="29">
        <f t="shared" si="19"/>
        <v>2.9680115273775027</v>
      </c>
      <c r="C280" s="30">
        <f t="shared" si="18"/>
        <v>3.1334110107777653E-2</v>
      </c>
      <c r="D280" s="30">
        <f t="shared" si="16"/>
        <v>0.30728421759394309</v>
      </c>
      <c r="E280" s="30">
        <f t="shared" si="17"/>
        <v>6.8566453224198923E-2</v>
      </c>
    </row>
    <row r="281" spans="2:5" ht="13.9" customHeight="1" x14ac:dyDescent="0.25">
      <c r="B281" s="29">
        <f t="shared" si="19"/>
        <v>2.9780115273775025</v>
      </c>
      <c r="C281" s="30">
        <f t="shared" si="18"/>
        <v>3.1228891878030334E-2</v>
      </c>
      <c r="D281" s="30">
        <f t="shared" si="16"/>
        <v>0.30625237398028005</v>
      </c>
      <c r="E281" s="30">
        <f t="shared" si="17"/>
        <v>6.8797471374201793E-2</v>
      </c>
    </row>
    <row r="282" spans="2:5" ht="13.9" customHeight="1" x14ac:dyDescent="0.25">
      <c r="B282" s="29">
        <f t="shared" si="19"/>
        <v>2.9880115273775023</v>
      </c>
      <c r="C282" s="30">
        <f t="shared" si="18"/>
        <v>3.1124377917518816E-2</v>
      </c>
      <c r="D282" s="30">
        <f t="shared" si="16"/>
        <v>0.30522743692373178</v>
      </c>
      <c r="E282" s="30">
        <f t="shared" si="17"/>
        <v>6.9028489524204678E-2</v>
      </c>
    </row>
    <row r="283" spans="2:5" ht="13.9" customHeight="1" x14ac:dyDescent="0.25">
      <c r="B283" s="29">
        <f t="shared" si="19"/>
        <v>2.9980115273775021</v>
      </c>
      <c r="C283" s="30">
        <f t="shared" si="18"/>
        <v>3.1020561178879573E-2</v>
      </c>
      <c r="D283" s="30">
        <f t="shared" si="16"/>
        <v>0.30420933731291827</v>
      </c>
      <c r="E283" s="30">
        <f t="shared" si="17"/>
        <v>6.9259507674207549E-2</v>
      </c>
    </row>
    <row r="284" spans="2:5" ht="13.9" customHeight="1" x14ac:dyDescent="0.25">
      <c r="B284" s="29">
        <f t="shared" si="19"/>
        <v>3.0080115273775019</v>
      </c>
      <c r="C284" s="30">
        <f t="shared" si="18"/>
        <v>3.091743470846367E-2</v>
      </c>
      <c r="D284" s="30">
        <f t="shared" si="16"/>
        <v>0.30319800695549065</v>
      </c>
      <c r="E284" s="30">
        <f t="shared" si="17"/>
        <v>6.9490525824210433E-2</v>
      </c>
    </row>
    <row r="285" spans="2:5" ht="13.9" customHeight="1" x14ac:dyDescent="0.25">
      <c r="B285" s="29">
        <f t="shared" si="19"/>
        <v>3.0180115273775017</v>
      </c>
      <c r="C285" s="30">
        <f t="shared" si="18"/>
        <v>3.081499164478416E-2</v>
      </c>
      <c r="D285" s="30">
        <f t="shared" si="16"/>
        <v>0.30219337856290479</v>
      </c>
      <c r="E285" s="30">
        <f t="shared" si="17"/>
        <v>6.9721543974213318E-2</v>
      </c>
    </row>
    <row r="286" spans="2:5" ht="13.9" customHeight="1" x14ac:dyDescent="0.25">
      <c r="B286" s="29">
        <f t="shared" si="19"/>
        <v>3.0280115273775015</v>
      </c>
      <c r="C286" s="30">
        <f t="shared" si="18"/>
        <v>3.0713225216994267E-2</v>
      </c>
      <c r="D286" s="30">
        <f t="shared" si="16"/>
        <v>0.30119538573549764</v>
      </c>
      <c r="E286" s="30">
        <f t="shared" si="17"/>
        <v>6.9952562124216189E-2</v>
      </c>
    </row>
    <row r="287" spans="2:5" ht="13.9" customHeight="1" x14ac:dyDescent="0.25">
      <c r="B287" s="29">
        <f t="shared" si="19"/>
        <v>3.0380115273775012</v>
      </c>
      <c r="C287" s="30">
        <f t="shared" si="18"/>
        <v>3.0612128743395608E-2</v>
      </c>
      <c r="D287" s="30">
        <f t="shared" si="16"/>
        <v>0.30020396294785767</v>
      </c>
      <c r="E287" s="30">
        <f t="shared" si="17"/>
        <v>7.0183580274219073E-2</v>
      </c>
    </row>
    <row r="288" spans="2:5" ht="13.9" customHeight="1" x14ac:dyDescent="0.25">
      <c r="B288" s="29">
        <f t="shared" si="19"/>
        <v>3.048011527377501</v>
      </c>
      <c r="C288" s="30">
        <f t="shared" si="18"/>
        <v>3.0511695629975813E-2</v>
      </c>
      <c r="D288" s="30">
        <f t="shared" si="16"/>
        <v>0.29921904553448381</v>
      </c>
      <c r="E288" s="30">
        <f t="shared" si="17"/>
        <v>7.0414598424221958E-2</v>
      </c>
    </row>
    <row r="289" spans="2:5" ht="13.9" customHeight="1" x14ac:dyDescent="0.25">
      <c r="B289" s="29">
        <f t="shared" si="19"/>
        <v>3.0580115273775008</v>
      </c>
      <c r="C289" s="30">
        <f t="shared" si="18"/>
        <v>3.0411919368974791E-2</v>
      </c>
      <c r="D289" s="30">
        <f t="shared" si="16"/>
        <v>0.29824056967572504</v>
      </c>
      <c r="E289" s="30">
        <f t="shared" si="17"/>
        <v>7.0645616574224829E-2</v>
      </c>
    </row>
    <row r="290" spans="2:5" ht="13.9" customHeight="1" x14ac:dyDescent="0.25">
      <c r="B290" s="29">
        <f t="shared" si="19"/>
        <v>3.0680115273775006</v>
      </c>
      <c r="C290" s="30">
        <f t="shared" si="18"/>
        <v>3.0312793537479073E-2</v>
      </c>
      <c r="D290" s="30">
        <f t="shared" si="16"/>
        <v>0.29726847238399601</v>
      </c>
      <c r="E290" s="30">
        <f t="shared" si="17"/>
        <v>7.0876634724227727E-2</v>
      </c>
    </row>
    <row r="291" spans="2:5" ht="13.9" customHeight="1" x14ac:dyDescent="0.25">
      <c r="B291" s="29">
        <f t="shared" si="19"/>
        <v>3.0780115273775004</v>
      </c>
      <c r="C291" s="30">
        <f t="shared" si="18"/>
        <v>3.0214311796043537E-2</v>
      </c>
      <c r="D291" s="30">
        <f t="shared" si="16"/>
        <v>0.29630269149026012</v>
      </c>
      <c r="E291" s="30">
        <f t="shared" si="17"/>
        <v>7.1107652874230598E-2</v>
      </c>
    </row>
    <row r="292" spans="2:5" ht="13.9" customHeight="1" x14ac:dyDescent="0.25">
      <c r="B292" s="29">
        <f t="shared" si="19"/>
        <v>3.0880115273775002</v>
      </c>
      <c r="C292" s="30">
        <f t="shared" si="18"/>
        <v>3.0116467887339925E-2</v>
      </c>
      <c r="D292" s="30">
        <f t="shared" si="16"/>
        <v>0.29534316563077639</v>
      </c>
      <c r="E292" s="30">
        <f t="shared" si="17"/>
        <v>7.1338671024233469E-2</v>
      </c>
    </row>
    <row r="293" spans="2:5" ht="13.9" customHeight="1" x14ac:dyDescent="0.25">
      <c r="B293" s="29">
        <f t="shared" si="19"/>
        <v>3.0980115273775</v>
      </c>
      <c r="C293" s="30">
        <f t="shared" si="18"/>
        <v>3.0019255634831512E-2</v>
      </c>
      <c r="D293" s="30">
        <f t="shared" si="16"/>
        <v>0.29438983423410214</v>
      </c>
      <c r="E293" s="30">
        <f t="shared" si="17"/>
        <v>7.1569689174236353E-2</v>
      </c>
    </row>
    <row r="294" spans="2:5" ht="13.9" customHeight="1" x14ac:dyDescent="0.25">
      <c r="B294" s="29">
        <f t="shared" si="19"/>
        <v>3.1080115273774997</v>
      </c>
      <c r="C294" s="30">
        <f t="shared" si="18"/>
        <v>2.9922668941473395E-2</v>
      </c>
      <c r="D294" s="30">
        <f t="shared" si="16"/>
        <v>0.29344263750834715</v>
      </c>
      <c r="E294" s="30">
        <f t="shared" si="17"/>
        <v>7.1800707324239238E-2</v>
      </c>
    </row>
    <row r="295" spans="2:5" ht="13.9" customHeight="1" x14ac:dyDescent="0.25">
      <c r="B295" s="29">
        <f t="shared" si="19"/>
        <v>3.1180115273774995</v>
      </c>
      <c r="C295" s="30">
        <f t="shared" si="18"/>
        <v>2.9826701788437753E-2</v>
      </c>
      <c r="D295" s="30">
        <f t="shared" si="16"/>
        <v>0.2925015164286725</v>
      </c>
      <c r="E295" s="30">
        <f t="shared" si="17"/>
        <v>7.2031725474242123E-2</v>
      </c>
    </row>
    <row r="296" spans="2:5" ht="13.9" customHeight="1" x14ac:dyDescent="0.25">
      <c r="B296" s="29">
        <f t="shared" si="19"/>
        <v>3.1280115273774993</v>
      </c>
      <c r="C296" s="30">
        <f t="shared" si="18"/>
        <v>2.97313482338636E-2</v>
      </c>
      <c r="D296" s="30">
        <f t="shared" si="16"/>
        <v>0.29156641272503014</v>
      </c>
      <c r="E296" s="30">
        <f t="shared" si="17"/>
        <v>7.2262743624245007E-2</v>
      </c>
    </row>
    <row r="297" spans="2:5" ht="13.9" customHeight="1" x14ac:dyDescent="0.25">
      <c r="B297" s="29">
        <f t="shared" si="19"/>
        <v>3.1380115273774991</v>
      </c>
      <c r="C297" s="30">
        <f t="shared" si="18"/>
        <v>2.9636602411630405E-2</v>
      </c>
      <c r="D297" s="30">
        <f t="shared" si="16"/>
        <v>0.29063726887013586</v>
      </c>
      <c r="E297" s="30">
        <f t="shared" si="17"/>
        <v>7.2493761774247878E-2</v>
      </c>
    </row>
    <row r="298" spans="2:5" ht="13.9" customHeight="1" x14ac:dyDescent="0.25">
      <c r="B298" s="29">
        <f t="shared" si="19"/>
        <v>3.1480115273774989</v>
      </c>
      <c r="C298" s="30">
        <f t="shared" si="18"/>
        <v>2.9542458530155108E-2</v>
      </c>
      <c r="D298" s="30">
        <f t="shared" si="16"/>
        <v>0.2897140280676721</v>
      </c>
      <c r="E298" s="30">
        <f t="shared" si="17"/>
        <v>7.2724779924250763E-2</v>
      </c>
    </row>
    <row r="299" spans="2:5" ht="13.9" customHeight="1" x14ac:dyDescent="0.25">
      <c r="B299" s="29">
        <f t="shared" si="19"/>
        <v>3.1580115273774987</v>
      </c>
      <c r="C299" s="30">
        <f t="shared" si="18"/>
        <v>2.944891087121199E-2</v>
      </c>
      <c r="D299" s="30">
        <f t="shared" si="16"/>
        <v>0.28879663424071461</v>
      </c>
      <c r="E299" s="30">
        <f t="shared" si="17"/>
        <v>7.2955798074253647E-2</v>
      </c>
    </row>
    <row r="300" spans="2:5" ht="13.9" customHeight="1" x14ac:dyDescent="0.25">
      <c r="B300" s="29">
        <f t="shared" si="19"/>
        <v>3.1680115273774985</v>
      </c>
      <c r="C300" s="30">
        <f t="shared" si="18"/>
        <v>2.935595378877489E-2</v>
      </c>
      <c r="D300" s="30">
        <f t="shared" si="16"/>
        <v>0.28788503202037868</v>
      </c>
      <c r="E300" s="30">
        <f t="shared" si="17"/>
        <v>7.3186816224256518E-2</v>
      </c>
    </row>
    <row r="301" spans="2:5" ht="13.9" customHeight="1" x14ac:dyDescent="0.25">
      <c r="B301" s="29">
        <f t="shared" si="19"/>
        <v>3.1780115273774983</v>
      </c>
      <c r="C301" s="30">
        <f t="shared" si="18"/>
        <v>2.9263581707881278E-2</v>
      </c>
      <c r="D301" s="30">
        <f t="shared" si="16"/>
        <v>0.28697916673467933</v>
      </c>
      <c r="E301" s="30">
        <f t="shared" si="17"/>
        <v>7.3417834374259403E-2</v>
      </c>
    </row>
    <row r="302" spans="2:5" ht="13.9" customHeight="1" x14ac:dyDescent="0.25">
      <c r="B302" s="29">
        <f t="shared" si="19"/>
        <v>3.188011527377498</v>
      </c>
      <c r="C302" s="30">
        <f t="shared" si="18"/>
        <v>2.9171789123517717E-2</v>
      </c>
      <c r="D302" s="30">
        <f t="shared" si="16"/>
        <v>0.28607898439760115</v>
      </c>
      <c r="E302" s="30">
        <f t="shared" si="17"/>
        <v>7.3648852524262287E-2</v>
      </c>
    </row>
    <row r="303" spans="2:5" ht="13.9" customHeight="1" x14ac:dyDescent="0.25">
      <c r="B303" s="29">
        <f t="shared" si="19"/>
        <v>3.1980115273774978</v>
      </c>
      <c r="C303" s="30">
        <f t="shared" si="18"/>
        <v>2.9080570599526217E-2</v>
      </c>
      <c r="D303" s="30">
        <f t="shared" si="16"/>
        <v>0.28518443169837371</v>
      </c>
      <c r="E303" s="30">
        <f t="shared" si="17"/>
        <v>7.3879870674265158E-2</v>
      </c>
    </row>
    <row r="304" spans="2:5" ht="13.9" customHeight="1" x14ac:dyDescent="0.25">
      <c r="B304" s="29">
        <f t="shared" si="19"/>
        <v>3.2080115273774976</v>
      </c>
      <c r="C304" s="30">
        <f t="shared" si="18"/>
        <v>2.8989920767531076E-2</v>
      </c>
      <c r="D304" s="30">
        <f t="shared" si="16"/>
        <v>0.28429545599094697</v>
      </c>
      <c r="E304" s="30">
        <f t="shared" si="17"/>
        <v>7.4110888824268029E-2</v>
      </c>
    </row>
    <row r="305" spans="2:5" ht="13.9" customHeight="1" x14ac:dyDescent="0.25">
      <c r="B305" s="29">
        <f t="shared" si="19"/>
        <v>3.2180115273774974</v>
      </c>
      <c r="C305" s="30">
        <f t="shared" si="18"/>
        <v>2.8899834325885679E-2</v>
      </c>
      <c r="D305" s="30">
        <f t="shared" si="16"/>
        <v>0.28341200528366306</v>
      </c>
      <c r="E305" s="30">
        <f t="shared" si="17"/>
        <v>7.4341906974270927E-2</v>
      </c>
    </row>
    <row r="306" spans="2:5" ht="13.9" customHeight="1" x14ac:dyDescent="0.25">
      <c r="B306" s="29">
        <f t="shared" si="19"/>
        <v>3.2280115273774972</v>
      </c>
      <c r="C306" s="30">
        <f t="shared" si="18"/>
        <v>2.8810306038638937E-2</v>
      </c>
      <c r="D306" s="30">
        <f t="shared" si="16"/>
        <v>0.28253402822912044</v>
      </c>
      <c r="E306" s="30">
        <f t="shared" si="17"/>
        <v>7.4572925124273812E-2</v>
      </c>
    </row>
    <row r="307" spans="2:5" ht="13.9" customHeight="1" x14ac:dyDescent="0.25">
      <c r="B307" s="29">
        <f t="shared" si="19"/>
        <v>3.238011527377497</v>
      </c>
      <c r="C307" s="30">
        <f t="shared" si="18"/>
        <v>2.8721330734520819E-2</v>
      </c>
      <c r="D307" s="30">
        <f t="shared" si="16"/>
        <v>0.28166147411422532</v>
      </c>
      <c r="E307" s="30">
        <f t="shared" si="17"/>
        <v>7.480394327427671E-2</v>
      </c>
    </row>
    <row r="308" spans="2:5" ht="13.9" customHeight="1" x14ac:dyDescent="0.25">
      <c r="B308" s="29">
        <f t="shared" si="19"/>
        <v>3.2480115273774968</v>
      </c>
      <c r="C308" s="30">
        <f t="shared" si="18"/>
        <v>2.8632903305946665E-2</v>
      </c>
      <c r="D308" s="30">
        <f t="shared" si="16"/>
        <v>0.28079429285042712</v>
      </c>
      <c r="E308" s="30">
        <f t="shared" si="17"/>
        <v>7.5034961424279567E-2</v>
      </c>
    </row>
    <row r="309" spans="2:5" ht="13.9" customHeight="1" x14ac:dyDescent="0.25">
      <c r="B309" s="29">
        <f t="shared" si="19"/>
        <v>3.2580115273774966</v>
      </c>
      <c r="C309" s="30">
        <f t="shared" si="18"/>
        <v>2.8545018708039813E-2</v>
      </c>
      <c r="D309" s="30">
        <f t="shared" si="16"/>
        <v>0.279932434964134</v>
      </c>
      <c r="E309" s="30">
        <f t="shared" si="17"/>
        <v>7.5265979574282438E-2</v>
      </c>
    </row>
    <row r="310" spans="2:5" ht="13.9" customHeight="1" x14ac:dyDescent="0.25">
      <c r="B310" s="29">
        <f t="shared" si="19"/>
        <v>3.2680115273774963</v>
      </c>
      <c r="C310" s="30">
        <f t="shared" si="18"/>
        <v>2.8457671957672178E-2</v>
      </c>
      <c r="D310" s="30">
        <f t="shared" si="16"/>
        <v>0.27907585158730375</v>
      </c>
      <c r="E310" s="30">
        <f t="shared" si="17"/>
        <v>7.5496997724285336E-2</v>
      </c>
    </row>
    <row r="311" spans="2:5" ht="13.9" customHeight="1" x14ac:dyDescent="0.25">
      <c r="B311" s="29">
        <f t="shared" si="19"/>
        <v>3.2780115273774961</v>
      </c>
      <c r="C311" s="30">
        <f t="shared" si="18"/>
        <v>2.8370858132522398E-2</v>
      </c>
      <c r="D311" s="30">
        <f t="shared" si="16"/>
        <v>0.2782244944482074</v>
      </c>
      <c r="E311" s="30">
        <f t="shared" si="17"/>
        <v>7.5728015874288221E-2</v>
      </c>
    </row>
    <row r="312" spans="2:5" ht="13.9" customHeight="1" x14ac:dyDescent="0.25">
      <c r="B312" s="29">
        <f t="shared" si="19"/>
        <v>3.2880115273774959</v>
      </c>
      <c r="C312" s="30">
        <f t="shared" si="18"/>
        <v>2.828457237015115E-2</v>
      </c>
      <c r="D312" s="30">
        <f t="shared" si="16"/>
        <v>0.27737831586236128</v>
      </c>
      <c r="E312" s="30">
        <f t="shared" si="17"/>
        <v>7.5959034024291092E-2</v>
      </c>
    </row>
    <row r="313" spans="2:5" ht="13.9" customHeight="1" x14ac:dyDescent="0.25">
      <c r="B313" s="29">
        <f t="shared" si="19"/>
        <v>3.2980115273774957</v>
      </c>
      <c r="C313" s="30">
        <f t="shared" si="18"/>
        <v>2.8198809867093309E-2</v>
      </c>
      <c r="D313" s="30">
        <f t="shared" si="16"/>
        <v>0.27653726872362394</v>
      </c>
      <c r="E313" s="30">
        <f t="shared" si="17"/>
        <v>7.6190052174293962E-2</v>
      </c>
    </row>
    <row r="314" spans="2:5" ht="13.9" customHeight="1" x14ac:dyDescent="0.25">
      <c r="B314" s="29">
        <f t="shared" si="19"/>
        <v>3.3080115273774955</v>
      </c>
      <c r="C314" s="30">
        <f t="shared" si="18"/>
        <v>2.8113565877966561E-2</v>
      </c>
      <c r="D314" s="30">
        <f t="shared" si="16"/>
        <v>0.27570130649545466</v>
      </c>
      <c r="E314" s="30">
        <f t="shared" si="17"/>
        <v>7.6421070324296847E-2</v>
      </c>
    </row>
    <row r="315" spans="2:5" ht="13.9" customHeight="1" x14ac:dyDescent="0.25">
      <c r="B315" s="29">
        <f t="shared" si="19"/>
        <v>3.3180115273774953</v>
      </c>
      <c r="C315" s="30">
        <f t="shared" si="18"/>
        <v>2.8028835714596131E-2</v>
      </c>
      <c r="D315" s="30">
        <f t="shared" si="16"/>
        <v>0.27487038320232987</v>
      </c>
      <c r="E315" s="30">
        <f t="shared" si="17"/>
        <v>7.6652088474299732E-2</v>
      </c>
    </row>
    <row r="316" spans="2:5" ht="13.9" customHeight="1" x14ac:dyDescent="0.25">
      <c r="B316" s="29">
        <f t="shared" si="19"/>
        <v>3.3280115273774951</v>
      </c>
      <c r="C316" s="30">
        <f t="shared" si="18"/>
        <v>2.7944614745155312E-2</v>
      </c>
      <c r="D316" s="30">
        <f t="shared" si="16"/>
        <v>0.27404445342131456</v>
      </c>
      <c r="E316" s="30">
        <f t="shared" si="17"/>
        <v>7.6883106624302602E-2</v>
      </c>
    </row>
    <row r="317" spans="2:5" ht="13.9" customHeight="1" x14ac:dyDescent="0.25">
      <c r="B317" s="29">
        <f t="shared" si="19"/>
        <v>3.3380115273774948</v>
      </c>
      <c r="C317" s="30">
        <f t="shared" si="18"/>
        <v>2.7860898393321412E-2</v>
      </c>
      <c r="D317" s="30">
        <f t="shared" si="16"/>
        <v>0.27322347227378507</v>
      </c>
      <c r="E317" s="30">
        <f t="shared" si="17"/>
        <v>7.7114124774305501E-2</v>
      </c>
    </row>
    <row r="318" spans="2:5" ht="13.9" customHeight="1" x14ac:dyDescent="0.25">
      <c r="B318" s="29">
        <f t="shared" si="19"/>
        <v>3.3480115273774946</v>
      </c>
      <c r="C318" s="30">
        <f t="shared" si="18"/>
        <v>2.7777682137446857E-2</v>
      </c>
      <c r="D318" s="30">
        <f t="shared" si="16"/>
        <v>0.27240739541730008</v>
      </c>
      <c r="E318" s="30">
        <f t="shared" si="17"/>
        <v>7.7345142924308372E-2</v>
      </c>
    </row>
    <row r="319" spans="2:5" ht="13.9" customHeight="1" x14ac:dyDescent="0.25">
      <c r="B319" s="29">
        <f t="shared" si="19"/>
        <v>3.3580115273774944</v>
      </c>
      <c r="C319" s="30">
        <f t="shared" si="18"/>
        <v>2.769496150974508E-2</v>
      </c>
      <c r="D319" s="30">
        <f t="shared" si="16"/>
        <v>0.27159617903761707</v>
      </c>
      <c r="E319" s="30">
        <f t="shared" si="17"/>
        <v>7.7576161074311256E-2</v>
      </c>
    </row>
    <row r="320" spans="2:5" ht="13.9" customHeight="1" x14ac:dyDescent="0.25">
      <c r="B320" s="29">
        <f t="shared" si="19"/>
        <v>3.3680115273774942</v>
      </c>
      <c r="C320" s="30">
        <f t="shared" si="18"/>
        <v>2.7612732095490939E-2</v>
      </c>
      <c r="D320" s="30">
        <f t="shared" si="16"/>
        <v>0.27078977984085095</v>
      </c>
      <c r="E320" s="30">
        <f t="shared" si="17"/>
        <v>7.7807179224314127E-2</v>
      </c>
    </row>
    <row r="321" spans="2:5" ht="13.9" customHeight="1" x14ac:dyDescent="0.25">
      <c r="B321" s="29">
        <f t="shared" si="19"/>
        <v>3.378011527377494</v>
      </c>
      <c r="C321" s="30">
        <f t="shared" si="18"/>
        <v>2.753098953223531E-2</v>
      </c>
      <c r="D321" s="30">
        <f t="shared" si="16"/>
        <v>0.269988155045772</v>
      </c>
      <c r="E321" s="30">
        <f t="shared" si="17"/>
        <v>7.8038197374317012E-2</v>
      </c>
    </row>
    <row r="322" spans="2:5" ht="13.9" customHeight="1" x14ac:dyDescent="0.25">
      <c r="B322" s="29">
        <f t="shared" si="19"/>
        <v>3.3880115273774938</v>
      </c>
      <c r="C322" s="30">
        <f t="shared" si="18"/>
        <v>2.7449729509033603E-2</v>
      </c>
      <c r="D322" s="30">
        <f t="shared" si="16"/>
        <v>0.2691912623762398</v>
      </c>
      <c r="E322" s="30">
        <f t="shared" si="17"/>
        <v>7.8269215524319896E-2</v>
      </c>
    </row>
    <row r="323" spans="2:5" ht="13.9" customHeight="1" x14ac:dyDescent="0.25">
      <c r="B323" s="29">
        <f t="shared" si="19"/>
        <v>3.3980115273774936</v>
      </c>
      <c r="C323" s="30">
        <f t="shared" si="18"/>
        <v>2.7368947765687907E-2</v>
      </c>
      <c r="D323" s="30">
        <f t="shared" si="16"/>
        <v>0.26839906005377157</v>
      </c>
      <c r="E323" s="30">
        <f t="shared" si="17"/>
        <v>7.8500233674322767E-2</v>
      </c>
    </row>
    <row r="324" spans="2:5" ht="13.9" customHeight="1" x14ac:dyDescent="0.25">
      <c r="B324" s="29">
        <f t="shared" si="19"/>
        <v>3.4080115273774934</v>
      </c>
      <c r="C324" s="30">
        <f t="shared" si="18"/>
        <v>2.7288640092002457E-2</v>
      </c>
      <c r="D324" s="30">
        <f t="shared" si="16"/>
        <v>0.26761150679024048</v>
      </c>
      <c r="E324" s="30">
        <f t="shared" si="17"/>
        <v>7.8731251824325638E-2</v>
      </c>
    </row>
    <row r="325" spans="2:5" ht="13.9" customHeight="1" x14ac:dyDescent="0.25">
      <c r="B325" s="29">
        <f t="shared" si="19"/>
        <v>3.4180115273774931</v>
      </c>
      <c r="C325" s="30">
        <f t="shared" si="18"/>
        <v>2.7208802327052205E-2</v>
      </c>
      <c r="D325" s="30">
        <f t="shared" si="16"/>
        <v>0.26682856178070286</v>
      </c>
      <c r="E325" s="30">
        <f t="shared" si="17"/>
        <v>7.8962269974328536E-2</v>
      </c>
    </row>
    <row r="326" spans="2:5" ht="13.9" customHeight="1" x14ac:dyDescent="0.25">
      <c r="B326" s="29">
        <f t="shared" si="19"/>
        <v>3.4280115273774929</v>
      </c>
      <c r="C326" s="30">
        <f t="shared" si="18"/>
        <v>2.7129430358464147E-2</v>
      </c>
      <c r="D326" s="30">
        <f t="shared" si="16"/>
        <v>0.26605018469635033</v>
      </c>
      <c r="E326" s="30">
        <f t="shared" si="17"/>
        <v>7.9193288124331407E-2</v>
      </c>
    </row>
    <row r="327" spans="2:5" ht="13.9" customHeight="1" x14ac:dyDescent="0.25">
      <c r="B327" s="29">
        <f t="shared" si="19"/>
        <v>3.4380115273774927</v>
      </c>
      <c r="C327" s="30">
        <f t="shared" si="18"/>
        <v>2.7050520121711222E-2</v>
      </c>
      <c r="D327" s="30">
        <f t="shared" si="16"/>
        <v>0.26527633567758541</v>
      </c>
      <c r="E327" s="30">
        <f t="shared" si="17"/>
        <v>7.9424306274334278E-2</v>
      </c>
    </row>
    <row r="328" spans="2:5" ht="13.9" customHeight="1" x14ac:dyDescent="0.25">
      <c r="B328" s="29">
        <f t="shared" si="19"/>
        <v>3.4480115273774925</v>
      </c>
      <c r="C328" s="30">
        <f t="shared" si="18"/>
        <v>2.697206759941851E-2</v>
      </c>
      <c r="D328" s="30">
        <f t="shared" si="16"/>
        <v>0.26450697532721751</v>
      </c>
      <c r="E328" s="30">
        <f t="shared" si="17"/>
        <v>7.965532442433719E-2</v>
      </c>
    </row>
    <row r="329" spans="2:5" ht="13.9" customHeight="1" x14ac:dyDescent="0.25">
      <c r="B329" s="29">
        <f t="shared" si="19"/>
        <v>3.4580115273774923</v>
      </c>
      <c r="C329" s="30">
        <f t="shared" si="18"/>
        <v>2.6894068820681433E-2</v>
      </c>
      <c r="D329" s="30">
        <f t="shared" ref="D329:D392" si="20">C329*9.8067</f>
        <v>0.26374206470377659</v>
      </c>
      <c r="E329" s="30">
        <f t="shared" ref="E329:E392" si="21">((B329^2)/(4*PI()^2))*D329</f>
        <v>7.9886342574340047E-2</v>
      </c>
    </row>
    <row r="330" spans="2:5" ht="13.9" customHeight="1" x14ac:dyDescent="0.25">
      <c r="B330" s="29">
        <f t="shared" si="19"/>
        <v>3.4680115273774921</v>
      </c>
      <c r="C330" s="30">
        <f t="shared" si="18"/>
        <v>2.6816519860395772E-2</v>
      </c>
      <c r="D330" s="30">
        <f t="shared" si="20"/>
        <v>0.26298156531494321</v>
      </c>
      <c r="E330" s="30">
        <f t="shared" si="21"/>
        <v>8.0117360724342931E-2</v>
      </c>
    </row>
    <row r="331" spans="2:5" ht="13.9" customHeight="1" x14ac:dyDescent="0.25">
      <c r="B331" s="29">
        <f t="shared" si="19"/>
        <v>3.4780115273774919</v>
      </c>
      <c r="C331" s="30">
        <f t="shared" si="18"/>
        <v>2.6739416838599248E-2</v>
      </c>
      <c r="D331" s="30">
        <f t="shared" si="20"/>
        <v>0.2622254391110912</v>
      </c>
      <c r="E331" s="30">
        <f t="shared" si="21"/>
        <v>8.0348378874345802E-2</v>
      </c>
    </row>
    <row r="332" spans="2:5" ht="13.9" customHeight="1" x14ac:dyDescent="0.25">
      <c r="B332" s="29">
        <f t="shared" si="19"/>
        <v>3.4880115273774916</v>
      </c>
      <c r="C332" s="30">
        <f t="shared" si="18"/>
        <v>2.6662755919824411E-2</v>
      </c>
      <c r="D332" s="30">
        <f t="shared" si="20"/>
        <v>0.26147364847894206</v>
      </c>
      <c r="E332" s="30">
        <f t="shared" si="21"/>
        <v>8.0579397024348715E-2</v>
      </c>
    </row>
    <row r="333" spans="2:5" ht="13.9" customHeight="1" x14ac:dyDescent="0.25">
      <c r="B333" s="29">
        <f t="shared" si="19"/>
        <v>3.4980115273774914</v>
      </c>
      <c r="C333" s="30">
        <f t="shared" ref="C333:C396" si="22">IF(B333&lt;6,$C$5/B333,6*$C$5/B333^2)</f>
        <v>2.6586533312462642E-2</v>
      </c>
      <c r="D333" s="30">
        <f t="shared" si="20"/>
        <v>0.26072615623532736</v>
      </c>
      <c r="E333" s="30">
        <f t="shared" si="21"/>
        <v>8.0810415174351585E-2</v>
      </c>
    </row>
    <row r="334" spans="2:5" ht="13.9" customHeight="1" x14ac:dyDescent="0.25">
      <c r="B334" s="29">
        <f t="shared" ref="B334:B397" si="23">B333+0.01</f>
        <v>3.5080115273774912</v>
      </c>
      <c r="C334" s="30">
        <f t="shared" si="22"/>
        <v>2.6510745268139031E-2</v>
      </c>
      <c r="D334" s="30">
        <f t="shared" si="20"/>
        <v>0.25998292562105901</v>
      </c>
      <c r="E334" s="30">
        <f t="shared" si="21"/>
        <v>8.104143332435447E-2</v>
      </c>
    </row>
    <row r="335" spans="2:5" ht="13.9" customHeight="1" x14ac:dyDescent="0.25">
      <c r="B335" s="29">
        <f t="shared" si="23"/>
        <v>3.518011527377491</v>
      </c>
      <c r="C335" s="30">
        <f t="shared" si="22"/>
        <v>2.6435388081097917E-2</v>
      </c>
      <c r="D335" s="30">
        <f t="shared" si="20"/>
        <v>0.25924392029490295</v>
      </c>
      <c r="E335" s="30">
        <f t="shared" si="21"/>
        <v>8.1272451474357355E-2</v>
      </c>
    </row>
    <row r="336" spans="2:5" ht="13.9" customHeight="1" x14ac:dyDescent="0.25">
      <c r="B336" s="29">
        <f t="shared" si="23"/>
        <v>3.5280115273774908</v>
      </c>
      <c r="C336" s="30">
        <f t="shared" si="22"/>
        <v>2.6360458087598865E-2</v>
      </c>
      <c r="D336" s="30">
        <f t="shared" si="20"/>
        <v>0.25850910432765578</v>
      </c>
      <c r="E336" s="30">
        <f t="shared" si="21"/>
        <v>8.1503469624360225E-2</v>
      </c>
    </row>
    <row r="337" spans="2:5" ht="13.9" customHeight="1" x14ac:dyDescent="0.25">
      <c r="B337" s="29">
        <f t="shared" si="23"/>
        <v>3.5380115273774906</v>
      </c>
      <c r="C337" s="30">
        <f t="shared" si="22"/>
        <v>2.628595166532291E-2</v>
      </c>
      <c r="D337" s="30">
        <f t="shared" si="20"/>
        <v>0.25777844219632218</v>
      </c>
      <c r="E337" s="30">
        <f t="shared" si="21"/>
        <v>8.1734487774363096E-2</v>
      </c>
    </row>
    <row r="338" spans="2:5" ht="13.9" customHeight="1" x14ac:dyDescent="0.25">
      <c r="B338" s="29">
        <f t="shared" si="23"/>
        <v>3.5480115273774904</v>
      </c>
      <c r="C338" s="30">
        <f t="shared" si="22"/>
        <v>2.621186523278882E-2</v>
      </c>
      <c r="D338" s="30">
        <f t="shared" si="20"/>
        <v>0.25705189877839013</v>
      </c>
      <c r="E338" s="30">
        <f t="shared" si="21"/>
        <v>8.1965505924365981E-2</v>
      </c>
    </row>
    <row r="339" spans="2:5" ht="13.9" customHeight="1" x14ac:dyDescent="0.25">
      <c r="B339" s="29">
        <f t="shared" si="23"/>
        <v>3.5580115273774902</v>
      </c>
      <c r="C339" s="30">
        <f t="shared" si="22"/>
        <v>2.6138195248779219E-2</v>
      </c>
      <c r="D339" s="30">
        <f t="shared" si="20"/>
        <v>0.25632943934620317</v>
      </c>
      <c r="E339" s="30">
        <f t="shared" si="21"/>
        <v>8.2196524074368879E-2</v>
      </c>
    </row>
    <row r="340" spans="2:5" ht="13.9" customHeight="1" x14ac:dyDescent="0.25">
      <c r="B340" s="29">
        <f t="shared" si="23"/>
        <v>3.5680115273774899</v>
      </c>
      <c r="C340" s="30">
        <f t="shared" si="22"/>
        <v>2.6064938211776339E-2</v>
      </c>
      <c r="D340" s="30">
        <f t="shared" si="20"/>
        <v>0.25561102956142701</v>
      </c>
      <c r="E340" s="30">
        <f t="shared" si="21"/>
        <v>8.2427542224371736E-2</v>
      </c>
    </row>
    <row r="341" spans="2:5" ht="13.9" customHeight="1" x14ac:dyDescent="0.25">
      <c r="B341" s="29">
        <f t="shared" si="23"/>
        <v>3.5780115273774897</v>
      </c>
      <c r="C341" s="30">
        <f t="shared" si="22"/>
        <v>2.5992090659407271E-2</v>
      </c>
      <c r="D341" s="30">
        <f t="shared" si="20"/>
        <v>0.25489663546960928</v>
      </c>
      <c r="E341" s="30">
        <f t="shared" si="21"/>
        <v>8.2658560374374621E-2</v>
      </c>
    </row>
    <row r="342" spans="2:5" ht="13.9" customHeight="1" x14ac:dyDescent="0.25">
      <c r="B342" s="29">
        <f t="shared" si="23"/>
        <v>3.5880115273774895</v>
      </c>
      <c r="C342" s="30">
        <f t="shared" si="22"/>
        <v>2.5919649167898452E-2</v>
      </c>
      <c r="D342" s="30">
        <f t="shared" si="20"/>
        <v>0.25418622349482972</v>
      </c>
      <c r="E342" s="30">
        <f t="shared" si="21"/>
        <v>8.2889578524377505E-2</v>
      </c>
    </row>
    <row r="343" spans="2:5" ht="13.9" customHeight="1" x14ac:dyDescent="0.25">
      <c r="B343" s="29">
        <f t="shared" si="23"/>
        <v>3.5980115273774893</v>
      </c>
      <c r="C343" s="30">
        <f t="shared" si="22"/>
        <v>2.5847610351539266E-2</v>
      </c>
      <c r="D343" s="30">
        <f t="shared" si="20"/>
        <v>0.25347976043444009</v>
      </c>
      <c r="E343" s="30">
        <f t="shared" si="21"/>
        <v>8.3120596674380376E-2</v>
      </c>
    </row>
    <row r="344" spans="2:5" ht="13.9" customHeight="1" x14ac:dyDescent="0.25">
      <c r="B344" s="29">
        <f>B343+0.01</f>
        <v>3.6080115273774891</v>
      </c>
      <c r="C344" s="30">
        <f t="shared" si="22"/>
        <v>2.5775970862154579E-2</v>
      </c>
      <c r="D344" s="30">
        <f t="shared" si="20"/>
        <v>0.25277721345389131</v>
      </c>
      <c r="E344" s="30">
        <f t="shared" si="21"/>
        <v>8.3351614824383274E-2</v>
      </c>
    </row>
    <row r="345" spans="2:5" ht="13.9" customHeight="1" x14ac:dyDescent="0.25">
      <c r="B345" s="29">
        <f t="shared" si="23"/>
        <v>3.6180115273774889</v>
      </c>
      <c r="C345" s="30">
        <f t="shared" si="22"/>
        <v>2.5704727388585997E-2</v>
      </c>
      <c r="D345" s="30">
        <f t="shared" si="20"/>
        <v>0.25207855008164626</v>
      </c>
      <c r="E345" s="30">
        <f t="shared" si="21"/>
        <v>8.3582632974386145E-2</v>
      </c>
    </row>
    <row r="346" spans="2:5" ht="13.9" customHeight="1" x14ac:dyDescent="0.25">
      <c r="B346" s="29">
        <f t="shared" si="23"/>
        <v>3.6280115273774887</v>
      </c>
      <c r="C346" s="30">
        <f t="shared" si="22"/>
        <v>2.563387665618172E-2</v>
      </c>
      <c r="D346" s="30">
        <f t="shared" si="20"/>
        <v>0.25138373820417725</v>
      </c>
      <c r="E346" s="30">
        <f t="shared" si="21"/>
        <v>8.3813651124389016E-2</v>
      </c>
    </row>
    <row r="347" spans="2:5" ht="13.9" customHeight="1" x14ac:dyDescent="0.25">
      <c r="B347" s="29">
        <f t="shared" si="23"/>
        <v>3.6380115273774885</v>
      </c>
      <c r="C347" s="30">
        <f t="shared" si="22"/>
        <v>2.5563415426294801E-2</v>
      </c>
      <c r="D347" s="30">
        <f t="shared" si="20"/>
        <v>0.25069274606104519</v>
      </c>
      <c r="E347" s="30">
        <f t="shared" si="21"/>
        <v>8.4044669274391887E-2</v>
      </c>
    </row>
    <row r="348" spans="2:5" ht="13.9" customHeight="1" x14ac:dyDescent="0.25">
      <c r="B348" s="29">
        <f t="shared" si="23"/>
        <v>3.6480115273774882</v>
      </c>
      <c r="C348" s="30">
        <f t="shared" si="22"/>
        <v>2.5493340495789656E-2</v>
      </c>
      <c r="D348" s="30">
        <f t="shared" si="20"/>
        <v>0.25000554224006039</v>
      </c>
      <c r="E348" s="30">
        <f t="shared" si="21"/>
        <v>8.4275687424394785E-2</v>
      </c>
    </row>
    <row r="349" spans="2:5" ht="13.9" customHeight="1" x14ac:dyDescent="0.25">
      <c r="B349" s="29">
        <f t="shared" si="23"/>
        <v>3.658011527377488</v>
      </c>
      <c r="C349" s="30">
        <f t="shared" si="22"/>
        <v>2.5423648696556684E-2</v>
      </c>
      <c r="D349" s="30">
        <f t="shared" si="20"/>
        <v>0.24932209567252242</v>
      </c>
      <c r="E349" s="30">
        <f t="shared" si="21"/>
        <v>8.450670557439767E-2</v>
      </c>
    </row>
    <row r="350" spans="2:5" ht="13.9" customHeight="1" x14ac:dyDescent="0.25">
      <c r="B350" s="29">
        <f t="shared" si="23"/>
        <v>3.6680115273774878</v>
      </c>
      <c r="C350" s="30">
        <f t="shared" si="22"/>
        <v>2.5354336895034801E-2</v>
      </c>
      <c r="D350" s="30">
        <f t="shared" si="20"/>
        <v>0.24864237562853778</v>
      </c>
      <c r="E350" s="30">
        <f t="shared" si="21"/>
        <v>8.473772372440054E-2</v>
      </c>
    </row>
    <row r="351" spans="2:5" ht="13.9" customHeight="1" x14ac:dyDescent="0.25">
      <c r="B351" s="29">
        <f t="shared" si="23"/>
        <v>3.6780115273774876</v>
      </c>
      <c r="C351" s="30">
        <f t="shared" si="22"/>
        <v>2.5285401991741792E-2</v>
      </c>
      <c r="D351" s="30">
        <f t="shared" si="20"/>
        <v>0.24796635171241421</v>
      </c>
      <c r="E351" s="30">
        <f t="shared" si="21"/>
        <v>8.4968741874403425E-2</v>
      </c>
    </row>
    <row r="352" spans="2:5" ht="13.9" customHeight="1" x14ac:dyDescent="0.25">
      <c r="B352" s="29">
        <f t="shared" si="23"/>
        <v>3.6880115273774874</v>
      </c>
      <c r="C352" s="30">
        <f t="shared" si="22"/>
        <v>2.5216840920812274E-2</v>
      </c>
      <c r="D352" s="30">
        <f t="shared" si="20"/>
        <v>0.24729399385812972</v>
      </c>
      <c r="E352" s="30">
        <f t="shared" si="21"/>
        <v>8.5199760024406324E-2</v>
      </c>
    </row>
    <row r="353" spans="2:5" ht="13.9" customHeight="1" x14ac:dyDescent="0.25">
      <c r="B353" s="29">
        <f t="shared" si="23"/>
        <v>3.6980115273774872</v>
      </c>
      <c r="C353" s="30">
        <f t="shared" si="22"/>
        <v>2.5148650649543178E-2</v>
      </c>
      <c r="D353" s="30">
        <f t="shared" si="20"/>
        <v>0.24662527232487505</v>
      </c>
      <c r="E353" s="30">
        <f t="shared" si="21"/>
        <v>8.543077817440918E-2</v>
      </c>
    </row>
    <row r="354" spans="2:5" ht="13.9" customHeight="1" x14ac:dyDescent="0.25">
      <c r="B354" s="29">
        <f t="shared" si="23"/>
        <v>3.708011527377487</v>
      </c>
      <c r="C354" s="30">
        <f t="shared" si="22"/>
        <v>2.5080828177946577E-2</v>
      </c>
      <c r="D354" s="30">
        <f t="shared" si="20"/>
        <v>0.24596015769266869</v>
      </c>
      <c r="E354" s="30">
        <f t="shared" si="21"/>
        <v>8.5661796324412065E-2</v>
      </c>
    </row>
    <row r="355" spans="2:5" ht="13.9" customHeight="1" x14ac:dyDescent="0.25">
      <c r="B355" s="29">
        <f t="shared" si="23"/>
        <v>3.7180115273774867</v>
      </c>
      <c r="C355" s="30">
        <f t="shared" si="22"/>
        <v>2.5013370538309734E-2</v>
      </c>
      <c r="D355" s="30">
        <f t="shared" si="20"/>
        <v>0.24529862085804205</v>
      </c>
      <c r="E355" s="30">
        <f t="shared" si="21"/>
        <v>8.589281447441495E-2</v>
      </c>
    </row>
    <row r="356" spans="2:5" ht="13.9" customHeight="1" x14ac:dyDescent="0.25">
      <c r="B356" s="29">
        <f t="shared" si="23"/>
        <v>3.7280115273774865</v>
      </c>
      <c r="C356" s="30">
        <f t="shared" si="22"/>
        <v>2.4946274794762219E-2</v>
      </c>
      <c r="D356" s="30">
        <f t="shared" si="20"/>
        <v>0.24464063302979464</v>
      </c>
      <c r="E356" s="30">
        <f t="shared" si="21"/>
        <v>8.6123832624417834E-2</v>
      </c>
    </row>
    <row r="357" spans="2:5" ht="13.9" customHeight="1" x14ac:dyDescent="0.25">
      <c r="B357" s="29">
        <f t="shared" si="23"/>
        <v>3.7380115273774863</v>
      </c>
      <c r="C357" s="30">
        <f t="shared" si="22"/>
        <v>2.4879538042849998E-2</v>
      </c>
      <c r="D357" s="30">
        <f t="shared" si="20"/>
        <v>0.24398616572481704</v>
      </c>
      <c r="E357" s="30">
        <f t="shared" si="21"/>
        <v>8.6354850774420705E-2</v>
      </c>
    </row>
    <row r="358" spans="2:5" ht="13.9" customHeight="1" x14ac:dyDescent="0.25">
      <c r="B358" s="29">
        <f t="shared" si="23"/>
        <v>3.7480115273774861</v>
      </c>
      <c r="C358" s="30">
        <f t="shared" si="22"/>
        <v>2.4813157409116309E-2</v>
      </c>
      <c r="D358" s="30">
        <f t="shared" si="20"/>
        <v>0.24333519076398089</v>
      </c>
      <c r="E358" s="30">
        <f t="shared" si="21"/>
        <v>8.658586892442359E-2</v>
      </c>
    </row>
    <row r="359" spans="2:5" ht="13.9" customHeight="1" x14ac:dyDescent="0.25">
      <c r="B359" s="29">
        <f t="shared" si="23"/>
        <v>3.7580115273774859</v>
      </c>
      <c r="C359" s="30">
        <f t="shared" si="22"/>
        <v>2.4747130050689254E-2</v>
      </c>
      <c r="D359" s="30">
        <f t="shared" si="20"/>
        <v>0.24268768026809429</v>
      </c>
      <c r="E359" s="30">
        <f t="shared" si="21"/>
        <v>8.681688707442646E-2</v>
      </c>
    </row>
    <row r="360" spans="2:5" ht="13.9" customHeight="1" x14ac:dyDescent="0.25">
      <c r="B360" s="29">
        <f t="shared" si="23"/>
        <v>3.7680115273774857</v>
      </c>
      <c r="C360" s="30">
        <f t="shared" si="22"/>
        <v>2.4681453154875951E-2</v>
      </c>
      <c r="D360" s="30">
        <f t="shared" si="20"/>
        <v>0.24204360665392197</v>
      </c>
      <c r="E360" s="30">
        <f t="shared" si="21"/>
        <v>8.7047905224429359E-2</v>
      </c>
    </row>
    <row r="361" spans="2:5" ht="13.9" customHeight="1" x14ac:dyDescent="0.25">
      <c r="B361" s="29">
        <f t="shared" si="23"/>
        <v>3.7780115273774855</v>
      </c>
      <c r="C361" s="30">
        <f t="shared" si="22"/>
        <v>2.4616123938763137E-2</v>
      </c>
      <c r="D361" s="30">
        <f t="shared" si="20"/>
        <v>0.24140294263026843</v>
      </c>
      <c r="E361" s="30">
        <f t="shared" si="21"/>
        <v>8.727892337443223E-2</v>
      </c>
    </row>
    <row r="362" spans="2:5" ht="13.9" customHeight="1" x14ac:dyDescent="0.25">
      <c r="B362" s="29">
        <f t="shared" si="23"/>
        <v>3.7880115273774853</v>
      </c>
      <c r="C362" s="30">
        <f t="shared" si="22"/>
        <v>2.455113964882407E-2</v>
      </c>
      <c r="D362" s="30">
        <f t="shared" si="20"/>
        <v>0.24076566119412299</v>
      </c>
      <c r="E362" s="30">
        <f t="shared" si="21"/>
        <v>8.7509941524435114E-2</v>
      </c>
    </row>
    <row r="363" spans="2:5" ht="13.9" customHeight="1" x14ac:dyDescent="0.25">
      <c r="B363" s="29">
        <f t="shared" si="23"/>
        <v>3.798011527377485</v>
      </c>
      <c r="C363" s="30">
        <f t="shared" si="22"/>
        <v>2.4486497560531683E-2</v>
      </c>
      <c r="D363" s="30">
        <f t="shared" si="20"/>
        <v>0.24013173562686604</v>
      </c>
      <c r="E363" s="30">
        <f t="shared" si="21"/>
        <v>8.7740959674437985E-2</v>
      </c>
    </row>
    <row r="364" spans="2:5" ht="13.9" customHeight="1" x14ac:dyDescent="0.25">
      <c r="B364" s="29">
        <f t="shared" si="23"/>
        <v>3.8080115273774848</v>
      </c>
      <c r="C364" s="30">
        <f t="shared" si="22"/>
        <v>2.4422194977977804E-2</v>
      </c>
      <c r="D364" s="30">
        <f t="shared" si="20"/>
        <v>0.23950113949053492</v>
      </c>
      <c r="E364" s="30">
        <f t="shared" si="21"/>
        <v>8.7971977824440883E-2</v>
      </c>
    </row>
    <row r="365" spans="2:5" ht="13.9" customHeight="1" x14ac:dyDescent="0.25">
      <c r="B365" s="29">
        <f t="shared" si="23"/>
        <v>3.8180115273774846</v>
      </c>
      <c r="C365" s="30">
        <f t="shared" si="22"/>
        <v>2.4358229233498369E-2</v>
      </c>
      <c r="D365" s="30">
        <f t="shared" si="20"/>
        <v>0.23887384662414843</v>
      </c>
      <c r="E365" s="30">
        <f t="shared" si="21"/>
        <v>8.8202995974443754E-2</v>
      </c>
    </row>
    <row r="366" spans="2:5" ht="13.9" customHeight="1" x14ac:dyDescent="0.25">
      <c r="B366" s="29">
        <f t="shared" si="23"/>
        <v>3.8280115273774844</v>
      </c>
      <c r="C366" s="30">
        <f t="shared" si="22"/>
        <v>2.4294597687304499E-2</v>
      </c>
      <c r="D366" s="30">
        <f t="shared" si="20"/>
        <v>0.23824983114008902</v>
      </c>
      <c r="E366" s="30">
        <f t="shared" si="21"/>
        <v>8.8434014124446653E-2</v>
      </c>
    </row>
    <row r="367" spans="2:5" ht="13.9" customHeight="1" x14ac:dyDescent="0.25">
      <c r="B367" s="29">
        <f t="shared" si="23"/>
        <v>3.8380115273774842</v>
      </c>
      <c r="C367" s="30">
        <f t="shared" si="22"/>
        <v>2.4231297727119377E-2</v>
      </c>
      <c r="D367" s="30">
        <f t="shared" si="20"/>
        <v>0.23762906742054157</v>
      </c>
      <c r="E367" s="30">
        <f t="shared" si="21"/>
        <v>8.8665032274449523E-2</v>
      </c>
    </row>
    <row r="368" spans="2:5" ht="13.9" customHeight="1" x14ac:dyDescent="0.25">
      <c r="B368" s="29">
        <f t="shared" si="23"/>
        <v>3.848011527377484</v>
      </c>
      <c r="C368" s="30">
        <f t="shared" si="22"/>
        <v>2.4168326767820734E-2</v>
      </c>
      <c r="D368" s="30">
        <f t="shared" si="20"/>
        <v>0.23701153011398757</v>
      </c>
      <c r="E368" s="30">
        <f t="shared" si="21"/>
        <v>8.8896050424452394E-2</v>
      </c>
    </row>
    <row r="369" spans="2:5" ht="13.9" customHeight="1" x14ac:dyDescent="0.25">
      <c r="B369" s="29">
        <f t="shared" si="23"/>
        <v>3.8580115273774838</v>
      </c>
      <c r="C369" s="30">
        <f t="shared" si="22"/>
        <v>2.4105682251088955E-2</v>
      </c>
      <c r="D369" s="30">
        <f t="shared" si="20"/>
        <v>0.23639719413175403</v>
      </c>
      <c r="E369" s="30">
        <f t="shared" si="21"/>
        <v>8.9127068574455279E-2</v>
      </c>
    </row>
    <row r="370" spans="2:5" ht="13.9" customHeight="1" x14ac:dyDescent="0.25">
      <c r="B370" s="29">
        <f t="shared" si="23"/>
        <v>3.8680115273774835</v>
      </c>
      <c r="C370" s="30">
        <f t="shared" si="22"/>
        <v>2.4043361645060584E-2</v>
      </c>
      <c r="D370" s="30">
        <f t="shared" si="20"/>
        <v>0.23578603464461562</v>
      </c>
      <c r="E370" s="30">
        <f t="shared" si="21"/>
        <v>8.9358086724458163E-2</v>
      </c>
    </row>
    <row r="371" spans="2:5" ht="13.9" customHeight="1" x14ac:dyDescent="0.25">
      <c r="B371" s="29">
        <f t="shared" si="23"/>
        <v>3.8780115273774833</v>
      </c>
      <c r="C371" s="30">
        <f t="shared" si="22"/>
        <v>2.3981362443987245E-2</v>
      </c>
      <c r="D371" s="30">
        <f t="shared" si="20"/>
        <v>0.23517802707944971</v>
      </c>
      <c r="E371" s="30">
        <f t="shared" si="21"/>
        <v>8.9589104874461034E-2</v>
      </c>
    </row>
    <row r="372" spans="2:5" ht="13.9" customHeight="1" x14ac:dyDescent="0.25">
      <c r="B372" s="29">
        <f t="shared" si="23"/>
        <v>3.8880115273774831</v>
      </c>
      <c r="C372" s="30">
        <f t="shared" si="22"/>
        <v>2.3919682167899789E-2</v>
      </c>
      <c r="D372" s="30">
        <f t="shared" si="20"/>
        <v>0.23457314711594285</v>
      </c>
      <c r="E372" s="30">
        <f t="shared" si="21"/>
        <v>8.9820123024463933E-2</v>
      </c>
    </row>
    <row r="373" spans="2:5" ht="13.9" customHeight="1" x14ac:dyDescent="0.25">
      <c r="B373" s="29">
        <f t="shared" si="23"/>
        <v>3.8980115273774829</v>
      </c>
      <c r="C373" s="30">
        <f t="shared" si="22"/>
        <v>2.3858318362277611E-2</v>
      </c>
      <c r="D373" s="30">
        <f t="shared" si="20"/>
        <v>0.23397137068334783</v>
      </c>
      <c r="E373" s="30">
        <f t="shared" si="21"/>
        <v>9.0051141174466803E-2</v>
      </c>
    </row>
    <row r="374" spans="2:5" ht="13.9" customHeight="1" x14ac:dyDescent="0.25">
      <c r="B374" s="29">
        <f t="shared" si="23"/>
        <v>3.9080115273774827</v>
      </c>
      <c r="C374" s="30">
        <f t="shared" si="22"/>
        <v>2.3797268597723086E-2</v>
      </c>
      <c r="D374" s="30">
        <f t="shared" si="20"/>
        <v>0.23337267395729097</v>
      </c>
      <c r="E374" s="30">
        <f t="shared" si="21"/>
        <v>9.0282159324469674E-2</v>
      </c>
    </row>
    <row r="375" spans="2:5" ht="13.9" customHeight="1" x14ac:dyDescent="0.25">
      <c r="B375" s="29">
        <f t="shared" si="23"/>
        <v>3.9180115273774825</v>
      </c>
      <c r="C375" s="30">
        <f t="shared" si="22"/>
        <v>2.3736530469640926E-2</v>
      </c>
      <c r="D375" s="30">
        <f t="shared" si="20"/>
        <v>0.23277703335662764</v>
      </c>
      <c r="E375" s="30">
        <f t="shared" si="21"/>
        <v>9.0513177474472559E-2</v>
      </c>
    </row>
    <row r="376" spans="2:5" ht="13.9" customHeight="1" x14ac:dyDescent="0.25">
      <c r="B376" s="29">
        <f t="shared" si="23"/>
        <v>3.9280115273774823</v>
      </c>
      <c r="C376" s="30">
        <f t="shared" si="22"/>
        <v>2.3676101597922498E-2</v>
      </c>
      <c r="D376" s="30">
        <f t="shared" si="20"/>
        <v>0.23218442554034655</v>
      </c>
      <c r="E376" s="30">
        <f t="shared" si="21"/>
        <v>9.0744195624475429E-2</v>
      </c>
    </row>
    <row r="377" spans="2:5" ht="13.9" customHeight="1" x14ac:dyDescent="0.25">
      <c r="B377" s="29">
        <f t="shared" si="23"/>
        <v>3.9380115273774821</v>
      </c>
      <c r="C377" s="30">
        <f t="shared" si="22"/>
        <v>2.3615979626634899E-2</v>
      </c>
      <c r="D377" s="30">
        <f t="shared" si="20"/>
        <v>0.23159482740452045</v>
      </c>
      <c r="E377" s="30">
        <f t="shared" si="21"/>
        <v>9.0975213774478314E-2</v>
      </c>
    </row>
    <row r="378" spans="2:5" ht="13.9" customHeight="1" x14ac:dyDescent="0.25">
      <c r="B378" s="29">
        <f t="shared" si="23"/>
        <v>3.9480115273774818</v>
      </c>
      <c r="C378" s="30">
        <f t="shared" si="22"/>
        <v>2.3556162223714799E-2</v>
      </c>
      <c r="D378" s="30">
        <f t="shared" si="20"/>
        <v>0.23100821607930391</v>
      </c>
      <c r="E378" s="30">
        <f t="shared" si="21"/>
        <v>9.1206231924481213E-2</v>
      </c>
    </row>
    <row r="379" spans="2:5" ht="13.9" customHeight="1" x14ac:dyDescent="0.25">
      <c r="B379" s="29">
        <f t="shared" si="23"/>
        <v>3.9580115273774816</v>
      </c>
      <c r="C379" s="30">
        <f t="shared" si="22"/>
        <v>2.3496647080666889E-2</v>
      </c>
      <c r="D379" s="30">
        <f t="shared" si="20"/>
        <v>0.23042456892597596</v>
      </c>
      <c r="E379" s="30">
        <f t="shared" si="21"/>
        <v>9.1437250074484069E-2</v>
      </c>
    </row>
    <row r="380" spans="2:5" ht="13.9" customHeight="1" x14ac:dyDescent="0.25">
      <c r="B380" s="29">
        <f t="shared" si="23"/>
        <v>3.9680115273774814</v>
      </c>
      <c r="C380" s="30">
        <f t="shared" si="22"/>
        <v>2.3437431912266923E-2</v>
      </c>
      <c r="D380" s="30">
        <f t="shared" si="20"/>
        <v>0.22984386353402803</v>
      </c>
      <c r="E380" s="30">
        <f t="shared" si="21"/>
        <v>9.1668268224486968E-2</v>
      </c>
    </row>
    <row r="381" spans="2:5" ht="13.9" customHeight="1" x14ac:dyDescent="0.25">
      <c r="B381" s="29">
        <f t="shared" si="23"/>
        <v>3.9780115273774812</v>
      </c>
      <c r="C381" s="30">
        <f t="shared" si="22"/>
        <v>2.3378514456269209E-2</v>
      </c>
      <c r="D381" s="30">
        <f t="shared" si="20"/>
        <v>0.22926607771829524</v>
      </c>
      <c r="E381" s="30">
        <f t="shared" si="21"/>
        <v>9.1899286374489852E-2</v>
      </c>
    </row>
    <row r="382" spans="2:5" ht="13.9" customHeight="1" x14ac:dyDescent="0.25">
      <c r="B382" s="29">
        <f t="shared" si="23"/>
        <v>3.988011527377481</v>
      </c>
      <c r="C382" s="30">
        <f t="shared" si="22"/>
        <v>2.3319892473118518E-2</v>
      </c>
      <c r="D382" s="30">
        <f t="shared" si="20"/>
        <v>0.22869118951613135</v>
      </c>
      <c r="E382" s="30">
        <f t="shared" si="21"/>
        <v>9.2130304524492723E-2</v>
      </c>
    </row>
    <row r="383" spans="2:5" ht="13.9" customHeight="1" x14ac:dyDescent="0.25">
      <c r="B383" s="29">
        <f t="shared" si="23"/>
        <v>3.9980115273774808</v>
      </c>
      <c r="C383" s="30">
        <f t="shared" si="22"/>
        <v>2.3261563745666309E-2</v>
      </c>
      <c r="D383" s="30">
        <f t="shared" si="20"/>
        <v>0.22811917718462577</v>
      </c>
      <c r="E383" s="30">
        <f t="shared" si="21"/>
        <v>9.2361322674495594E-2</v>
      </c>
    </row>
    <row r="384" spans="2:5" ht="13.9" customHeight="1" x14ac:dyDescent="0.25">
      <c r="B384" s="29">
        <f t="shared" si="23"/>
        <v>4.008011527377481</v>
      </c>
      <c r="C384" s="30">
        <f t="shared" si="22"/>
        <v>2.3203526078891219E-2</v>
      </c>
      <c r="D384" s="30">
        <f t="shared" si="20"/>
        <v>0.2275500191978625</v>
      </c>
      <c r="E384" s="30">
        <f t="shared" si="21"/>
        <v>9.2592340824498506E-2</v>
      </c>
    </row>
    <row r="385" spans="2:5" ht="13.9" customHeight="1" x14ac:dyDescent="0.25">
      <c r="B385" s="29">
        <f t="shared" si="23"/>
        <v>4.0180115273774808</v>
      </c>
      <c r="C385" s="30">
        <f t="shared" si="22"/>
        <v>2.314577729962369E-2</v>
      </c>
      <c r="D385" s="30">
        <f t="shared" si="20"/>
        <v>0.22698369424421963</v>
      </c>
      <c r="E385" s="30">
        <f t="shared" si="21"/>
        <v>9.2823358974501391E-2</v>
      </c>
    </row>
    <row r="386" spans="2:5" ht="13.9" customHeight="1" x14ac:dyDescent="0.25">
      <c r="B386" s="29">
        <f t="shared" si="23"/>
        <v>4.0280115273774806</v>
      </c>
      <c r="C386" s="30">
        <f t="shared" si="22"/>
        <v>2.3088315256274739E-2</v>
      </c>
      <c r="D386" s="30">
        <f t="shared" si="20"/>
        <v>0.22642018122370947</v>
      </c>
      <c r="E386" s="30">
        <f t="shared" si="21"/>
        <v>9.3054377124504262E-2</v>
      </c>
    </row>
    <row r="387" spans="2:5" ht="13.9" customHeight="1" x14ac:dyDescent="0.25">
      <c r="B387" s="29">
        <f t="shared" si="23"/>
        <v>4.0380115273774804</v>
      </c>
      <c r="C387" s="30">
        <f t="shared" si="22"/>
        <v>2.3031137818568737E-2</v>
      </c>
      <c r="D387" s="30">
        <f t="shared" si="20"/>
        <v>0.22585945924535802</v>
      </c>
      <c r="E387" s="30">
        <f t="shared" si="21"/>
        <v>9.3285395274507146E-2</v>
      </c>
    </row>
    <row r="388" spans="2:5" ht="13.9" customHeight="1" x14ac:dyDescent="0.25">
      <c r="B388" s="29">
        <f t="shared" si="23"/>
        <v>4.0480115273774802</v>
      </c>
      <c r="C388" s="30">
        <f t="shared" si="22"/>
        <v>2.2974242877280147E-2</v>
      </c>
      <c r="D388" s="30">
        <f t="shared" si="20"/>
        <v>0.2253015076246232</v>
      </c>
      <c r="E388" s="30">
        <f t="shared" si="21"/>
        <v>9.3516413424510017E-2</v>
      </c>
    </row>
    <row r="389" spans="2:5" ht="13.9" customHeight="1" x14ac:dyDescent="0.25">
      <c r="B389" s="29">
        <f t="shared" si="23"/>
        <v>4.0580115273774799</v>
      </c>
      <c r="C389" s="30">
        <f t="shared" si="22"/>
        <v>2.2917628343974157E-2</v>
      </c>
      <c r="D389" s="30">
        <f t="shared" si="20"/>
        <v>0.22474630588085134</v>
      </c>
      <c r="E389" s="30">
        <f t="shared" si="21"/>
        <v>9.3747431574512888E-2</v>
      </c>
    </row>
    <row r="390" spans="2:5" ht="13.9" customHeight="1" x14ac:dyDescent="0.25">
      <c r="B390" s="29">
        <f t="shared" si="23"/>
        <v>4.0680115273774797</v>
      </c>
      <c r="C390" s="30">
        <f t="shared" si="22"/>
        <v>2.2861292150751156E-2</v>
      </c>
      <c r="D390" s="30">
        <f t="shared" si="20"/>
        <v>0.22419383373477134</v>
      </c>
      <c r="E390" s="30">
        <f t="shared" si="21"/>
        <v>9.3978449724515759E-2</v>
      </c>
    </row>
    <row r="391" spans="2:5" ht="13.9" customHeight="1" x14ac:dyDescent="0.25">
      <c r="B391" s="29">
        <f t="shared" si="23"/>
        <v>4.0780115273774795</v>
      </c>
      <c r="C391" s="30">
        <f t="shared" si="22"/>
        <v>2.2805232249994936E-2</v>
      </c>
      <c r="D391" s="30">
        <f t="shared" si="20"/>
        <v>0.22364407110602533</v>
      </c>
      <c r="E391" s="30">
        <f t="shared" si="21"/>
        <v>9.4209467874518671E-2</v>
      </c>
    </row>
    <row r="392" spans="2:5" ht="13.9" customHeight="1" x14ac:dyDescent="0.25">
      <c r="B392" s="29">
        <f t="shared" si="23"/>
        <v>4.0880115273774793</v>
      </c>
      <c r="C392" s="30">
        <f t="shared" si="22"/>
        <v>2.2749446614124615E-2</v>
      </c>
      <c r="D392" s="30">
        <f t="shared" si="20"/>
        <v>0.22309699811073586</v>
      </c>
      <c r="E392" s="30">
        <f t="shared" si="21"/>
        <v>9.4440486024521542E-2</v>
      </c>
    </row>
    <row r="393" spans="2:5" ht="13.9" customHeight="1" x14ac:dyDescent="0.25">
      <c r="B393" s="29">
        <f t="shared" si="23"/>
        <v>4.0980115273774791</v>
      </c>
      <c r="C393" s="30">
        <f t="shared" si="22"/>
        <v>2.2693933235350197E-2</v>
      </c>
      <c r="D393" s="30">
        <f t="shared" ref="D393:D456" si="24">C393*9.8067</f>
        <v>0.22255259505910877</v>
      </c>
      <c r="E393" s="30">
        <f t="shared" ref="E393:E456" si="25">((B393^2)/(4*PI()^2))*D393</f>
        <v>9.4671504174524412E-2</v>
      </c>
    </row>
    <row r="394" spans="2:5" ht="13.9" customHeight="1" x14ac:dyDescent="0.25">
      <c r="B394" s="29">
        <f t="shared" si="23"/>
        <v>4.1080115273774789</v>
      </c>
      <c r="C394" s="30">
        <f t="shared" si="22"/>
        <v>2.2638690125431668E-2</v>
      </c>
      <c r="D394" s="30">
        <f t="shared" si="24"/>
        <v>0.22201084245307073</v>
      </c>
      <c r="E394" s="30">
        <f t="shared" si="25"/>
        <v>9.4902522324527297E-2</v>
      </c>
    </row>
    <row r="395" spans="2:5" ht="13.9" customHeight="1" x14ac:dyDescent="0.25">
      <c r="B395" s="29">
        <f t="shared" si="23"/>
        <v>4.1180115273774787</v>
      </c>
      <c r="C395" s="30">
        <f t="shared" si="22"/>
        <v>2.2583715315441642E-2</v>
      </c>
      <c r="D395" s="30">
        <f t="shared" si="24"/>
        <v>0.22147172098394155</v>
      </c>
      <c r="E395" s="30">
        <f t="shared" si="25"/>
        <v>9.5133540474530182E-2</v>
      </c>
    </row>
    <row r="396" spans="2:5" ht="13.9" customHeight="1" x14ac:dyDescent="0.25">
      <c r="B396" s="29">
        <f t="shared" si="23"/>
        <v>4.1280115273774785</v>
      </c>
      <c r="C396" s="30">
        <f t="shared" si="22"/>
        <v>2.2529006855531435E-2</v>
      </c>
      <c r="D396" s="30">
        <f t="shared" si="24"/>
        <v>0.22093521153014009</v>
      </c>
      <c r="E396" s="30">
        <f t="shared" si="25"/>
        <v>9.5364558624533066E-2</v>
      </c>
    </row>
    <row r="397" spans="2:5" ht="13.9" customHeight="1" x14ac:dyDescent="0.25">
      <c r="B397" s="29">
        <f t="shared" si="23"/>
        <v>4.1380115273774782</v>
      </c>
      <c r="C397" s="30">
        <f t="shared" ref="C397:C460" si="26">IF(B397&lt;6,$C$5/B397,6*$C$5/B397^2)</f>
        <v>2.2474562814700526E-2</v>
      </c>
      <c r="D397" s="30">
        <f t="shared" si="24"/>
        <v>0.22040129515492363</v>
      </c>
      <c r="E397" s="30">
        <f t="shared" si="25"/>
        <v>9.5595576774535937E-2</v>
      </c>
    </row>
    <row r="398" spans="2:5" ht="13.9" customHeight="1" x14ac:dyDescent="0.25">
      <c r="B398" s="29">
        <f t="shared" ref="B398:B461" si="27">B397+0.01</f>
        <v>4.148011527377478</v>
      </c>
      <c r="C398" s="30">
        <f t="shared" si="26"/>
        <v>2.2420381280569376E-2</v>
      </c>
      <c r="D398" s="30">
        <f t="shared" si="24"/>
        <v>0.21986995310415969</v>
      </c>
      <c r="E398" s="30">
        <f t="shared" si="25"/>
        <v>9.5826594924538835E-2</v>
      </c>
    </row>
    <row r="399" spans="2:5" ht="13.9" customHeight="1" x14ac:dyDescent="0.25">
      <c r="B399" s="29">
        <f t="shared" si="27"/>
        <v>4.1580115273774778</v>
      </c>
      <c r="C399" s="30">
        <f t="shared" si="26"/>
        <v>2.2366460359155505E-2</v>
      </c>
      <c r="D399" s="30">
        <f t="shared" si="24"/>
        <v>0.21934116680413027</v>
      </c>
      <c r="E399" s="30">
        <f t="shared" si="25"/>
        <v>9.6057613074541692E-2</v>
      </c>
    </row>
    <row r="400" spans="2:5" ht="13.9" customHeight="1" x14ac:dyDescent="0.25">
      <c r="B400" s="29">
        <f t="shared" si="27"/>
        <v>4.1680115273774776</v>
      </c>
      <c r="C400" s="30">
        <f t="shared" si="26"/>
        <v>2.2312798174652797E-2</v>
      </c>
      <c r="D400" s="30">
        <f t="shared" si="24"/>
        <v>0.21881491785936757</v>
      </c>
      <c r="E400" s="30">
        <f t="shared" si="25"/>
        <v>9.6288631224544591E-2</v>
      </c>
    </row>
    <row r="401" spans="2:5" ht="13.9" customHeight="1" x14ac:dyDescent="0.25">
      <c r="B401" s="29">
        <f t="shared" si="27"/>
        <v>4.1780115273774774</v>
      </c>
      <c r="C401" s="30">
        <f t="shared" si="26"/>
        <v>2.2259392869213974E-2</v>
      </c>
      <c r="D401" s="30">
        <f t="shared" si="24"/>
        <v>0.21829118805052067</v>
      </c>
      <c r="E401" s="30">
        <f t="shared" si="25"/>
        <v>9.6519649374547475E-2</v>
      </c>
    </row>
    <row r="402" spans="2:5" ht="13.9" customHeight="1" x14ac:dyDescent="0.25">
      <c r="B402" s="29">
        <f t="shared" si="27"/>
        <v>4.1880115273774772</v>
      </c>
      <c r="C402" s="30">
        <f t="shared" si="26"/>
        <v>2.2206242602736192E-2</v>
      </c>
      <c r="D402" s="30">
        <f t="shared" si="24"/>
        <v>0.21776995933225299</v>
      </c>
      <c r="E402" s="30">
        <f t="shared" si="25"/>
        <v>9.6750667524550346E-2</v>
      </c>
    </row>
    <row r="403" spans="2:5" ht="13.9" customHeight="1" x14ac:dyDescent="0.25">
      <c r="B403" s="29">
        <f t="shared" si="27"/>
        <v>4.198011527377477</v>
      </c>
      <c r="C403" s="30">
        <f t="shared" si="26"/>
        <v>2.2153345552649698E-2</v>
      </c>
      <c r="D403" s="30">
        <f t="shared" si="24"/>
        <v>0.21725121383116977</v>
      </c>
      <c r="E403" s="30">
        <f t="shared" si="25"/>
        <v>9.6981685674553217E-2</v>
      </c>
    </row>
    <row r="404" spans="2:5" ht="13.9" customHeight="1" x14ac:dyDescent="0.25">
      <c r="B404" s="29">
        <f t="shared" si="27"/>
        <v>4.2080115273774767</v>
      </c>
      <c r="C404" s="30">
        <f t="shared" si="26"/>
        <v>2.2100699913709505E-2</v>
      </c>
      <c r="D404" s="30">
        <f t="shared" si="24"/>
        <v>0.21673493384377499</v>
      </c>
      <c r="E404" s="30">
        <f t="shared" si="25"/>
        <v>9.7212703824556101E-2</v>
      </c>
    </row>
    <row r="405" spans="2:5" ht="13.9" customHeight="1" x14ac:dyDescent="0.25">
      <c r="B405" s="29">
        <f t="shared" si="27"/>
        <v>4.2180115273774765</v>
      </c>
      <c r="C405" s="30">
        <f t="shared" si="26"/>
        <v>2.2048303897790007E-2</v>
      </c>
      <c r="D405" s="30">
        <f t="shared" si="24"/>
        <v>0.21622110183445725</v>
      </c>
      <c r="E405" s="30">
        <f t="shared" si="25"/>
        <v>9.7443721974558986E-2</v>
      </c>
    </row>
    <row r="406" spans="2:5" ht="13.9" customHeight="1" x14ac:dyDescent="0.25">
      <c r="B406" s="29">
        <f t="shared" si="27"/>
        <v>4.2280115273774763</v>
      </c>
      <c r="C406" s="30">
        <f t="shared" si="26"/>
        <v>2.1996155733682552E-2</v>
      </c>
      <c r="D406" s="30">
        <f t="shared" si="24"/>
        <v>0.21570970043350468</v>
      </c>
      <c r="E406" s="30">
        <f t="shared" si="25"/>
        <v>9.7674740124561885E-2</v>
      </c>
    </row>
    <row r="407" spans="2:5" ht="13.9" customHeight="1" x14ac:dyDescent="0.25">
      <c r="B407" s="29">
        <f t="shared" si="27"/>
        <v>4.2380115273774761</v>
      </c>
      <c r="C407" s="30">
        <f t="shared" si="26"/>
        <v>2.1944253666895834E-2</v>
      </c>
      <c r="D407" s="30">
        <f t="shared" si="24"/>
        <v>0.21520071243514735</v>
      </c>
      <c r="E407" s="30">
        <f t="shared" si="25"/>
        <v>9.7905758274564741E-2</v>
      </c>
    </row>
    <row r="408" spans="2:5" ht="13.9" customHeight="1" x14ac:dyDescent="0.25">
      <c r="B408" s="29">
        <f t="shared" si="27"/>
        <v>4.2480115273774759</v>
      </c>
      <c r="C408" s="30">
        <f t="shared" si="26"/>
        <v>2.1892595959459145E-2</v>
      </c>
      <c r="D408" s="30">
        <f t="shared" si="24"/>
        <v>0.21469412079562797</v>
      </c>
      <c r="E408" s="30">
        <f t="shared" si="25"/>
        <v>9.8136776424567626E-2</v>
      </c>
    </row>
    <row r="409" spans="2:5" ht="13.9" customHeight="1" x14ac:dyDescent="0.25">
      <c r="B409" s="29">
        <f t="shared" si="27"/>
        <v>4.2580115273774757</v>
      </c>
      <c r="C409" s="30">
        <f t="shared" si="26"/>
        <v>2.1841180889728362E-2</v>
      </c>
      <c r="D409" s="30">
        <f t="shared" si="24"/>
        <v>0.21418990863129911</v>
      </c>
      <c r="E409" s="30">
        <f t="shared" si="25"/>
        <v>9.8367794574570511E-2</v>
      </c>
    </row>
    <row r="410" spans="2:5" ht="13.9" customHeight="1" x14ac:dyDescent="0.25">
      <c r="B410" s="29">
        <f t="shared" si="27"/>
        <v>4.2680115273774755</v>
      </c>
      <c r="C410" s="30">
        <f t="shared" si="26"/>
        <v>2.17900067521947E-2</v>
      </c>
      <c r="D410" s="30">
        <f t="shared" si="24"/>
        <v>0.21368805921674774</v>
      </c>
      <c r="E410" s="30">
        <f t="shared" si="25"/>
        <v>9.8598812724573395E-2</v>
      </c>
    </row>
    <row r="411" spans="2:5" ht="13.9" customHeight="1" x14ac:dyDescent="0.25">
      <c r="B411" s="29">
        <f t="shared" si="27"/>
        <v>4.2780115273774753</v>
      </c>
      <c r="C411" s="30">
        <f t="shared" si="26"/>
        <v>2.1739071857296104E-2</v>
      </c>
      <c r="D411" s="30">
        <f t="shared" si="24"/>
        <v>0.2131885559829457</v>
      </c>
      <c r="E411" s="30">
        <f t="shared" si="25"/>
        <v>9.8829830874576266E-2</v>
      </c>
    </row>
    <row r="412" spans="2:5" ht="13.9" customHeight="1" x14ac:dyDescent="0.25">
      <c r="B412" s="29">
        <f t="shared" si="27"/>
        <v>4.288011527377475</v>
      </c>
      <c r="C412" s="30">
        <f t="shared" si="26"/>
        <v>2.1688374531231333E-2</v>
      </c>
      <c r="D412" s="30">
        <f t="shared" si="24"/>
        <v>0.2126913825154263</v>
      </c>
      <c r="E412" s="30">
        <f t="shared" si="25"/>
        <v>9.9060849024579165E-2</v>
      </c>
    </row>
    <row r="413" spans="2:5" ht="13.9" customHeight="1" x14ac:dyDescent="0.25">
      <c r="B413" s="29">
        <f t="shared" si="27"/>
        <v>4.2980115273774748</v>
      </c>
      <c r="C413" s="30">
        <f t="shared" si="26"/>
        <v>2.1637913115776581E-2</v>
      </c>
      <c r="D413" s="30">
        <f t="shared" si="24"/>
        <v>0.21219652255248619</v>
      </c>
      <c r="E413" s="30">
        <f t="shared" si="25"/>
        <v>9.9291867174582035E-2</v>
      </c>
    </row>
    <row r="414" spans="2:5" ht="13.9" customHeight="1" x14ac:dyDescent="0.25">
      <c r="B414" s="29">
        <f t="shared" si="27"/>
        <v>4.3080115273774746</v>
      </c>
      <c r="C414" s="30">
        <f t="shared" si="26"/>
        <v>2.1587685968104699E-2</v>
      </c>
      <c r="D414" s="30">
        <f t="shared" si="24"/>
        <v>0.21170395998341235</v>
      </c>
      <c r="E414" s="30">
        <f t="shared" si="25"/>
        <v>9.952288532458492E-2</v>
      </c>
    </row>
    <row r="415" spans="2:5" ht="13.9" customHeight="1" x14ac:dyDescent="0.25">
      <c r="B415" s="29">
        <f t="shared" si="27"/>
        <v>4.3180115273774744</v>
      </c>
      <c r="C415" s="30">
        <f t="shared" si="26"/>
        <v>2.1537691460606901E-2</v>
      </c>
      <c r="D415" s="30">
        <f t="shared" si="24"/>
        <v>0.21121367884673367</v>
      </c>
      <c r="E415" s="30">
        <f t="shared" si="25"/>
        <v>9.9753903474587791E-2</v>
      </c>
    </row>
    <row r="416" spans="2:5" ht="13.9" customHeight="1" x14ac:dyDescent="0.25">
      <c r="B416" s="29">
        <f t="shared" si="27"/>
        <v>4.3280115273774742</v>
      </c>
      <c r="C416" s="30">
        <f t="shared" si="26"/>
        <v>2.1487927980716966E-2</v>
      </c>
      <c r="D416" s="30">
        <f t="shared" si="24"/>
        <v>0.21072566332849707</v>
      </c>
      <c r="E416" s="30">
        <f t="shared" si="25"/>
        <v>9.9984921624590689E-2</v>
      </c>
    </row>
    <row r="417" spans="2:5" ht="13.9" customHeight="1" x14ac:dyDescent="0.25">
      <c r="B417" s="29">
        <f t="shared" si="27"/>
        <v>4.338011527377474</v>
      </c>
      <c r="C417" s="30">
        <f t="shared" si="26"/>
        <v>2.1438393930737834E-2</v>
      </c>
      <c r="D417" s="30">
        <f t="shared" si="24"/>
        <v>0.2102398977605667</v>
      </c>
      <c r="E417" s="30">
        <f t="shared" si="25"/>
        <v>0.10021593977459356</v>
      </c>
    </row>
    <row r="418" spans="2:5" ht="13.9" customHeight="1" x14ac:dyDescent="0.25">
      <c r="B418" s="29">
        <f t="shared" si="27"/>
        <v>4.3480115273774738</v>
      </c>
      <c r="C418" s="30">
        <f t="shared" si="26"/>
        <v>2.138908772767064E-2</v>
      </c>
      <c r="D418" s="30">
        <f t="shared" si="24"/>
        <v>0.20975636661894764</v>
      </c>
      <c r="E418" s="30">
        <f t="shared" si="25"/>
        <v>0.10044695792459643</v>
      </c>
    </row>
    <row r="419" spans="2:5" ht="13.9" customHeight="1" x14ac:dyDescent="0.25">
      <c r="B419" s="29">
        <f t="shared" si="27"/>
        <v>4.3580115273774735</v>
      </c>
      <c r="C419" s="30">
        <f t="shared" si="26"/>
        <v>2.1340007803046068E-2</v>
      </c>
      <c r="D419" s="30">
        <f t="shared" si="24"/>
        <v>0.20927505452213185</v>
      </c>
      <c r="E419" s="30">
        <f t="shared" si="25"/>
        <v>0.10067797607459932</v>
      </c>
    </row>
    <row r="420" spans="2:5" ht="13.9" customHeight="1" x14ac:dyDescent="0.25">
      <c r="B420" s="29">
        <f t="shared" si="27"/>
        <v>4.3680115273774733</v>
      </c>
      <c r="C420" s="30">
        <f t="shared" si="26"/>
        <v>2.1291152602758035E-2</v>
      </c>
      <c r="D420" s="30">
        <f t="shared" si="24"/>
        <v>0.20879594622946721</v>
      </c>
      <c r="E420" s="30">
        <f t="shared" si="25"/>
        <v>0.10090899422460217</v>
      </c>
    </row>
    <row r="421" spans="2:5" ht="13.9" customHeight="1" x14ac:dyDescent="0.25">
      <c r="B421" s="29">
        <f t="shared" si="27"/>
        <v>4.3780115273774731</v>
      </c>
      <c r="C421" s="30">
        <f t="shared" si="26"/>
        <v>2.1242520586899662E-2</v>
      </c>
      <c r="D421" s="30">
        <f t="shared" si="24"/>
        <v>0.2083190266395489</v>
      </c>
      <c r="E421" s="30">
        <f t="shared" si="25"/>
        <v>0.10114001237460508</v>
      </c>
    </row>
    <row r="422" spans="2:5" ht="13.9" customHeight="1" x14ac:dyDescent="0.25">
      <c r="B422" s="29">
        <f t="shared" si="27"/>
        <v>4.3880115273774729</v>
      </c>
      <c r="C422" s="30">
        <f t="shared" si="26"/>
        <v>2.1194110229601455E-2</v>
      </c>
      <c r="D422" s="30">
        <f t="shared" si="24"/>
        <v>0.20784428078863257</v>
      </c>
      <c r="E422" s="30">
        <f t="shared" si="25"/>
        <v>0.10137103052460797</v>
      </c>
    </row>
    <row r="423" spans="2:5" ht="13.9" customHeight="1" x14ac:dyDescent="0.25">
      <c r="B423" s="29">
        <f t="shared" si="27"/>
        <v>4.3980115273774727</v>
      </c>
      <c r="C423" s="30">
        <f t="shared" si="26"/>
        <v>2.1145920018871747E-2</v>
      </c>
      <c r="D423" s="30">
        <f t="shared" si="24"/>
        <v>0.20737169384906953</v>
      </c>
      <c r="E423" s="30">
        <f t="shared" si="25"/>
        <v>0.10160204867461084</v>
      </c>
    </row>
    <row r="424" spans="2:5" ht="13.9" customHeight="1" x14ac:dyDescent="0.25">
      <c r="B424" s="29">
        <f t="shared" si="27"/>
        <v>4.4080115273774725</v>
      </c>
      <c r="C424" s="30">
        <f t="shared" si="26"/>
        <v>2.1097948456439256E-2</v>
      </c>
      <c r="D424" s="30">
        <f t="shared" si="24"/>
        <v>0.20690125112776284</v>
      </c>
      <c r="E424" s="30">
        <f t="shared" si="25"/>
        <v>0.10183306682461371</v>
      </c>
    </row>
    <row r="425" spans="2:5" ht="13.9" customHeight="1" x14ac:dyDescent="0.25">
      <c r="B425" s="29">
        <f t="shared" si="27"/>
        <v>4.4180115273774723</v>
      </c>
      <c r="C425" s="30">
        <f t="shared" si="26"/>
        <v>2.1050194057597834E-2</v>
      </c>
      <c r="D425" s="30">
        <f t="shared" si="24"/>
        <v>0.20643293806464466</v>
      </c>
      <c r="E425" s="30">
        <f t="shared" si="25"/>
        <v>0.10206408497461661</v>
      </c>
    </row>
    <row r="426" spans="2:5" ht="13.9" customHeight="1" x14ac:dyDescent="0.25">
      <c r="B426" s="29">
        <f t="shared" si="27"/>
        <v>4.4280115273774721</v>
      </c>
      <c r="C426" s="30">
        <f t="shared" si="26"/>
        <v>2.1002655351053265E-2</v>
      </c>
      <c r="D426" s="30">
        <f t="shared" si="24"/>
        <v>0.20596674023117403</v>
      </c>
      <c r="E426" s="30">
        <f t="shared" si="25"/>
        <v>0.10229510312461948</v>
      </c>
    </row>
    <row r="427" spans="2:5" ht="13.9" customHeight="1" x14ac:dyDescent="0.25">
      <c r="B427" s="29">
        <f t="shared" si="27"/>
        <v>4.4380115273774718</v>
      </c>
      <c r="C427" s="30">
        <f t="shared" si="26"/>
        <v>2.0955330878772174E-2</v>
      </c>
      <c r="D427" s="30">
        <f t="shared" si="24"/>
        <v>0.20550264332885507</v>
      </c>
      <c r="E427" s="30">
        <f t="shared" si="25"/>
        <v>0.10252612127462235</v>
      </c>
    </row>
    <row r="428" spans="2:5" ht="13.9" customHeight="1" x14ac:dyDescent="0.25">
      <c r="B428" s="29">
        <f t="shared" si="27"/>
        <v>4.4480115273774716</v>
      </c>
      <c r="C428" s="30">
        <f t="shared" si="26"/>
        <v>2.0908219195832974E-2</v>
      </c>
      <c r="D428" s="30">
        <f t="shared" si="24"/>
        <v>0.20504063318777521</v>
      </c>
      <c r="E428" s="30">
        <f t="shared" si="25"/>
        <v>0.10275713942462525</v>
      </c>
    </row>
    <row r="429" spans="2:5" ht="13.9" customHeight="1" x14ac:dyDescent="0.25">
      <c r="B429" s="29">
        <f t="shared" si="27"/>
        <v>4.4580115273774714</v>
      </c>
      <c r="C429" s="30">
        <f t="shared" si="26"/>
        <v>2.0861318870278787E-2</v>
      </c>
      <c r="D429" s="30">
        <f t="shared" si="24"/>
        <v>0.20458069576516297</v>
      </c>
      <c r="E429" s="30">
        <f t="shared" si="25"/>
        <v>0.10298815757462813</v>
      </c>
    </row>
    <row r="430" spans="2:5" ht="13.9" customHeight="1" x14ac:dyDescent="0.25">
      <c r="B430" s="29">
        <f t="shared" si="27"/>
        <v>4.4680115273774712</v>
      </c>
      <c r="C430" s="30">
        <f t="shared" si="26"/>
        <v>2.0814628482972372E-2</v>
      </c>
      <c r="D430" s="30">
        <f t="shared" si="24"/>
        <v>0.20412281714396516</v>
      </c>
      <c r="E430" s="30">
        <f t="shared" si="25"/>
        <v>0.10321917572463102</v>
      </c>
    </row>
    <row r="431" spans="2:5" ht="13.9" customHeight="1" x14ac:dyDescent="0.25">
      <c r="B431" s="29">
        <f t="shared" si="27"/>
        <v>4.478011527377471</v>
      </c>
      <c r="C431" s="30">
        <f t="shared" si="26"/>
        <v>2.0768146627452983E-2</v>
      </c>
      <c r="D431" s="30">
        <f t="shared" si="24"/>
        <v>0.20366698353144316</v>
      </c>
      <c r="E431" s="30">
        <f t="shared" si="25"/>
        <v>0.10345019387463389</v>
      </c>
    </row>
    <row r="432" spans="2:5" ht="13.9" customHeight="1" x14ac:dyDescent="0.25">
      <c r="B432" s="29">
        <f t="shared" si="27"/>
        <v>4.4880115273774708</v>
      </c>
      <c r="C432" s="30">
        <f t="shared" si="26"/>
        <v>2.0721871909795141E-2</v>
      </c>
      <c r="D432" s="30">
        <f t="shared" si="24"/>
        <v>0.20321318125778801</v>
      </c>
      <c r="E432" s="30">
        <f t="shared" si="25"/>
        <v>0.10368121202463676</v>
      </c>
    </row>
    <row r="433" spans="2:5" ht="13.9" customHeight="1" x14ac:dyDescent="0.25">
      <c r="B433" s="29">
        <f t="shared" si="27"/>
        <v>4.4980115273774706</v>
      </c>
      <c r="C433" s="30">
        <f t="shared" si="26"/>
        <v>2.06758029484693E-2</v>
      </c>
      <c r="D433" s="30">
        <f t="shared" si="24"/>
        <v>0.20276139677475385</v>
      </c>
      <c r="E433" s="30">
        <f t="shared" si="25"/>
        <v>0.10391223017463964</v>
      </c>
    </row>
    <row r="434" spans="2:5" ht="13.9" customHeight="1" x14ac:dyDescent="0.25">
      <c r="B434" s="29">
        <f t="shared" si="27"/>
        <v>4.5080115273774704</v>
      </c>
      <c r="C434" s="30">
        <f t="shared" si="26"/>
        <v>2.0629938374204342E-2</v>
      </c>
      <c r="D434" s="30">
        <f t="shared" si="24"/>
        <v>0.20231161665430969</v>
      </c>
      <c r="E434" s="30">
        <f t="shared" si="25"/>
        <v>0.10414324832464252</v>
      </c>
    </row>
    <row r="435" spans="2:5" ht="13.9" customHeight="1" x14ac:dyDescent="0.25">
      <c r="B435" s="29">
        <f t="shared" si="27"/>
        <v>4.5180115273774701</v>
      </c>
      <c r="C435" s="30">
        <f t="shared" si="26"/>
        <v>2.0584276829851932E-2</v>
      </c>
      <c r="D435" s="30">
        <f t="shared" si="24"/>
        <v>0.20186382758730892</v>
      </c>
      <c r="E435" s="30">
        <f t="shared" si="25"/>
        <v>0.10437426647464539</v>
      </c>
    </row>
    <row r="436" spans="2:5" ht="13.9" customHeight="1" x14ac:dyDescent="0.25">
      <c r="B436" s="29">
        <f t="shared" si="27"/>
        <v>4.5280115273774699</v>
      </c>
      <c r="C436" s="30">
        <f t="shared" si="26"/>
        <v>2.053881697025265E-2</v>
      </c>
      <c r="D436" s="30">
        <f t="shared" si="24"/>
        <v>0.20141801638217666</v>
      </c>
      <c r="E436" s="30">
        <f t="shared" si="25"/>
        <v>0.10460528462464828</v>
      </c>
    </row>
    <row r="437" spans="2:5" ht="13.9" customHeight="1" x14ac:dyDescent="0.25">
      <c r="B437" s="29">
        <f t="shared" si="27"/>
        <v>4.5380115273774697</v>
      </c>
      <c r="C437" s="30">
        <f t="shared" si="26"/>
        <v>2.0493557462103885E-2</v>
      </c>
      <c r="D437" s="30">
        <f t="shared" si="24"/>
        <v>0.20097416996361417</v>
      </c>
      <c r="E437" s="30">
        <f t="shared" si="25"/>
        <v>0.10483630277465118</v>
      </c>
    </row>
    <row r="438" spans="2:5" ht="13.9" customHeight="1" x14ac:dyDescent="0.25">
      <c r="B438" s="29">
        <f t="shared" si="27"/>
        <v>4.5480115273774695</v>
      </c>
      <c r="C438" s="30">
        <f t="shared" si="26"/>
        <v>2.0448496983829504E-2</v>
      </c>
      <c r="D438" s="30">
        <f t="shared" si="24"/>
        <v>0.20053227537132079</v>
      </c>
      <c r="E438" s="30">
        <f t="shared" si="25"/>
        <v>0.10506732092465404</v>
      </c>
    </row>
    <row r="439" spans="2:5" ht="13.9" customHeight="1" x14ac:dyDescent="0.25">
      <c r="B439" s="29">
        <f t="shared" si="27"/>
        <v>4.5580115273774693</v>
      </c>
      <c r="C439" s="30">
        <f t="shared" si="26"/>
        <v>2.0403634225451193E-2</v>
      </c>
      <c r="D439" s="30">
        <f t="shared" si="24"/>
        <v>0.20009231975873221</v>
      </c>
      <c r="E439" s="30">
        <f t="shared" si="25"/>
        <v>0.10529833907465692</v>
      </c>
    </row>
    <row r="440" spans="2:5" ht="13.9" customHeight="1" x14ac:dyDescent="0.25">
      <c r="B440" s="29">
        <f t="shared" si="27"/>
        <v>4.5680115273774691</v>
      </c>
      <c r="C440" s="30">
        <f t="shared" si="26"/>
        <v>2.0358967888461529E-2</v>
      </c>
      <c r="D440" s="30">
        <f t="shared" si="24"/>
        <v>0.19965429039177565</v>
      </c>
      <c r="E440" s="30">
        <f t="shared" si="25"/>
        <v>0.10552935722465979</v>
      </c>
    </row>
    <row r="441" spans="2:5" ht="13.9" customHeight="1" x14ac:dyDescent="0.25">
      <c r="B441" s="29">
        <f t="shared" si="27"/>
        <v>4.5780115273774689</v>
      </c>
      <c r="C441" s="30">
        <f t="shared" si="26"/>
        <v>2.0314496685698694E-2</v>
      </c>
      <c r="D441" s="30">
        <f t="shared" si="24"/>
        <v>0.19921817464764136</v>
      </c>
      <c r="E441" s="30">
        <f t="shared" si="25"/>
        <v>0.10576037537466269</v>
      </c>
    </row>
    <row r="442" spans="2:5" ht="13.9" customHeight="1" x14ac:dyDescent="0.25">
      <c r="B442" s="29">
        <f t="shared" si="27"/>
        <v>4.5880115273774686</v>
      </c>
      <c r="C442" s="30">
        <f t="shared" si="26"/>
        <v>2.0270219341222816E-2</v>
      </c>
      <c r="D442" s="30">
        <f t="shared" si="24"/>
        <v>0.19878396001356977</v>
      </c>
      <c r="E442" s="30">
        <f t="shared" si="25"/>
        <v>0.10599139352466558</v>
      </c>
    </row>
    <row r="443" spans="2:5" ht="13.9" customHeight="1" x14ac:dyDescent="0.25">
      <c r="B443" s="29">
        <f t="shared" si="27"/>
        <v>4.5980115273774684</v>
      </c>
      <c r="C443" s="30">
        <f t="shared" si="26"/>
        <v>2.0226134590193966E-2</v>
      </c>
      <c r="D443" s="30">
        <f t="shared" si="24"/>
        <v>0.19835163408565515</v>
      </c>
      <c r="E443" s="30">
        <f t="shared" si="25"/>
        <v>0.10622241167466846</v>
      </c>
    </row>
    <row r="444" spans="2:5" ht="13.9" customHeight="1" x14ac:dyDescent="0.25">
      <c r="B444" s="29">
        <f t="shared" si="27"/>
        <v>4.6080115273774682</v>
      </c>
      <c r="C444" s="30">
        <f t="shared" si="26"/>
        <v>2.0182241178751687E-2</v>
      </c>
      <c r="D444" s="30">
        <f t="shared" si="24"/>
        <v>0.19792118456766417</v>
      </c>
      <c r="E444" s="30">
        <f t="shared" si="25"/>
        <v>0.10645342982467135</v>
      </c>
    </row>
    <row r="445" spans="2:5" ht="13.9" customHeight="1" x14ac:dyDescent="0.25">
      <c r="B445" s="29">
        <f t="shared" si="27"/>
        <v>4.618011527377468</v>
      </c>
      <c r="C445" s="30">
        <f t="shared" si="26"/>
        <v>2.0138537863896144E-2</v>
      </c>
      <c r="D445" s="30">
        <f t="shared" si="24"/>
        <v>0.19749259926987031</v>
      </c>
      <c r="E445" s="30">
        <f t="shared" si="25"/>
        <v>0.10668444797467422</v>
      </c>
    </row>
    <row r="446" spans="2:5" ht="13.9" customHeight="1" x14ac:dyDescent="0.25">
      <c r="B446" s="29">
        <f t="shared" si="27"/>
        <v>4.6280115273774678</v>
      </c>
      <c r="C446" s="30">
        <f t="shared" si="26"/>
        <v>2.0095023413370761E-2</v>
      </c>
      <c r="D446" s="30">
        <f t="shared" si="24"/>
        <v>0.19706586610790303</v>
      </c>
      <c r="E446" s="30">
        <f t="shared" si="25"/>
        <v>0.10691546612467709</v>
      </c>
    </row>
    <row r="447" spans="2:5" ht="13.9" customHeight="1" x14ac:dyDescent="0.25">
      <c r="B447" s="29">
        <f t="shared" si="27"/>
        <v>4.6380115273774676</v>
      </c>
      <c r="C447" s="30">
        <f t="shared" si="26"/>
        <v>2.0051696605546433E-2</v>
      </c>
      <c r="D447" s="30">
        <f t="shared" si="24"/>
        <v>0.19664097310161219</v>
      </c>
      <c r="E447" s="30">
        <f t="shared" si="25"/>
        <v>0.10714648427467997</v>
      </c>
    </row>
    <row r="448" spans="2:5" ht="13.9" customHeight="1" x14ac:dyDescent="0.25">
      <c r="B448" s="29">
        <f t="shared" si="27"/>
        <v>4.6480115273774674</v>
      </c>
      <c r="C448" s="30">
        <f t="shared" si="26"/>
        <v>2.0008556229307178E-2</v>
      </c>
      <c r="D448" s="30">
        <f t="shared" si="24"/>
        <v>0.19621790837394668</v>
      </c>
      <c r="E448" s="30">
        <f t="shared" si="25"/>
        <v>0.10737750242468284</v>
      </c>
    </row>
    <row r="449" spans="2:5" ht="13.9" customHeight="1" x14ac:dyDescent="0.25">
      <c r="B449" s="29">
        <f t="shared" si="27"/>
        <v>4.6580115273774672</v>
      </c>
      <c r="C449" s="30">
        <f t="shared" si="26"/>
        <v>1.9965601083937301E-2</v>
      </c>
      <c r="D449" s="30">
        <f t="shared" si="24"/>
        <v>0.19579666014984792</v>
      </c>
      <c r="E449" s="30">
        <f t="shared" si="25"/>
        <v>0.10760852057468574</v>
      </c>
    </row>
    <row r="450" spans="2:5" ht="13.9" customHeight="1" x14ac:dyDescent="0.25">
      <c r="B450" s="29">
        <f t="shared" si="27"/>
        <v>4.6680115273774669</v>
      </c>
      <c r="C450" s="30">
        <f t="shared" si="26"/>
        <v>1.9922829979009987E-2</v>
      </c>
      <c r="D450" s="30">
        <f t="shared" si="24"/>
        <v>0.19537721675515723</v>
      </c>
      <c r="E450" s="30">
        <f t="shared" si="25"/>
        <v>0.1078395387246886</v>
      </c>
    </row>
    <row r="451" spans="2:5" ht="13.9" customHeight="1" x14ac:dyDescent="0.25">
      <c r="B451" s="29">
        <f t="shared" si="27"/>
        <v>4.6780115273774667</v>
      </c>
      <c r="C451" s="30">
        <f t="shared" si="26"/>
        <v>1.988024173427734E-2</v>
      </c>
      <c r="D451" s="30">
        <f t="shared" si="24"/>
        <v>0.19495956661553757</v>
      </c>
      <c r="E451" s="30">
        <f t="shared" si="25"/>
        <v>0.1080705568746915</v>
      </c>
    </row>
    <row r="452" spans="2:5" ht="13.9" customHeight="1" x14ac:dyDescent="0.25">
      <c r="B452" s="29">
        <f t="shared" si="27"/>
        <v>4.6880115273774665</v>
      </c>
      <c r="C452" s="30">
        <f t="shared" si="26"/>
        <v>1.9837835179561811E-2</v>
      </c>
      <c r="D452" s="30">
        <f t="shared" si="24"/>
        <v>0.19454369825540879</v>
      </c>
      <c r="E452" s="30">
        <f t="shared" si="25"/>
        <v>0.10830157502469437</v>
      </c>
    </row>
    <row r="453" spans="2:5" ht="13.9" customHeight="1" x14ac:dyDescent="0.25">
      <c r="B453" s="29">
        <f t="shared" si="27"/>
        <v>4.6980115273774663</v>
      </c>
      <c r="C453" s="30">
        <f t="shared" si="26"/>
        <v>1.9795609154649021E-2</v>
      </c>
      <c r="D453" s="30">
        <f t="shared" si="24"/>
        <v>0.19412960029689655</v>
      </c>
      <c r="E453" s="30">
        <f t="shared" si="25"/>
        <v>0.10853259317469727</v>
      </c>
    </row>
    <row r="454" spans="2:5" ht="13.9" customHeight="1" x14ac:dyDescent="0.25">
      <c r="B454" s="29">
        <f t="shared" si="27"/>
        <v>4.7080115273774661</v>
      </c>
      <c r="C454" s="30">
        <f t="shared" si="26"/>
        <v>1.9753562509181956E-2</v>
      </c>
      <c r="D454" s="30">
        <f t="shared" si="24"/>
        <v>0.19371726145879467</v>
      </c>
      <c r="E454" s="30">
        <f t="shared" si="25"/>
        <v>0.10876361132470012</v>
      </c>
    </row>
    <row r="455" spans="2:5" ht="13.9" customHeight="1" x14ac:dyDescent="0.25">
      <c r="B455" s="29">
        <f t="shared" si="27"/>
        <v>4.7180115273774659</v>
      </c>
      <c r="C455" s="30">
        <f t="shared" si="26"/>
        <v>1.9711694102556503E-2</v>
      </c>
      <c r="D455" s="30">
        <f t="shared" si="24"/>
        <v>0.19330667055554085</v>
      </c>
      <c r="E455" s="30">
        <f t="shared" si="25"/>
        <v>0.10899462947470301</v>
      </c>
    </row>
    <row r="456" spans="2:5" ht="13.9" customHeight="1" x14ac:dyDescent="0.25">
      <c r="B456" s="29">
        <f t="shared" si="27"/>
        <v>4.7280115273774657</v>
      </c>
      <c r="C456" s="30">
        <f t="shared" si="26"/>
        <v>1.9670002803818303E-2</v>
      </c>
      <c r="D456" s="30">
        <f t="shared" si="24"/>
        <v>0.19289781649620494</v>
      </c>
      <c r="E456" s="30">
        <f t="shared" si="25"/>
        <v>0.10922564762470591</v>
      </c>
    </row>
    <row r="457" spans="2:5" ht="13.9" customHeight="1" x14ac:dyDescent="0.25">
      <c r="B457" s="29">
        <f t="shared" si="27"/>
        <v>4.7380115273774654</v>
      </c>
      <c r="C457" s="30">
        <f t="shared" si="26"/>
        <v>1.9628487491560914E-2</v>
      </c>
      <c r="D457" s="30">
        <f t="shared" ref="D457:D520" si="28">C457*9.8067</f>
        <v>0.19249068828349039</v>
      </c>
      <c r="E457" s="30">
        <f t="shared" ref="E457:E520" si="29">((B457^2)/(4*PI()^2))*D457</f>
        <v>0.10945666577470876</v>
      </c>
    </row>
    <row r="458" spans="2:5" ht="13.9" customHeight="1" x14ac:dyDescent="0.25">
      <c r="B458" s="29">
        <f t="shared" si="27"/>
        <v>4.7480115273774652</v>
      </c>
      <c r="C458" s="30">
        <f t="shared" si="26"/>
        <v>1.9587147053825284E-2</v>
      </c>
      <c r="D458" s="30">
        <f t="shared" si="28"/>
        <v>0.19208527501274839</v>
      </c>
      <c r="E458" s="30">
        <f t="shared" si="29"/>
        <v>0.10968768392471166</v>
      </c>
    </row>
    <row r="459" spans="2:5" ht="13.9" customHeight="1" x14ac:dyDescent="0.25">
      <c r="B459" s="29">
        <f t="shared" si="27"/>
        <v>4.758011527377465</v>
      </c>
      <c r="C459" s="30">
        <f t="shared" si="26"/>
        <v>1.9545980388000449E-2</v>
      </c>
      <c r="D459" s="30">
        <f t="shared" si="28"/>
        <v>0.19168156587100399</v>
      </c>
      <c r="E459" s="30">
        <f t="shared" si="29"/>
        <v>0.10991870207471452</v>
      </c>
    </row>
    <row r="460" spans="2:5" ht="13.9" customHeight="1" x14ac:dyDescent="0.25">
      <c r="B460" s="29">
        <f t="shared" si="27"/>
        <v>4.7680115273774648</v>
      </c>
      <c r="C460" s="30">
        <f t="shared" si="26"/>
        <v>1.9504986400725528E-2</v>
      </c>
      <c r="D460" s="30">
        <f t="shared" si="28"/>
        <v>0.19127955013599501</v>
      </c>
      <c r="E460" s="30">
        <f t="shared" si="29"/>
        <v>0.11014972022471742</v>
      </c>
    </row>
    <row r="461" spans="2:5" ht="13.9" customHeight="1" x14ac:dyDescent="0.25">
      <c r="B461" s="29">
        <f t="shared" si="27"/>
        <v>4.7780115273774646</v>
      </c>
      <c r="C461" s="30">
        <f t="shared" ref="C461:C524" si="30">IF(B461&lt;6,$C$5/B461,6*$C$5/B461^2)</f>
        <v>1.9464164007792894E-2</v>
      </c>
      <c r="D461" s="30">
        <f t="shared" si="28"/>
        <v>0.19087921717522255</v>
      </c>
      <c r="E461" s="30">
        <f t="shared" si="29"/>
        <v>0.11038073837472027</v>
      </c>
    </row>
    <row r="462" spans="2:5" ht="13.9" customHeight="1" x14ac:dyDescent="0.25">
      <c r="B462" s="29">
        <f t="shared" ref="B462:B525" si="31">B461+0.01</f>
        <v>4.7880115273774644</v>
      </c>
      <c r="C462" s="30">
        <f t="shared" si="30"/>
        <v>1.942351213405262E-2</v>
      </c>
      <c r="D462" s="30">
        <f t="shared" si="28"/>
        <v>0.19048055644501383</v>
      </c>
      <c r="E462" s="30">
        <f t="shared" si="29"/>
        <v>0.11061175652472319</v>
      </c>
    </row>
    <row r="463" spans="2:5" ht="13.9" customHeight="1" x14ac:dyDescent="0.25">
      <c r="B463" s="29">
        <f t="shared" si="31"/>
        <v>4.7980115273774642</v>
      </c>
      <c r="C463" s="30">
        <f t="shared" si="30"/>
        <v>1.9383029713318067E-2</v>
      </c>
      <c r="D463" s="30">
        <f t="shared" si="28"/>
        <v>0.19008355748959627</v>
      </c>
      <c r="E463" s="30">
        <f t="shared" si="29"/>
        <v>0.11084277467472606</v>
      </c>
    </row>
    <row r="464" spans="2:5" ht="13.9" customHeight="1" x14ac:dyDescent="0.25">
      <c r="B464" s="29">
        <f t="shared" si="31"/>
        <v>4.808011527377464</v>
      </c>
      <c r="C464" s="30">
        <f t="shared" si="30"/>
        <v>1.9342715688272689E-2</v>
      </c>
      <c r="D464" s="30">
        <f t="shared" si="28"/>
        <v>0.18968820994018376</v>
      </c>
      <c r="E464" s="30">
        <f t="shared" si="29"/>
        <v>0.11107379282472894</v>
      </c>
    </row>
    <row r="465" spans="2:5" ht="13.9" customHeight="1" x14ac:dyDescent="0.25">
      <c r="B465" s="29">
        <f t="shared" si="31"/>
        <v>4.8180115273774637</v>
      </c>
      <c r="C465" s="30">
        <f t="shared" si="30"/>
        <v>1.9302569010377957E-2</v>
      </c>
      <c r="D465" s="30">
        <f t="shared" si="28"/>
        <v>0.18929450351407351</v>
      </c>
      <c r="E465" s="30">
        <f t="shared" si="29"/>
        <v>0.11130481097473183</v>
      </c>
    </row>
    <row r="466" spans="2:5" ht="13.9" customHeight="1" x14ac:dyDescent="0.25">
      <c r="B466" s="29">
        <f t="shared" si="31"/>
        <v>4.8280115273774635</v>
      </c>
      <c r="C466" s="30">
        <f t="shared" si="30"/>
        <v>1.9262588639782481E-2</v>
      </c>
      <c r="D466" s="30">
        <f t="shared" si="28"/>
        <v>0.18890242801375484</v>
      </c>
      <c r="E466" s="30">
        <f t="shared" si="29"/>
        <v>0.1115358291247347</v>
      </c>
    </row>
    <row r="467" spans="2:5" ht="13.9" customHeight="1" x14ac:dyDescent="0.25">
      <c r="B467" s="29">
        <f t="shared" si="31"/>
        <v>4.8380115273774633</v>
      </c>
      <c r="C467" s="30">
        <f t="shared" si="30"/>
        <v>1.9222773545232216E-2</v>
      </c>
      <c r="D467" s="30">
        <f t="shared" si="28"/>
        <v>0.18851197332602876</v>
      </c>
      <c r="E467" s="30">
        <f t="shared" si="29"/>
        <v>0.11176684727473758</v>
      </c>
    </row>
    <row r="468" spans="2:5" ht="13.9" customHeight="1" x14ac:dyDescent="0.25">
      <c r="B468" s="29">
        <f t="shared" si="31"/>
        <v>4.8480115273774631</v>
      </c>
      <c r="C468" s="30">
        <f t="shared" si="30"/>
        <v>1.9183122703981779E-2</v>
      </c>
      <c r="D468" s="30">
        <f t="shared" si="28"/>
        <v>0.1881231294211381</v>
      </c>
      <c r="E468" s="30">
        <f t="shared" si="29"/>
        <v>0.11199786542474045</v>
      </c>
    </row>
    <row r="469" spans="2:5" ht="13.9" customHeight="1" x14ac:dyDescent="0.25">
      <c r="B469" s="29">
        <f t="shared" si="31"/>
        <v>4.8580115273774629</v>
      </c>
      <c r="C469" s="30">
        <f t="shared" si="30"/>
        <v>1.9143635101706909E-2</v>
      </c>
      <c r="D469" s="30">
        <f t="shared" si="28"/>
        <v>0.18773588635190913</v>
      </c>
      <c r="E469" s="30">
        <f t="shared" si="29"/>
        <v>0.11222888357474334</v>
      </c>
    </row>
    <row r="470" spans="2:5" ht="13.9" customHeight="1" x14ac:dyDescent="0.25">
      <c r="B470" s="29">
        <f t="shared" si="31"/>
        <v>4.8680115273774627</v>
      </c>
      <c r="C470" s="30">
        <f t="shared" si="30"/>
        <v>1.9104309732417942E-2</v>
      </c>
      <c r="D470" s="30">
        <f t="shared" si="28"/>
        <v>0.18735023425290301</v>
      </c>
      <c r="E470" s="30">
        <f t="shared" si="29"/>
        <v>0.11245990172474622</v>
      </c>
    </row>
    <row r="471" spans="2:5" ht="13.9" customHeight="1" x14ac:dyDescent="0.25">
      <c r="B471" s="29">
        <f t="shared" si="31"/>
        <v>4.8780115273774625</v>
      </c>
      <c r="C471" s="30">
        <f t="shared" si="30"/>
        <v>1.9065145598374397E-2</v>
      </c>
      <c r="D471" s="30">
        <f t="shared" si="28"/>
        <v>0.18696616333957819</v>
      </c>
      <c r="E471" s="30">
        <f t="shared" si="29"/>
        <v>0.11269091987474912</v>
      </c>
    </row>
    <row r="472" spans="2:5" ht="13.9" customHeight="1" x14ac:dyDescent="0.25">
      <c r="B472" s="29">
        <f t="shared" si="31"/>
        <v>4.8880115273774623</v>
      </c>
      <c r="C472" s="30">
        <f t="shared" si="30"/>
        <v>1.9026141710000586E-2</v>
      </c>
      <c r="D472" s="30">
        <f t="shared" si="28"/>
        <v>0.18658366390746273</v>
      </c>
      <c r="E472" s="30">
        <f t="shared" si="29"/>
        <v>0.11292193802475199</v>
      </c>
    </row>
    <row r="473" spans="2:5" ht="13.9" customHeight="1" x14ac:dyDescent="0.25">
      <c r="B473" s="29">
        <f t="shared" si="31"/>
        <v>4.898011527377462</v>
      </c>
      <c r="C473" s="30">
        <f t="shared" si="30"/>
        <v>1.8987297085802268E-2</v>
      </c>
      <c r="D473" s="30">
        <f t="shared" si="28"/>
        <v>0.18620272633133708</v>
      </c>
      <c r="E473" s="30">
        <f t="shared" si="29"/>
        <v>0.11315295617475486</v>
      </c>
    </row>
    <row r="474" spans="2:5" ht="13.9" customHeight="1" x14ac:dyDescent="0.25">
      <c r="B474" s="29">
        <f t="shared" si="31"/>
        <v>4.9080115273774618</v>
      </c>
      <c r="C474" s="30">
        <f t="shared" si="30"/>
        <v>1.8948610752284326E-2</v>
      </c>
      <c r="D474" s="30">
        <f t="shared" si="28"/>
        <v>0.18582334106442669</v>
      </c>
      <c r="E474" s="30">
        <f t="shared" si="29"/>
        <v>0.11338397432475772</v>
      </c>
    </row>
    <row r="475" spans="2:5" ht="13.9" customHeight="1" x14ac:dyDescent="0.25">
      <c r="B475" s="29">
        <f t="shared" si="31"/>
        <v>4.9180115273774616</v>
      </c>
      <c r="C475" s="30">
        <f t="shared" si="30"/>
        <v>1.891008174386944E-2</v>
      </c>
      <c r="D475" s="30">
        <f t="shared" si="28"/>
        <v>0.18544549863760443</v>
      </c>
      <c r="E475" s="30">
        <f t="shared" si="29"/>
        <v>0.11361499247476062</v>
      </c>
    </row>
    <row r="476" spans="2:5" ht="13.9" customHeight="1" x14ac:dyDescent="0.25">
      <c r="B476" s="29">
        <f t="shared" si="31"/>
        <v>4.9280115273774614</v>
      </c>
      <c r="C476" s="30">
        <f t="shared" si="30"/>
        <v>1.8871709102817741E-2</v>
      </c>
      <c r="D476" s="30">
        <f t="shared" si="28"/>
        <v>0.18506918965860272</v>
      </c>
      <c r="E476" s="30">
        <f t="shared" si="29"/>
        <v>0.1138460106247635</v>
      </c>
    </row>
    <row r="477" spans="2:5" ht="13.9" customHeight="1" x14ac:dyDescent="0.25">
      <c r="B477" s="29">
        <f t="shared" si="31"/>
        <v>4.9380115273774612</v>
      </c>
      <c r="C477" s="30">
        <f t="shared" si="30"/>
        <v>1.8833491879147467E-2</v>
      </c>
      <c r="D477" s="30">
        <f t="shared" si="28"/>
        <v>0.18469440481123545</v>
      </c>
      <c r="E477" s="30">
        <f t="shared" si="29"/>
        <v>0.11407702877476637</v>
      </c>
    </row>
    <row r="478" spans="2:5" ht="13.9" customHeight="1" x14ac:dyDescent="0.25">
      <c r="B478" s="29">
        <f t="shared" si="31"/>
        <v>4.948011527377461</v>
      </c>
      <c r="C478" s="30">
        <f t="shared" si="30"/>
        <v>1.8795429130556561E-2</v>
      </c>
      <c r="D478" s="30">
        <f t="shared" si="28"/>
        <v>0.184321134854629</v>
      </c>
      <c r="E478" s="30">
        <f t="shared" si="29"/>
        <v>0.11430804692476924</v>
      </c>
    </row>
    <row r="479" spans="2:5" ht="13.9" customHeight="1" x14ac:dyDescent="0.25">
      <c r="B479" s="29">
        <f t="shared" si="31"/>
        <v>4.9580115273774608</v>
      </c>
      <c r="C479" s="30">
        <f t="shared" si="30"/>
        <v>1.8757519922345225E-2</v>
      </c>
      <c r="D479" s="30">
        <f t="shared" si="28"/>
        <v>0.18394937062246292</v>
      </c>
      <c r="E479" s="30">
        <f t="shared" si="29"/>
        <v>0.11453906507477214</v>
      </c>
    </row>
    <row r="480" spans="2:5" ht="13.9" customHeight="1" x14ac:dyDescent="0.25">
      <c r="B480" s="29">
        <f t="shared" si="31"/>
        <v>4.9680115273774605</v>
      </c>
      <c r="C480" s="30">
        <f t="shared" si="30"/>
        <v>1.8719763327339402E-2</v>
      </c>
      <c r="D480" s="30">
        <f t="shared" si="28"/>
        <v>0.1835791030222193</v>
      </c>
      <c r="E480" s="30">
        <f t="shared" si="29"/>
        <v>0.11477008322477503</v>
      </c>
    </row>
    <row r="481" spans="2:5" ht="13.9" customHeight="1" x14ac:dyDescent="0.25">
      <c r="B481" s="29">
        <f t="shared" si="31"/>
        <v>4.9780115273774603</v>
      </c>
      <c r="C481" s="30">
        <f t="shared" si="30"/>
        <v>1.8682158425815196E-2</v>
      </c>
      <c r="D481" s="30">
        <f t="shared" si="28"/>
        <v>0.18321032303444187</v>
      </c>
      <c r="E481" s="30">
        <f t="shared" si="29"/>
        <v>0.1150011013747779</v>
      </c>
    </row>
    <row r="482" spans="2:5" ht="13.9" customHeight="1" x14ac:dyDescent="0.25">
      <c r="B482" s="29">
        <f t="shared" si="31"/>
        <v>4.9880115273774601</v>
      </c>
      <c r="C482" s="30">
        <f t="shared" si="30"/>
        <v>1.8644704305424184E-2</v>
      </c>
      <c r="D482" s="30">
        <f t="shared" si="28"/>
        <v>0.18284302171200334</v>
      </c>
      <c r="E482" s="30">
        <f t="shared" si="29"/>
        <v>0.11523211952478078</v>
      </c>
    </row>
    <row r="483" spans="2:5" ht="13.9" customHeight="1" x14ac:dyDescent="0.25">
      <c r="B483" s="29">
        <f t="shared" si="31"/>
        <v>4.9980115273774599</v>
      </c>
      <c r="C483" s="30">
        <f t="shared" si="30"/>
        <v>1.8607400061119637E-2</v>
      </c>
      <c r="D483" s="30">
        <f t="shared" si="28"/>
        <v>0.18247719017938194</v>
      </c>
      <c r="E483" s="30">
        <f t="shared" si="29"/>
        <v>0.11546313767478368</v>
      </c>
    </row>
    <row r="484" spans="2:5" ht="13.9" customHeight="1" x14ac:dyDescent="0.25">
      <c r="B484" s="29">
        <f t="shared" si="31"/>
        <v>5.0080115273774597</v>
      </c>
      <c r="C484" s="30">
        <f t="shared" si="30"/>
        <v>1.8570244795083613E-2</v>
      </c>
      <c r="D484" s="30">
        <f t="shared" si="28"/>
        <v>0.18211281963194645</v>
      </c>
      <c r="E484" s="30">
        <f t="shared" si="29"/>
        <v>0.11569415582478657</v>
      </c>
    </row>
    <row r="485" spans="2:5" ht="13.9" customHeight="1" x14ac:dyDescent="0.25">
      <c r="B485" s="29">
        <f t="shared" si="31"/>
        <v>5.0180115273774595</v>
      </c>
      <c r="C485" s="30">
        <f t="shared" si="30"/>
        <v>1.8533237616654933E-2</v>
      </c>
      <c r="D485" s="30">
        <f t="shared" si="28"/>
        <v>0.18174990133524993</v>
      </c>
      <c r="E485" s="30">
        <f t="shared" si="29"/>
        <v>0.11592517397478945</v>
      </c>
    </row>
    <row r="486" spans="2:5" ht="13.9" customHeight="1" x14ac:dyDescent="0.25">
      <c r="B486" s="29">
        <f t="shared" si="31"/>
        <v>5.0280115273774593</v>
      </c>
      <c r="C486" s="30">
        <f t="shared" si="30"/>
        <v>1.8496377642258012E-2</v>
      </c>
      <c r="D486" s="30">
        <f t="shared" si="28"/>
        <v>0.18138842662433163</v>
      </c>
      <c r="E486" s="30">
        <f t="shared" si="29"/>
        <v>0.11615619212479231</v>
      </c>
    </row>
    <row r="487" spans="2:5" ht="13.9" customHeight="1" x14ac:dyDescent="0.25">
      <c r="B487" s="29">
        <f t="shared" si="31"/>
        <v>5.0380115273774591</v>
      </c>
      <c r="C487" s="30">
        <f t="shared" si="30"/>
        <v>1.8459663995332543E-2</v>
      </c>
      <c r="D487" s="30">
        <f t="shared" si="28"/>
        <v>0.18102838690302764</v>
      </c>
      <c r="E487" s="30">
        <f t="shared" si="29"/>
        <v>0.11638721027479518</v>
      </c>
    </row>
    <row r="488" spans="2:5" ht="13.9" customHeight="1" x14ac:dyDescent="0.25">
      <c r="B488" s="29">
        <f t="shared" si="31"/>
        <v>5.0480115273774588</v>
      </c>
      <c r="C488" s="30">
        <f t="shared" si="30"/>
        <v>1.8423095806264E-2</v>
      </c>
      <c r="D488" s="30">
        <f t="shared" si="28"/>
        <v>0.18066977364328915</v>
      </c>
      <c r="E488" s="30">
        <f t="shared" si="29"/>
        <v>0.11661822842479806</v>
      </c>
    </row>
    <row r="489" spans="2:5" ht="13.9" customHeight="1" x14ac:dyDescent="0.25">
      <c r="B489" s="29">
        <f t="shared" si="31"/>
        <v>5.0580115273774586</v>
      </c>
      <c r="C489" s="30">
        <f t="shared" si="30"/>
        <v>1.8386672212314985E-2</v>
      </c>
      <c r="D489" s="30">
        <f t="shared" si="28"/>
        <v>0.18031257838450934</v>
      </c>
      <c r="E489" s="30">
        <f t="shared" si="29"/>
        <v>0.11684924657480093</v>
      </c>
    </row>
    <row r="490" spans="2:5" ht="13.9" customHeight="1" x14ac:dyDescent="0.25">
      <c r="B490" s="29">
        <f t="shared" si="31"/>
        <v>5.0680115273774584</v>
      </c>
      <c r="C490" s="30">
        <f t="shared" si="30"/>
        <v>1.8350392357557376E-2</v>
      </c>
      <c r="D490" s="30">
        <f t="shared" si="28"/>
        <v>0.17995679273285792</v>
      </c>
      <c r="E490" s="30">
        <f t="shared" si="29"/>
        <v>0.11708026472480383</v>
      </c>
    </row>
    <row r="491" spans="2:5" ht="13.9" customHeight="1" x14ac:dyDescent="0.25">
      <c r="B491" s="29">
        <f t="shared" si="31"/>
        <v>5.0780115273774582</v>
      </c>
      <c r="C491" s="30">
        <f t="shared" si="30"/>
        <v>1.8314255392805283E-2</v>
      </c>
      <c r="D491" s="30">
        <f t="shared" si="28"/>
        <v>0.17960240836062355</v>
      </c>
      <c r="E491" s="30">
        <f t="shared" si="29"/>
        <v>0.11731128287480673</v>
      </c>
    </row>
    <row r="492" spans="2:5" ht="13.9" customHeight="1" x14ac:dyDescent="0.25">
      <c r="B492" s="29">
        <f t="shared" si="31"/>
        <v>5.088011527377458</v>
      </c>
      <c r="C492" s="30">
        <f t="shared" si="30"/>
        <v>1.8278260475548785E-2</v>
      </c>
      <c r="D492" s="30">
        <f t="shared" si="28"/>
        <v>0.17924941700556427</v>
      </c>
      <c r="E492" s="30">
        <f t="shared" si="29"/>
        <v>0.1175423010248096</v>
      </c>
    </row>
    <row r="493" spans="2:5" ht="13.9" customHeight="1" x14ac:dyDescent="0.25">
      <c r="B493" s="29">
        <f t="shared" si="31"/>
        <v>5.0980115273774578</v>
      </c>
      <c r="C493" s="30">
        <f t="shared" si="30"/>
        <v>1.8242406769888472E-2</v>
      </c>
      <c r="D493" s="30">
        <f t="shared" si="28"/>
        <v>0.17889781047026526</v>
      </c>
      <c r="E493" s="30">
        <f t="shared" si="29"/>
        <v>0.11777331917481249</v>
      </c>
    </row>
    <row r="494" spans="2:5" ht="13.9" customHeight="1" x14ac:dyDescent="0.25">
      <c r="B494" s="29">
        <f t="shared" si="31"/>
        <v>5.1080115273774576</v>
      </c>
      <c r="C494" s="30">
        <f t="shared" si="30"/>
        <v>1.8206693446470711E-2</v>
      </c>
      <c r="D494" s="30">
        <f t="shared" si="28"/>
        <v>0.1785475806215043</v>
      </c>
      <c r="E494" s="30">
        <f t="shared" si="29"/>
        <v>0.11800433732481536</v>
      </c>
    </row>
    <row r="495" spans="2:5" ht="13.9" customHeight="1" x14ac:dyDescent="0.25">
      <c r="B495" s="29">
        <f t="shared" si="31"/>
        <v>5.1180115273774573</v>
      </c>
      <c r="C495" s="30">
        <f t="shared" si="30"/>
        <v>1.8171119682423721E-2</v>
      </c>
      <c r="D495" s="30">
        <f t="shared" si="28"/>
        <v>0.1781987193896247</v>
      </c>
      <c r="E495" s="30">
        <f t="shared" si="29"/>
        <v>0.11823535547481824</v>
      </c>
    </row>
    <row r="496" spans="2:5" ht="13.9" customHeight="1" x14ac:dyDescent="0.25">
      <c r="B496" s="29">
        <f t="shared" si="31"/>
        <v>5.1280115273774571</v>
      </c>
      <c r="C496" s="30">
        <f t="shared" si="30"/>
        <v>1.8135684661294359E-2</v>
      </c>
      <c r="D496" s="30">
        <f t="shared" si="28"/>
        <v>0.17785121876791538</v>
      </c>
      <c r="E496" s="30">
        <f t="shared" si="29"/>
        <v>0.11846637362482114</v>
      </c>
    </row>
    <row r="497" spans="2:5" ht="13.9" customHeight="1" x14ac:dyDescent="0.25">
      <c r="B497" s="29">
        <f t="shared" si="31"/>
        <v>5.1380115273774569</v>
      </c>
      <c r="C497" s="30">
        <f t="shared" si="30"/>
        <v>1.8100387572985661E-2</v>
      </c>
      <c r="D497" s="30">
        <f t="shared" si="28"/>
        <v>0.17750507081199848</v>
      </c>
      <c r="E497" s="30">
        <f t="shared" si="29"/>
        <v>0.11869739177482401</v>
      </c>
    </row>
    <row r="498" spans="2:5" ht="13.9" customHeight="1" x14ac:dyDescent="0.25">
      <c r="B498" s="29">
        <f t="shared" si="31"/>
        <v>5.1480115273774567</v>
      </c>
      <c r="C498" s="30">
        <f t="shared" si="30"/>
        <v>1.8065227613695115E-2</v>
      </c>
      <c r="D498" s="30">
        <f t="shared" si="28"/>
        <v>0.17716026763922388</v>
      </c>
      <c r="E498" s="30">
        <f t="shared" si="29"/>
        <v>0.11892840992482688</v>
      </c>
    </row>
    <row r="499" spans="2:5" ht="13.9" customHeight="1" x14ac:dyDescent="0.25">
      <c r="B499" s="29">
        <f t="shared" si="31"/>
        <v>5.1580115273774565</v>
      </c>
      <c r="C499" s="30">
        <f t="shared" si="30"/>
        <v>1.8030203985853633E-2</v>
      </c>
      <c r="D499" s="30">
        <f t="shared" si="28"/>
        <v>0.1768168014280708</v>
      </c>
      <c r="E499" s="30">
        <f t="shared" si="29"/>
        <v>0.11915942807482977</v>
      </c>
    </row>
    <row r="500" spans="2:5" ht="13.9" customHeight="1" x14ac:dyDescent="0.25">
      <c r="B500" s="29">
        <f t="shared" si="31"/>
        <v>5.1680115273774563</v>
      </c>
      <c r="C500" s="30">
        <f t="shared" si="30"/>
        <v>1.7995315898065248E-2</v>
      </c>
      <c r="D500" s="30">
        <f t="shared" si="28"/>
        <v>0.17647466441755646</v>
      </c>
      <c r="E500" s="30">
        <f t="shared" si="29"/>
        <v>0.11939044622483265</v>
      </c>
    </row>
    <row r="501" spans="2:5" ht="13.9" customHeight="1" x14ac:dyDescent="0.25">
      <c r="B501" s="29">
        <f t="shared" si="31"/>
        <v>5.1780115273774561</v>
      </c>
      <c r="C501" s="30">
        <f t="shared" si="30"/>
        <v>1.7960562565047508E-2</v>
      </c>
      <c r="D501" s="30">
        <f t="shared" si="28"/>
        <v>0.17613384890665137</v>
      </c>
      <c r="E501" s="30">
        <f t="shared" si="29"/>
        <v>0.11962146437483552</v>
      </c>
    </row>
    <row r="502" spans="2:5" ht="13.9" customHeight="1" x14ac:dyDescent="0.25">
      <c r="B502" s="29">
        <f t="shared" si="31"/>
        <v>5.1880115273774559</v>
      </c>
      <c r="C502" s="30">
        <f t="shared" si="30"/>
        <v>1.7925943207572549E-2</v>
      </c>
      <c r="D502" s="30">
        <f t="shared" si="28"/>
        <v>0.17579434725370172</v>
      </c>
      <c r="E502" s="30">
        <f t="shared" si="29"/>
        <v>0.11985248252483841</v>
      </c>
    </row>
    <row r="503" spans="2:5" ht="13.9" customHeight="1" x14ac:dyDescent="0.25">
      <c r="B503" s="29">
        <f t="shared" si="31"/>
        <v>5.1980115273774556</v>
      </c>
      <c r="C503" s="30">
        <f t="shared" si="30"/>
        <v>1.7891457052408872E-2</v>
      </c>
      <c r="D503" s="30">
        <f t="shared" si="28"/>
        <v>0.17545615187585809</v>
      </c>
      <c r="E503" s="30">
        <f t="shared" si="29"/>
        <v>0.12008350067484129</v>
      </c>
    </row>
    <row r="504" spans="2:5" ht="13.9" customHeight="1" x14ac:dyDescent="0.25">
      <c r="B504" s="29">
        <f t="shared" si="31"/>
        <v>5.2080115273774554</v>
      </c>
      <c r="C504" s="30">
        <f t="shared" si="30"/>
        <v>1.7857103332263754E-2</v>
      </c>
      <c r="D504" s="30">
        <f t="shared" si="28"/>
        <v>0.17511925524851094</v>
      </c>
      <c r="E504" s="30">
        <f t="shared" si="29"/>
        <v>0.12031451882484417</v>
      </c>
    </row>
    <row r="505" spans="2:5" ht="13.9" customHeight="1" x14ac:dyDescent="0.25">
      <c r="B505" s="29">
        <f t="shared" si="31"/>
        <v>5.2180115273774552</v>
      </c>
      <c r="C505" s="30">
        <f t="shared" si="30"/>
        <v>1.7822881285726348E-2</v>
      </c>
      <c r="D505" s="30">
        <f t="shared" si="28"/>
        <v>0.17478364990473255</v>
      </c>
      <c r="E505" s="30">
        <f t="shared" si="29"/>
        <v>0.12054553697484705</v>
      </c>
    </row>
    <row r="506" spans="2:5" ht="13.9" customHeight="1" x14ac:dyDescent="0.25">
      <c r="B506" s="29">
        <f t="shared" si="31"/>
        <v>5.228011527377455</v>
      </c>
      <c r="C506" s="30">
        <f t="shared" si="30"/>
        <v>1.7788790157211437E-2</v>
      </c>
      <c r="D506" s="30">
        <f t="shared" si="28"/>
        <v>0.17444932843472538</v>
      </c>
      <c r="E506" s="30">
        <f t="shared" si="29"/>
        <v>0.12077655512484992</v>
      </c>
    </row>
    <row r="507" spans="2:5" ht="13.9" customHeight="1" x14ac:dyDescent="0.25">
      <c r="B507" s="29">
        <f t="shared" si="31"/>
        <v>5.2380115273774548</v>
      </c>
      <c r="C507" s="30">
        <f t="shared" si="30"/>
        <v>1.7754829196903819E-2</v>
      </c>
      <c r="D507" s="30">
        <f t="shared" si="28"/>
        <v>0.17411628348527666</v>
      </c>
      <c r="E507" s="30">
        <f t="shared" si="29"/>
        <v>0.1210075732748528</v>
      </c>
    </row>
    <row r="508" spans="2:5" ht="13.9" customHeight="1" x14ac:dyDescent="0.25">
      <c r="B508" s="29">
        <f t="shared" si="31"/>
        <v>5.2480115273774546</v>
      </c>
      <c r="C508" s="30">
        <f t="shared" si="30"/>
        <v>1.7720997660703335E-2</v>
      </c>
      <c r="D508" s="30">
        <f t="shared" si="28"/>
        <v>0.17378450775921939</v>
      </c>
      <c r="E508" s="30">
        <f t="shared" si="29"/>
        <v>0.12123859142485569</v>
      </c>
    </row>
    <row r="509" spans="2:5" ht="13.9" customHeight="1" x14ac:dyDescent="0.25">
      <c r="B509" s="29">
        <f t="shared" si="31"/>
        <v>5.2580115273774544</v>
      </c>
      <c r="C509" s="30">
        <f t="shared" si="30"/>
        <v>1.7687294810170517E-2</v>
      </c>
      <c r="D509" s="30">
        <f t="shared" si="28"/>
        <v>0.17345399401489919</v>
      </c>
      <c r="E509" s="30">
        <f t="shared" si="29"/>
        <v>0.12146960957485856</v>
      </c>
    </row>
    <row r="510" spans="2:5" ht="13.9" customHeight="1" x14ac:dyDescent="0.25">
      <c r="B510" s="29">
        <f t="shared" si="31"/>
        <v>5.2680115273774542</v>
      </c>
      <c r="C510" s="30">
        <f t="shared" si="30"/>
        <v>1.7653719912472873E-2</v>
      </c>
      <c r="D510" s="30">
        <f t="shared" si="28"/>
        <v>0.17312473506564771</v>
      </c>
      <c r="E510" s="30">
        <f t="shared" si="29"/>
        <v>0.12170062772486144</v>
      </c>
    </row>
    <row r="511" spans="2:5" ht="13.9" customHeight="1" x14ac:dyDescent="0.25">
      <c r="B511" s="29">
        <f t="shared" si="31"/>
        <v>5.2780115273774539</v>
      </c>
      <c r="C511" s="30">
        <f t="shared" si="30"/>
        <v>1.7620272240331764E-2</v>
      </c>
      <c r="D511" s="30">
        <f t="shared" si="28"/>
        <v>0.1727967237792615</v>
      </c>
      <c r="E511" s="30">
        <f t="shared" si="29"/>
        <v>0.12193164587486433</v>
      </c>
    </row>
    <row r="512" spans="2:5" ht="13.9" customHeight="1" x14ac:dyDescent="0.25">
      <c r="B512" s="29">
        <f t="shared" si="31"/>
        <v>5.2880115273774537</v>
      </c>
      <c r="C512" s="30">
        <f t="shared" si="30"/>
        <v>1.7586951071969881E-2</v>
      </c>
      <c r="D512" s="30">
        <f t="shared" si="28"/>
        <v>0.17246995307748703</v>
      </c>
      <c r="E512" s="30">
        <f t="shared" si="29"/>
        <v>0.12216266402486722</v>
      </c>
    </row>
    <row r="513" spans="2:5" ht="13.9" customHeight="1" x14ac:dyDescent="0.25">
      <c r="B513" s="29">
        <f t="shared" si="31"/>
        <v>5.2980115273774535</v>
      </c>
      <c r="C513" s="30">
        <f t="shared" si="30"/>
        <v>1.7553755691059346E-2</v>
      </c>
      <c r="D513" s="30">
        <f t="shared" si="28"/>
        <v>0.17214441593551166</v>
      </c>
      <c r="E513" s="30">
        <f t="shared" si="29"/>
        <v>0.12239368217487007</v>
      </c>
    </row>
    <row r="514" spans="2:5" ht="13.9" customHeight="1" x14ac:dyDescent="0.25">
      <c r="B514" s="29">
        <f t="shared" si="31"/>
        <v>5.3080115273774533</v>
      </c>
      <c r="C514" s="30">
        <f t="shared" si="30"/>
        <v>1.7520685386670367E-2</v>
      </c>
      <c r="D514" s="30">
        <f t="shared" si="28"/>
        <v>0.17182010538146028</v>
      </c>
      <c r="E514" s="30">
        <f t="shared" si="29"/>
        <v>0.12262470032487297</v>
      </c>
    </row>
    <row r="515" spans="2:5" ht="13.9" customHeight="1" x14ac:dyDescent="0.25">
      <c r="B515" s="29">
        <f t="shared" si="31"/>
        <v>5.3180115273774531</v>
      </c>
      <c r="C515" s="30">
        <f t="shared" si="30"/>
        <v>1.7487739453220481E-2</v>
      </c>
      <c r="D515" s="30">
        <f t="shared" si="28"/>
        <v>0.17149701449589727</v>
      </c>
      <c r="E515" s="30">
        <f t="shared" si="29"/>
        <v>0.12285571847487584</v>
      </c>
    </row>
    <row r="516" spans="2:5" ht="13.9" customHeight="1" x14ac:dyDescent="0.25">
      <c r="B516" s="29">
        <f t="shared" si="31"/>
        <v>5.3280115273774529</v>
      </c>
      <c r="C516" s="30">
        <f t="shared" si="30"/>
        <v>1.7454917190424388E-2</v>
      </c>
      <c r="D516" s="30">
        <f t="shared" si="28"/>
        <v>0.17117513641133483</v>
      </c>
      <c r="E516" s="30">
        <f t="shared" si="29"/>
        <v>0.12308673662487872</v>
      </c>
    </row>
    <row r="517" spans="2:5" ht="13.9" customHeight="1" x14ac:dyDescent="0.25">
      <c r="B517" s="29">
        <f t="shared" si="31"/>
        <v>5.3380115273774527</v>
      </c>
      <c r="C517" s="30">
        <f t="shared" si="30"/>
        <v>1.7422217903244316E-2</v>
      </c>
      <c r="D517" s="30">
        <f t="shared" si="28"/>
        <v>0.17085446431174603</v>
      </c>
      <c r="E517" s="30">
        <f t="shared" si="29"/>
        <v>0.12331775477488162</v>
      </c>
    </row>
    <row r="518" spans="2:5" ht="13.9" customHeight="1" x14ac:dyDescent="0.25">
      <c r="B518" s="29">
        <f t="shared" si="31"/>
        <v>5.3480115273774524</v>
      </c>
      <c r="C518" s="30">
        <f t="shared" si="30"/>
        <v>1.7389640901840982E-2</v>
      </c>
      <c r="D518" s="30">
        <f t="shared" si="28"/>
        <v>0.17053499143208395</v>
      </c>
      <c r="E518" s="30">
        <f t="shared" si="29"/>
        <v>0.1235487729248845</v>
      </c>
    </row>
    <row r="519" spans="2:5" ht="13.9" customHeight="1" x14ac:dyDescent="0.25">
      <c r="B519" s="29">
        <f t="shared" si="31"/>
        <v>5.3580115273774522</v>
      </c>
      <c r="C519" s="30">
        <f t="shared" si="30"/>
        <v>1.7357185501525048E-2</v>
      </c>
      <c r="D519" s="30">
        <f t="shared" si="28"/>
        <v>0.17021671105780567</v>
      </c>
      <c r="E519" s="30">
        <f t="shared" si="29"/>
        <v>0.12377979107488736</v>
      </c>
    </row>
    <row r="520" spans="2:5" ht="13.9" customHeight="1" x14ac:dyDescent="0.25">
      <c r="B520" s="29">
        <f t="shared" si="31"/>
        <v>5.368011527377452</v>
      </c>
      <c r="C520" s="30">
        <f t="shared" si="30"/>
        <v>1.7324851022709194E-2</v>
      </c>
      <c r="D520" s="30">
        <f t="shared" si="28"/>
        <v>0.16989961652440225</v>
      </c>
      <c r="E520" s="30">
        <f t="shared" si="29"/>
        <v>0.12401080922489024</v>
      </c>
    </row>
    <row r="521" spans="2:5" ht="13.9" customHeight="1" x14ac:dyDescent="0.25">
      <c r="B521" s="29">
        <f t="shared" si="31"/>
        <v>5.3780115273774518</v>
      </c>
      <c r="C521" s="30">
        <f t="shared" si="30"/>
        <v>1.7292636790860651E-2</v>
      </c>
      <c r="D521" s="30">
        <f t="shared" ref="D521:D584" si="32">C521*9.8067</f>
        <v>0.16958370121693314</v>
      </c>
      <c r="E521" s="30">
        <f t="shared" ref="E521:E584" si="33">((B521^2)/(4*PI()^2))*D521</f>
        <v>0.12424182737489314</v>
      </c>
    </row>
    <row r="522" spans="2:5" ht="13.9" customHeight="1" x14ac:dyDescent="0.25">
      <c r="B522" s="29">
        <f t="shared" si="31"/>
        <v>5.3880115273774516</v>
      </c>
      <c r="C522" s="30">
        <f t="shared" si="30"/>
        <v>1.7260542136454299E-2</v>
      </c>
      <c r="D522" s="30">
        <f t="shared" si="32"/>
        <v>0.16926895856956636</v>
      </c>
      <c r="E522" s="30">
        <f t="shared" si="33"/>
        <v>0.124472845524896</v>
      </c>
    </row>
    <row r="523" spans="2:5" ht="13.9" customHeight="1" x14ac:dyDescent="0.25">
      <c r="B523" s="29">
        <f t="shared" si="31"/>
        <v>5.3980115273774514</v>
      </c>
      <c r="C523" s="30">
        <f t="shared" si="30"/>
        <v>1.7228566394926311E-2</v>
      </c>
      <c r="D523" s="30">
        <f t="shared" si="32"/>
        <v>0.16895538206512384</v>
      </c>
      <c r="E523" s="30">
        <f t="shared" si="33"/>
        <v>0.12470386367489888</v>
      </c>
    </row>
    <row r="524" spans="2:5" ht="13.9" customHeight="1" x14ac:dyDescent="0.25">
      <c r="B524" s="29">
        <f t="shared" si="31"/>
        <v>5.4080115273774512</v>
      </c>
      <c r="C524" s="30">
        <f t="shared" si="30"/>
        <v>1.7196708906628239E-2</v>
      </c>
      <c r="D524" s="30">
        <f t="shared" si="32"/>
        <v>0.16864296523463115</v>
      </c>
      <c r="E524" s="30">
        <f t="shared" si="33"/>
        <v>0.12493488182490178</v>
      </c>
    </row>
    <row r="525" spans="2:5" ht="13.9" customHeight="1" x14ac:dyDescent="0.25">
      <c r="B525" s="29">
        <f t="shared" si="31"/>
        <v>5.418011527377451</v>
      </c>
      <c r="C525" s="30">
        <f t="shared" ref="C525:C588" si="34">IF(B525&lt;6,$C$5/B525,6*$C$5/B525^2)</f>
        <v>1.7164969016781693E-2</v>
      </c>
      <c r="D525" s="30">
        <f t="shared" si="32"/>
        <v>0.168331701656873</v>
      </c>
      <c r="E525" s="30">
        <f t="shared" si="33"/>
        <v>0.12516589997490463</v>
      </c>
    </row>
    <row r="526" spans="2:5" ht="13.9" customHeight="1" x14ac:dyDescent="0.25">
      <c r="B526" s="29">
        <f t="shared" ref="B526:B589" si="35">B525+0.01</f>
        <v>5.4280115273774507</v>
      </c>
      <c r="C526" s="30">
        <f t="shared" si="34"/>
        <v>1.7133346075433455E-2</v>
      </c>
      <c r="D526" s="30">
        <f t="shared" si="32"/>
        <v>0.16802158495795325</v>
      </c>
      <c r="E526" s="30">
        <f t="shared" si="33"/>
        <v>0.12539691812490752</v>
      </c>
    </row>
    <row r="527" spans="2:5" ht="13.9" customHeight="1" x14ac:dyDescent="0.25">
      <c r="B527" s="29">
        <f t="shared" si="35"/>
        <v>5.4380115273774505</v>
      </c>
      <c r="C527" s="30">
        <f t="shared" si="34"/>
        <v>1.7101839437411125E-2</v>
      </c>
      <c r="D527" s="30">
        <f t="shared" si="32"/>
        <v>0.16771260881085967</v>
      </c>
      <c r="E527" s="30">
        <f t="shared" si="33"/>
        <v>0.1256279362749104</v>
      </c>
    </row>
    <row r="528" spans="2:5" ht="13.9" customHeight="1" x14ac:dyDescent="0.25">
      <c r="B528" s="29">
        <f t="shared" si="35"/>
        <v>5.4480115273774503</v>
      </c>
      <c r="C528" s="30">
        <f t="shared" si="34"/>
        <v>1.7070448462279245E-2</v>
      </c>
      <c r="D528" s="30">
        <f t="shared" si="32"/>
        <v>0.16740476693503387</v>
      </c>
      <c r="E528" s="30">
        <f t="shared" si="33"/>
        <v>0.12585895442491329</v>
      </c>
    </row>
    <row r="529" spans="2:5" ht="13.9" customHeight="1" x14ac:dyDescent="0.25">
      <c r="B529" s="29">
        <f t="shared" si="35"/>
        <v>5.4580115273774501</v>
      </c>
      <c r="C529" s="30">
        <f t="shared" si="34"/>
        <v>1.7039172514295892E-2</v>
      </c>
      <c r="D529" s="30">
        <f t="shared" si="32"/>
        <v>0.16709805309594553</v>
      </c>
      <c r="E529" s="30">
        <f t="shared" si="33"/>
        <v>0.12608997257491616</v>
      </c>
    </row>
    <row r="530" spans="2:5" ht="13.9" customHeight="1" x14ac:dyDescent="0.25">
      <c r="B530" s="29">
        <f t="shared" si="35"/>
        <v>5.4680115273774499</v>
      </c>
      <c r="C530" s="30">
        <f t="shared" si="34"/>
        <v>1.7008010962369782E-2</v>
      </c>
      <c r="D530" s="30">
        <f t="shared" si="32"/>
        <v>0.16679246110467172</v>
      </c>
      <c r="E530" s="30">
        <f t="shared" si="33"/>
        <v>0.12632099072491906</v>
      </c>
    </row>
    <row r="531" spans="2:5" ht="13.9" customHeight="1" x14ac:dyDescent="0.25">
      <c r="B531" s="29">
        <f t="shared" si="35"/>
        <v>5.4780115273774497</v>
      </c>
      <c r="C531" s="30">
        <f t="shared" si="34"/>
        <v>1.6976963180017794E-2</v>
      </c>
      <c r="D531" s="30">
        <f t="shared" si="32"/>
        <v>0.16648798481748048</v>
      </c>
      <c r="E531" s="30">
        <f t="shared" si="33"/>
        <v>0.12655200887492193</v>
      </c>
    </row>
    <row r="532" spans="2:5" ht="13.9" customHeight="1" x14ac:dyDescent="0.25">
      <c r="B532" s="29">
        <f t="shared" si="35"/>
        <v>5.4880115273774495</v>
      </c>
      <c r="C532" s="30">
        <f t="shared" si="34"/>
        <v>1.6946028545323011E-2</v>
      </c>
      <c r="D532" s="30">
        <f t="shared" si="32"/>
        <v>0.16618461813541915</v>
      </c>
      <c r="E532" s="30">
        <f t="shared" si="33"/>
        <v>0.1267830270249248</v>
      </c>
    </row>
    <row r="533" spans="2:5" ht="13.9" customHeight="1" x14ac:dyDescent="0.25">
      <c r="B533" s="29">
        <f t="shared" si="35"/>
        <v>5.4980115273774492</v>
      </c>
      <c r="C533" s="30">
        <f t="shared" si="34"/>
        <v>1.6915206440893185E-2</v>
      </c>
      <c r="D533" s="30">
        <f t="shared" si="32"/>
        <v>0.16588235500390719</v>
      </c>
      <c r="E533" s="30">
        <f t="shared" si="33"/>
        <v>0.1270140451749277</v>
      </c>
    </row>
    <row r="534" spans="2:5" ht="13.9" customHeight="1" x14ac:dyDescent="0.25">
      <c r="B534" s="29">
        <f t="shared" si="35"/>
        <v>5.508011527377449</v>
      </c>
      <c r="C534" s="30">
        <f t="shared" si="34"/>
        <v>1.6884496253819652E-2</v>
      </c>
      <c r="D534" s="30">
        <f t="shared" si="32"/>
        <v>0.16558118941233316</v>
      </c>
      <c r="E534" s="30">
        <f t="shared" si="33"/>
        <v>0.12724506332493057</v>
      </c>
    </row>
    <row r="535" spans="2:5" ht="13.9" customHeight="1" x14ac:dyDescent="0.25">
      <c r="B535" s="29">
        <f t="shared" si="35"/>
        <v>5.5180115273774488</v>
      </c>
      <c r="C535" s="30">
        <f t="shared" si="34"/>
        <v>1.685389737563673E-2</v>
      </c>
      <c r="D535" s="30">
        <f t="shared" si="32"/>
        <v>0.1652811153936567</v>
      </c>
      <c r="E535" s="30">
        <f t="shared" si="33"/>
        <v>0.12747608147493347</v>
      </c>
    </row>
    <row r="536" spans="2:5" ht="13.9" customHeight="1" x14ac:dyDescent="0.25">
      <c r="B536" s="29">
        <f t="shared" si="35"/>
        <v>5.5280115273774486</v>
      </c>
      <c r="C536" s="30">
        <f t="shared" si="34"/>
        <v>1.6823409202281505E-2</v>
      </c>
      <c r="D536" s="30">
        <f t="shared" si="32"/>
        <v>0.16498212702401402</v>
      </c>
      <c r="E536" s="30">
        <f t="shared" si="33"/>
        <v>0.12770709962493634</v>
      </c>
    </row>
    <row r="537" spans="2:5" ht="13.9" customHeight="1" x14ac:dyDescent="0.25">
      <c r="B537" s="29">
        <f t="shared" si="35"/>
        <v>5.5380115273774484</v>
      </c>
      <c r="C537" s="30">
        <f t="shared" si="34"/>
        <v>1.6793031134054101E-2</v>
      </c>
      <c r="D537" s="30">
        <f t="shared" si="32"/>
        <v>0.16468421842232833</v>
      </c>
      <c r="E537" s="30">
        <f t="shared" si="33"/>
        <v>0.12793811777493921</v>
      </c>
    </row>
    <row r="538" spans="2:5" ht="13.9" customHeight="1" x14ac:dyDescent="0.25">
      <c r="B538" s="29">
        <f t="shared" si="35"/>
        <v>5.5480115273774482</v>
      </c>
      <c r="C538" s="30">
        <f t="shared" si="34"/>
        <v>1.6762762575578356E-2</v>
      </c>
      <c r="D538" s="30">
        <f t="shared" si="32"/>
        <v>0.16438738374992426</v>
      </c>
      <c r="E538" s="30">
        <f t="shared" si="33"/>
        <v>0.12816913592494211</v>
      </c>
    </row>
    <row r="539" spans="2:5" ht="13.9" customHeight="1" x14ac:dyDescent="0.25">
      <c r="B539" s="29">
        <f t="shared" si="35"/>
        <v>5.558011527377448</v>
      </c>
      <c r="C539" s="30">
        <f t="shared" si="34"/>
        <v>1.6732602935762914E-2</v>
      </c>
      <c r="D539" s="30">
        <f t="shared" si="32"/>
        <v>0.16409161721014617</v>
      </c>
      <c r="E539" s="30">
        <f t="shared" si="33"/>
        <v>0.12840015407494501</v>
      </c>
    </row>
    <row r="540" spans="2:5" ht="13.9" customHeight="1" x14ac:dyDescent="0.25">
      <c r="B540" s="29">
        <f t="shared" si="35"/>
        <v>5.5680115273774478</v>
      </c>
      <c r="C540" s="30">
        <f t="shared" si="34"/>
        <v>1.6702551627762758E-2</v>
      </c>
      <c r="D540" s="30">
        <f t="shared" si="32"/>
        <v>0.16379691304798102</v>
      </c>
      <c r="E540" s="30">
        <f t="shared" si="33"/>
        <v>0.12863117222494785</v>
      </c>
    </row>
    <row r="541" spans="2:5" ht="13.9" customHeight="1" x14ac:dyDescent="0.25">
      <c r="B541" s="29">
        <f t="shared" si="35"/>
        <v>5.5780115273774475</v>
      </c>
      <c r="C541" s="30">
        <f t="shared" si="34"/>
        <v>1.6672608068941153E-2</v>
      </c>
      <c r="D541" s="30">
        <f t="shared" si="32"/>
        <v>0.16350326554968519</v>
      </c>
      <c r="E541" s="30">
        <f t="shared" si="33"/>
        <v>0.12886219037495072</v>
      </c>
    </row>
    <row r="542" spans="2:5" ht="13.9" customHeight="1" x14ac:dyDescent="0.25">
      <c r="B542" s="29">
        <f t="shared" si="35"/>
        <v>5.5880115273774473</v>
      </c>
      <c r="C542" s="30">
        <f t="shared" si="34"/>
        <v>1.6642771680831971E-2</v>
      </c>
      <c r="D542" s="30">
        <f t="shared" si="32"/>
        <v>0.16321066904241488</v>
      </c>
      <c r="E542" s="30">
        <f t="shared" si="33"/>
        <v>0.1290932085249536</v>
      </c>
    </row>
    <row r="543" spans="2:5" ht="13.9" customHeight="1" x14ac:dyDescent="0.25">
      <c r="B543" s="29">
        <f t="shared" si="35"/>
        <v>5.5980115273774471</v>
      </c>
      <c r="C543" s="30">
        <f t="shared" si="34"/>
        <v>1.6613041889102464E-2</v>
      </c>
      <c r="D543" s="30">
        <f t="shared" si="32"/>
        <v>0.16291911789386113</v>
      </c>
      <c r="E543" s="30">
        <f t="shared" si="33"/>
        <v>0.12932422667495649</v>
      </c>
    </row>
    <row r="544" spans="2:5" ht="13.9" customHeight="1" x14ac:dyDescent="0.25">
      <c r="B544" s="29">
        <f t="shared" si="35"/>
        <v>5.6080115273774469</v>
      </c>
      <c r="C544" s="30">
        <f t="shared" si="34"/>
        <v>1.6583418123516394E-2</v>
      </c>
      <c r="D544" s="30">
        <f t="shared" si="32"/>
        <v>0.16262860651188821</v>
      </c>
      <c r="E544" s="30">
        <f t="shared" si="33"/>
        <v>0.12955524482495939</v>
      </c>
    </row>
    <row r="545" spans="2:5" ht="13.9" customHeight="1" x14ac:dyDescent="0.25">
      <c r="B545" s="29">
        <f t="shared" si="35"/>
        <v>5.6180115273774467</v>
      </c>
      <c r="C545" s="30">
        <f t="shared" si="34"/>
        <v>1.6553899817897576E-2</v>
      </c>
      <c r="D545" s="30">
        <f t="shared" si="32"/>
        <v>0.16233912934417616</v>
      </c>
      <c r="E545" s="30">
        <f t="shared" si="33"/>
        <v>0.12978626297496226</v>
      </c>
    </row>
    <row r="546" spans="2:5" ht="13.9" customHeight="1" x14ac:dyDescent="0.25">
      <c r="B546" s="29">
        <f t="shared" si="35"/>
        <v>5.6280115273774465</v>
      </c>
      <c r="C546" s="30">
        <f t="shared" si="34"/>
        <v>1.6524486410093825E-2</v>
      </c>
      <c r="D546" s="30">
        <f t="shared" si="32"/>
        <v>0.16205068087786711</v>
      </c>
      <c r="E546" s="30">
        <f t="shared" si="33"/>
        <v>0.13001728112496516</v>
      </c>
    </row>
    <row r="547" spans="2:5" ht="13.9" customHeight="1" x14ac:dyDescent="0.25">
      <c r="B547" s="29">
        <f t="shared" si="35"/>
        <v>5.6380115273774463</v>
      </c>
      <c r="C547" s="30">
        <f t="shared" si="34"/>
        <v>1.6495177341941246E-2</v>
      </c>
      <c r="D547" s="30">
        <f t="shared" si="32"/>
        <v>0.1617632556392152</v>
      </c>
      <c r="E547" s="30">
        <f t="shared" si="33"/>
        <v>0.13024829927496803</v>
      </c>
    </row>
    <row r="548" spans="2:5" ht="13.9" customHeight="1" x14ac:dyDescent="0.25">
      <c r="B548" s="29">
        <f t="shared" si="35"/>
        <v>5.6480115273774461</v>
      </c>
      <c r="C548" s="30">
        <f t="shared" si="34"/>
        <v>1.646597205922894E-2</v>
      </c>
      <c r="D548" s="30">
        <f t="shared" si="32"/>
        <v>0.16147684819324043</v>
      </c>
      <c r="E548" s="30">
        <f t="shared" si="33"/>
        <v>0.1304793174249709</v>
      </c>
    </row>
    <row r="549" spans="2:5" ht="13.9" customHeight="1" x14ac:dyDescent="0.25">
      <c r="B549" s="29">
        <f t="shared" si="35"/>
        <v>5.6580115273774458</v>
      </c>
      <c r="C549" s="30">
        <f t="shared" si="34"/>
        <v>1.6436870011664075E-2</v>
      </c>
      <c r="D549" s="30">
        <f t="shared" si="32"/>
        <v>0.16119145314338607</v>
      </c>
      <c r="E549" s="30">
        <f t="shared" si="33"/>
        <v>0.13071033557497375</v>
      </c>
    </row>
    <row r="550" spans="2:5" ht="13.9" customHeight="1" x14ac:dyDescent="0.25">
      <c r="B550" s="29">
        <f t="shared" si="35"/>
        <v>5.6680115273774456</v>
      </c>
      <c r="C550" s="30">
        <f t="shared" si="34"/>
        <v>1.6407870652837317E-2</v>
      </c>
      <c r="D550" s="30">
        <f t="shared" si="32"/>
        <v>0.16090706513117969</v>
      </c>
      <c r="E550" s="30">
        <f t="shared" si="33"/>
        <v>0.13094135372497664</v>
      </c>
    </row>
    <row r="551" spans="2:5" ht="13.9" customHeight="1" x14ac:dyDescent="0.25">
      <c r="B551" s="29">
        <f t="shared" si="35"/>
        <v>5.6780115273774454</v>
      </c>
      <c r="C551" s="30">
        <f t="shared" si="34"/>
        <v>1.637897344018862E-2</v>
      </c>
      <c r="D551" s="30">
        <f t="shared" si="32"/>
        <v>0.16062367883589773</v>
      </c>
      <c r="E551" s="30">
        <f t="shared" si="33"/>
        <v>0.13117237187497954</v>
      </c>
    </row>
    <row r="552" spans="2:5" ht="13.9" customHeight="1" x14ac:dyDescent="0.25">
      <c r="B552" s="29">
        <f t="shared" si="35"/>
        <v>5.6880115273774452</v>
      </c>
      <c r="C552" s="30">
        <f t="shared" si="34"/>
        <v>1.6350177834973417E-2</v>
      </c>
      <c r="D552" s="30">
        <f t="shared" si="32"/>
        <v>0.1603412889742338</v>
      </c>
      <c r="E552" s="30">
        <f t="shared" si="33"/>
        <v>0.13140339002498241</v>
      </c>
    </row>
    <row r="553" spans="2:5" ht="13.9" customHeight="1" x14ac:dyDescent="0.25">
      <c r="B553" s="29">
        <f t="shared" si="35"/>
        <v>5.698011527377445</v>
      </c>
      <c r="C553" s="30">
        <f t="shared" si="34"/>
        <v>1.6321483302229118E-2</v>
      </c>
      <c r="D553" s="30">
        <f t="shared" si="32"/>
        <v>0.16005989029997028</v>
      </c>
      <c r="E553" s="30">
        <f t="shared" si="33"/>
        <v>0.13163440817498531</v>
      </c>
    </row>
    <row r="554" spans="2:5" ht="13.9" customHeight="1" x14ac:dyDescent="0.25">
      <c r="B554" s="29">
        <f t="shared" si="35"/>
        <v>5.7080115273774448</v>
      </c>
      <c r="C554" s="30">
        <f t="shared" si="34"/>
        <v>1.6292889310741986E-2</v>
      </c>
      <c r="D554" s="30">
        <f t="shared" si="32"/>
        <v>0.15977947760365341</v>
      </c>
      <c r="E554" s="30">
        <f t="shared" si="33"/>
        <v>0.13186542632498818</v>
      </c>
    </row>
    <row r="555" spans="2:5" ht="13.9" customHeight="1" x14ac:dyDescent="0.25">
      <c r="B555" s="29">
        <f t="shared" si="35"/>
        <v>5.7180115273774446</v>
      </c>
      <c r="C555" s="30">
        <f t="shared" si="34"/>
        <v>1.6264395333014357E-2</v>
      </c>
      <c r="D555" s="30">
        <f t="shared" si="32"/>
        <v>0.15950004571227189</v>
      </c>
      <c r="E555" s="30">
        <f t="shared" si="33"/>
        <v>0.13209644447499108</v>
      </c>
    </row>
    <row r="556" spans="2:5" ht="13.9" customHeight="1" x14ac:dyDescent="0.25">
      <c r="B556" s="29">
        <f t="shared" si="35"/>
        <v>5.7280115273774443</v>
      </c>
      <c r="C556" s="30">
        <f t="shared" si="34"/>
        <v>1.6236000845232204E-2</v>
      </c>
      <c r="D556" s="30">
        <f t="shared" si="32"/>
        <v>0.15922158948893864</v>
      </c>
      <c r="E556" s="30">
        <f t="shared" si="33"/>
        <v>0.13232746262499392</v>
      </c>
    </row>
    <row r="557" spans="2:5" ht="13.9" customHeight="1" x14ac:dyDescent="0.25">
      <c r="B557" s="29">
        <f t="shared" si="35"/>
        <v>5.7380115273774441</v>
      </c>
      <c r="C557" s="30">
        <f t="shared" si="34"/>
        <v>1.6207705327233042E-2</v>
      </c>
      <c r="D557" s="30">
        <f t="shared" si="32"/>
        <v>0.15894410383257626</v>
      </c>
      <c r="E557" s="30">
        <f t="shared" si="33"/>
        <v>0.13255848077499682</v>
      </c>
    </row>
    <row r="558" spans="2:5" ht="13.9" customHeight="1" x14ac:dyDescent="0.25">
      <c r="B558" s="29">
        <f t="shared" si="35"/>
        <v>5.7480115273774439</v>
      </c>
      <c r="C558" s="30">
        <f t="shared" si="34"/>
        <v>1.6179508262474149E-2</v>
      </c>
      <c r="D558" s="30">
        <f t="shared" si="32"/>
        <v>0.15866758367760522</v>
      </c>
      <c r="E558" s="30">
        <f t="shared" si="33"/>
        <v>0.13278949892499972</v>
      </c>
    </row>
    <row r="559" spans="2:5" ht="13.9" customHeight="1" x14ac:dyDescent="0.25">
      <c r="B559" s="29">
        <f t="shared" si="35"/>
        <v>5.7580115273774437</v>
      </c>
      <c r="C559" s="30">
        <f t="shared" si="34"/>
        <v>1.6151409138001151E-2</v>
      </c>
      <c r="D559" s="30">
        <f t="shared" si="32"/>
        <v>0.15839202399363586</v>
      </c>
      <c r="E559" s="30">
        <f t="shared" si="33"/>
        <v>0.13302051707500259</v>
      </c>
    </row>
    <row r="560" spans="2:5" ht="13.9" customHeight="1" x14ac:dyDescent="0.25">
      <c r="B560" s="29">
        <f t="shared" si="35"/>
        <v>5.7680115273774435</v>
      </c>
      <c r="C560" s="30">
        <f t="shared" si="34"/>
        <v>1.6123407444416905E-2</v>
      </c>
      <c r="D560" s="30">
        <f t="shared" si="32"/>
        <v>0.15811741978516325</v>
      </c>
      <c r="E560" s="30">
        <f t="shared" si="33"/>
        <v>0.13325153522500546</v>
      </c>
    </row>
    <row r="561" spans="2:5" ht="13.9" customHeight="1" x14ac:dyDescent="0.25">
      <c r="B561" s="29">
        <f t="shared" si="35"/>
        <v>5.7780115273774433</v>
      </c>
      <c r="C561" s="30">
        <f t="shared" si="34"/>
        <v>1.6095502675850731E-2</v>
      </c>
      <c r="D561" s="30">
        <f t="shared" si="32"/>
        <v>0.15784376609126535</v>
      </c>
      <c r="E561" s="30">
        <f t="shared" si="33"/>
        <v>0.13348255337500836</v>
      </c>
    </row>
    <row r="562" spans="2:5" ht="13.9" customHeight="1" x14ac:dyDescent="0.25">
      <c r="B562" s="29">
        <f t="shared" si="35"/>
        <v>5.7880115273774431</v>
      </c>
      <c r="C562" s="30">
        <f t="shared" si="34"/>
        <v>1.6067694329927922E-2</v>
      </c>
      <c r="D562" s="30">
        <f t="shared" si="32"/>
        <v>0.15757105798530413</v>
      </c>
      <c r="E562" s="30">
        <f t="shared" si="33"/>
        <v>0.13371357152501123</v>
      </c>
    </row>
    <row r="563" spans="2:5" ht="13.9" customHeight="1" x14ac:dyDescent="0.25">
      <c r="B563" s="29">
        <f t="shared" si="35"/>
        <v>5.7980115273774429</v>
      </c>
      <c r="C563" s="30">
        <f t="shared" si="34"/>
        <v>1.6039981907739628E-2</v>
      </c>
      <c r="D563" s="30">
        <f t="shared" si="32"/>
        <v>0.15729929057463021</v>
      </c>
      <c r="E563" s="30">
        <f t="shared" si="33"/>
        <v>0.13394458967501413</v>
      </c>
    </row>
    <row r="564" spans="2:5" ht="13.9" customHeight="1" x14ac:dyDescent="0.25">
      <c r="B564" s="29">
        <f t="shared" si="35"/>
        <v>5.8080115273774426</v>
      </c>
      <c r="C564" s="30">
        <f t="shared" si="34"/>
        <v>1.6012364913812999E-2</v>
      </c>
      <c r="D564" s="30">
        <f t="shared" si="32"/>
        <v>0.15702845900028992</v>
      </c>
      <c r="E564" s="30">
        <f t="shared" si="33"/>
        <v>0.13417560782501703</v>
      </c>
    </row>
    <row r="565" spans="2:5" ht="13.9" customHeight="1" x14ac:dyDescent="0.25">
      <c r="B565" s="29">
        <f t="shared" si="35"/>
        <v>5.8180115273774424</v>
      </c>
      <c r="C565" s="30">
        <f t="shared" si="34"/>
        <v>1.5984842856081649E-2</v>
      </c>
      <c r="D565" s="30">
        <f t="shared" si="32"/>
        <v>0.15675855843673589</v>
      </c>
      <c r="E565" s="30">
        <f t="shared" si="33"/>
        <v>0.13440662597501987</v>
      </c>
    </row>
    <row r="566" spans="2:5" ht="13.9" customHeight="1" x14ac:dyDescent="0.25">
      <c r="B566" s="29">
        <f t="shared" si="35"/>
        <v>5.8280115273774422</v>
      </c>
      <c r="C566" s="30">
        <f t="shared" si="34"/>
        <v>1.5957415245856463E-2</v>
      </c>
      <c r="D566" s="30">
        <f t="shared" si="32"/>
        <v>0.15648958409154057</v>
      </c>
      <c r="E566" s="30">
        <f t="shared" si="33"/>
        <v>0.13463764412502277</v>
      </c>
    </row>
    <row r="567" spans="2:5" ht="13.9" customHeight="1" x14ac:dyDescent="0.25">
      <c r="B567" s="29">
        <f t="shared" si="35"/>
        <v>5.838011527377442</v>
      </c>
      <c r="C567" s="30">
        <f t="shared" si="34"/>
        <v>1.5930081597796634E-2</v>
      </c>
      <c r="D567" s="30">
        <f t="shared" si="32"/>
        <v>0.15622153120511223</v>
      </c>
      <c r="E567" s="30">
        <f t="shared" si="33"/>
        <v>0.13486866227502564</v>
      </c>
    </row>
    <row r="568" spans="2:5" ht="13.9" customHeight="1" x14ac:dyDescent="0.25">
      <c r="B568" s="29">
        <f t="shared" si="35"/>
        <v>5.8480115273774418</v>
      </c>
      <c r="C568" s="30">
        <f t="shared" si="34"/>
        <v>1.5902841429881059E-2</v>
      </c>
      <c r="D568" s="30">
        <f t="shared" si="32"/>
        <v>0.15595439505041456</v>
      </c>
      <c r="E568" s="30">
        <f t="shared" si="33"/>
        <v>0.13509968042502848</v>
      </c>
    </row>
    <row r="569" spans="2:5" ht="13.9" customHeight="1" x14ac:dyDescent="0.25">
      <c r="B569" s="29">
        <f t="shared" si="35"/>
        <v>5.8580115273774416</v>
      </c>
      <c r="C569" s="30">
        <f t="shared" si="34"/>
        <v>1.5875694263380008E-2</v>
      </c>
      <c r="D569" s="30">
        <f t="shared" si="32"/>
        <v>0.15568817093268872</v>
      </c>
      <c r="E569" s="30">
        <f t="shared" si="33"/>
        <v>0.13533069857503138</v>
      </c>
    </row>
    <row r="570" spans="2:5" ht="13.9" customHeight="1" x14ac:dyDescent="0.25">
      <c r="B570" s="29">
        <f t="shared" si="35"/>
        <v>5.8680115273774414</v>
      </c>
      <c r="C570" s="30">
        <f t="shared" si="34"/>
        <v>1.5848639622827052E-2</v>
      </c>
      <c r="D570" s="30">
        <f t="shared" si="32"/>
        <v>0.15542285418917803</v>
      </c>
      <c r="E570" s="30">
        <f t="shared" si="33"/>
        <v>0.13556171672503428</v>
      </c>
    </row>
    <row r="571" spans="2:5" ht="13.9" customHeight="1" x14ac:dyDescent="0.25">
      <c r="B571" s="29">
        <f t="shared" si="35"/>
        <v>5.8780115273774411</v>
      </c>
      <c r="C571" s="30">
        <f t="shared" si="34"/>
        <v>1.5821677035991334E-2</v>
      </c>
      <c r="D571" s="30">
        <f t="shared" si="32"/>
        <v>0.15515844018885622</v>
      </c>
      <c r="E571" s="30">
        <f t="shared" si="33"/>
        <v>0.13579273487503718</v>
      </c>
    </row>
    <row r="572" spans="2:5" ht="13.9" customHeight="1" x14ac:dyDescent="0.25">
      <c r="B572" s="29">
        <f t="shared" si="35"/>
        <v>5.8880115273774409</v>
      </c>
      <c r="C572" s="30">
        <f t="shared" si="34"/>
        <v>1.5794806033850074E-2</v>
      </c>
      <c r="D572" s="30">
        <f t="shared" si="32"/>
        <v>0.15489492433215751</v>
      </c>
      <c r="E572" s="30">
        <f t="shared" si="33"/>
        <v>0.13602375302504005</v>
      </c>
    </row>
    <row r="573" spans="2:5" ht="13.9" customHeight="1" x14ac:dyDescent="0.25">
      <c r="B573" s="29">
        <f t="shared" si="35"/>
        <v>5.8980115273774407</v>
      </c>
      <c r="C573" s="30">
        <f t="shared" si="34"/>
        <v>1.5768026150561387E-2</v>
      </c>
      <c r="D573" s="30">
        <f t="shared" si="32"/>
        <v>0.15463230205071035</v>
      </c>
      <c r="E573" s="30">
        <f t="shared" si="33"/>
        <v>0.13625477117504292</v>
      </c>
    </row>
    <row r="574" spans="2:5" ht="13.9" customHeight="1" x14ac:dyDescent="0.25">
      <c r="B574" s="29">
        <f t="shared" si="35"/>
        <v>5.9080115273774405</v>
      </c>
      <c r="C574" s="30">
        <f t="shared" si="34"/>
        <v>1.5741336923437349E-2</v>
      </c>
      <c r="D574" s="30">
        <f t="shared" si="32"/>
        <v>0.15437056880707303</v>
      </c>
      <c r="E574" s="30">
        <f t="shared" si="33"/>
        <v>0.13648578932504576</v>
      </c>
    </row>
    <row r="575" spans="2:5" ht="13.9" customHeight="1" x14ac:dyDescent="0.25">
      <c r="B575" s="29">
        <f t="shared" si="35"/>
        <v>5.9180115273774403</v>
      </c>
      <c r="C575" s="30">
        <f t="shared" si="34"/>
        <v>1.5714737892917361E-2</v>
      </c>
      <c r="D575" s="30">
        <f t="shared" si="32"/>
        <v>0.15410972009447269</v>
      </c>
      <c r="E575" s="30">
        <f t="shared" si="33"/>
        <v>0.13671680747504872</v>
      </c>
    </row>
    <row r="576" spans="2:5" ht="13.9" customHeight="1" x14ac:dyDescent="0.25">
      <c r="B576" s="29">
        <f t="shared" si="35"/>
        <v>5.9280115273774401</v>
      </c>
      <c r="C576" s="30">
        <f t="shared" si="34"/>
        <v>1.5688228602541758E-2</v>
      </c>
      <c r="D576" s="30">
        <f t="shared" si="32"/>
        <v>0.15384975143654625</v>
      </c>
      <c r="E576" s="30">
        <f t="shared" si="33"/>
        <v>0.13694782562505156</v>
      </c>
    </row>
    <row r="577" spans="2:5" ht="13.9" customHeight="1" x14ac:dyDescent="0.25">
      <c r="B577" s="29">
        <f t="shared" si="35"/>
        <v>5.9380115273774399</v>
      </c>
      <c r="C577" s="30">
        <f t="shared" si="34"/>
        <v>1.5661808598925714E-2</v>
      </c>
      <c r="D577" s="30">
        <f t="shared" si="32"/>
        <v>0.1535906583870848</v>
      </c>
      <c r="E577" s="30">
        <f t="shared" si="33"/>
        <v>0.13717884377505446</v>
      </c>
    </row>
    <row r="578" spans="2:5" ht="13.9" customHeight="1" x14ac:dyDescent="0.25">
      <c r="B578" s="29">
        <f t="shared" si="35"/>
        <v>5.9480115273774397</v>
      </c>
      <c r="C578" s="30">
        <f t="shared" si="34"/>
        <v>1.5635477431733387E-2</v>
      </c>
      <c r="D578" s="30">
        <f t="shared" si="32"/>
        <v>0.15333243652977979</v>
      </c>
      <c r="E578" s="30">
        <f t="shared" si="33"/>
        <v>0.1374098619250573</v>
      </c>
    </row>
    <row r="579" spans="2:5" ht="13.9" customHeight="1" x14ac:dyDescent="0.25">
      <c r="B579" s="29">
        <f t="shared" si="35"/>
        <v>5.9580115273774394</v>
      </c>
      <c r="C579" s="30">
        <f t="shared" si="34"/>
        <v>1.5609234653652333E-2</v>
      </c>
      <c r="D579" s="30">
        <f t="shared" si="32"/>
        <v>0.15307508147797233</v>
      </c>
      <c r="E579" s="30">
        <f t="shared" si="33"/>
        <v>0.1376408800750602</v>
      </c>
    </row>
    <row r="580" spans="2:5" ht="13.9" customHeight="1" x14ac:dyDescent="0.25">
      <c r="B580" s="29">
        <f t="shared" si="35"/>
        <v>5.9680115273774392</v>
      </c>
      <c r="C580" s="30">
        <f t="shared" si="34"/>
        <v>1.5583079820368171E-2</v>
      </c>
      <c r="D580" s="30">
        <f t="shared" si="32"/>
        <v>0.15281858887440453</v>
      </c>
      <c r="E580" s="30">
        <f t="shared" si="33"/>
        <v>0.13787189822506307</v>
      </c>
    </row>
    <row r="581" spans="2:5" ht="13.9" customHeight="1" x14ac:dyDescent="0.25">
      <c r="B581" s="29">
        <f t="shared" si="35"/>
        <v>5.978011527377439</v>
      </c>
      <c r="C581" s="30">
        <f t="shared" si="34"/>
        <v>1.555701249053951E-2</v>
      </c>
      <c r="D581" s="30">
        <f t="shared" si="32"/>
        <v>0.15256295439097381</v>
      </c>
      <c r="E581" s="30">
        <f t="shared" si="33"/>
        <v>0.13810291637506594</v>
      </c>
    </row>
    <row r="582" spans="2:5" ht="13.9" customHeight="1" x14ac:dyDescent="0.25">
      <c r="B582" s="29">
        <f t="shared" si="35"/>
        <v>5.9880115273774388</v>
      </c>
      <c r="C582" s="30">
        <f t="shared" si="34"/>
        <v>1.5531032225773133E-2</v>
      </c>
      <c r="D582" s="30">
        <f t="shared" si="32"/>
        <v>0.15230817372848937</v>
      </c>
      <c r="E582" s="30">
        <f t="shared" si="33"/>
        <v>0.13833393452506884</v>
      </c>
    </row>
    <row r="583" spans="2:5" ht="13.9" customHeight="1" x14ac:dyDescent="0.25">
      <c r="B583" s="29">
        <f t="shared" si="35"/>
        <v>5.9980115273774386</v>
      </c>
      <c r="C583" s="30">
        <f t="shared" si="34"/>
        <v>1.5505138590599404E-2</v>
      </c>
      <c r="D583" s="30">
        <f t="shared" si="32"/>
        <v>0.15205424261643116</v>
      </c>
      <c r="E583" s="30">
        <f t="shared" si="33"/>
        <v>0.13856495267507174</v>
      </c>
    </row>
    <row r="584" spans="2:5" ht="13.9" customHeight="1" x14ac:dyDescent="0.25">
      <c r="B584" s="29">
        <f t="shared" si="35"/>
        <v>6.0080115273774384</v>
      </c>
      <c r="C584" s="30">
        <f t="shared" si="34"/>
        <v>1.5458689866267467E-2</v>
      </c>
      <c r="D584" s="30">
        <f t="shared" si="32"/>
        <v>0.15159873391152515</v>
      </c>
      <c r="E584" s="30">
        <f t="shared" si="33"/>
        <v>0.13861089000173127</v>
      </c>
    </row>
    <row r="585" spans="2:5" ht="13.9" customHeight="1" x14ac:dyDescent="0.25">
      <c r="B585" s="29">
        <f t="shared" si="35"/>
        <v>6.0180115273774382</v>
      </c>
      <c r="C585" s="30">
        <f t="shared" si="34"/>
        <v>1.5407357807130732E-2</v>
      </c>
      <c r="D585" s="30">
        <f t="shared" ref="D585:D648" si="36">C585*9.8067</f>
        <v>0.15109533580718895</v>
      </c>
      <c r="E585" s="30">
        <f t="shared" ref="E585:E648" si="37">((B585^2)/(4*PI()^2))*D585</f>
        <v>0.13861089000173132</v>
      </c>
    </row>
    <row r="586" spans="2:5" ht="13.9" customHeight="1" x14ac:dyDescent="0.25">
      <c r="B586" s="29">
        <f t="shared" si="35"/>
        <v>6.028011527377438</v>
      </c>
      <c r="C586" s="30">
        <f t="shared" si="34"/>
        <v>1.5356281003657482E-2</v>
      </c>
      <c r="D586" s="30">
        <f t="shared" si="36"/>
        <v>0.15059444091856783</v>
      </c>
      <c r="E586" s="30">
        <f t="shared" si="37"/>
        <v>0.1386108900017313</v>
      </c>
    </row>
    <row r="587" spans="2:5" ht="13.9" customHeight="1" x14ac:dyDescent="0.25">
      <c r="B587" s="29">
        <f t="shared" si="35"/>
        <v>6.0380115273774377</v>
      </c>
      <c r="C587" s="30">
        <f t="shared" si="34"/>
        <v>1.5305457766257228E-2</v>
      </c>
      <c r="D587" s="30">
        <f t="shared" si="36"/>
        <v>0.15009603267635474</v>
      </c>
      <c r="E587" s="30">
        <f t="shared" si="37"/>
        <v>0.13861089000173127</v>
      </c>
    </row>
    <row r="588" spans="2:5" ht="13.9" customHeight="1" x14ac:dyDescent="0.25">
      <c r="B588" s="29">
        <f t="shared" si="35"/>
        <v>6.0480115273774375</v>
      </c>
      <c r="C588" s="30">
        <f t="shared" si="34"/>
        <v>1.5254886419296057E-2</v>
      </c>
      <c r="D588" s="30">
        <f t="shared" si="36"/>
        <v>0.14960009464811064</v>
      </c>
      <c r="E588" s="30">
        <f t="shared" si="37"/>
        <v>0.1386108900017313</v>
      </c>
    </row>
    <row r="589" spans="2:5" ht="13.9" customHeight="1" x14ac:dyDescent="0.25">
      <c r="B589" s="29">
        <f t="shared" si="35"/>
        <v>6.0580115273774373</v>
      </c>
      <c r="C589" s="30">
        <f t="shared" ref="C589:C652" si="38">IF(B589&lt;6,$C$5/B589,6*$C$5/B589^2)</f>
        <v>1.5204565300958546E-2</v>
      </c>
      <c r="D589" s="30">
        <f t="shared" si="36"/>
        <v>0.14910661053691016</v>
      </c>
      <c r="E589" s="30">
        <f t="shared" si="37"/>
        <v>0.13861089000173127</v>
      </c>
    </row>
    <row r="590" spans="2:5" ht="13.9" customHeight="1" x14ac:dyDescent="0.25">
      <c r="B590" s="29">
        <f t="shared" ref="B590:B653" si="39">B589+0.01</f>
        <v>6.0680115273774371</v>
      </c>
      <c r="C590" s="30">
        <f t="shared" si="38"/>
        <v>1.5154492763111213E-2</v>
      </c>
      <c r="D590" s="30">
        <f t="shared" si="36"/>
        <v>0.14861556418000271</v>
      </c>
      <c r="E590" s="30">
        <f t="shared" si="37"/>
        <v>0.13861089000173127</v>
      </c>
    </row>
    <row r="591" spans="2:5" ht="13.9" customHeight="1" x14ac:dyDescent="0.25">
      <c r="B591" s="29">
        <f t="shared" si="39"/>
        <v>6.0780115273774369</v>
      </c>
      <c r="C591" s="30">
        <f t="shared" si="38"/>
        <v>1.5104667171167584E-2</v>
      </c>
      <c r="D591" s="30">
        <f t="shared" si="36"/>
        <v>0.14812693954748912</v>
      </c>
      <c r="E591" s="30">
        <f t="shared" si="37"/>
        <v>0.13861089000173127</v>
      </c>
    </row>
    <row r="592" spans="2:5" ht="13.9" customHeight="1" x14ac:dyDescent="0.25">
      <c r="B592" s="29">
        <f t="shared" si="39"/>
        <v>6.0880115273774367</v>
      </c>
      <c r="C592" s="30">
        <f t="shared" si="38"/>
        <v>1.5055086903954787E-2</v>
      </c>
      <c r="D592" s="30">
        <f t="shared" si="36"/>
        <v>0.14764072074101339</v>
      </c>
      <c r="E592" s="30">
        <f t="shared" si="37"/>
        <v>0.1386108900017313</v>
      </c>
    </row>
    <row r="593" spans="2:5" ht="13.9" customHeight="1" x14ac:dyDescent="0.25">
      <c r="B593" s="29">
        <f t="shared" si="39"/>
        <v>6.0980115273774365</v>
      </c>
      <c r="C593" s="30">
        <f t="shared" si="38"/>
        <v>1.5005750353581666E-2</v>
      </c>
      <c r="D593" s="30">
        <f t="shared" si="36"/>
        <v>0.14715689199246931</v>
      </c>
      <c r="E593" s="30">
        <f t="shared" si="37"/>
        <v>0.1386108900017313</v>
      </c>
    </row>
    <row r="594" spans="2:5" ht="13.9" customHeight="1" x14ac:dyDescent="0.25">
      <c r="B594" s="29">
        <f t="shared" si="39"/>
        <v>6.1080115273774362</v>
      </c>
      <c r="C594" s="30">
        <f t="shared" si="38"/>
        <v>1.4956655925308439E-2</v>
      </c>
      <c r="D594" s="30">
        <f t="shared" si="36"/>
        <v>0.14667543766272226</v>
      </c>
      <c r="E594" s="30">
        <f t="shared" si="37"/>
        <v>0.1386108900017313</v>
      </c>
    </row>
    <row r="595" spans="2:5" ht="13.9" customHeight="1" x14ac:dyDescent="0.25">
      <c r="B595" s="29">
        <f t="shared" si="39"/>
        <v>6.118011527377436</v>
      </c>
      <c r="C595" s="30">
        <f t="shared" si="38"/>
        <v>1.4907802037417817E-2</v>
      </c>
      <c r="D595" s="30">
        <f t="shared" si="36"/>
        <v>0.14619634224034528</v>
      </c>
      <c r="E595" s="30">
        <f t="shared" si="37"/>
        <v>0.1386108900017313</v>
      </c>
    </row>
    <row r="596" spans="2:5" ht="13.9" customHeight="1" x14ac:dyDescent="0.25">
      <c r="B596" s="29">
        <f t="shared" si="39"/>
        <v>6.1280115273774358</v>
      </c>
      <c r="C596" s="30">
        <f t="shared" si="38"/>
        <v>1.4859187121087605E-2</v>
      </c>
      <c r="D596" s="30">
        <f t="shared" si="36"/>
        <v>0.1457195903403698</v>
      </c>
      <c r="E596" s="30">
        <f t="shared" si="37"/>
        <v>0.1386108900017313</v>
      </c>
    </row>
    <row r="597" spans="2:5" ht="13.9" customHeight="1" x14ac:dyDescent="0.25">
      <c r="B597" s="29">
        <f t="shared" si="39"/>
        <v>6.1380115273774356</v>
      </c>
      <c r="C597" s="30">
        <f t="shared" si="38"/>
        <v>1.4810809620264752E-2</v>
      </c>
      <c r="D597" s="30">
        <f t="shared" si="36"/>
        <v>0.14524516670305032</v>
      </c>
      <c r="E597" s="30">
        <f t="shared" si="37"/>
        <v>0.1386108900017313</v>
      </c>
    </row>
    <row r="598" spans="2:5" ht="13.9" customHeight="1" x14ac:dyDescent="0.25">
      <c r="B598" s="29">
        <f t="shared" si="39"/>
        <v>6.1480115273774354</v>
      </c>
      <c r="C598" s="30">
        <f t="shared" si="38"/>
        <v>1.4762667991540834E-2</v>
      </c>
      <c r="D598" s="30">
        <f t="shared" si="36"/>
        <v>0.1447730561926435</v>
      </c>
      <c r="E598" s="30">
        <f t="shared" si="37"/>
        <v>0.1386108900017313</v>
      </c>
    </row>
    <row r="599" spans="2:5" ht="13.9" customHeight="1" x14ac:dyDescent="0.25">
      <c r="B599" s="29">
        <f t="shared" si="39"/>
        <v>6.1580115273774352</v>
      </c>
      <c r="C599" s="30">
        <f t="shared" si="38"/>
        <v>1.4714760704028962E-2</v>
      </c>
      <c r="D599" s="30">
        <f t="shared" si="36"/>
        <v>0.14430324379620083</v>
      </c>
      <c r="E599" s="30">
        <f t="shared" si="37"/>
        <v>0.1386108900017313</v>
      </c>
    </row>
    <row r="600" spans="2:5" ht="13.9" customHeight="1" x14ac:dyDescent="0.25">
      <c r="B600" s="29">
        <f t="shared" si="39"/>
        <v>6.168011527377435</v>
      </c>
      <c r="C600" s="30">
        <f t="shared" si="38"/>
        <v>1.4667086239242061E-2</v>
      </c>
      <c r="D600" s="30">
        <f t="shared" si="36"/>
        <v>0.1438357146223751</v>
      </c>
      <c r="E600" s="30">
        <f t="shared" si="37"/>
        <v>0.13861089000173127</v>
      </c>
    </row>
    <row r="601" spans="2:5" ht="13.9" customHeight="1" x14ac:dyDescent="0.25">
      <c r="B601" s="29">
        <f t="shared" si="39"/>
        <v>6.1780115273774348</v>
      </c>
      <c r="C601" s="30">
        <f t="shared" si="38"/>
        <v>1.4619643090972556E-2</v>
      </c>
      <c r="D601" s="30">
        <f t="shared" si="36"/>
        <v>0.14337045390024056</v>
      </c>
      <c r="E601" s="30">
        <f t="shared" si="37"/>
        <v>0.1386108900017313</v>
      </c>
    </row>
    <row r="602" spans="2:5" ht="13.9" customHeight="1" x14ac:dyDescent="0.25">
      <c r="B602" s="29">
        <f t="shared" si="39"/>
        <v>6.1880115273774345</v>
      </c>
      <c r="C602" s="30">
        <f t="shared" si="38"/>
        <v>1.457242976517339E-2</v>
      </c>
      <c r="D602" s="30">
        <f t="shared" si="36"/>
        <v>0.14290744697812588</v>
      </c>
      <c r="E602" s="30">
        <f t="shared" si="37"/>
        <v>0.1386108900017313</v>
      </c>
    </row>
    <row r="603" spans="2:5" ht="13.9" customHeight="1" x14ac:dyDescent="0.25">
      <c r="B603" s="29">
        <f t="shared" si="39"/>
        <v>6.1980115273774343</v>
      </c>
      <c r="C603" s="30">
        <f t="shared" si="38"/>
        <v>1.452544477984042E-2</v>
      </c>
      <c r="D603" s="30">
        <f t="shared" si="36"/>
        <v>0.14244667932246102</v>
      </c>
      <c r="E603" s="30">
        <f t="shared" si="37"/>
        <v>0.13861089000173127</v>
      </c>
    </row>
    <row r="604" spans="2:5" ht="13.9" customHeight="1" x14ac:dyDescent="0.25">
      <c r="B604" s="29">
        <f t="shared" si="39"/>
        <v>6.2080115273774341</v>
      </c>
      <c r="C604" s="30">
        <f t="shared" si="38"/>
        <v>1.4478686664896089E-2</v>
      </c>
      <c r="D604" s="30">
        <f t="shared" si="36"/>
        <v>0.14198813651663647</v>
      </c>
      <c r="E604" s="30">
        <f t="shared" si="37"/>
        <v>0.1386108900017313</v>
      </c>
    </row>
    <row r="605" spans="2:5" ht="13.9" customHeight="1" x14ac:dyDescent="0.25">
      <c r="B605" s="29">
        <f t="shared" si="39"/>
        <v>6.2180115273774339</v>
      </c>
      <c r="C605" s="30">
        <f t="shared" si="38"/>
        <v>1.4432153962074465E-2</v>
      </c>
      <c r="D605" s="30">
        <f t="shared" si="36"/>
        <v>0.14153180425987563</v>
      </c>
      <c r="E605" s="30">
        <f t="shared" si="37"/>
        <v>0.13861089000173127</v>
      </c>
    </row>
    <row r="606" spans="2:5" ht="13.9" customHeight="1" x14ac:dyDescent="0.25">
      <c r="B606" s="29">
        <f t="shared" si="39"/>
        <v>6.2280115273774337</v>
      </c>
      <c r="C606" s="30">
        <f t="shared" si="38"/>
        <v>1.4385845224807516E-2</v>
      </c>
      <c r="D606" s="30">
        <f t="shared" si="36"/>
        <v>0.14107766836611985</v>
      </c>
      <c r="E606" s="30">
        <f t="shared" si="37"/>
        <v>0.1386108900017313</v>
      </c>
    </row>
    <row r="607" spans="2:5" ht="13.9" customHeight="1" x14ac:dyDescent="0.25">
      <c r="B607" s="29">
        <f t="shared" si="39"/>
        <v>6.2380115273774335</v>
      </c>
      <c r="C607" s="30">
        <f t="shared" si="38"/>
        <v>1.4339759018112694E-2</v>
      </c>
      <c r="D607" s="30">
        <f t="shared" si="36"/>
        <v>0.14062571476292574</v>
      </c>
      <c r="E607" s="30">
        <f t="shared" si="37"/>
        <v>0.13861089000173127</v>
      </c>
    </row>
    <row r="608" spans="2:5" ht="13.9" customHeight="1" x14ac:dyDescent="0.25">
      <c r="B608" s="29">
        <f t="shared" si="39"/>
        <v>6.2480115273774333</v>
      </c>
      <c r="C608" s="30">
        <f t="shared" si="38"/>
        <v>1.4293893918481768E-2</v>
      </c>
      <c r="D608" s="30">
        <f t="shared" si="36"/>
        <v>0.14017592949037513</v>
      </c>
      <c r="E608" s="30">
        <f t="shared" si="37"/>
        <v>0.13861089000173127</v>
      </c>
    </row>
    <row r="609" spans="2:5" ht="13.9" customHeight="1" x14ac:dyDescent="0.25">
      <c r="B609" s="29">
        <f t="shared" si="39"/>
        <v>6.258011527377433</v>
      </c>
      <c r="C609" s="30">
        <f t="shared" si="38"/>
        <v>1.4248248513770906E-2</v>
      </c>
      <c r="D609" s="30">
        <f t="shared" si="36"/>
        <v>0.13972829869999714</v>
      </c>
      <c r="E609" s="30">
        <f t="shared" si="37"/>
        <v>0.1386108900017313</v>
      </c>
    </row>
    <row r="610" spans="2:5" ht="13.9" customHeight="1" x14ac:dyDescent="0.25">
      <c r="B610" s="29">
        <f t="shared" si="39"/>
        <v>6.2680115273774328</v>
      </c>
      <c r="C610" s="30">
        <f t="shared" si="38"/>
        <v>1.420282140309196E-2</v>
      </c>
      <c r="D610" s="30">
        <f t="shared" si="36"/>
        <v>0.13928280865370191</v>
      </c>
      <c r="E610" s="30">
        <f t="shared" si="37"/>
        <v>0.13861089000173127</v>
      </c>
    </row>
    <row r="611" spans="2:5" ht="13.9" customHeight="1" x14ac:dyDescent="0.25">
      <c r="B611" s="29">
        <f t="shared" si="39"/>
        <v>6.2780115273774326</v>
      </c>
      <c r="C611" s="30">
        <f t="shared" si="38"/>
        <v>1.4157611196704998E-2</v>
      </c>
      <c r="D611" s="30">
        <f t="shared" si="36"/>
        <v>0.13883944572272688</v>
      </c>
      <c r="E611" s="30">
        <f t="shared" si="37"/>
        <v>0.13861089000173127</v>
      </c>
    </row>
    <row r="612" spans="2:5" ht="13.9" customHeight="1" x14ac:dyDescent="0.25">
      <c r="B612" s="29">
        <f t="shared" si="39"/>
        <v>6.2880115273774324</v>
      </c>
      <c r="C612" s="30">
        <f t="shared" si="38"/>
        <v>1.4112616515912002E-2</v>
      </c>
      <c r="D612" s="30">
        <f t="shared" si="36"/>
        <v>0.13839819638659423</v>
      </c>
      <c r="E612" s="30">
        <f t="shared" si="37"/>
        <v>0.1386108900017313</v>
      </c>
    </row>
    <row r="613" spans="2:5" ht="13.9" customHeight="1" x14ac:dyDescent="0.25">
      <c r="B613" s="29">
        <f t="shared" si="39"/>
        <v>6.2980115273774322</v>
      </c>
      <c r="C613" s="30">
        <f t="shared" si="38"/>
        <v>1.406783599295176E-2</v>
      </c>
      <c r="D613" s="30">
        <f t="shared" si="36"/>
        <v>0.13795904723208002</v>
      </c>
      <c r="E613" s="30">
        <f t="shared" si="37"/>
        <v>0.13861089000173132</v>
      </c>
    </row>
    <row r="614" spans="2:5" ht="13.9" customHeight="1" x14ac:dyDescent="0.25">
      <c r="B614" s="29">
        <f t="shared" si="39"/>
        <v>6.308011527377432</v>
      </c>
      <c r="C614" s="30">
        <f t="shared" si="38"/>
        <v>1.4023268270895917E-2</v>
      </c>
      <c r="D614" s="30">
        <f t="shared" si="36"/>
        <v>0.13752198495219498</v>
      </c>
      <c r="E614" s="30">
        <f t="shared" si="37"/>
        <v>0.1386108900017313</v>
      </c>
    </row>
    <row r="615" spans="2:5" ht="13.9" customHeight="1" x14ac:dyDescent="0.25">
      <c r="B615" s="29">
        <f t="shared" si="39"/>
        <v>6.3180115273774318</v>
      </c>
      <c r="C615" s="30">
        <f t="shared" si="38"/>
        <v>1.3978912003546191E-2</v>
      </c>
      <c r="D615" s="30">
        <f t="shared" si="36"/>
        <v>0.13708699634517643</v>
      </c>
      <c r="E615" s="30">
        <f t="shared" si="37"/>
        <v>0.13861089000173132</v>
      </c>
    </row>
    <row r="616" spans="2:5" ht="13.9" customHeight="1" x14ac:dyDescent="0.25">
      <c r="B616" s="29">
        <f t="shared" si="39"/>
        <v>6.3280115273774316</v>
      </c>
      <c r="C616" s="30">
        <f t="shared" si="38"/>
        <v>1.3934765855332699E-2</v>
      </c>
      <c r="D616" s="30">
        <f t="shared" si="36"/>
        <v>0.13665406831349117</v>
      </c>
      <c r="E616" s="30">
        <f t="shared" si="37"/>
        <v>0.13861089000173127</v>
      </c>
    </row>
    <row r="617" spans="2:5" ht="13.9" customHeight="1" x14ac:dyDescent="0.25">
      <c r="B617" s="29">
        <f t="shared" si="39"/>
        <v>6.3380115273774313</v>
      </c>
      <c r="C617" s="30">
        <f t="shared" si="38"/>
        <v>1.3890828501213443E-2</v>
      </c>
      <c r="D617" s="30">
        <f t="shared" si="36"/>
        <v>0.13622318786284987</v>
      </c>
      <c r="E617" s="30">
        <f t="shared" si="37"/>
        <v>0.1386108900017313</v>
      </c>
    </row>
    <row r="618" spans="2:5" ht="13.9" customHeight="1" x14ac:dyDescent="0.25">
      <c r="B618" s="29">
        <f t="shared" si="39"/>
        <v>6.3480115273774311</v>
      </c>
      <c r="C618" s="30">
        <f t="shared" si="38"/>
        <v>1.3847098626574855E-2</v>
      </c>
      <c r="D618" s="30">
        <f t="shared" si="36"/>
        <v>0.13579434210123162</v>
      </c>
      <c r="E618" s="30">
        <f t="shared" si="37"/>
        <v>0.1386108900017313</v>
      </c>
    </row>
    <row r="619" spans="2:5" ht="13.9" customHeight="1" x14ac:dyDescent="0.25">
      <c r="B619" s="29">
        <f t="shared" si="39"/>
        <v>6.3580115273774309</v>
      </c>
      <c r="C619" s="30">
        <f t="shared" si="38"/>
        <v>1.3803574927133482E-2</v>
      </c>
      <c r="D619" s="30">
        <f t="shared" si="36"/>
        <v>0.1353675182379199</v>
      </c>
      <c r="E619" s="30">
        <f t="shared" si="37"/>
        <v>0.13861089000173127</v>
      </c>
    </row>
    <row r="620" spans="2:5" ht="13.9" customHeight="1" x14ac:dyDescent="0.25">
      <c r="B620" s="29">
        <f t="shared" si="39"/>
        <v>6.3680115273774307</v>
      </c>
      <c r="C620" s="30">
        <f t="shared" si="38"/>
        <v>1.376025610883872E-2</v>
      </c>
      <c r="D620" s="30">
        <f t="shared" si="36"/>
        <v>0.13494270358254867</v>
      </c>
      <c r="E620" s="30">
        <f t="shared" si="37"/>
        <v>0.13861089000173132</v>
      </c>
    </row>
    <row r="621" spans="2:5" ht="13.9" customHeight="1" x14ac:dyDescent="0.25">
      <c r="B621" s="29">
        <f t="shared" si="39"/>
        <v>6.3780115273774305</v>
      </c>
      <c r="C621" s="30">
        <f t="shared" si="38"/>
        <v>1.3717140887776636E-2</v>
      </c>
      <c r="D621" s="30">
        <f t="shared" si="36"/>
        <v>0.13451988554415914</v>
      </c>
      <c r="E621" s="30">
        <f t="shared" si="37"/>
        <v>0.1386108900017313</v>
      </c>
    </row>
    <row r="622" spans="2:5" ht="13.9" customHeight="1" x14ac:dyDescent="0.25">
      <c r="B622" s="29">
        <f t="shared" si="39"/>
        <v>6.3880115273774303</v>
      </c>
      <c r="C622" s="30">
        <f t="shared" si="38"/>
        <v>1.3674227990074821E-2</v>
      </c>
      <c r="D622" s="30">
        <f t="shared" si="36"/>
        <v>0.13409905163026675</v>
      </c>
      <c r="E622" s="30">
        <f t="shared" si="37"/>
        <v>0.1386108900017313</v>
      </c>
    </row>
    <row r="623" spans="2:5" ht="13.9" customHeight="1" x14ac:dyDescent="0.25">
      <c r="B623" s="29">
        <f t="shared" si="39"/>
        <v>6.3980115273774301</v>
      </c>
      <c r="C623" s="30">
        <f t="shared" si="38"/>
        <v>1.3631516151808304E-2</v>
      </c>
      <c r="D623" s="30">
        <f t="shared" si="36"/>
        <v>0.13368018944593849</v>
      </c>
      <c r="E623" s="30">
        <f t="shared" si="37"/>
        <v>0.1386108900017313</v>
      </c>
    </row>
    <row r="624" spans="2:5" ht="13.9" customHeight="1" x14ac:dyDescent="0.25">
      <c r="B624" s="29">
        <f t="shared" si="39"/>
        <v>6.4080115273774299</v>
      </c>
      <c r="C624" s="30">
        <f t="shared" si="38"/>
        <v>1.358900411890648E-2</v>
      </c>
      <c r="D624" s="30">
        <f t="shared" si="36"/>
        <v>0.13326328669288018</v>
      </c>
      <c r="E624" s="30">
        <f t="shared" si="37"/>
        <v>0.1386108900017313</v>
      </c>
    </row>
    <row r="625" spans="2:5" ht="13.9" customHeight="1" x14ac:dyDescent="0.25">
      <c r="B625" s="29">
        <f t="shared" si="39"/>
        <v>6.4180115273774296</v>
      </c>
      <c r="C625" s="30">
        <f t="shared" si="38"/>
        <v>1.3546690647061063E-2</v>
      </c>
      <c r="D625" s="30">
        <f t="shared" si="36"/>
        <v>0.13284833116853373</v>
      </c>
      <c r="E625" s="30">
        <f t="shared" si="37"/>
        <v>0.1386108900017313</v>
      </c>
    </row>
    <row r="626" spans="2:5" ht="13.9" customHeight="1" x14ac:dyDescent="0.25">
      <c r="B626" s="29">
        <f t="shared" si="39"/>
        <v>6.4280115273774294</v>
      </c>
      <c r="C626" s="30">
        <f t="shared" si="38"/>
        <v>1.350457450163502E-2</v>
      </c>
      <c r="D626" s="30">
        <f t="shared" si="36"/>
        <v>0.13243531076518414</v>
      </c>
      <c r="E626" s="30">
        <f t="shared" si="37"/>
        <v>0.13861089000173127</v>
      </c>
    </row>
    <row r="627" spans="2:5" ht="13.9" customHeight="1" x14ac:dyDescent="0.25">
      <c r="B627" s="29">
        <f t="shared" si="39"/>
        <v>6.4380115273774292</v>
      </c>
      <c r="C627" s="30">
        <f t="shared" si="38"/>
        <v>1.3462654457572526E-2</v>
      </c>
      <c r="D627" s="30">
        <f t="shared" si="36"/>
        <v>0.13202421346907647</v>
      </c>
      <c r="E627" s="30">
        <f t="shared" si="37"/>
        <v>0.13861089000173127</v>
      </c>
    </row>
    <row r="628" spans="2:5" ht="13.9" customHeight="1" x14ac:dyDescent="0.25">
      <c r="B628" s="29">
        <f t="shared" si="39"/>
        <v>6.448011527377429</v>
      </c>
      <c r="C628" s="30">
        <f t="shared" si="38"/>
        <v>1.3420929299309865E-2</v>
      </c>
      <c r="D628" s="30">
        <f t="shared" si="36"/>
        <v>0.13161502735954203</v>
      </c>
      <c r="E628" s="30">
        <f t="shared" si="37"/>
        <v>0.1386108900017313</v>
      </c>
    </row>
    <row r="629" spans="2:5" ht="13.9" customHeight="1" x14ac:dyDescent="0.25">
      <c r="B629" s="29">
        <f t="shared" si="39"/>
        <v>6.4580115273774288</v>
      </c>
      <c r="C629" s="30">
        <f t="shared" si="38"/>
        <v>1.3379397820687311E-2</v>
      </c>
      <c r="D629" s="30">
        <f t="shared" si="36"/>
        <v>0.13120774060813425</v>
      </c>
      <c r="E629" s="30">
        <f t="shared" si="37"/>
        <v>0.1386108900017313</v>
      </c>
    </row>
    <row r="630" spans="2:5" ht="13.9" customHeight="1" x14ac:dyDescent="0.25">
      <c r="B630" s="29">
        <f t="shared" si="39"/>
        <v>6.4680115273774286</v>
      </c>
      <c r="C630" s="30">
        <f t="shared" si="38"/>
        <v>1.3338058824861969E-2</v>
      </c>
      <c r="D630" s="30">
        <f t="shared" si="36"/>
        <v>0.13080234147777386</v>
      </c>
      <c r="E630" s="30">
        <f t="shared" si="37"/>
        <v>0.1386108900017313</v>
      </c>
    </row>
    <row r="631" spans="2:5" ht="13.9" customHeight="1" x14ac:dyDescent="0.25">
      <c r="B631" s="29">
        <f t="shared" si="39"/>
        <v>6.4780115273774284</v>
      </c>
      <c r="C631" s="30">
        <f t="shared" si="38"/>
        <v>1.3296911124221536E-2</v>
      </c>
      <c r="D631" s="30">
        <f t="shared" si="36"/>
        <v>0.13039881832190334</v>
      </c>
      <c r="E631" s="30">
        <f t="shared" si="37"/>
        <v>0.13861089000173132</v>
      </c>
    </row>
    <row r="632" spans="2:5" ht="13.9" customHeight="1" x14ac:dyDescent="0.25">
      <c r="B632" s="29">
        <f t="shared" si="39"/>
        <v>6.4880115273774281</v>
      </c>
      <c r="C632" s="30">
        <f t="shared" si="38"/>
        <v>1.3255953540299015E-2</v>
      </c>
      <c r="D632" s="30">
        <f t="shared" si="36"/>
        <v>0.12999715958365035</v>
      </c>
      <c r="E632" s="30">
        <f t="shared" si="37"/>
        <v>0.1386108900017313</v>
      </c>
    </row>
    <row r="633" spans="2:5" ht="13.9" customHeight="1" x14ac:dyDescent="0.25">
      <c r="B633" s="29">
        <f t="shared" si="39"/>
        <v>6.4980115273774279</v>
      </c>
      <c r="C633" s="30">
        <f t="shared" si="38"/>
        <v>1.3215184903688329E-2</v>
      </c>
      <c r="D633" s="30">
        <f t="shared" si="36"/>
        <v>0.12959735379500031</v>
      </c>
      <c r="E633" s="30">
        <f t="shared" si="37"/>
        <v>0.13861089000173127</v>
      </c>
    </row>
    <row r="634" spans="2:5" ht="13.9" customHeight="1" x14ac:dyDescent="0.25">
      <c r="B634" s="29">
        <f t="shared" si="39"/>
        <v>6.5080115273774277</v>
      </c>
      <c r="C634" s="30">
        <f t="shared" si="38"/>
        <v>1.3174604053960847E-2</v>
      </c>
      <c r="D634" s="30">
        <f t="shared" si="36"/>
        <v>0.12919938957597785</v>
      </c>
      <c r="E634" s="30">
        <f t="shared" si="37"/>
        <v>0.1386108900017313</v>
      </c>
    </row>
    <row r="635" spans="2:5" ht="13.9" customHeight="1" x14ac:dyDescent="0.25">
      <c r="B635" s="29">
        <f t="shared" si="39"/>
        <v>6.5180115273774275</v>
      </c>
      <c r="C635" s="30">
        <f t="shared" si="38"/>
        <v>1.3134209839582819E-2</v>
      </c>
      <c r="D635" s="30">
        <f t="shared" si="36"/>
        <v>0.12880325563383682</v>
      </c>
      <c r="E635" s="30">
        <f t="shared" si="37"/>
        <v>0.1386108900017313</v>
      </c>
    </row>
    <row r="636" spans="2:5" ht="13.9" customHeight="1" x14ac:dyDescent="0.25">
      <c r="B636" s="29">
        <f t="shared" si="39"/>
        <v>6.5280115273774273</v>
      </c>
      <c r="C636" s="30">
        <f t="shared" si="38"/>
        <v>1.3094001117833674E-2</v>
      </c>
      <c r="D636" s="30">
        <f t="shared" si="36"/>
        <v>0.12840894076225948</v>
      </c>
      <c r="E636" s="30">
        <f t="shared" si="37"/>
        <v>0.1386108900017313</v>
      </c>
    </row>
    <row r="637" spans="2:5" ht="13.9" customHeight="1" x14ac:dyDescent="0.25">
      <c r="B637" s="29">
        <f t="shared" si="39"/>
        <v>6.5380115273774271</v>
      </c>
      <c r="C637" s="30">
        <f t="shared" si="38"/>
        <v>1.3053976754725201E-2</v>
      </c>
      <c r="D637" s="30">
        <f t="shared" si="36"/>
        <v>0.12801643384056363</v>
      </c>
      <c r="E637" s="30">
        <f t="shared" si="37"/>
        <v>0.1386108900017313</v>
      </c>
    </row>
    <row r="638" spans="2:5" ht="13.9" customHeight="1" x14ac:dyDescent="0.25">
      <c r="B638" s="29">
        <f t="shared" si="39"/>
        <v>6.5480115273774269</v>
      </c>
      <c r="C638" s="30">
        <f t="shared" si="38"/>
        <v>1.3014135624921605E-2</v>
      </c>
      <c r="D638" s="30">
        <f t="shared" si="36"/>
        <v>0.1276257238329187</v>
      </c>
      <c r="E638" s="30">
        <f t="shared" si="37"/>
        <v>0.13861089000173127</v>
      </c>
    </row>
    <row r="639" spans="2:5" ht="13.9" customHeight="1" x14ac:dyDescent="0.25">
      <c r="B639" s="29">
        <f t="shared" si="39"/>
        <v>6.5580115273774267</v>
      </c>
      <c r="C639" s="30">
        <f t="shared" si="38"/>
        <v>1.2974476611660402E-2</v>
      </c>
      <c r="D639" s="30">
        <f t="shared" si="36"/>
        <v>0.12723679978757005</v>
      </c>
      <c r="E639" s="30">
        <f t="shared" si="37"/>
        <v>0.13861089000173127</v>
      </c>
    </row>
    <row r="640" spans="2:5" ht="13.9" customHeight="1" x14ac:dyDescent="0.25">
      <c r="B640" s="29">
        <f t="shared" si="39"/>
        <v>6.5680115273774264</v>
      </c>
      <c r="C640" s="30">
        <f t="shared" si="38"/>
        <v>1.2934998606674145E-2</v>
      </c>
      <c r="D640" s="30">
        <f t="shared" si="36"/>
        <v>0.12684965083607133</v>
      </c>
      <c r="E640" s="30">
        <f t="shared" si="37"/>
        <v>0.1386108900017313</v>
      </c>
    </row>
    <row r="641" spans="2:5" ht="13.9" customHeight="1" x14ac:dyDescent="0.25">
      <c r="B641" s="29">
        <f t="shared" si="39"/>
        <v>6.5780115273774262</v>
      </c>
      <c r="C641" s="30">
        <f t="shared" si="38"/>
        <v>1.2895700510113024E-2</v>
      </c>
      <c r="D641" s="30">
        <f t="shared" si="36"/>
        <v>0.12646426619252538</v>
      </c>
      <c r="E641" s="30">
        <f t="shared" si="37"/>
        <v>0.1386108900017313</v>
      </c>
    </row>
    <row r="642" spans="2:5" ht="13.9" customHeight="1" x14ac:dyDescent="0.25">
      <c r="B642" s="29">
        <f t="shared" si="39"/>
        <v>6.588011527377426</v>
      </c>
      <c r="C642" s="30">
        <f t="shared" si="38"/>
        <v>1.2856581230468239E-2</v>
      </c>
      <c r="D642" s="30">
        <f t="shared" si="36"/>
        <v>0.12608063515283288</v>
      </c>
      <c r="E642" s="30">
        <f t="shared" si="37"/>
        <v>0.1386108900017313</v>
      </c>
    </row>
    <row r="643" spans="2:5" ht="13.9" customHeight="1" x14ac:dyDescent="0.25">
      <c r="B643" s="29">
        <f t="shared" si="39"/>
        <v>6.5980115273774258</v>
      </c>
      <c r="C643" s="30">
        <f t="shared" si="38"/>
        <v>1.2817639684496219E-2</v>
      </c>
      <c r="D643" s="30">
        <f t="shared" si="36"/>
        <v>0.12569874709394907</v>
      </c>
      <c r="E643" s="30">
        <f t="shared" si="37"/>
        <v>0.1386108900017313</v>
      </c>
    </row>
    <row r="644" spans="2:5" ht="13.9" customHeight="1" x14ac:dyDescent="0.25">
      <c r="B644" s="29">
        <f t="shared" si="39"/>
        <v>6.6080115273774256</v>
      </c>
      <c r="C644" s="30">
        <f t="shared" si="38"/>
        <v>1.2778874797143623E-2</v>
      </c>
      <c r="D644" s="30">
        <f t="shared" si="36"/>
        <v>0.12531859147314836</v>
      </c>
      <c r="E644" s="30">
        <f t="shared" si="37"/>
        <v>0.1386108900017313</v>
      </c>
    </row>
    <row r="645" spans="2:5" ht="13.9" customHeight="1" x14ac:dyDescent="0.25">
      <c r="B645" s="29">
        <f t="shared" si="39"/>
        <v>6.6180115273774254</v>
      </c>
      <c r="C645" s="30">
        <f t="shared" si="38"/>
        <v>1.2740285501473153E-2</v>
      </c>
      <c r="D645" s="30">
        <f t="shared" si="36"/>
        <v>0.12494015782729677</v>
      </c>
      <c r="E645" s="30">
        <f t="shared" si="37"/>
        <v>0.1386108900017313</v>
      </c>
    </row>
    <row r="646" spans="2:5" ht="13.9" customHeight="1" x14ac:dyDescent="0.25">
      <c r="B646" s="29">
        <f t="shared" si="39"/>
        <v>6.6280115273774252</v>
      </c>
      <c r="C646" s="30">
        <f t="shared" si="38"/>
        <v>1.2701870738590131E-2</v>
      </c>
      <c r="D646" s="30">
        <f t="shared" si="36"/>
        <v>0.12456343577213183</v>
      </c>
      <c r="E646" s="30">
        <f t="shared" si="37"/>
        <v>0.1386108900017313</v>
      </c>
    </row>
    <row r="647" spans="2:5" ht="13.9" customHeight="1" x14ac:dyDescent="0.25">
      <c r="B647" s="29">
        <f t="shared" si="39"/>
        <v>6.6380115273774249</v>
      </c>
      <c r="C647" s="30">
        <f t="shared" si="38"/>
        <v>1.2663629457569854E-2</v>
      </c>
      <c r="D647" s="30">
        <f t="shared" si="36"/>
        <v>0.12418841500155028</v>
      </c>
      <c r="E647" s="30">
        <f t="shared" si="37"/>
        <v>0.13861089000173127</v>
      </c>
    </row>
    <row r="648" spans="2:5" ht="13.9" customHeight="1" x14ac:dyDescent="0.25">
      <c r="B648" s="29">
        <f t="shared" si="39"/>
        <v>6.6480115273774247</v>
      </c>
      <c r="C648" s="30">
        <f t="shared" si="38"/>
        <v>1.2625560615385731E-2</v>
      </c>
      <c r="D648" s="30">
        <f t="shared" si="36"/>
        <v>0.12381508528690324</v>
      </c>
      <c r="E648" s="30">
        <f t="shared" si="37"/>
        <v>0.1386108900017313</v>
      </c>
    </row>
    <row r="649" spans="2:5" ht="13.9" customHeight="1" x14ac:dyDescent="0.25">
      <c r="B649" s="29">
        <f t="shared" si="39"/>
        <v>6.6580115273774245</v>
      </c>
      <c r="C649" s="30">
        <f t="shared" si="38"/>
        <v>1.2587663176838147E-2</v>
      </c>
      <c r="D649" s="30">
        <f t="shared" ref="D649:D712" si="40">C649*9.8067</f>
        <v>0.12344343647629864</v>
      </c>
      <c r="E649" s="30">
        <f t="shared" ref="E649:E712" si="41">((B649^2)/(4*PI()^2))*D649</f>
        <v>0.1386108900017313</v>
      </c>
    </row>
    <row r="650" spans="2:5" ht="13.9" customHeight="1" x14ac:dyDescent="0.25">
      <c r="B650" s="29">
        <f t="shared" si="39"/>
        <v>6.6680115273774243</v>
      </c>
      <c r="C650" s="30">
        <f t="shared" si="38"/>
        <v>1.2549936114484097E-2</v>
      </c>
      <c r="D650" s="30">
        <f t="shared" si="40"/>
        <v>0.12307345849391119</v>
      </c>
      <c r="E650" s="30">
        <f t="shared" si="41"/>
        <v>0.1386108900017313</v>
      </c>
    </row>
    <row r="651" spans="2:5" ht="13.9" customHeight="1" x14ac:dyDescent="0.25">
      <c r="B651" s="29">
        <f t="shared" si="39"/>
        <v>6.6780115273774241</v>
      </c>
      <c r="C651" s="30">
        <f t="shared" si="38"/>
        <v>1.2512378408567542E-2</v>
      </c>
      <c r="D651" s="30">
        <f t="shared" si="40"/>
        <v>0.1227051413392993</v>
      </c>
      <c r="E651" s="30">
        <f t="shared" si="41"/>
        <v>0.1386108900017313</v>
      </c>
    </row>
    <row r="652" spans="2:5" ht="13.9" customHeight="1" x14ac:dyDescent="0.25">
      <c r="B652" s="29">
        <f t="shared" si="39"/>
        <v>6.6880115273774239</v>
      </c>
      <c r="C652" s="30">
        <f t="shared" si="38"/>
        <v>1.2474989046950498E-2</v>
      </c>
      <c r="D652" s="30">
        <f t="shared" si="40"/>
        <v>0.12233847508672945</v>
      </c>
      <c r="E652" s="30">
        <f t="shared" si="41"/>
        <v>0.13861089000173132</v>
      </c>
    </row>
    <row r="653" spans="2:5" ht="13.9" customHeight="1" x14ac:dyDescent="0.25">
      <c r="B653" s="29">
        <f t="shared" si="39"/>
        <v>6.6980115273774237</v>
      </c>
      <c r="C653" s="30">
        <f t="shared" ref="C653:C716" si="42">IF(B653&lt;6,$C$5/B653,6*$C$5/B653^2)</f>
        <v>1.243776702504485E-2</v>
      </c>
      <c r="D653" s="30">
        <f t="shared" si="40"/>
        <v>0.12197344988450733</v>
      </c>
      <c r="E653" s="30">
        <f t="shared" si="41"/>
        <v>0.1386108900017313</v>
      </c>
    </row>
    <row r="654" spans="2:5" ht="13.9" customHeight="1" x14ac:dyDescent="0.25">
      <c r="B654" s="29">
        <f t="shared" ref="B654:B717" si="43">B653+0.01</f>
        <v>6.7080115273774235</v>
      </c>
      <c r="C654" s="30">
        <f t="shared" si="42"/>
        <v>1.2400711345744874E-2</v>
      </c>
      <c r="D654" s="30">
        <f t="shared" si="40"/>
        <v>0.12161005595431625</v>
      </c>
      <c r="E654" s="30">
        <f t="shared" si="41"/>
        <v>0.13861089000173127</v>
      </c>
    </row>
    <row r="655" spans="2:5" ht="13.9" customHeight="1" x14ac:dyDescent="0.25">
      <c r="B655" s="29">
        <f t="shared" si="43"/>
        <v>6.7180115273774232</v>
      </c>
      <c r="C655" s="30">
        <f t="shared" si="42"/>
        <v>1.2363821019360446E-2</v>
      </c>
      <c r="D655" s="30">
        <f t="shared" si="40"/>
        <v>0.12124828359056208</v>
      </c>
      <c r="E655" s="30">
        <f t="shared" si="41"/>
        <v>0.13861089000173127</v>
      </c>
    </row>
    <row r="656" spans="2:5" ht="13.9" customHeight="1" x14ac:dyDescent="0.25">
      <c r="B656" s="29">
        <f t="shared" si="43"/>
        <v>6.728011527377423</v>
      </c>
      <c r="C656" s="30">
        <f t="shared" si="42"/>
        <v>1.2327095063550977E-2</v>
      </c>
      <c r="D656" s="30">
        <f t="shared" si="40"/>
        <v>0.12088812315972536</v>
      </c>
      <c r="E656" s="30">
        <f t="shared" si="41"/>
        <v>0.13861089000173127</v>
      </c>
    </row>
    <row r="657" spans="2:5" ht="13.9" customHeight="1" x14ac:dyDescent="0.25">
      <c r="B657" s="29">
        <f t="shared" si="43"/>
        <v>6.7380115273774228</v>
      </c>
      <c r="C657" s="30">
        <f t="shared" si="42"/>
        <v>1.2290532503260006E-2</v>
      </c>
      <c r="D657" s="30">
        <f t="shared" si="40"/>
        <v>0.12052956509971989</v>
      </c>
      <c r="E657" s="30">
        <f t="shared" si="41"/>
        <v>0.13861089000173127</v>
      </c>
    </row>
    <row r="658" spans="2:5" ht="13.9" customHeight="1" x14ac:dyDescent="0.25">
      <c r="B658" s="29">
        <f t="shared" si="43"/>
        <v>6.7480115273774226</v>
      </c>
      <c r="C658" s="30">
        <f t="shared" si="42"/>
        <v>1.2254132370650485E-2</v>
      </c>
      <c r="D658" s="30">
        <f t="shared" si="40"/>
        <v>0.12017259991925811</v>
      </c>
      <c r="E658" s="30">
        <f t="shared" si="41"/>
        <v>0.1386108900017313</v>
      </c>
    </row>
    <row r="659" spans="2:5" ht="13.9" customHeight="1" x14ac:dyDescent="0.25">
      <c r="B659" s="29">
        <f t="shared" si="43"/>
        <v>6.7580115273774224</v>
      </c>
      <c r="C659" s="30">
        <f t="shared" si="42"/>
        <v>1.2217893705040726E-2</v>
      </c>
      <c r="D659" s="30">
        <f t="shared" si="40"/>
        <v>0.11981721819722288</v>
      </c>
      <c r="E659" s="30">
        <f t="shared" si="41"/>
        <v>0.1386108900017313</v>
      </c>
    </row>
    <row r="660" spans="2:5" ht="13.9" customHeight="1" x14ac:dyDescent="0.25">
      <c r="B660" s="29">
        <f t="shared" si="43"/>
        <v>6.7680115273774222</v>
      </c>
      <c r="C660" s="30">
        <f t="shared" si="42"/>
        <v>1.2181815552841016E-2</v>
      </c>
      <c r="D660" s="30">
        <f t="shared" si="40"/>
        <v>0.11946341058204599</v>
      </c>
      <c r="E660" s="30">
        <f t="shared" si="41"/>
        <v>0.1386108900017313</v>
      </c>
    </row>
    <row r="661" spans="2:5" ht="13.9" customHeight="1" x14ac:dyDescent="0.25">
      <c r="B661" s="29">
        <f t="shared" si="43"/>
        <v>6.778011527377422</v>
      </c>
      <c r="C661" s="30">
        <f t="shared" si="42"/>
        <v>1.2145896967490889E-2</v>
      </c>
      <c r="D661" s="30">
        <f t="shared" si="40"/>
        <v>0.11911116779109289</v>
      </c>
      <c r="E661" s="30">
        <f t="shared" si="41"/>
        <v>0.13861089000173127</v>
      </c>
    </row>
    <row r="662" spans="2:5" ht="13.9" customHeight="1" x14ac:dyDescent="0.25">
      <c r="B662" s="29">
        <f t="shared" si="43"/>
        <v>6.7880115273774217</v>
      </c>
      <c r="C662" s="30">
        <f t="shared" si="42"/>
        <v>1.2110137009397033E-2</v>
      </c>
      <c r="D662" s="30">
        <f t="shared" si="40"/>
        <v>0.11876048061005388</v>
      </c>
      <c r="E662" s="30">
        <f t="shared" si="41"/>
        <v>0.1386108900017313</v>
      </c>
    </row>
    <row r="663" spans="2:5" ht="13.9" customHeight="1" x14ac:dyDescent="0.25">
      <c r="B663" s="29">
        <f t="shared" si="43"/>
        <v>6.7980115273774215</v>
      </c>
      <c r="C663" s="30">
        <f t="shared" si="42"/>
        <v>1.2074534745871843E-2</v>
      </c>
      <c r="D663" s="30">
        <f t="shared" si="40"/>
        <v>0.1184113398923414</v>
      </c>
      <c r="E663" s="30">
        <f t="shared" si="41"/>
        <v>0.1386108900017313</v>
      </c>
    </row>
    <row r="664" spans="2:5" ht="13.9" customHeight="1" x14ac:dyDescent="0.25">
      <c r="B664" s="29">
        <f t="shared" si="43"/>
        <v>6.8080115273774213</v>
      </c>
      <c r="C664" s="30">
        <f t="shared" si="42"/>
        <v>1.2039089251072605E-2</v>
      </c>
      <c r="D664" s="30">
        <f t="shared" si="40"/>
        <v>0.1180637365584937</v>
      </c>
      <c r="E664" s="30">
        <f t="shared" si="41"/>
        <v>0.1386108900017313</v>
      </c>
    </row>
    <row r="665" spans="2:5" ht="13.9" customHeight="1" x14ac:dyDescent="0.25">
      <c r="B665" s="29">
        <f t="shared" si="43"/>
        <v>6.8180115273774211</v>
      </c>
      <c r="C665" s="30">
        <f t="shared" si="42"/>
        <v>1.2003799605941312E-2</v>
      </c>
      <c r="D665" s="30">
        <f t="shared" si="40"/>
        <v>0.11771766159558465</v>
      </c>
      <c r="E665" s="30">
        <f t="shared" si="41"/>
        <v>0.1386108900017313</v>
      </c>
    </row>
    <row r="666" spans="2:5" ht="13.9" customHeight="1" x14ac:dyDescent="0.25">
      <c r="B666" s="29">
        <f t="shared" si="43"/>
        <v>6.8280115273774209</v>
      </c>
      <c r="C666" s="30">
        <f t="shared" si="42"/>
        <v>1.1968664898145069E-2</v>
      </c>
      <c r="D666" s="30">
        <f t="shared" si="40"/>
        <v>0.11737310605663924</v>
      </c>
      <c r="E666" s="30">
        <f t="shared" si="41"/>
        <v>0.13861089000173127</v>
      </c>
    </row>
    <row r="667" spans="2:5" ht="13.9" customHeight="1" x14ac:dyDescent="0.25">
      <c r="B667" s="29">
        <f t="shared" si="43"/>
        <v>6.8380115273774207</v>
      </c>
      <c r="C667" s="30">
        <f t="shared" si="42"/>
        <v>1.1933684222017153E-2</v>
      </c>
      <c r="D667" s="30">
        <f t="shared" si="40"/>
        <v>0.1170300610600556</v>
      </c>
      <c r="E667" s="30">
        <f t="shared" si="41"/>
        <v>0.13861089000173127</v>
      </c>
    </row>
    <row r="668" spans="2:5" ht="13.9" customHeight="1" x14ac:dyDescent="0.25">
      <c r="B668" s="29">
        <f t="shared" si="43"/>
        <v>6.8480115273774205</v>
      </c>
      <c r="C668" s="30">
        <f t="shared" si="42"/>
        <v>1.1898856678498626E-2</v>
      </c>
      <c r="D668" s="30">
        <f t="shared" si="40"/>
        <v>0.11668851778903247</v>
      </c>
      <c r="E668" s="30">
        <f t="shared" si="41"/>
        <v>0.13861089000173127</v>
      </c>
    </row>
    <row r="669" spans="2:5" ht="13.9" customHeight="1" x14ac:dyDescent="0.25">
      <c r="B669" s="29">
        <f t="shared" si="43"/>
        <v>6.8580115273774203</v>
      </c>
      <c r="C669" s="30">
        <f t="shared" si="42"/>
        <v>1.1864181375080577E-2</v>
      </c>
      <c r="D669" s="30">
        <f t="shared" si="40"/>
        <v>0.11634846749100269</v>
      </c>
      <c r="E669" s="30">
        <f t="shared" si="41"/>
        <v>0.1386108900017313</v>
      </c>
    </row>
    <row r="670" spans="2:5" ht="13.9" customHeight="1" x14ac:dyDescent="0.25">
      <c r="B670" s="29">
        <f t="shared" si="43"/>
        <v>6.86801152737742</v>
      </c>
      <c r="C670" s="30">
        <f t="shared" si="42"/>
        <v>1.1829657425746942E-2</v>
      </c>
      <c r="D670" s="30">
        <f t="shared" si="40"/>
        <v>0.11600990147707252</v>
      </c>
      <c r="E670" s="30">
        <f t="shared" si="41"/>
        <v>0.13861089000173127</v>
      </c>
    </row>
    <row r="671" spans="2:5" ht="13.9" customHeight="1" x14ac:dyDescent="0.25">
      <c r="B671" s="29">
        <f t="shared" si="43"/>
        <v>6.8780115273774198</v>
      </c>
      <c r="C671" s="30">
        <f t="shared" si="42"/>
        <v>1.1795283950917898E-2</v>
      </c>
      <c r="D671" s="30">
        <f t="shared" si="40"/>
        <v>0.11567281112146655</v>
      </c>
      <c r="E671" s="30">
        <f t="shared" si="41"/>
        <v>0.13861089000173127</v>
      </c>
    </row>
    <row r="672" spans="2:5" ht="13.9" customHeight="1" x14ac:dyDescent="0.25">
      <c r="B672" s="29">
        <f t="shared" si="43"/>
        <v>6.8880115273774196</v>
      </c>
      <c r="C672" s="30">
        <f t="shared" si="42"/>
        <v>1.1761060077393852E-2</v>
      </c>
      <c r="D672" s="30">
        <f t="shared" si="40"/>
        <v>0.11533718786097828</v>
      </c>
      <c r="E672" s="30">
        <f t="shared" si="41"/>
        <v>0.1386108900017313</v>
      </c>
    </row>
    <row r="673" spans="2:5" ht="13.9" customHeight="1" x14ac:dyDescent="0.25">
      <c r="B673" s="29">
        <f t="shared" si="43"/>
        <v>6.8980115273774194</v>
      </c>
      <c r="C673" s="30">
        <f t="shared" si="42"/>
        <v>1.172698493829997E-2</v>
      </c>
      <c r="D673" s="30">
        <f t="shared" si="40"/>
        <v>0.1150030231944263</v>
      </c>
      <c r="E673" s="30">
        <f t="shared" si="41"/>
        <v>0.1386108900017313</v>
      </c>
    </row>
    <row r="674" spans="2:5" ht="13.9" customHeight="1" x14ac:dyDescent="0.25">
      <c r="B674" s="29">
        <f t="shared" si="43"/>
        <v>6.9080115273774192</v>
      </c>
      <c r="C674" s="30">
        <f t="shared" si="42"/>
        <v>1.1693057673031295E-2</v>
      </c>
      <c r="D674" s="30">
        <f t="shared" si="40"/>
        <v>0.114670308682116</v>
      </c>
      <c r="E674" s="30">
        <f t="shared" si="41"/>
        <v>0.1386108900017313</v>
      </c>
    </row>
    <row r="675" spans="2:5" ht="13.9" customHeight="1" x14ac:dyDescent="0.25">
      <c r="B675" s="29">
        <f t="shared" si="43"/>
        <v>6.918011527377419</v>
      </c>
      <c r="C675" s="30">
        <f t="shared" si="42"/>
        <v>1.1659277427198397E-2</v>
      </c>
      <c r="D675" s="30">
        <f t="shared" si="40"/>
        <v>0.11433903594530652</v>
      </c>
      <c r="E675" s="30">
        <f t="shared" si="41"/>
        <v>0.13861089000173127</v>
      </c>
    </row>
    <row r="676" spans="2:5" ht="13.9" customHeight="1" x14ac:dyDescent="0.25">
      <c r="B676" s="29">
        <f t="shared" si="43"/>
        <v>6.9280115273774188</v>
      </c>
      <c r="C676" s="30">
        <f t="shared" si="42"/>
        <v>1.1625643352573595E-2</v>
      </c>
      <c r="D676" s="30">
        <f t="shared" si="40"/>
        <v>0.11400919666568346</v>
      </c>
      <c r="E676" s="30">
        <f t="shared" si="41"/>
        <v>0.13861089000173127</v>
      </c>
    </row>
    <row r="677" spans="2:5" ht="13.9" customHeight="1" x14ac:dyDescent="0.25">
      <c r="B677" s="29">
        <f t="shared" si="43"/>
        <v>6.9380115273774186</v>
      </c>
      <c r="C677" s="30">
        <f t="shared" si="42"/>
        <v>1.1592154607037693E-2</v>
      </c>
      <c r="D677" s="30">
        <f t="shared" si="40"/>
        <v>0.11368078258483653</v>
      </c>
      <c r="E677" s="30">
        <f t="shared" si="41"/>
        <v>0.1386108900017313</v>
      </c>
    </row>
    <row r="678" spans="2:5" ht="13.9" customHeight="1" x14ac:dyDescent="0.25">
      <c r="B678" s="29">
        <f t="shared" si="43"/>
        <v>6.9480115273774183</v>
      </c>
      <c r="C678" s="30">
        <f t="shared" si="42"/>
        <v>1.1558810354527282E-2</v>
      </c>
      <c r="D678" s="30">
        <f t="shared" si="40"/>
        <v>0.11335378550374269</v>
      </c>
      <c r="E678" s="30">
        <f t="shared" si="41"/>
        <v>0.1386108900017313</v>
      </c>
    </row>
    <row r="679" spans="2:5" ht="13.9" customHeight="1" x14ac:dyDescent="0.25">
      <c r="B679" s="29">
        <f t="shared" si="43"/>
        <v>6.9580115273774181</v>
      </c>
      <c r="C679" s="30">
        <f t="shared" si="42"/>
        <v>1.1525609764982552E-2</v>
      </c>
      <c r="D679" s="30">
        <f t="shared" si="40"/>
        <v>0.11302819728225438</v>
      </c>
      <c r="E679" s="30">
        <f t="shared" si="41"/>
        <v>0.13861089000173127</v>
      </c>
    </row>
    <row r="680" spans="2:5" ht="13.9" customHeight="1" x14ac:dyDescent="0.25">
      <c r="B680" s="29">
        <f t="shared" si="43"/>
        <v>6.9680115273774179</v>
      </c>
      <c r="C680" s="30">
        <f t="shared" si="42"/>
        <v>1.1492552014295629E-2</v>
      </c>
      <c r="D680" s="30">
        <f t="shared" si="40"/>
        <v>0.11270400983859294</v>
      </c>
      <c r="E680" s="30">
        <f t="shared" si="41"/>
        <v>0.1386108900017313</v>
      </c>
    </row>
    <row r="681" spans="2:5" ht="13.9" customHeight="1" x14ac:dyDescent="0.25">
      <c r="B681" s="29">
        <f t="shared" si="43"/>
        <v>6.9780115273774177</v>
      </c>
      <c r="C681" s="30">
        <f t="shared" si="42"/>
        <v>1.1459636284259443E-2</v>
      </c>
      <c r="D681" s="30">
        <f t="shared" si="40"/>
        <v>0.11238121514884707</v>
      </c>
      <c r="E681" s="30">
        <f t="shared" si="41"/>
        <v>0.1386108900017313</v>
      </c>
    </row>
    <row r="682" spans="2:5" ht="13.9" customHeight="1" x14ac:dyDescent="0.25">
      <c r="B682" s="29">
        <f t="shared" si="43"/>
        <v>6.9880115273774175</v>
      </c>
      <c r="C682" s="30">
        <f t="shared" si="42"/>
        <v>1.1426861762517089E-2</v>
      </c>
      <c r="D682" s="30">
        <f t="shared" si="40"/>
        <v>0.11205980524647634</v>
      </c>
      <c r="E682" s="30">
        <f t="shared" si="41"/>
        <v>0.1386108900017313</v>
      </c>
    </row>
    <row r="683" spans="2:5" ht="13.9" customHeight="1" x14ac:dyDescent="0.25">
      <c r="B683" s="29">
        <f t="shared" si="43"/>
        <v>6.9980115273774173</v>
      </c>
      <c r="C683" s="30">
        <f t="shared" si="42"/>
        <v>1.1394227642511719E-2</v>
      </c>
      <c r="D683" s="30">
        <f t="shared" si="40"/>
        <v>0.11173977222181966</v>
      </c>
      <c r="E683" s="30">
        <f t="shared" si="41"/>
        <v>0.13861089000173127</v>
      </c>
    </row>
    <row r="684" spans="2:5" ht="13.9" customHeight="1" x14ac:dyDescent="0.25">
      <c r="B684" s="29">
        <f t="shared" si="43"/>
        <v>7.0080115273774171</v>
      </c>
      <c r="C684" s="30">
        <f t="shared" si="42"/>
        <v>1.13617331234369E-2</v>
      </c>
      <c r="D684" s="30">
        <f t="shared" si="40"/>
        <v>0.11142110822160864</v>
      </c>
      <c r="E684" s="30">
        <f t="shared" si="41"/>
        <v>0.1386108900017313</v>
      </c>
    </row>
    <row r="685" spans="2:5" ht="13.9" customHeight="1" x14ac:dyDescent="0.25">
      <c r="B685" s="29">
        <f t="shared" si="43"/>
        <v>7.0180115273774168</v>
      </c>
      <c r="C685" s="30">
        <f t="shared" si="42"/>
        <v>1.1329377410187507E-2</v>
      </c>
      <c r="D685" s="30">
        <f t="shared" si="40"/>
        <v>0.11110380544848582</v>
      </c>
      <c r="E685" s="30">
        <f t="shared" si="41"/>
        <v>0.1386108900017313</v>
      </c>
    </row>
    <row r="686" spans="2:5" ht="13.9" customHeight="1" x14ac:dyDescent="0.25">
      <c r="B686" s="29">
        <f t="shared" si="43"/>
        <v>7.0280115273774166</v>
      </c>
      <c r="C686" s="30">
        <f t="shared" si="42"/>
        <v>1.1297159713311066E-2</v>
      </c>
      <c r="D686" s="30">
        <f t="shared" si="40"/>
        <v>0.11078785616052762</v>
      </c>
      <c r="E686" s="30">
        <f t="shared" si="41"/>
        <v>0.1386108900017313</v>
      </c>
    </row>
    <row r="687" spans="2:5" ht="13.9" customHeight="1" x14ac:dyDescent="0.25">
      <c r="B687" s="29">
        <f t="shared" si="43"/>
        <v>7.0380115273774164</v>
      </c>
      <c r="C687" s="30">
        <f t="shared" si="42"/>
        <v>1.1265079248959612E-2</v>
      </c>
      <c r="D687" s="30">
        <f t="shared" si="40"/>
        <v>0.11047325267077222</v>
      </c>
      <c r="E687" s="30">
        <f t="shared" si="41"/>
        <v>0.1386108900017313</v>
      </c>
    </row>
    <row r="688" spans="2:5" ht="13.9" customHeight="1" x14ac:dyDescent="0.25">
      <c r="B688" s="29">
        <f t="shared" si="43"/>
        <v>7.0480115273774162</v>
      </c>
      <c r="C688" s="30">
        <f t="shared" si="42"/>
        <v>1.1233135238842003E-2</v>
      </c>
      <c r="D688" s="30">
        <f t="shared" si="40"/>
        <v>0.11015998734675186</v>
      </c>
      <c r="E688" s="30">
        <f t="shared" si="41"/>
        <v>0.1386108900017313</v>
      </c>
    </row>
    <row r="689" spans="2:5" ht="13.9" customHeight="1" x14ac:dyDescent="0.25">
      <c r="B689" s="29">
        <f t="shared" si="43"/>
        <v>7.058011527377416</v>
      </c>
      <c r="C689" s="30">
        <f t="shared" si="42"/>
        <v>1.120132691017672E-2</v>
      </c>
      <c r="D689" s="30">
        <f t="shared" si="40"/>
        <v>0.10984805261003003</v>
      </c>
      <c r="E689" s="30">
        <f t="shared" si="41"/>
        <v>0.13861089000173127</v>
      </c>
    </row>
    <row r="690" spans="2:5" ht="13.9" customHeight="1" x14ac:dyDescent="0.25">
      <c r="B690" s="29">
        <f t="shared" si="43"/>
        <v>7.0680115273774158</v>
      </c>
      <c r="C690" s="30">
        <f t="shared" si="42"/>
        <v>1.1169653495645126E-2</v>
      </c>
      <c r="D690" s="30">
        <f t="shared" si="40"/>
        <v>0.10953744093574304</v>
      </c>
      <c r="E690" s="30">
        <f t="shared" si="41"/>
        <v>0.1386108900017313</v>
      </c>
    </row>
    <row r="691" spans="2:5" ht="13.9" customHeight="1" x14ac:dyDescent="0.25">
      <c r="B691" s="29">
        <f t="shared" si="43"/>
        <v>7.0780115273774156</v>
      </c>
      <c r="C691" s="30">
        <f t="shared" si="42"/>
        <v>1.1138114233345191E-2</v>
      </c>
      <c r="D691" s="30">
        <f t="shared" si="40"/>
        <v>0.10922814485214628</v>
      </c>
      <c r="E691" s="30">
        <f t="shared" si="41"/>
        <v>0.13861089000173127</v>
      </c>
    </row>
    <row r="692" spans="2:5" ht="13.9" customHeight="1" x14ac:dyDescent="0.25">
      <c r="B692" s="29">
        <f t="shared" si="43"/>
        <v>7.0880115273774154</v>
      </c>
      <c r="C692" s="30">
        <f t="shared" si="42"/>
        <v>1.1106708366745679E-2</v>
      </c>
      <c r="D692" s="30">
        <f t="shared" si="40"/>
        <v>0.10892015694016484</v>
      </c>
      <c r="E692" s="30">
        <f t="shared" si="41"/>
        <v>0.1386108900017313</v>
      </c>
    </row>
    <row r="693" spans="2:5" ht="13.9" customHeight="1" x14ac:dyDescent="0.25">
      <c r="B693" s="29">
        <f t="shared" si="43"/>
        <v>7.0980115273774151</v>
      </c>
      <c r="C693" s="30">
        <f t="shared" si="42"/>
        <v>1.1075435144640766E-2</v>
      </c>
      <c r="D693" s="30">
        <f t="shared" si="40"/>
        <v>0.10861346983294859</v>
      </c>
      <c r="E693" s="30">
        <f t="shared" si="41"/>
        <v>0.1386108900017313</v>
      </c>
    </row>
    <row r="694" spans="2:5" ht="13.9" customHeight="1" x14ac:dyDescent="0.25">
      <c r="B694" s="29">
        <f t="shared" si="43"/>
        <v>7.1080115273774149</v>
      </c>
      <c r="C694" s="30">
        <f t="shared" si="42"/>
        <v>1.104429382110513E-2</v>
      </c>
      <c r="D694" s="30">
        <f t="shared" si="40"/>
        <v>0.10830807621543168</v>
      </c>
      <c r="E694" s="30">
        <f t="shared" si="41"/>
        <v>0.1386108900017313</v>
      </c>
    </row>
    <row r="695" spans="2:5" ht="13.9" customHeight="1" x14ac:dyDescent="0.25">
      <c r="B695" s="29">
        <f t="shared" si="43"/>
        <v>7.1180115273774147</v>
      </c>
      <c r="C695" s="30">
        <f t="shared" si="42"/>
        <v>1.1013283655449476E-2</v>
      </c>
      <c r="D695" s="30">
        <f t="shared" si="40"/>
        <v>0.10800396882389637</v>
      </c>
      <c r="E695" s="30">
        <f t="shared" si="41"/>
        <v>0.13861089000173127</v>
      </c>
    </row>
    <row r="696" spans="2:5" ht="13.9" customHeight="1" x14ac:dyDescent="0.25">
      <c r="B696" s="29">
        <f t="shared" si="43"/>
        <v>7.1280115273774145</v>
      </c>
      <c r="C696" s="30">
        <f t="shared" si="42"/>
        <v>1.0982403912176477E-2</v>
      </c>
      <c r="D696" s="30">
        <f t="shared" si="40"/>
        <v>0.10770114044554105</v>
      </c>
      <c r="E696" s="30">
        <f t="shared" si="41"/>
        <v>0.1386108900017313</v>
      </c>
    </row>
    <row r="697" spans="2:5" ht="13.9" customHeight="1" x14ac:dyDescent="0.25">
      <c r="B697" s="29">
        <f t="shared" si="43"/>
        <v>7.1380115273774143</v>
      </c>
      <c r="C697" s="30">
        <f t="shared" si="42"/>
        <v>1.0951653860937174E-2</v>
      </c>
      <c r="D697" s="30">
        <f t="shared" si="40"/>
        <v>0.10739958391805259</v>
      </c>
      <c r="E697" s="30">
        <f t="shared" si="41"/>
        <v>0.1386108900017313</v>
      </c>
    </row>
    <row r="698" spans="2:5" ht="13.9" customHeight="1" x14ac:dyDescent="0.25">
      <c r="B698" s="29">
        <f t="shared" si="43"/>
        <v>7.1480115273774141</v>
      </c>
      <c r="C698" s="30">
        <f t="shared" si="42"/>
        <v>1.0921032776487786E-2</v>
      </c>
      <c r="D698" s="30">
        <f t="shared" si="40"/>
        <v>0.10709929212918276</v>
      </c>
      <c r="E698" s="30">
        <f t="shared" si="41"/>
        <v>0.13861089000173127</v>
      </c>
    </row>
    <row r="699" spans="2:5" ht="13.9" customHeight="1" x14ac:dyDescent="0.25">
      <c r="B699" s="29">
        <f t="shared" si="43"/>
        <v>7.1580115273774139</v>
      </c>
      <c r="C699" s="30">
        <f t="shared" si="42"/>
        <v>1.0890539938646955E-2</v>
      </c>
      <c r="D699" s="30">
        <f t="shared" si="40"/>
        <v>0.10680025801632909</v>
      </c>
      <c r="E699" s="30">
        <f t="shared" si="41"/>
        <v>0.1386108900017313</v>
      </c>
    </row>
    <row r="700" spans="2:5" ht="13.9" customHeight="1" x14ac:dyDescent="0.25">
      <c r="B700" s="29">
        <f t="shared" si="43"/>
        <v>7.1680115273774136</v>
      </c>
      <c r="C700" s="30">
        <f t="shared" si="42"/>
        <v>1.086017463225339E-2</v>
      </c>
      <c r="D700" s="30">
        <f t="shared" si="40"/>
        <v>0.10650247456611932</v>
      </c>
      <c r="E700" s="30">
        <f t="shared" si="41"/>
        <v>0.1386108900017313</v>
      </c>
    </row>
    <row r="701" spans="2:5" ht="13.9" customHeight="1" x14ac:dyDescent="0.25">
      <c r="B701" s="29">
        <f t="shared" si="43"/>
        <v>7.1780115273774134</v>
      </c>
      <c r="C701" s="30">
        <f t="shared" si="42"/>
        <v>1.0829936147123938E-2</v>
      </c>
      <c r="D701" s="30">
        <f t="shared" si="40"/>
        <v>0.10620593481400031</v>
      </c>
      <c r="E701" s="30">
        <f t="shared" si="41"/>
        <v>0.1386108900017313</v>
      </c>
    </row>
    <row r="702" spans="2:5" ht="13.9" customHeight="1" x14ac:dyDescent="0.25">
      <c r="B702" s="29">
        <f t="shared" si="43"/>
        <v>7.1880115273774132</v>
      </c>
      <c r="C702" s="30">
        <f t="shared" si="42"/>
        <v>1.0799823778012065E-2</v>
      </c>
      <c r="D702" s="30">
        <f t="shared" si="40"/>
        <v>0.1059106318438309</v>
      </c>
      <c r="E702" s="30">
        <f t="shared" si="41"/>
        <v>0.13861089000173127</v>
      </c>
    </row>
    <row r="703" spans="2:5" ht="13.9" customHeight="1" x14ac:dyDescent="0.25">
      <c r="B703" s="29">
        <f t="shared" si="43"/>
        <v>7.198011527377413</v>
      </c>
      <c r="C703" s="30">
        <f t="shared" si="42"/>
        <v>1.0769836824566725E-2</v>
      </c>
      <c r="D703" s="30">
        <f t="shared" si="40"/>
        <v>0.1056165587874785</v>
      </c>
      <c r="E703" s="30">
        <f t="shared" si="41"/>
        <v>0.1386108900017313</v>
      </c>
    </row>
    <row r="704" spans="2:5" ht="13.9" customHeight="1" x14ac:dyDescent="0.25">
      <c r="B704" s="29">
        <f t="shared" si="43"/>
        <v>7.2080115273774128</v>
      </c>
      <c r="C704" s="30">
        <f t="shared" si="42"/>
        <v>1.0739974591291647E-2</v>
      </c>
      <c r="D704" s="30">
        <f t="shared" si="40"/>
        <v>0.10532370882441978</v>
      </c>
      <c r="E704" s="30">
        <f t="shared" si="41"/>
        <v>0.13861089000173127</v>
      </c>
    </row>
    <row r="705" spans="2:5" ht="13.9" customHeight="1" x14ac:dyDescent="0.25">
      <c r="B705" s="29">
        <f t="shared" si="43"/>
        <v>7.2180115273774126</v>
      </c>
      <c r="C705" s="30">
        <f t="shared" si="42"/>
        <v>1.0710236387505002E-2</v>
      </c>
      <c r="D705" s="30">
        <f t="shared" si="40"/>
        <v>0.10503207518134529</v>
      </c>
      <c r="E705" s="30">
        <f t="shared" si="41"/>
        <v>0.1386108900017313</v>
      </c>
    </row>
    <row r="706" spans="2:5" ht="13.9" customHeight="1" x14ac:dyDescent="0.25">
      <c r="B706" s="29">
        <f t="shared" si="43"/>
        <v>7.2280115273774124</v>
      </c>
      <c r="C706" s="30">
        <f t="shared" si="42"/>
        <v>1.0680621527299464E-2</v>
      </c>
      <c r="D706" s="30">
        <f t="shared" si="40"/>
        <v>0.10474165113176764</v>
      </c>
      <c r="E706" s="30">
        <f t="shared" si="41"/>
        <v>0.1386108900017313</v>
      </c>
    </row>
    <row r="707" spans="2:5" ht="13.9" customHeight="1" x14ac:dyDescent="0.25">
      <c r="B707" s="29">
        <f t="shared" si="43"/>
        <v>7.2380115273774122</v>
      </c>
      <c r="C707" s="30">
        <f t="shared" si="42"/>
        <v>1.0651129329502669E-2</v>
      </c>
      <c r="D707" s="30">
        <f t="shared" si="40"/>
        <v>0.10445242999563381</v>
      </c>
      <c r="E707" s="30">
        <f t="shared" si="41"/>
        <v>0.1386108900017313</v>
      </c>
    </row>
    <row r="708" spans="2:5" ht="13.9" customHeight="1" x14ac:dyDescent="0.25">
      <c r="B708" s="29">
        <f t="shared" si="43"/>
        <v>7.2480115273774119</v>
      </c>
      <c r="C708" s="30">
        <f t="shared" si="42"/>
        <v>1.0621759117638029E-2</v>
      </c>
      <c r="D708" s="30">
        <f t="shared" si="40"/>
        <v>0.10416440513894086</v>
      </c>
      <c r="E708" s="30">
        <f t="shared" si="41"/>
        <v>0.13861089000173132</v>
      </c>
    </row>
    <row r="709" spans="2:5" ht="13.9" customHeight="1" x14ac:dyDescent="0.25">
      <c r="B709" s="29">
        <f t="shared" si="43"/>
        <v>7.2580115273774117</v>
      </c>
      <c r="C709" s="30">
        <f t="shared" si="42"/>
        <v>1.059251021988596E-2</v>
      </c>
      <c r="D709" s="30">
        <f t="shared" si="40"/>
        <v>0.10387756997335564</v>
      </c>
      <c r="E709" s="30">
        <f t="shared" si="41"/>
        <v>0.1386108900017313</v>
      </c>
    </row>
    <row r="710" spans="2:5" ht="13.9" customHeight="1" x14ac:dyDescent="0.25">
      <c r="B710" s="29">
        <f t="shared" si="43"/>
        <v>7.2680115273774115</v>
      </c>
      <c r="C710" s="30">
        <f t="shared" si="42"/>
        <v>1.0563381969045445E-2</v>
      </c>
      <c r="D710" s="30">
        <f t="shared" si="40"/>
        <v>0.10359191795583796</v>
      </c>
      <c r="E710" s="30">
        <f t="shared" si="41"/>
        <v>0.1386108900017313</v>
      </c>
    </row>
    <row r="711" spans="2:5" ht="13.9" customHeight="1" x14ac:dyDescent="0.25">
      <c r="B711" s="29">
        <f t="shared" si="43"/>
        <v>7.2780115273774113</v>
      </c>
      <c r="C711" s="30">
        <f t="shared" si="42"/>
        <v>1.0534373702495993E-2</v>
      </c>
      <c r="D711" s="30">
        <f t="shared" si="40"/>
        <v>0.10330744258826745</v>
      </c>
      <c r="E711" s="30">
        <f t="shared" si="41"/>
        <v>0.1386108900017313</v>
      </c>
    </row>
    <row r="712" spans="2:5" ht="13.9" customHeight="1" x14ac:dyDescent="0.25">
      <c r="B712" s="29">
        <f t="shared" si="43"/>
        <v>7.2880115273774111</v>
      </c>
      <c r="C712" s="30">
        <f t="shared" si="42"/>
        <v>1.0505484762159961E-2</v>
      </c>
      <c r="D712" s="30">
        <f t="shared" si="40"/>
        <v>0.10302413741707409</v>
      </c>
      <c r="E712" s="30">
        <f t="shared" si="41"/>
        <v>0.1386108900017313</v>
      </c>
    </row>
    <row r="713" spans="2:5" ht="13.9" customHeight="1" x14ac:dyDescent="0.25">
      <c r="B713" s="29">
        <f t="shared" si="43"/>
        <v>7.2980115273774109</v>
      </c>
      <c r="C713" s="30">
        <f t="shared" si="42"/>
        <v>1.0476714494465213E-2</v>
      </c>
      <c r="D713" s="30">
        <f t="shared" ref="D713:D776" si="44">C713*9.8067</f>
        <v>0.102741996032872</v>
      </c>
      <c r="E713" s="30">
        <f t="shared" ref="E713:E776" si="45">((B713^2)/(4*PI()^2))*D713</f>
        <v>0.1386108900017313</v>
      </c>
    </row>
    <row r="714" spans="2:5" ht="13.9" customHeight="1" x14ac:dyDescent="0.25">
      <c r="B714" s="29">
        <f t="shared" si="43"/>
        <v>7.3080115273774107</v>
      </c>
      <c r="C714" s="30">
        <f t="shared" si="42"/>
        <v>1.0448062250308176E-2</v>
      </c>
      <c r="D714" s="30">
        <f t="shared" si="44"/>
        <v>0.10246101207009718</v>
      </c>
      <c r="E714" s="30">
        <f t="shared" si="45"/>
        <v>0.13861089000173127</v>
      </c>
    </row>
    <row r="715" spans="2:5" ht="13.9" customHeight="1" x14ac:dyDescent="0.25">
      <c r="B715" s="29">
        <f t="shared" si="43"/>
        <v>7.3180115273774105</v>
      </c>
      <c r="C715" s="30">
        <f t="shared" si="42"/>
        <v>1.0419527385017214E-2</v>
      </c>
      <c r="D715" s="30">
        <f t="shared" si="44"/>
        <v>0.10218117920664831</v>
      </c>
      <c r="E715" s="30">
        <f t="shared" si="45"/>
        <v>0.1386108900017313</v>
      </c>
    </row>
    <row r="716" spans="2:5" ht="13.9" customHeight="1" x14ac:dyDescent="0.25">
      <c r="B716" s="29">
        <f t="shared" si="43"/>
        <v>7.3280115273774102</v>
      </c>
      <c r="C716" s="30">
        <f t="shared" si="42"/>
        <v>1.0391109258316362E-2</v>
      </c>
      <c r="D716" s="30">
        <f t="shared" si="44"/>
        <v>0.10190249116353106</v>
      </c>
      <c r="E716" s="30">
        <f t="shared" si="45"/>
        <v>0.13861089000173127</v>
      </c>
    </row>
    <row r="717" spans="2:5" ht="13.9" customHeight="1" x14ac:dyDescent="0.25">
      <c r="B717" s="29">
        <f t="shared" si="43"/>
        <v>7.33801152737741</v>
      </c>
      <c r="C717" s="30">
        <f t="shared" ref="C717:C780" si="46">IF(B717&lt;6,$C$5/B717,6*$C$5/B717^2)</f>
        <v>1.0362807234289425E-2</v>
      </c>
      <c r="D717" s="30">
        <f t="shared" si="44"/>
        <v>0.10162494170450609</v>
      </c>
      <c r="E717" s="30">
        <f t="shared" si="45"/>
        <v>0.13861089000173127</v>
      </c>
    </row>
    <row r="718" spans="2:5" ht="13.9" customHeight="1" x14ac:dyDescent="0.25">
      <c r="B718" s="29">
        <f t="shared" ref="B718:B781" si="47">B717+0.01</f>
        <v>7.3480115273774098</v>
      </c>
      <c r="C718" s="30">
        <f t="shared" si="46"/>
        <v>1.0334620681344385E-2</v>
      </c>
      <c r="D718" s="30">
        <f t="shared" si="44"/>
        <v>0.10134852463573997</v>
      </c>
      <c r="E718" s="30">
        <f t="shared" si="45"/>
        <v>0.1386108900017313</v>
      </c>
    </row>
    <row r="719" spans="2:5" ht="13.9" customHeight="1" x14ac:dyDescent="0.25">
      <c r="B719" s="29">
        <f t="shared" si="47"/>
        <v>7.3580115273774096</v>
      </c>
      <c r="C719" s="30">
        <f t="shared" si="46"/>
        <v>1.0306548972178175E-2</v>
      </c>
      <c r="D719" s="30">
        <f t="shared" si="44"/>
        <v>0.1010732338054597</v>
      </c>
      <c r="E719" s="30">
        <f t="shared" si="45"/>
        <v>0.13861089000173127</v>
      </c>
    </row>
    <row r="720" spans="2:5" ht="13.9" customHeight="1" x14ac:dyDescent="0.25">
      <c r="B720" s="29">
        <f t="shared" si="47"/>
        <v>7.3680115273774094</v>
      </c>
      <c r="C720" s="30">
        <f t="shared" si="46"/>
        <v>1.0278591483741774E-2</v>
      </c>
      <c r="D720" s="30">
        <f t="shared" si="44"/>
        <v>0.10079906310361045</v>
      </c>
      <c r="E720" s="30">
        <f t="shared" si="45"/>
        <v>0.1386108900017313</v>
      </c>
    </row>
    <row r="721" spans="2:5" ht="13.9" customHeight="1" x14ac:dyDescent="0.25">
      <c r="B721" s="29">
        <f t="shared" si="47"/>
        <v>7.3780115273774092</v>
      </c>
      <c r="C721" s="30">
        <f t="shared" si="46"/>
        <v>1.0250747597205633E-2</v>
      </c>
      <c r="D721" s="30">
        <f t="shared" si="44"/>
        <v>0.10052600646151648</v>
      </c>
      <c r="E721" s="30">
        <f t="shared" si="45"/>
        <v>0.13861089000173127</v>
      </c>
    </row>
    <row r="722" spans="2:5" ht="13.9" customHeight="1" x14ac:dyDescent="0.25">
      <c r="B722" s="29">
        <f t="shared" si="47"/>
        <v>7.388011527377409</v>
      </c>
      <c r="C722" s="30">
        <f t="shared" si="46"/>
        <v>1.0223016697925432E-2</v>
      </c>
      <c r="D722" s="30">
        <f t="shared" si="44"/>
        <v>0.10025405785154533</v>
      </c>
      <c r="E722" s="30">
        <f t="shared" si="45"/>
        <v>0.13861089000173127</v>
      </c>
    </row>
    <row r="723" spans="2:5" ht="13.9" customHeight="1" x14ac:dyDescent="0.25">
      <c r="B723" s="29">
        <f t="shared" si="47"/>
        <v>7.3980115273774087</v>
      </c>
      <c r="C723" s="30">
        <f t="shared" si="46"/>
        <v>1.0195398175408163E-2</v>
      </c>
      <c r="D723" s="30">
        <f t="shared" si="44"/>
        <v>9.9983211286775231E-2</v>
      </c>
      <c r="E723" s="30">
        <f t="shared" si="45"/>
        <v>0.1386108900017313</v>
      </c>
    </row>
    <row r="724" spans="2:5" ht="13.9" customHeight="1" x14ac:dyDescent="0.25">
      <c r="B724" s="29">
        <f t="shared" si="47"/>
        <v>7.4080115273774085</v>
      </c>
      <c r="C724" s="30">
        <f t="shared" si="46"/>
        <v>1.016789142327852E-2</v>
      </c>
      <c r="D724" s="30">
        <f t="shared" si="44"/>
        <v>9.9713460820665456E-2</v>
      </c>
      <c r="E724" s="30">
        <f t="shared" si="45"/>
        <v>0.13861089000173127</v>
      </c>
    </row>
    <row r="725" spans="2:5" ht="13.9" customHeight="1" x14ac:dyDescent="0.25">
      <c r="B725" s="29">
        <f t="shared" si="47"/>
        <v>7.4180115273774083</v>
      </c>
      <c r="C725" s="30">
        <f t="shared" si="46"/>
        <v>1.0140495839245632E-2</v>
      </c>
      <c r="D725" s="30">
        <f t="shared" si="44"/>
        <v>9.9444800546730133E-2</v>
      </c>
      <c r="E725" s="30">
        <f t="shared" si="45"/>
        <v>0.1386108900017313</v>
      </c>
    </row>
    <row r="726" spans="2:5" ht="13.9" customHeight="1" x14ac:dyDescent="0.25">
      <c r="B726" s="29">
        <f t="shared" si="47"/>
        <v>7.4280115273774081</v>
      </c>
      <c r="C726" s="30">
        <f t="shared" si="46"/>
        <v>1.0113210825070077E-2</v>
      </c>
      <c r="D726" s="30">
        <f t="shared" si="44"/>
        <v>9.9177224598214722E-2</v>
      </c>
      <c r="E726" s="30">
        <f t="shared" si="45"/>
        <v>0.1386108900017313</v>
      </c>
    </row>
    <row r="727" spans="2:5" ht="13.9" customHeight="1" x14ac:dyDescent="0.25">
      <c r="B727" s="29">
        <f t="shared" si="47"/>
        <v>7.4380115273774079</v>
      </c>
      <c r="C727" s="30">
        <f t="shared" si="46"/>
        <v>1.0086035786531229E-2</v>
      </c>
      <c r="D727" s="30">
        <f t="shared" si="44"/>
        <v>9.8910727147775795E-2</v>
      </c>
      <c r="E727" s="30">
        <f t="shared" si="45"/>
        <v>0.1386108900017313</v>
      </c>
    </row>
    <row r="728" spans="2:5" ht="13.9" customHeight="1" x14ac:dyDescent="0.25">
      <c r="B728" s="29">
        <f t="shared" si="47"/>
        <v>7.4480115273774077</v>
      </c>
      <c r="C728" s="30">
        <f t="shared" si="46"/>
        <v>1.0058970133394908E-2</v>
      </c>
      <c r="D728" s="30">
        <f t="shared" si="44"/>
        <v>9.8645302407163835E-2</v>
      </c>
      <c r="E728" s="30">
        <f t="shared" si="45"/>
        <v>0.1386108900017313</v>
      </c>
    </row>
    <row r="729" spans="2:5" ht="13.9" customHeight="1" x14ac:dyDescent="0.25">
      <c r="B729" s="29">
        <f t="shared" si="47"/>
        <v>7.4580115273774075</v>
      </c>
      <c r="C729" s="30">
        <f t="shared" si="46"/>
        <v>1.0032013279381323E-2</v>
      </c>
      <c r="D729" s="30">
        <f t="shared" si="44"/>
        <v>9.8380944626908814E-2</v>
      </c>
      <c r="E729" s="30">
        <f t="shared" si="45"/>
        <v>0.1386108900017313</v>
      </c>
    </row>
    <row r="730" spans="2:5" ht="13.9" customHeight="1" x14ac:dyDescent="0.25">
      <c r="B730" s="29">
        <f t="shared" si="47"/>
        <v>7.4680115273774073</v>
      </c>
      <c r="C730" s="30">
        <f t="shared" si="46"/>
        <v>1.0005164642133333E-2</v>
      </c>
      <c r="D730" s="30">
        <f t="shared" si="44"/>
        <v>9.8117648096008953E-2</v>
      </c>
      <c r="E730" s="30">
        <f t="shared" si="45"/>
        <v>0.1386108900017313</v>
      </c>
    </row>
    <row r="731" spans="2:5" ht="13.9" customHeight="1" x14ac:dyDescent="0.25">
      <c r="B731" s="29">
        <f t="shared" si="47"/>
        <v>7.478011527377407</v>
      </c>
      <c r="C731" s="30">
        <f t="shared" si="46"/>
        <v>9.9784236431849829E-3</v>
      </c>
      <c r="D731" s="30">
        <f t="shared" si="44"/>
        <v>9.7855407141622164E-2</v>
      </c>
      <c r="E731" s="30">
        <f t="shared" si="45"/>
        <v>0.13861089000173127</v>
      </c>
    </row>
    <row r="732" spans="2:5" ht="13.9" customHeight="1" x14ac:dyDescent="0.25">
      <c r="B732" s="29">
        <f t="shared" si="47"/>
        <v>7.4880115273774068</v>
      </c>
      <c r="C732" s="30">
        <f t="shared" si="46"/>
        <v>9.9517897079303558E-3</v>
      </c>
      <c r="D732" s="30">
        <f t="shared" si="44"/>
        <v>9.7594216128760611E-2</v>
      </c>
      <c r="E732" s="30">
        <f t="shared" si="45"/>
        <v>0.13861089000173127</v>
      </c>
    </row>
    <row r="733" spans="2:5" ht="13.9" customHeight="1" x14ac:dyDescent="0.25">
      <c r="B733" s="29">
        <f t="shared" si="47"/>
        <v>7.4980115273774066</v>
      </c>
      <c r="C733" s="30">
        <f t="shared" si="46"/>
        <v>9.9252622655926926E-3</v>
      </c>
      <c r="D733" s="30">
        <f t="shared" si="44"/>
        <v>9.7334069459987849E-2</v>
      </c>
      <c r="E733" s="30">
        <f t="shared" si="45"/>
        <v>0.1386108900017313</v>
      </c>
    </row>
    <row r="734" spans="2:5" ht="13.9" customHeight="1" x14ac:dyDescent="0.25">
      <c r="B734" s="29">
        <f t="shared" si="47"/>
        <v>7.5080115273774064</v>
      </c>
      <c r="C734" s="30">
        <f t="shared" si="46"/>
        <v>9.8988407491938258E-3</v>
      </c>
      <c r="D734" s="30">
        <f t="shared" si="44"/>
        <v>9.7074961575119079E-2</v>
      </c>
      <c r="E734" s="30">
        <f t="shared" si="45"/>
        <v>0.1386108900017313</v>
      </c>
    </row>
    <row r="735" spans="2:5" ht="13.9" customHeight="1" x14ac:dyDescent="0.25">
      <c r="B735" s="29">
        <f t="shared" si="47"/>
        <v>7.5180115273774062</v>
      </c>
      <c r="C735" s="30">
        <f t="shared" si="46"/>
        <v>9.8725245955238738E-3</v>
      </c>
      <c r="D735" s="30">
        <f t="shared" si="44"/>
        <v>9.6816886950923969E-2</v>
      </c>
      <c r="E735" s="30">
        <f t="shared" si="45"/>
        <v>0.1386108900017313</v>
      </c>
    </row>
    <row r="736" spans="2:5" ht="13.9" customHeight="1" x14ac:dyDescent="0.25">
      <c r="B736" s="29">
        <f t="shared" si="47"/>
        <v>7.528011527377406</v>
      </c>
      <c r="C736" s="30">
        <f t="shared" si="46"/>
        <v>9.8463132451112323E-3</v>
      </c>
      <c r="D736" s="30">
        <f t="shared" si="44"/>
        <v>9.6559840100832309E-2</v>
      </c>
      <c r="E736" s="30">
        <f t="shared" si="45"/>
        <v>0.13861089000173127</v>
      </c>
    </row>
    <row r="737" spans="2:5" ht="13.9" customHeight="1" x14ac:dyDescent="0.25">
      <c r="B737" s="29">
        <f t="shared" si="47"/>
        <v>7.5380115273774058</v>
      </c>
      <c r="C737" s="30">
        <f t="shared" si="46"/>
        <v>9.8202061421928354E-3</v>
      </c>
      <c r="D737" s="30">
        <f t="shared" si="44"/>
        <v>9.6303815574642473E-2</v>
      </c>
      <c r="E737" s="30">
        <f t="shared" si="45"/>
        <v>0.1386108900017313</v>
      </c>
    </row>
    <row r="738" spans="2:5" ht="13.9" customHeight="1" x14ac:dyDescent="0.25">
      <c r="B738" s="29">
        <f t="shared" si="47"/>
        <v>7.5480115273774055</v>
      </c>
      <c r="C738" s="30">
        <f t="shared" si="46"/>
        <v>9.7942027346846934E-3</v>
      </c>
      <c r="D738" s="30">
        <f t="shared" si="44"/>
        <v>9.6048807958232382E-2</v>
      </c>
      <c r="E738" s="30">
        <f t="shared" si="45"/>
        <v>0.1386108900017313</v>
      </c>
    </row>
    <row r="739" spans="2:5" ht="13.9" customHeight="1" x14ac:dyDescent="0.25">
      <c r="B739" s="29">
        <f t="shared" si="47"/>
        <v>7.5580115273774053</v>
      </c>
      <c r="C739" s="30">
        <f t="shared" si="46"/>
        <v>9.7683024741527149E-3</v>
      </c>
      <c r="D739" s="30">
        <f t="shared" si="44"/>
        <v>9.5794811873273419E-2</v>
      </c>
      <c r="E739" s="30">
        <f t="shared" si="45"/>
        <v>0.13861089000173127</v>
      </c>
    </row>
    <row r="740" spans="2:5" ht="13.9" customHeight="1" x14ac:dyDescent="0.25">
      <c r="B740" s="29">
        <f t="shared" si="47"/>
        <v>7.5680115273774051</v>
      </c>
      <c r="C740" s="30">
        <f t="shared" si="46"/>
        <v>9.7425048157837781E-3</v>
      </c>
      <c r="D740" s="30">
        <f t="shared" si="44"/>
        <v>9.5541821976946772E-2</v>
      </c>
      <c r="E740" s="30">
        <f t="shared" si="45"/>
        <v>0.1386108900017313</v>
      </c>
    </row>
    <row r="741" spans="2:5" ht="13.9" customHeight="1" x14ac:dyDescent="0.25">
      <c r="B741" s="29">
        <f t="shared" si="47"/>
        <v>7.5780115273774049</v>
      </c>
      <c r="C741" s="30">
        <f t="shared" si="46"/>
        <v>9.7168092183570857E-3</v>
      </c>
      <c r="D741" s="30">
        <f t="shared" si="44"/>
        <v>9.5289832961662421E-2</v>
      </c>
      <c r="E741" s="30">
        <f t="shared" si="45"/>
        <v>0.13861089000173127</v>
      </c>
    </row>
    <row r="742" spans="2:5" ht="13.9" customHeight="1" x14ac:dyDescent="0.25">
      <c r="B742" s="29">
        <f t="shared" si="47"/>
        <v>7.5880115273774047</v>
      </c>
      <c r="C742" s="30">
        <f t="shared" si="46"/>
        <v>9.6912151442157812E-3</v>
      </c>
      <c r="D742" s="30">
        <f t="shared" si="44"/>
        <v>9.5038839554780902E-2</v>
      </c>
      <c r="E742" s="30">
        <f t="shared" si="45"/>
        <v>0.13861089000173132</v>
      </c>
    </row>
    <row r="743" spans="2:5" ht="13.9" customHeight="1" x14ac:dyDescent="0.25">
      <c r="B743" s="29">
        <f t="shared" si="47"/>
        <v>7.5980115273774045</v>
      </c>
      <c r="C743" s="30">
        <f t="shared" si="46"/>
        <v>9.6657220592388116E-3</v>
      </c>
      <c r="D743" s="30">
        <f t="shared" si="44"/>
        <v>9.4788836518337249E-2</v>
      </c>
      <c r="E743" s="30">
        <f t="shared" si="45"/>
        <v>0.1386108900017313</v>
      </c>
    </row>
    <row r="744" spans="2:5" ht="13.9" customHeight="1" x14ac:dyDescent="0.25">
      <c r="B744" s="29">
        <f t="shared" si="47"/>
        <v>7.6080115273774043</v>
      </c>
      <c r="C744" s="30">
        <f t="shared" si="46"/>
        <v>9.6403294328130818E-3</v>
      </c>
      <c r="D744" s="30">
        <f t="shared" si="44"/>
        <v>9.4539818648768037E-2</v>
      </c>
      <c r="E744" s="30">
        <f t="shared" si="45"/>
        <v>0.13861089000173127</v>
      </c>
    </row>
    <row r="745" spans="2:5" ht="13.9" customHeight="1" x14ac:dyDescent="0.25">
      <c r="B745" s="29">
        <f t="shared" si="47"/>
        <v>7.6180115273774041</v>
      </c>
      <c r="C745" s="30">
        <f t="shared" si="46"/>
        <v>9.6150367378058186E-3</v>
      </c>
      <c r="D745" s="30">
        <f t="shared" si="44"/>
        <v>9.4291780776640313E-2</v>
      </c>
      <c r="E745" s="30">
        <f t="shared" si="45"/>
        <v>0.1386108900017313</v>
      </c>
    </row>
    <row r="746" spans="2:5" ht="13.9" customHeight="1" x14ac:dyDescent="0.25">
      <c r="B746" s="29">
        <f t="shared" si="47"/>
        <v>7.6280115273774038</v>
      </c>
      <c r="C746" s="30">
        <f t="shared" si="46"/>
        <v>9.5898434505372367E-3</v>
      </c>
      <c r="D746" s="30">
        <f t="shared" si="44"/>
        <v>9.4044717766383512E-2</v>
      </c>
      <c r="E746" s="30">
        <f t="shared" si="45"/>
        <v>0.1386108900017313</v>
      </c>
    </row>
    <row r="747" spans="2:5" ht="13.9" customHeight="1" x14ac:dyDescent="0.25">
      <c r="B747" s="29">
        <f t="shared" si="47"/>
        <v>7.6380115273774036</v>
      </c>
      <c r="C747" s="30">
        <f t="shared" si="46"/>
        <v>9.5647490507534128E-3</v>
      </c>
      <c r="D747" s="30">
        <f t="shared" si="44"/>
        <v>9.3798624516023485E-2</v>
      </c>
      <c r="E747" s="30">
        <f t="shared" si="45"/>
        <v>0.13861089000173127</v>
      </c>
    </row>
    <row r="748" spans="2:5" ht="13.9" customHeight="1" x14ac:dyDescent="0.25">
      <c r="B748" s="29">
        <f t="shared" si="47"/>
        <v>7.6480115273774034</v>
      </c>
      <c r="C748" s="30">
        <f t="shared" si="46"/>
        <v>9.5397530215994425E-3</v>
      </c>
      <c r="D748" s="30">
        <f t="shared" si="44"/>
        <v>9.3553495956919253E-2</v>
      </c>
      <c r="E748" s="30">
        <f t="shared" si="45"/>
        <v>0.1386108900017313</v>
      </c>
    </row>
    <row r="749" spans="2:5" ht="13.9" customHeight="1" x14ac:dyDescent="0.25">
      <c r="B749" s="29">
        <f t="shared" si="47"/>
        <v>7.6580115273774032</v>
      </c>
      <c r="C749" s="30">
        <f t="shared" si="46"/>
        <v>9.5148548495928124E-3</v>
      </c>
      <c r="D749" s="30">
        <f t="shared" si="44"/>
        <v>9.3309327053501825E-2</v>
      </c>
      <c r="E749" s="30">
        <f t="shared" si="45"/>
        <v>0.1386108900017313</v>
      </c>
    </row>
    <row r="750" spans="2:5" ht="13.9" customHeight="1" x14ac:dyDescent="0.25">
      <c r="B750" s="29">
        <f t="shared" si="47"/>
        <v>7.668011527377403</v>
      </c>
      <c r="C750" s="30">
        <f t="shared" si="46"/>
        <v>9.4900540245970409E-3</v>
      </c>
      <c r="D750" s="30">
        <f t="shared" si="44"/>
        <v>9.3066112803015799E-2</v>
      </c>
      <c r="E750" s="30">
        <f t="shared" si="45"/>
        <v>0.1386108900017313</v>
      </c>
    </row>
    <row r="751" spans="2:5" ht="13.9" customHeight="1" x14ac:dyDescent="0.25">
      <c r="B751" s="29">
        <f t="shared" si="47"/>
        <v>7.6780115273774028</v>
      </c>
      <c r="C751" s="30">
        <f t="shared" si="46"/>
        <v>9.465350039795541E-3</v>
      </c>
      <c r="D751" s="30">
        <f t="shared" si="44"/>
        <v>9.2823848235262921E-2</v>
      </c>
      <c r="E751" s="30">
        <f t="shared" si="45"/>
        <v>0.13861089000173127</v>
      </c>
    </row>
    <row r="752" spans="2:5" ht="13.9" customHeight="1" x14ac:dyDescent="0.25">
      <c r="B752" s="29">
        <f t="shared" si="47"/>
        <v>7.6880115273774026</v>
      </c>
      <c r="C752" s="30">
        <f t="shared" si="46"/>
        <v>9.4407423916657313E-3</v>
      </c>
      <c r="D752" s="30">
        <f t="shared" si="44"/>
        <v>9.2582528412348319E-2</v>
      </c>
      <c r="E752" s="30">
        <f t="shared" si="45"/>
        <v>0.1386108900017313</v>
      </c>
    </row>
    <row r="753" spans="2:5" ht="13.9" customHeight="1" x14ac:dyDescent="0.25">
      <c r="B753" s="29">
        <f t="shared" si="47"/>
        <v>7.6980115273774024</v>
      </c>
      <c r="C753" s="30">
        <f t="shared" si="46"/>
        <v>9.4162305799533712E-3</v>
      </c>
      <c r="D753" s="30">
        <f t="shared" si="44"/>
        <v>9.2342148428428722E-2</v>
      </c>
      <c r="E753" s="30">
        <f t="shared" si="45"/>
        <v>0.1386108900017313</v>
      </c>
    </row>
    <row r="754" spans="2:5" ht="13.9" customHeight="1" x14ac:dyDescent="0.25">
      <c r="B754" s="29">
        <f t="shared" si="47"/>
        <v>7.7080115273774021</v>
      </c>
      <c r="C754" s="30">
        <f t="shared" si="46"/>
        <v>9.3918141076471482E-3</v>
      </c>
      <c r="D754" s="30">
        <f t="shared" si="44"/>
        <v>9.2102703409463277E-2</v>
      </c>
      <c r="E754" s="30">
        <f t="shared" si="45"/>
        <v>0.1386108900017313</v>
      </c>
    </row>
    <row r="755" spans="2:5" ht="13.9" customHeight="1" x14ac:dyDescent="0.25">
      <c r="B755" s="29">
        <f t="shared" si="47"/>
        <v>7.7180115273774019</v>
      </c>
      <c r="C755" s="30">
        <f t="shared" si="46"/>
        <v>9.3674924809534713E-3</v>
      </c>
      <c r="D755" s="30">
        <f t="shared" si="44"/>
        <v>9.1864188512966405E-2</v>
      </c>
      <c r="E755" s="30">
        <f t="shared" si="45"/>
        <v>0.13861089000173132</v>
      </c>
    </row>
    <row r="756" spans="2:5" ht="13.9" customHeight="1" x14ac:dyDescent="0.25">
      <c r="B756" s="29">
        <f t="shared" si="47"/>
        <v>7.7280115273774017</v>
      </c>
      <c r="C756" s="30">
        <f t="shared" si="46"/>
        <v>9.343265209271515E-3</v>
      </c>
      <c r="D756" s="30">
        <f t="shared" si="44"/>
        <v>9.1626598927762953E-2</v>
      </c>
      <c r="E756" s="30">
        <f t="shared" si="45"/>
        <v>0.1386108900017313</v>
      </c>
    </row>
    <row r="757" spans="2:5" ht="13.9" customHeight="1" x14ac:dyDescent="0.25">
      <c r="B757" s="29">
        <f t="shared" si="47"/>
        <v>7.7380115273774015</v>
      </c>
      <c r="C757" s="30">
        <f t="shared" si="46"/>
        <v>9.3191318051684732E-3</v>
      </c>
      <c r="D757" s="30">
        <f t="shared" si="44"/>
        <v>9.1389929873745654E-2</v>
      </c>
      <c r="E757" s="30">
        <f t="shared" si="45"/>
        <v>0.13861089000173127</v>
      </c>
    </row>
    <row r="758" spans="2:5" ht="13.9" customHeight="1" x14ac:dyDescent="0.25">
      <c r="B758" s="29">
        <f t="shared" si="47"/>
        <v>7.7480115273774013</v>
      </c>
      <c r="C758" s="30">
        <f t="shared" si="46"/>
        <v>9.2950917843550428E-3</v>
      </c>
      <c r="D758" s="30">
        <f t="shared" si="44"/>
        <v>9.1154176601634593E-2</v>
      </c>
      <c r="E758" s="30">
        <f t="shared" si="45"/>
        <v>0.1386108900017313</v>
      </c>
    </row>
    <row r="759" spans="2:5" ht="13.9" customHeight="1" x14ac:dyDescent="0.25">
      <c r="B759" s="29">
        <f t="shared" si="47"/>
        <v>7.7580115273774011</v>
      </c>
      <c r="C759" s="30">
        <f t="shared" si="46"/>
        <v>9.2711446656611272E-3</v>
      </c>
      <c r="D759" s="30">
        <f t="shared" si="44"/>
        <v>9.0919334392738971E-2</v>
      </c>
      <c r="E759" s="30">
        <f t="shared" si="45"/>
        <v>0.13861089000173127</v>
      </c>
    </row>
    <row r="760" spans="2:5" ht="13.9" customHeight="1" x14ac:dyDescent="0.25">
      <c r="B760" s="29">
        <f t="shared" si="47"/>
        <v>7.7680115273774009</v>
      </c>
      <c r="C760" s="30">
        <f t="shared" si="46"/>
        <v>9.2472899710117646E-3</v>
      </c>
      <c r="D760" s="30">
        <f t="shared" si="44"/>
        <v>9.068539855872107E-2</v>
      </c>
      <c r="E760" s="30">
        <f t="shared" si="45"/>
        <v>0.1386108900017313</v>
      </c>
    </row>
    <row r="761" spans="2:5" ht="13.9" customHeight="1" x14ac:dyDescent="0.25">
      <c r="B761" s="29">
        <f t="shared" si="47"/>
        <v>7.7780115273774006</v>
      </c>
      <c r="C761" s="30">
        <f t="shared" si="46"/>
        <v>9.223527225403259E-3</v>
      </c>
      <c r="D761" s="30">
        <f t="shared" si="44"/>
        <v>9.0452364441362135E-2</v>
      </c>
      <c r="E761" s="30">
        <f t="shared" si="45"/>
        <v>0.1386108900017313</v>
      </c>
    </row>
    <row r="762" spans="2:5" ht="13.9" customHeight="1" x14ac:dyDescent="0.25">
      <c r="B762" s="29">
        <f t="shared" si="47"/>
        <v>7.7880115273774004</v>
      </c>
      <c r="C762" s="30">
        <f t="shared" si="46"/>
        <v>9.1998559568795372E-3</v>
      </c>
      <c r="D762" s="30">
        <f t="shared" si="44"/>
        <v>9.0220227412330545E-2</v>
      </c>
      <c r="E762" s="30">
        <f t="shared" si="45"/>
        <v>0.1386108900017313</v>
      </c>
    </row>
    <row r="763" spans="2:5" ht="13.9" customHeight="1" x14ac:dyDescent="0.25">
      <c r="B763" s="29">
        <f t="shared" si="47"/>
        <v>7.7980115273774002</v>
      </c>
      <c r="C763" s="30">
        <f t="shared" si="46"/>
        <v>9.1762756965087199E-3</v>
      </c>
      <c r="D763" s="30">
        <f t="shared" si="44"/>
        <v>8.9988982872952053E-2</v>
      </c>
      <c r="E763" s="30">
        <f t="shared" si="45"/>
        <v>0.1386108900017313</v>
      </c>
    </row>
    <row r="764" spans="2:5" ht="13.9" customHeight="1" x14ac:dyDescent="0.25">
      <c r="B764" s="29">
        <f t="shared" si="47"/>
        <v>7.8080115273774</v>
      </c>
      <c r="C764" s="30">
        <f t="shared" si="46"/>
        <v>9.152785978359888E-3</v>
      </c>
      <c r="D764" s="30">
        <f t="shared" si="44"/>
        <v>8.9758626253981913E-2</v>
      </c>
      <c r="E764" s="30">
        <f t="shared" si="45"/>
        <v>0.1386108900017313</v>
      </c>
    </row>
    <row r="765" spans="2:5" ht="13.9" customHeight="1" x14ac:dyDescent="0.25">
      <c r="B765" s="29">
        <f t="shared" si="47"/>
        <v>7.8180115273773998</v>
      </c>
      <c r="C765" s="30">
        <f t="shared" si="46"/>
        <v>9.129386339480074E-3</v>
      </c>
      <c r="D765" s="30">
        <f t="shared" si="44"/>
        <v>8.952915301537924E-2</v>
      </c>
      <c r="E765" s="30">
        <f t="shared" si="45"/>
        <v>0.1386108900017313</v>
      </c>
    </row>
    <row r="766" spans="2:5" ht="13.9" customHeight="1" x14ac:dyDescent="0.25">
      <c r="B766" s="29">
        <f t="shared" si="47"/>
        <v>7.8280115273773996</v>
      </c>
      <c r="C766" s="30">
        <f t="shared" si="46"/>
        <v>9.1060763198714482E-3</v>
      </c>
      <c r="D766" s="30">
        <f t="shared" si="44"/>
        <v>8.9300558646083328E-2</v>
      </c>
      <c r="E766" s="30">
        <f t="shared" si="45"/>
        <v>0.1386108900017313</v>
      </c>
    </row>
    <row r="767" spans="2:5" ht="13.9" customHeight="1" x14ac:dyDescent="0.25">
      <c r="B767" s="29">
        <f t="shared" si="47"/>
        <v>7.8380115273773994</v>
      </c>
      <c r="C767" s="30">
        <f t="shared" si="46"/>
        <v>9.08285546246871E-3</v>
      </c>
      <c r="D767" s="30">
        <f t="shared" si="44"/>
        <v>8.9072838663791898E-2</v>
      </c>
      <c r="E767" s="30">
        <f t="shared" si="45"/>
        <v>0.1386108900017313</v>
      </c>
    </row>
    <row r="768" spans="2:5" ht="13.9" customHeight="1" x14ac:dyDescent="0.25">
      <c r="B768" s="29">
        <f t="shared" si="47"/>
        <v>7.8480115273773992</v>
      </c>
      <c r="C768" s="30">
        <f t="shared" si="46"/>
        <v>9.0597233131166858E-3</v>
      </c>
      <c r="D768" s="30">
        <f t="shared" si="44"/>
        <v>8.8845988614741397E-2</v>
      </c>
      <c r="E768" s="30">
        <f t="shared" si="45"/>
        <v>0.1386108900017313</v>
      </c>
    </row>
    <row r="769" spans="2:5" ht="13.9" customHeight="1" x14ac:dyDescent="0.25">
      <c r="B769" s="29">
        <f t="shared" si="47"/>
        <v>7.8580115273773989</v>
      </c>
      <c r="C769" s="30">
        <f t="shared" si="46"/>
        <v>9.0366794205481195E-3</v>
      </c>
      <c r="D769" s="30">
        <f t="shared" si="44"/>
        <v>8.8620004073489231E-2</v>
      </c>
      <c r="E769" s="30">
        <f t="shared" si="45"/>
        <v>0.13861089000173127</v>
      </c>
    </row>
    <row r="770" spans="2:5" ht="13.9" customHeight="1" x14ac:dyDescent="0.25">
      <c r="B770" s="29">
        <f t="shared" si="47"/>
        <v>7.8680115273773987</v>
      </c>
      <c r="C770" s="30">
        <f t="shared" si="46"/>
        <v>9.0137233363616672E-3</v>
      </c>
      <c r="D770" s="30">
        <f t="shared" si="44"/>
        <v>8.8394880642697959E-2</v>
      </c>
      <c r="E770" s="30">
        <f t="shared" si="45"/>
        <v>0.1386108900017313</v>
      </c>
    </row>
    <row r="771" spans="2:5" ht="13.9" customHeight="1" x14ac:dyDescent="0.25">
      <c r="B771" s="29">
        <f t="shared" si="47"/>
        <v>7.8780115273773985</v>
      </c>
      <c r="C771" s="30">
        <f t="shared" si="46"/>
        <v>8.9908546150000799E-3</v>
      </c>
      <c r="D771" s="30">
        <f t="shared" si="44"/>
        <v>8.8170613952921278E-2</v>
      </c>
      <c r="E771" s="30">
        <f t="shared" si="45"/>
        <v>0.13861089000173132</v>
      </c>
    </row>
    <row r="772" spans="2:5" ht="13.9" customHeight="1" x14ac:dyDescent="0.25">
      <c r="B772" s="29">
        <f t="shared" si="47"/>
        <v>7.8880115273773983</v>
      </c>
      <c r="C772" s="30">
        <f t="shared" si="46"/>
        <v>8.9680728137285851E-3</v>
      </c>
      <c r="D772" s="30">
        <f t="shared" si="44"/>
        <v>8.7947199662392103E-2</v>
      </c>
      <c r="E772" s="30">
        <f t="shared" si="45"/>
        <v>0.1386108900017313</v>
      </c>
    </row>
    <row r="773" spans="2:5" ht="13.9" customHeight="1" x14ac:dyDescent="0.25">
      <c r="B773" s="29">
        <f t="shared" si="47"/>
        <v>7.8980115273773981</v>
      </c>
      <c r="C773" s="30">
        <f t="shared" si="46"/>
        <v>8.9453774926134631E-3</v>
      </c>
      <c r="D773" s="30">
        <f t="shared" si="44"/>
        <v>8.7724633456812445E-2</v>
      </c>
      <c r="E773" s="30">
        <f t="shared" si="45"/>
        <v>0.1386108900017313</v>
      </c>
    </row>
    <row r="774" spans="2:5" ht="13.9" customHeight="1" x14ac:dyDescent="0.25">
      <c r="B774" s="29">
        <f t="shared" si="47"/>
        <v>7.9080115273773979</v>
      </c>
      <c r="C774" s="30">
        <f t="shared" si="46"/>
        <v>8.9227682145008001E-3</v>
      </c>
      <c r="D774" s="30">
        <f t="shared" si="44"/>
        <v>8.7502911049144996E-2</v>
      </c>
      <c r="E774" s="30">
        <f t="shared" si="45"/>
        <v>0.1386108900017313</v>
      </c>
    </row>
    <row r="775" spans="2:5" ht="13.9" customHeight="1" x14ac:dyDescent="0.25">
      <c r="B775" s="29">
        <f t="shared" si="47"/>
        <v>7.9180115273773977</v>
      </c>
      <c r="C775" s="30">
        <f t="shared" si="46"/>
        <v>8.9002445449954445E-3</v>
      </c>
      <c r="D775" s="30">
        <f t="shared" si="44"/>
        <v>8.728202817940682E-2</v>
      </c>
      <c r="E775" s="30">
        <f t="shared" si="45"/>
        <v>0.13861089000173132</v>
      </c>
    </row>
    <row r="776" spans="2:5" ht="13.9" customHeight="1" x14ac:dyDescent="0.25">
      <c r="B776" s="29">
        <f t="shared" si="47"/>
        <v>7.9280115273773974</v>
      </c>
      <c r="C776" s="30">
        <f t="shared" si="46"/>
        <v>8.8778060524401323E-3</v>
      </c>
      <c r="D776" s="30">
        <f t="shared" si="44"/>
        <v>8.7061980614464643E-2</v>
      </c>
      <c r="E776" s="30">
        <f t="shared" si="45"/>
        <v>0.1386108900017313</v>
      </c>
    </row>
    <row r="777" spans="2:5" ht="13.9" customHeight="1" x14ac:dyDescent="0.25">
      <c r="B777" s="29">
        <f t="shared" si="47"/>
        <v>7.9380115273773972</v>
      </c>
      <c r="C777" s="30">
        <f t="shared" si="46"/>
        <v>8.8554523078948188E-3</v>
      </c>
      <c r="D777" s="30">
        <f t="shared" ref="D777:D840" si="48">C777*9.8067</f>
        <v>8.6842764147832111E-2</v>
      </c>
      <c r="E777" s="30">
        <f t="shared" ref="E777:E840" si="49">((B777^2)/(4*PI()^2))*D777</f>
        <v>0.13861089000173127</v>
      </c>
    </row>
    <row r="778" spans="2:5" ht="13.9" customHeight="1" x14ac:dyDescent="0.25">
      <c r="B778" s="29">
        <f t="shared" si="47"/>
        <v>7.948011527377397</v>
      </c>
      <c r="C778" s="30">
        <f t="shared" si="46"/>
        <v>8.8331828851161698E-3</v>
      </c>
      <c r="D778" s="30">
        <f t="shared" si="48"/>
        <v>8.6624374599468743E-2</v>
      </c>
      <c r="E778" s="30">
        <f t="shared" si="49"/>
        <v>0.1386108900017313</v>
      </c>
    </row>
    <row r="779" spans="2:5" ht="13.9" customHeight="1" x14ac:dyDescent="0.25">
      <c r="B779" s="29">
        <f t="shared" si="47"/>
        <v>7.9580115273773968</v>
      </c>
      <c r="C779" s="30">
        <f t="shared" si="46"/>
        <v>8.8109973605372399E-3</v>
      </c>
      <c r="D779" s="30">
        <f t="shared" si="48"/>
        <v>8.640680781558055E-2</v>
      </c>
      <c r="E779" s="30">
        <f t="shared" si="49"/>
        <v>0.13861089000173132</v>
      </c>
    </row>
    <row r="780" spans="2:5" ht="13.9" customHeight="1" x14ac:dyDescent="0.25">
      <c r="B780" s="29">
        <f t="shared" si="47"/>
        <v>7.9680115273773966</v>
      </c>
      <c r="C780" s="30">
        <f t="shared" si="46"/>
        <v>8.7888953132473392E-3</v>
      </c>
      <c r="D780" s="30">
        <f t="shared" si="48"/>
        <v>8.6190059668422678E-2</v>
      </c>
      <c r="E780" s="30">
        <f t="shared" si="49"/>
        <v>0.1386108900017313</v>
      </c>
    </row>
    <row r="781" spans="2:5" ht="13.9" customHeight="1" x14ac:dyDescent="0.25">
      <c r="B781" s="29">
        <f t="shared" si="47"/>
        <v>7.9780115273773964</v>
      </c>
      <c r="C781" s="30">
        <f t="shared" ref="C781:C844" si="50">IF(B781&lt;6,$C$5/B781,6*$C$5/B781^2)</f>
        <v>8.7668763249720665E-3</v>
      </c>
      <c r="D781" s="30">
        <f t="shared" si="48"/>
        <v>8.5974126056103564E-2</v>
      </c>
      <c r="E781" s="30">
        <f t="shared" si="49"/>
        <v>0.1386108900017313</v>
      </c>
    </row>
    <row r="782" spans="2:5" ht="13.9" customHeight="1" x14ac:dyDescent="0.25">
      <c r="B782" s="29">
        <f t="shared" ref="B782:B845" si="51">B781+0.01</f>
        <v>7.9880115273773962</v>
      </c>
      <c r="C782" s="30">
        <f t="shared" si="50"/>
        <v>8.7449399800535194E-3</v>
      </c>
      <c r="D782" s="30">
        <f t="shared" si="48"/>
        <v>8.5759002902390843E-2</v>
      </c>
      <c r="E782" s="30">
        <f t="shared" si="49"/>
        <v>0.1386108900017313</v>
      </c>
    </row>
    <row r="783" spans="2:5" ht="13.9" customHeight="1" x14ac:dyDescent="0.25">
      <c r="B783" s="29">
        <f t="shared" si="51"/>
        <v>7.998011527377396</v>
      </c>
      <c r="C783" s="30">
        <f t="shared" si="50"/>
        <v>8.7230858654306753E-3</v>
      </c>
      <c r="D783" s="30">
        <f t="shared" si="48"/>
        <v>8.5544686156519001E-2</v>
      </c>
      <c r="E783" s="30">
        <f t="shared" si="49"/>
        <v>0.1386108900017313</v>
      </c>
    </row>
    <row r="784" spans="2:5" ht="13.9" customHeight="1" x14ac:dyDescent="0.25">
      <c r="B784" s="29">
        <f t="shared" si="51"/>
        <v>8.0080115273773966</v>
      </c>
      <c r="C784" s="30">
        <f t="shared" si="50"/>
        <v>8.7013135706199493E-3</v>
      </c>
      <c r="D784" s="30">
        <f t="shared" si="48"/>
        <v>8.533117179299865E-2</v>
      </c>
      <c r="E784" s="30">
        <f t="shared" si="49"/>
        <v>0.1386108900017313</v>
      </c>
    </row>
    <row r="785" spans="2:5" ht="13.9" customHeight="1" x14ac:dyDescent="0.25">
      <c r="B785" s="29">
        <f t="shared" si="51"/>
        <v>8.0180115273773964</v>
      </c>
      <c r="C785" s="30">
        <f t="shared" si="50"/>
        <v>8.6796226876959225E-3</v>
      </c>
      <c r="D785" s="30">
        <f t="shared" si="48"/>
        <v>8.5118455811427601E-2</v>
      </c>
      <c r="E785" s="30">
        <f t="shared" si="49"/>
        <v>0.1386108900017313</v>
      </c>
    </row>
    <row r="786" spans="2:5" ht="13.9" customHeight="1" x14ac:dyDescent="0.25">
      <c r="B786" s="29">
        <f t="shared" si="51"/>
        <v>8.0280115273773962</v>
      </c>
      <c r="C786" s="30">
        <f t="shared" si="50"/>
        <v>8.6580128112722279E-3</v>
      </c>
      <c r="D786" s="30">
        <f t="shared" si="48"/>
        <v>8.4906534236303358E-2</v>
      </c>
      <c r="E786" s="30">
        <f t="shared" si="49"/>
        <v>0.1386108900017313</v>
      </c>
    </row>
    <row r="787" spans="2:5" ht="13.9" customHeight="1" x14ac:dyDescent="0.25">
      <c r="B787" s="29">
        <f t="shared" si="51"/>
        <v>8.038011527377396</v>
      </c>
      <c r="C787" s="30">
        <f t="shared" si="50"/>
        <v>8.6364835384826096E-3</v>
      </c>
      <c r="D787" s="30">
        <f t="shared" si="48"/>
        <v>8.4695403116837403E-2</v>
      </c>
      <c r="E787" s="30">
        <f t="shared" si="49"/>
        <v>0.1386108900017313</v>
      </c>
    </row>
    <row r="788" spans="2:5" ht="13.9" customHeight="1" x14ac:dyDescent="0.25">
      <c r="B788" s="29">
        <f t="shared" si="51"/>
        <v>8.0480115273773958</v>
      </c>
      <c r="C788" s="30">
        <f t="shared" si="50"/>
        <v>8.6150344689621544E-3</v>
      </c>
      <c r="D788" s="30">
        <f t="shared" si="48"/>
        <v>8.4485058526771156E-2</v>
      </c>
      <c r="E788" s="30">
        <f t="shared" si="49"/>
        <v>0.1386108900017313</v>
      </c>
    </row>
    <row r="789" spans="2:5" ht="13.9" customHeight="1" x14ac:dyDescent="0.25">
      <c r="B789" s="29">
        <f t="shared" si="51"/>
        <v>8.0580115273773956</v>
      </c>
      <c r="C789" s="30">
        <f t="shared" si="50"/>
        <v>8.5936652048286665E-3</v>
      </c>
      <c r="D789" s="30">
        <f t="shared" si="48"/>
        <v>8.4275496564193281E-2</v>
      </c>
      <c r="E789" s="30">
        <f t="shared" si="49"/>
        <v>0.1386108900017313</v>
      </c>
    </row>
    <row r="790" spans="2:5" ht="13.9" customHeight="1" x14ac:dyDescent="0.25">
      <c r="B790" s="29">
        <f t="shared" si="51"/>
        <v>8.0680115273773954</v>
      </c>
      <c r="C790" s="30">
        <f t="shared" si="50"/>
        <v>8.572375350664227E-3</v>
      </c>
      <c r="D790" s="30">
        <f t="shared" si="48"/>
        <v>8.4066713351358874E-2</v>
      </c>
      <c r="E790" s="30">
        <f t="shared" si="49"/>
        <v>0.1386108900017313</v>
      </c>
    </row>
    <row r="791" spans="2:5" ht="13.9" customHeight="1" x14ac:dyDescent="0.25">
      <c r="B791" s="29">
        <f t="shared" si="51"/>
        <v>8.0780115273773951</v>
      </c>
      <c r="C791" s="30">
        <f t="shared" si="50"/>
        <v>8.5511645134968926E-3</v>
      </c>
      <c r="D791" s="30">
        <f t="shared" si="48"/>
        <v>8.385870503450997E-2</v>
      </c>
      <c r="E791" s="30">
        <f t="shared" si="49"/>
        <v>0.13861089000173127</v>
      </c>
    </row>
    <row r="792" spans="2:5" ht="13.9" customHeight="1" x14ac:dyDescent="0.25">
      <c r="B792" s="29">
        <f t="shared" si="51"/>
        <v>8.0880115273773949</v>
      </c>
      <c r="C792" s="30">
        <f t="shared" si="50"/>
        <v>8.5300323027825715E-3</v>
      </c>
      <c r="D792" s="30">
        <f t="shared" si="48"/>
        <v>8.3651467783697836E-2</v>
      </c>
      <c r="E792" s="30">
        <f t="shared" si="49"/>
        <v>0.1386108900017313</v>
      </c>
    </row>
    <row r="793" spans="2:5" ht="13.9" customHeight="1" x14ac:dyDescent="0.25">
      <c r="B793" s="29">
        <f t="shared" si="51"/>
        <v>8.0980115273773947</v>
      </c>
      <c r="C793" s="30">
        <f t="shared" si="50"/>
        <v>8.5089783303870323E-3</v>
      </c>
      <c r="D793" s="30">
        <f t="shared" si="48"/>
        <v>8.3444997792606501E-2</v>
      </c>
      <c r="E793" s="30">
        <f t="shared" si="49"/>
        <v>0.1386108900017313</v>
      </c>
    </row>
    <row r="794" spans="2:5" ht="13.9" customHeight="1" x14ac:dyDescent="0.25">
      <c r="B794" s="29">
        <f t="shared" si="51"/>
        <v>8.1080115273773945</v>
      </c>
      <c r="C794" s="30">
        <f t="shared" si="50"/>
        <v>8.4880022105680956E-3</v>
      </c>
      <c r="D794" s="30">
        <f t="shared" si="48"/>
        <v>8.3239291278378133E-2</v>
      </c>
      <c r="E794" s="30">
        <f t="shared" si="49"/>
        <v>0.1386108900017313</v>
      </c>
    </row>
    <row r="795" spans="2:5" ht="13.9" customHeight="1" x14ac:dyDescent="0.25">
      <c r="B795" s="29">
        <f t="shared" si="51"/>
        <v>8.1180115273773943</v>
      </c>
      <c r="C795" s="30">
        <f t="shared" si="50"/>
        <v>8.4671035599579551E-3</v>
      </c>
      <c r="D795" s="30">
        <f t="shared" si="48"/>
        <v>8.3034344481439676E-2</v>
      </c>
      <c r="E795" s="30">
        <f t="shared" si="49"/>
        <v>0.13861089000173127</v>
      </c>
    </row>
    <row r="796" spans="2:5" ht="13.9" customHeight="1" x14ac:dyDescent="0.25">
      <c r="B796" s="29">
        <f t="shared" si="51"/>
        <v>8.1280115273773941</v>
      </c>
      <c r="C796" s="30">
        <f t="shared" si="50"/>
        <v>8.4462819975456693E-3</v>
      </c>
      <c r="D796" s="30">
        <f t="shared" si="48"/>
        <v>8.2830153665331113E-2</v>
      </c>
      <c r="E796" s="30">
        <f t="shared" si="49"/>
        <v>0.1386108900017313</v>
      </c>
    </row>
    <row r="797" spans="2:5" ht="13.9" customHeight="1" x14ac:dyDescent="0.25">
      <c r="B797" s="29">
        <f t="shared" si="51"/>
        <v>8.1380115273773939</v>
      </c>
      <c r="C797" s="30">
        <f t="shared" si="50"/>
        <v>8.4255371446597897E-3</v>
      </c>
      <c r="D797" s="30">
        <f t="shared" si="48"/>
        <v>8.262671511653516E-2</v>
      </c>
      <c r="E797" s="30">
        <f t="shared" si="49"/>
        <v>0.1386108900017313</v>
      </c>
    </row>
    <row r="798" spans="2:5" ht="13.9" customHeight="1" x14ac:dyDescent="0.25">
      <c r="B798" s="29">
        <f t="shared" si="51"/>
        <v>8.1480115273773936</v>
      </c>
      <c r="C798" s="30">
        <f t="shared" si="50"/>
        <v>8.404868624951144E-3</v>
      </c>
      <c r="D798" s="30">
        <f t="shared" si="48"/>
        <v>8.2424025144308383E-2</v>
      </c>
      <c r="E798" s="30">
        <f t="shared" si="49"/>
        <v>0.1386108900017313</v>
      </c>
    </row>
    <row r="799" spans="2:5" ht="13.9" customHeight="1" x14ac:dyDescent="0.25">
      <c r="B799" s="29">
        <f t="shared" si="51"/>
        <v>8.1580115273773934</v>
      </c>
      <c r="C799" s="30">
        <f t="shared" si="50"/>
        <v>8.3842760643757716E-3</v>
      </c>
      <c r="D799" s="30">
        <f t="shared" si="48"/>
        <v>8.2222080080513876E-2</v>
      </c>
      <c r="E799" s="30">
        <f t="shared" si="49"/>
        <v>0.1386108900017313</v>
      </c>
    </row>
    <row r="800" spans="2:5" ht="13.9" customHeight="1" x14ac:dyDescent="0.25">
      <c r="B800" s="29">
        <f t="shared" si="51"/>
        <v>8.1680115273773932</v>
      </c>
      <c r="C800" s="30">
        <f t="shared" si="50"/>
        <v>8.3637590911779924E-3</v>
      </c>
      <c r="D800" s="30">
        <f t="shared" si="48"/>
        <v>8.2020876279455215E-2</v>
      </c>
      <c r="E800" s="30">
        <f t="shared" si="49"/>
        <v>0.13861089000173127</v>
      </c>
    </row>
    <row r="801" spans="2:5" ht="13.9" customHeight="1" x14ac:dyDescent="0.25">
      <c r="B801" s="29">
        <f t="shared" si="51"/>
        <v>8.178011527377393</v>
      </c>
      <c r="C801" s="30">
        <f t="shared" si="50"/>
        <v>8.3433173358736425E-3</v>
      </c>
      <c r="D801" s="30">
        <f t="shared" si="48"/>
        <v>8.1820410117712045E-2</v>
      </c>
      <c r="E801" s="30">
        <f t="shared" si="49"/>
        <v>0.1386108900017313</v>
      </c>
    </row>
    <row r="802" spans="2:5" ht="13.9" customHeight="1" x14ac:dyDescent="0.25">
      <c r="B802" s="29">
        <f t="shared" si="51"/>
        <v>8.1880115273773928</v>
      </c>
      <c r="C802" s="30">
        <f t="shared" si="50"/>
        <v>8.3229504312334196E-3</v>
      </c>
      <c r="D802" s="30">
        <f t="shared" si="48"/>
        <v>8.1620677993976765E-2</v>
      </c>
      <c r="E802" s="30">
        <f t="shared" si="49"/>
        <v>0.1386108900017313</v>
      </c>
    </row>
    <row r="803" spans="2:5" ht="13.9" customHeight="1" x14ac:dyDescent="0.25">
      <c r="B803" s="29">
        <f t="shared" si="51"/>
        <v>8.1980115273773926</v>
      </c>
      <c r="C803" s="30">
        <f t="shared" si="50"/>
        <v>8.3026580122664093E-3</v>
      </c>
      <c r="D803" s="30">
        <f t="shared" si="48"/>
        <v>8.1421676328892995E-2</v>
      </c>
      <c r="E803" s="30">
        <f t="shared" si="49"/>
        <v>0.1386108900017313</v>
      </c>
    </row>
    <row r="804" spans="2:5" ht="13.9" customHeight="1" x14ac:dyDescent="0.25">
      <c r="B804" s="29">
        <f t="shared" si="51"/>
        <v>8.2080115273773924</v>
      </c>
      <c r="C804" s="30">
        <f t="shared" si="50"/>
        <v>8.2824397162037169E-3</v>
      </c>
      <c r="D804" s="30">
        <f t="shared" si="48"/>
        <v>8.1223401564894979E-2</v>
      </c>
      <c r="E804" s="30">
        <f t="shared" si="49"/>
        <v>0.13861089000173127</v>
      </c>
    </row>
    <row r="805" spans="2:5" ht="13.9" customHeight="1" x14ac:dyDescent="0.25">
      <c r="B805" s="29">
        <f t="shared" si="51"/>
        <v>8.2180115273773922</v>
      </c>
      <c r="C805" s="30">
        <f t="shared" si="50"/>
        <v>8.26229518248227E-3</v>
      </c>
      <c r="D805" s="30">
        <f t="shared" si="48"/>
        <v>8.1025850166048866E-2</v>
      </c>
      <c r="E805" s="30">
        <f t="shared" si="49"/>
        <v>0.13861089000173127</v>
      </c>
    </row>
    <row r="806" spans="2:5" ht="13.9" customHeight="1" x14ac:dyDescent="0.25">
      <c r="B806" s="29">
        <f t="shared" si="51"/>
        <v>8.2280115273773919</v>
      </c>
      <c r="C806" s="30">
        <f t="shared" si="50"/>
        <v>8.2422240527287253E-3</v>
      </c>
      <c r="D806" s="30">
        <f t="shared" si="48"/>
        <v>8.0829018617894779E-2</v>
      </c>
      <c r="E806" s="30">
        <f t="shared" si="49"/>
        <v>0.13861089000173127</v>
      </c>
    </row>
    <row r="807" spans="2:5" ht="13.9" customHeight="1" x14ac:dyDescent="0.25">
      <c r="B807" s="29">
        <f t="shared" si="51"/>
        <v>8.2380115273773917</v>
      </c>
      <c r="C807" s="30">
        <f t="shared" si="50"/>
        <v>8.222225970743546E-3</v>
      </c>
      <c r="D807" s="30">
        <f t="shared" si="48"/>
        <v>8.0632903427290722E-2</v>
      </c>
      <c r="E807" s="30">
        <f t="shared" si="49"/>
        <v>0.13861089000173127</v>
      </c>
    </row>
    <row r="808" spans="2:5" ht="13.9" customHeight="1" x14ac:dyDescent="0.25">
      <c r="B808" s="29">
        <f t="shared" si="51"/>
        <v>8.2480115273773915</v>
      </c>
      <c r="C808" s="30">
        <f t="shared" si="50"/>
        <v>8.202300582485186E-3</v>
      </c>
      <c r="D808" s="30">
        <f t="shared" si="48"/>
        <v>8.0437501122257463E-2</v>
      </c>
      <c r="E808" s="30">
        <f t="shared" si="49"/>
        <v>0.13861089000173127</v>
      </c>
    </row>
    <row r="809" spans="2:5" ht="13.9" customHeight="1" x14ac:dyDescent="0.25">
      <c r="B809" s="29">
        <f t="shared" si="51"/>
        <v>8.2580115273773913</v>
      </c>
      <c r="C809" s="30">
        <f t="shared" si="50"/>
        <v>8.182447536054429E-3</v>
      </c>
      <c r="D809" s="30">
        <f t="shared" si="48"/>
        <v>8.0242808251824962E-2</v>
      </c>
      <c r="E809" s="30">
        <f t="shared" si="49"/>
        <v>0.13861089000173127</v>
      </c>
    </row>
    <row r="810" spans="2:5" ht="13.9" customHeight="1" x14ac:dyDescent="0.25">
      <c r="B810" s="29">
        <f t="shared" si="51"/>
        <v>8.2680115273773911</v>
      </c>
      <c r="C810" s="30">
        <f t="shared" si="50"/>
        <v>8.1626664816788451E-3</v>
      </c>
      <c r="D810" s="30">
        <f t="shared" si="48"/>
        <v>8.0048821385879931E-2</v>
      </c>
      <c r="E810" s="30">
        <f t="shared" si="49"/>
        <v>0.1386108900017313</v>
      </c>
    </row>
    <row r="811" spans="2:5" ht="13.9" customHeight="1" x14ac:dyDescent="0.25">
      <c r="B811" s="29">
        <f t="shared" si="51"/>
        <v>8.2780115273773909</v>
      </c>
      <c r="C811" s="30">
        <f t="shared" si="50"/>
        <v>8.1429570716973886E-3</v>
      </c>
      <c r="D811" s="30">
        <f t="shared" si="48"/>
        <v>7.985553711501478E-2</v>
      </c>
      <c r="E811" s="30">
        <f t="shared" si="49"/>
        <v>0.1386108900017313</v>
      </c>
    </row>
    <row r="812" spans="2:5" ht="13.9" customHeight="1" x14ac:dyDescent="0.25">
      <c r="B812" s="29">
        <f t="shared" si="51"/>
        <v>8.2880115273773907</v>
      </c>
      <c r="C812" s="30">
        <f t="shared" si="50"/>
        <v>8.12331896054512E-3</v>
      </c>
      <c r="D812" s="30">
        <f t="shared" si="48"/>
        <v>7.9662952050377822E-2</v>
      </c>
      <c r="E812" s="30">
        <f t="shared" si="49"/>
        <v>0.1386108900017313</v>
      </c>
    </row>
    <row r="813" spans="2:5" ht="13.9" customHeight="1" x14ac:dyDescent="0.25">
      <c r="B813" s="29">
        <f t="shared" si="51"/>
        <v>8.2980115273773905</v>
      </c>
      <c r="C813" s="30">
        <f t="shared" si="50"/>
        <v>8.1037518047380585E-3</v>
      </c>
      <c r="D813" s="30">
        <f t="shared" si="48"/>
        <v>7.9471062823524716E-2</v>
      </c>
      <c r="E813" s="30">
        <f t="shared" si="49"/>
        <v>0.1386108900017313</v>
      </c>
    </row>
    <row r="814" spans="2:5" ht="13.9" customHeight="1" x14ac:dyDescent="0.25">
      <c r="B814" s="29">
        <f t="shared" si="51"/>
        <v>8.3080115273773902</v>
      </c>
      <c r="C814" s="30">
        <f t="shared" si="50"/>
        <v>8.084255262858166E-3</v>
      </c>
      <c r="D814" s="30">
        <f t="shared" si="48"/>
        <v>7.9279866086271175E-2</v>
      </c>
      <c r="E814" s="30">
        <f t="shared" si="49"/>
        <v>0.13861089000173127</v>
      </c>
    </row>
    <row r="815" spans="2:5" ht="13.9" customHeight="1" x14ac:dyDescent="0.25">
      <c r="B815" s="29">
        <f t="shared" si="51"/>
        <v>8.31801152737739</v>
      </c>
      <c r="C815" s="30">
        <f t="shared" si="50"/>
        <v>8.0648289955384516E-3</v>
      </c>
      <c r="D815" s="30">
        <f t="shared" si="48"/>
        <v>7.9089358510546923E-2</v>
      </c>
      <c r="E815" s="30">
        <f t="shared" si="49"/>
        <v>0.13861089000173127</v>
      </c>
    </row>
    <row r="816" spans="2:5" ht="13.9" customHeight="1" x14ac:dyDescent="0.25">
      <c r="B816" s="29">
        <f t="shared" si="51"/>
        <v>8.3280115273773898</v>
      </c>
      <c r="C816" s="30">
        <f t="shared" si="50"/>
        <v>8.0454726654482049E-3</v>
      </c>
      <c r="D816" s="30">
        <f t="shared" si="48"/>
        <v>7.8899536788250901E-2</v>
      </c>
      <c r="E816" s="30">
        <f t="shared" si="49"/>
        <v>0.1386108900017313</v>
      </c>
    </row>
    <row r="817" spans="2:5" ht="13.9" customHeight="1" x14ac:dyDescent="0.25">
      <c r="B817" s="29">
        <f t="shared" si="51"/>
        <v>8.3380115273773896</v>
      </c>
      <c r="C817" s="30">
        <f t="shared" si="50"/>
        <v>8.0261859372783451E-3</v>
      </c>
      <c r="D817" s="30">
        <f t="shared" si="48"/>
        <v>7.8710397631107543E-2</v>
      </c>
      <c r="E817" s="30">
        <f t="shared" si="49"/>
        <v>0.1386108900017313</v>
      </c>
    </row>
    <row r="818" spans="2:5" ht="13.9" customHeight="1" x14ac:dyDescent="0.25">
      <c r="B818" s="29">
        <f t="shared" si="51"/>
        <v>8.3480115273773894</v>
      </c>
      <c r="C818" s="30">
        <f t="shared" si="50"/>
        <v>8.0069684777269064E-3</v>
      </c>
      <c r="D818" s="30">
        <f t="shared" si="48"/>
        <v>7.852193777052445E-2</v>
      </c>
      <c r="E818" s="30">
        <f t="shared" si="49"/>
        <v>0.1386108900017313</v>
      </c>
    </row>
    <row r="819" spans="2:5" ht="13.9" customHeight="1" x14ac:dyDescent="0.25">
      <c r="B819" s="29">
        <f t="shared" si="51"/>
        <v>8.3580115273773892</v>
      </c>
      <c r="C819" s="30">
        <f t="shared" si="50"/>
        <v>7.987819955484643E-3</v>
      </c>
      <c r="D819" s="30">
        <f t="shared" si="48"/>
        <v>7.8334153957451247E-2</v>
      </c>
      <c r="E819" s="30">
        <f t="shared" si="49"/>
        <v>0.1386108900017313</v>
      </c>
    </row>
    <row r="820" spans="2:5" ht="13.9" customHeight="1" x14ac:dyDescent="0.25">
      <c r="B820" s="29">
        <f t="shared" si="51"/>
        <v>8.368011527377389</v>
      </c>
      <c r="C820" s="30">
        <f t="shared" si="50"/>
        <v>7.9687400412207336E-3</v>
      </c>
      <c r="D820" s="30">
        <f t="shared" si="48"/>
        <v>7.8147042962239358E-2</v>
      </c>
      <c r="E820" s="30">
        <f t="shared" si="49"/>
        <v>0.1386108900017313</v>
      </c>
    </row>
    <row r="821" spans="2:5" ht="13.9" customHeight="1" x14ac:dyDescent="0.25">
      <c r="B821" s="29">
        <f t="shared" si="51"/>
        <v>8.3780115273773887</v>
      </c>
      <c r="C821" s="30">
        <f t="shared" si="50"/>
        <v>7.94972840756864E-3</v>
      </c>
      <c r="D821" s="30">
        <f t="shared" si="48"/>
        <v>7.796060157450338E-2</v>
      </c>
      <c r="E821" s="30">
        <f t="shared" si="49"/>
        <v>0.1386108900017313</v>
      </c>
    </row>
    <row r="822" spans="2:5" ht="13.9" customHeight="1" x14ac:dyDescent="0.25">
      <c r="B822" s="29">
        <f t="shared" si="51"/>
        <v>8.3880115273773885</v>
      </c>
      <c r="C822" s="30">
        <f t="shared" si="50"/>
        <v>7.9307847291120448E-3</v>
      </c>
      <c r="D822" s="30">
        <f t="shared" si="48"/>
        <v>7.7774826602983085E-2</v>
      </c>
      <c r="E822" s="30">
        <f t="shared" si="49"/>
        <v>0.1386108900017313</v>
      </c>
    </row>
    <row r="823" spans="2:5" ht="13.9" customHeight="1" x14ac:dyDescent="0.25">
      <c r="B823" s="29">
        <f t="shared" si="51"/>
        <v>8.3980115273773883</v>
      </c>
      <c r="C823" s="30">
        <f t="shared" si="50"/>
        <v>7.9119086823709502E-3</v>
      </c>
      <c r="D823" s="30">
        <f t="shared" si="48"/>
        <v>7.7589714875407195E-2</v>
      </c>
      <c r="E823" s="30">
        <f t="shared" si="49"/>
        <v>0.1386108900017313</v>
      </c>
    </row>
    <row r="824" spans="2:5" ht="13.9" customHeight="1" x14ac:dyDescent="0.25">
      <c r="B824" s="29">
        <f t="shared" si="51"/>
        <v>8.4080115273773881</v>
      </c>
      <c r="C824" s="30">
        <f t="shared" si="50"/>
        <v>7.893099945787841E-3</v>
      </c>
      <c r="D824" s="30">
        <f t="shared" si="48"/>
        <v>7.7405263238357613E-2</v>
      </c>
      <c r="E824" s="30">
        <f t="shared" si="49"/>
        <v>0.1386108900017313</v>
      </c>
    </row>
    <row r="825" spans="2:5" ht="13.9" customHeight="1" x14ac:dyDescent="0.25">
      <c r="B825" s="29">
        <f t="shared" si="51"/>
        <v>8.4180115273773879</v>
      </c>
      <c r="C825" s="30">
        <f t="shared" si="50"/>
        <v>7.8743581997140141E-3</v>
      </c>
      <c r="D825" s="30">
        <f t="shared" si="48"/>
        <v>7.7221468557135423E-2</v>
      </c>
      <c r="E825" s="30">
        <f t="shared" si="49"/>
        <v>0.13861089000173127</v>
      </c>
    </row>
    <row r="826" spans="2:5" ht="13.9" customHeight="1" x14ac:dyDescent="0.25">
      <c r="B826" s="29">
        <f t="shared" si="51"/>
        <v>8.4280115273773877</v>
      </c>
      <c r="C826" s="30">
        <f t="shared" si="50"/>
        <v>7.8556831263959879E-3</v>
      </c>
      <c r="D826" s="30">
        <f t="shared" si="48"/>
        <v>7.7038327715627533E-2</v>
      </c>
      <c r="E826" s="30">
        <f t="shared" si="49"/>
        <v>0.1386108900017313</v>
      </c>
    </row>
    <row r="827" spans="2:5" ht="13.9" customHeight="1" x14ac:dyDescent="0.25">
      <c r="B827" s="29">
        <f t="shared" si="51"/>
        <v>8.4380115273773875</v>
      </c>
      <c r="C827" s="30">
        <f t="shared" si="50"/>
        <v>7.8370744099620256E-3</v>
      </c>
      <c r="D827" s="30">
        <f t="shared" si="48"/>
        <v>7.6855837616174594E-2</v>
      </c>
      <c r="E827" s="30">
        <f t="shared" si="49"/>
        <v>0.1386108900017313</v>
      </c>
    </row>
    <row r="828" spans="2:5" ht="13.9" customHeight="1" x14ac:dyDescent="0.25">
      <c r="B828" s="29">
        <f t="shared" si="51"/>
        <v>8.4480115273773873</v>
      </c>
      <c r="C828" s="30">
        <f t="shared" si="50"/>
        <v>7.8185317364087951E-3</v>
      </c>
      <c r="D828" s="30">
        <f t="shared" si="48"/>
        <v>7.6673995179440124E-2</v>
      </c>
      <c r="E828" s="30">
        <f t="shared" si="49"/>
        <v>0.13861089000173127</v>
      </c>
    </row>
    <row r="829" spans="2:5" ht="13.9" customHeight="1" x14ac:dyDescent="0.25">
      <c r="B829" s="29">
        <f t="shared" si="51"/>
        <v>8.458011527377387</v>
      </c>
      <c r="C829" s="30">
        <f t="shared" si="50"/>
        <v>7.8000547935881126E-3</v>
      </c>
      <c r="D829" s="30">
        <f t="shared" si="48"/>
        <v>7.6492797344280536E-2</v>
      </c>
      <c r="E829" s="30">
        <f t="shared" si="49"/>
        <v>0.1386108900017313</v>
      </c>
    </row>
    <row r="830" spans="2:5" ht="13.9" customHeight="1" x14ac:dyDescent="0.25">
      <c r="B830" s="29">
        <f t="shared" si="51"/>
        <v>8.4680115273773868</v>
      </c>
      <c r="C830" s="30">
        <f t="shared" si="50"/>
        <v>7.7816432711938039E-3</v>
      </c>
      <c r="D830" s="30">
        <f t="shared" si="48"/>
        <v>7.6312241067616277E-2</v>
      </c>
      <c r="E830" s="30">
        <f t="shared" si="49"/>
        <v>0.1386108900017313</v>
      </c>
    </row>
    <row r="831" spans="2:5" ht="13.9" customHeight="1" x14ac:dyDescent="0.25">
      <c r="B831" s="29">
        <f t="shared" si="51"/>
        <v>8.4780115273773866</v>
      </c>
      <c r="C831" s="30">
        <f t="shared" si="50"/>
        <v>7.7632968607486818E-3</v>
      </c>
      <c r="D831" s="30">
        <f t="shared" si="48"/>
        <v>7.6132323324304099E-2</v>
      </c>
      <c r="E831" s="30">
        <f t="shared" si="49"/>
        <v>0.1386108900017313</v>
      </c>
    </row>
    <row r="832" spans="2:5" ht="13.9" customHeight="1" x14ac:dyDescent="0.25">
      <c r="B832" s="29">
        <f t="shared" si="51"/>
        <v>8.4880115273773864</v>
      </c>
      <c r="C832" s="30">
        <f t="shared" si="50"/>
        <v>7.7450152555916226E-3</v>
      </c>
      <c r="D832" s="30">
        <f t="shared" si="48"/>
        <v>7.5953041107010358E-2</v>
      </c>
      <c r="E832" s="30">
        <f t="shared" si="49"/>
        <v>0.13861089000173127</v>
      </c>
    </row>
    <row r="833" spans="2:5" ht="13.9" customHeight="1" x14ac:dyDescent="0.25">
      <c r="B833" s="29">
        <f t="shared" si="51"/>
        <v>8.4980115273773862</v>
      </c>
      <c r="C833" s="30">
        <f t="shared" si="50"/>
        <v>7.7267981508647521E-3</v>
      </c>
      <c r="D833" s="30">
        <f t="shared" si="48"/>
        <v>7.5774391426085358E-2</v>
      </c>
      <c r="E833" s="30">
        <f t="shared" si="49"/>
        <v>0.13861089000173127</v>
      </c>
    </row>
    <row r="834" spans="2:5" ht="13.9" customHeight="1" x14ac:dyDescent="0.25">
      <c r="B834" s="29">
        <f t="shared" si="51"/>
        <v>8.508011527377386</v>
      </c>
      <c r="C834" s="30">
        <f t="shared" si="50"/>
        <v>7.7086452435007344E-3</v>
      </c>
      <c r="D834" s="30">
        <f t="shared" si="48"/>
        <v>7.5596371309438651E-2</v>
      </c>
      <c r="E834" s="30">
        <f t="shared" si="49"/>
        <v>0.1386108900017313</v>
      </c>
    </row>
    <row r="835" spans="2:5" ht="13.9" customHeight="1" x14ac:dyDescent="0.25">
      <c r="B835" s="29">
        <f t="shared" si="51"/>
        <v>8.5180115273773858</v>
      </c>
      <c r="C835" s="30">
        <f t="shared" si="50"/>
        <v>7.6905562322101689E-3</v>
      </c>
      <c r="D835" s="30">
        <f t="shared" si="48"/>
        <v>7.5418977802415452E-2</v>
      </c>
      <c r="E835" s="30">
        <f t="shared" si="49"/>
        <v>0.1386108900017313</v>
      </c>
    </row>
    <row r="836" spans="2:5" ht="13.9" customHeight="1" x14ac:dyDescent="0.25">
      <c r="B836" s="29">
        <f t="shared" si="51"/>
        <v>8.5280115273773855</v>
      </c>
      <c r="C836" s="30">
        <f t="shared" si="50"/>
        <v>7.6725308174690858E-3</v>
      </c>
      <c r="D836" s="30">
        <f t="shared" si="48"/>
        <v>7.5242207967674085E-2</v>
      </c>
      <c r="E836" s="30">
        <f t="shared" si="49"/>
        <v>0.1386108900017313</v>
      </c>
    </row>
    <row r="837" spans="2:5" ht="13.9" customHeight="1" x14ac:dyDescent="0.25">
      <c r="B837" s="29">
        <f t="shared" si="51"/>
        <v>8.5380115273773853</v>
      </c>
      <c r="C837" s="30">
        <f t="shared" si="50"/>
        <v>7.6545687015065539E-3</v>
      </c>
      <c r="D837" s="30">
        <f t="shared" si="48"/>
        <v>7.5066058885064318E-2</v>
      </c>
      <c r="E837" s="30">
        <f t="shared" si="49"/>
        <v>0.1386108900017313</v>
      </c>
    </row>
    <row r="838" spans="2:5" ht="13.9" customHeight="1" x14ac:dyDescent="0.25">
      <c r="B838" s="29">
        <f t="shared" si="51"/>
        <v>8.5480115273773851</v>
      </c>
      <c r="C838" s="30">
        <f t="shared" si="50"/>
        <v>7.6366695882923719E-3</v>
      </c>
      <c r="D838" s="30">
        <f t="shared" si="48"/>
        <v>7.4890527651506791E-2</v>
      </c>
      <c r="E838" s="30">
        <f t="shared" si="49"/>
        <v>0.13861089000173127</v>
      </c>
    </row>
    <row r="839" spans="2:5" ht="13.9" customHeight="1" x14ac:dyDescent="0.25">
      <c r="B839" s="29">
        <f t="shared" si="51"/>
        <v>8.5580115273773849</v>
      </c>
      <c r="C839" s="30">
        <f t="shared" si="50"/>
        <v>7.618833183524883E-3</v>
      </c>
      <c r="D839" s="30">
        <f t="shared" si="48"/>
        <v>7.4715611380873459E-2</v>
      </c>
      <c r="E839" s="30">
        <f t="shared" si="49"/>
        <v>0.13861089000173127</v>
      </c>
    </row>
    <row r="840" spans="2:5" ht="13.9" customHeight="1" x14ac:dyDescent="0.25">
      <c r="B840" s="29">
        <f t="shared" si="51"/>
        <v>8.5680115273773847</v>
      </c>
      <c r="C840" s="30">
        <f t="shared" si="50"/>
        <v>7.6010591946188691E-3</v>
      </c>
      <c r="D840" s="30">
        <f t="shared" si="48"/>
        <v>7.4541307203868853E-2</v>
      </c>
      <c r="E840" s="30">
        <f t="shared" si="49"/>
        <v>0.1386108900017313</v>
      </c>
    </row>
    <row r="841" spans="2:5" ht="13.9" customHeight="1" x14ac:dyDescent="0.25">
      <c r="B841" s="29">
        <f t="shared" si="51"/>
        <v>8.5780115273773845</v>
      </c>
      <c r="C841" s="30">
        <f t="shared" si="50"/>
        <v>7.5833473306935557E-3</v>
      </c>
      <c r="D841" s="30">
        <f t="shared" ref="D841:D904" si="52">C841*9.8067</f>
        <v>7.4367612267912483E-2</v>
      </c>
      <c r="E841" s="30">
        <f t="shared" ref="E841:E904" si="53">((B841^2)/(4*PI()^2))*D841</f>
        <v>0.13861089000173127</v>
      </c>
    </row>
    <row r="842" spans="2:5" ht="13.9" customHeight="1" x14ac:dyDescent="0.25">
      <c r="B842" s="29">
        <f t="shared" si="51"/>
        <v>8.5880115273773843</v>
      </c>
      <c r="C842" s="30">
        <f t="shared" si="50"/>
        <v>7.565697302560708E-3</v>
      </c>
      <c r="D842" s="30">
        <f t="shared" si="52"/>
        <v>7.4194523737022094E-2</v>
      </c>
      <c r="E842" s="30">
        <f t="shared" si="53"/>
        <v>0.1386108900017313</v>
      </c>
    </row>
    <row r="843" spans="2:5" ht="13.9" customHeight="1" x14ac:dyDescent="0.25">
      <c r="B843" s="29">
        <f t="shared" si="51"/>
        <v>8.5980115273773841</v>
      </c>
      <c r="C843" s="30">
        <f t="shared" si="50"/>
        <v>7.5481088227128314E-3</v>
      </c>
      <c r="D843" s="30">
        <f t="shared" si="52"/>
        <v>7.4022038791697914E-2</v>
      </c>
      <c r="E843" s="30">
        <f t="shared" si="53"/>
        <v>0.13861089000173127</v>
      </c>
    </row>
    <row r="844" spans="2:5" ht="13.9" customHeight="1" x14ac:dyDescent="0.25">
      <c r="B844" s="29">
        <f t="shared" si="51"/>
        <v>8.6080115273773838</v>
      </c>
      <c r="C844" s="30">
        <f t="shared" si="50"/>
        <v>7.5305816053114578E-3</v>
      </c>
      <c r="D844" s="30">
        <f t="shared" si="52"/>
        <v>7.3850154628807868E-2</v>
      </c>
      <c r="E844" s="30">
        <f t="shared" si="53"/>
        <v>0.1386108900017313</v>
      </c>
    </row>
    <row r="845" spans="2:5" ht="13.9" customHeight="1" x14ac:dyDescent="0.25">
      <c r="B845" s="29">
        <f t="shared" si="51"/>
        <v>8.6180115273773836</v>
      </c>
      <c r="C845" s="30">
        <f t="shared" ref="C845:C908" si="54">IF(B845&lt;6,$C$5/B845,6*$C$5/B845^2)</f>
        <v>7.5131153661755377E-3</v>
      </c>
      <c r="D845" s="30">
        <f t="shared" si="52"/>
        <v>7.3678868461473646E-2</v>
      </c>
      <c r="E845" s="30">
        <f t="shared" si="53"/>
        <v>0.1386108900017313</v>
      </c>
    </row>
    <row r="846" spans="2:5" ht="13.9" customHeight="1" x14ac:dyDescent="0.25">
      <c r="B846" s="29">
        <f t="shared" ref="B846:B909" si="55">B845+0.01</f>
        <v>8.6280115273773834</v>
      </c>
      <c r="C846" s="30">
        <f t="shared" si="54"/>
        <v>7.4957098227699118E-3</v>
      </c>
      <c r="D846" s="30">
        <f t="shared" si="52"/>
        <v>7.350817751895769E-2</v>
      </c>
      <c r="E846" s="30">
        <f t="shared" si="53"/>
        <v>0.1386108900017313</v>
      </c>
    </row>
    <row r="847" spans="2:5" ht="13.9" customHeight="1" x14ac:dyDescent="0.25">
      <c r="B847" s="29">
        <f t="shared" si="55"/>
        <v>8.6380115273773832</v>
      </c>
      <c r="C847" s="30">
        <f t="shared" si="54"/>
        <v>7.4783646941939006E-3</v>
      </c>
      <c r="D847" s="30">
        <f t="shared" si="52"/>
        <v>7.3338079046551319E-2</v>
      </c>
      <c r="E847" s="30">
        <f t="shared" si="53"/>
        <v>0.1386108900017313</v>
      </c>
    </row>
    <row r="848" spans="2:5" ht="13.9" customHeight="1" x14ac:dyDescent="0.25">
      <c r="B848" s="29">
        <f t="shared" si="55"/>
        <v>8.648011527377383</v>
      </c>
      <c r="C848" s="30">
        <f t="shared" si="54"/>
        <v>7.4610797011699535E-3</v>
      </c>
      <c r="D848" s="30">
        <f t="shared" si="52"/>
        <v>7.3168570305463379E-2</v>
      </c>
      <c r="E848" s="30">
        <f t="shared" si="53"/>
        <v>0.1386108900017313</v>
      </c>
    </row>
    <row r="849" spans="2:5" ht="13.9" customHeight="1" x14ac:dyDescent="0.25">
      <c r="B849" s="29">
        <f t="shared" si="55"/>
        <v>8.6580115273773828</v>
      </c>
      <c r="C849" s="30">
        <f t="shared" si="54"/>
        <v>7.4438545660324186E-3</v>
      </c>
      <c r="D849" s="30">
        <f t="shared" si="52"/>
        <v>7.2999648572710116E-2</v>
      </c>
      <c r="E849" s="30">
        <f t="shared" si="53"/>
        <v>0.1386108900017313</v>
      </c>
    </row>
    <row r="850" spans="2:5" ht="13.9" customHeight="1" x14ac:dyDescent="0.25">
      <c r="B850" s="29">
        <f t="shared" si="55"/>
        <v>8.6680115273773826</v>
      </c>
      <c r="C850" s="30">
        <f t="shared" si="54"/>
        <v>7.4266890127163889E-3</v>
      </c>
      <c r="D850" s="30">
        <f t="shared" si="52"/>
        <v>7.28313111410058E-2</v>
      </c>
      <c r="E850" s="30">
        <f t="shared" si="53"/>
        <v>0.13861089000173127</v>
      </c>
    </row>
    <row r="851" spans="2:5" ht="13.9" customHeight="1" x14ac:dyDescent="0.25">
      <c r="B851" s="29">
        <f t="shared" si="55"/>
        <v>8.6780115273773824</v>
      </c>
      <c r="C851" s="30">
        <f t="shared" si="54"/>
        <v>7.4095827667466398E-3</v>
      </c>
      <c r="D851" s="30">
        <f t="shared" si="52"/>
        <v>7.266355531865426E-2</v>
      </c>
      <c r="E851" s="30">
        <f t="shared" si="53"/>
        <v>0.13861089000173127</v>
      </c>
    </row>
    <row r="852" spans="2:5" ht="13.9" customHeight="1" x14ac:dyDescent="0.25">
      <c r="B852" s="29">
        <f t="shared" si="55"/>
        <v>8.6880115273773821</v>
      </c>
      <c r="C852" s="30">
        <f t="shared" si="54"/>
        <v>7.3925355552266576E-3</v>
      </c>
      <c r="D852" s="30">
        <f t="shared" si="52"/>
        <v>7.2496378429441261E-2</v>
      </c>
      <c r="E852" s="30">
        <f t="shared" si="53"/>
        <v>0.1386108900017313</v>
      </c>
    </row>
    <row r="853" spans="2:5" ht="13.9" customHeight="1" x14ac:dyDescent="0.25">
      <c r="B853" s="29">
        <f t="shared" si="55"/>
        <v>8.6980115273773819</v>
      </c>
      <c r="C853" s="30">
        <f t="shared" si="54"/>
        <v>7.3755471068277555E-3</v>
      </c>
      <c r="D853" s="30">
        <f t="shared" si="52"/>
        <v>7.2329777812527751E-2</v>
      </c>
      <c r="E853" s="30">
        <f t="shared" si="53"/>
        <v>0.1386108900017313</v>
      </c>
    </row>
    <row r="854" spans="2:5" ht="13.9" customHeight="1" x14ac:dyDescent="0.25">
      <c r="B854" s="29">
        <f t="shared" si="55"/>
        <v>8.7080115273773817</v>
      </c>
      <c r="C854" s="30">
        <f t="shared" si="54"/>
        <v>7.358617151778277E-3</v>
      </c>
      <c r="D854" s="30">
        <f t="shared" si="52"/>
        <v>7.2163750822344025E-2</v>
      </c>
      <c r="E854" s="30">
        <f t="shared" si="53"/>
        <v>0.1386108900017313</v>
      </c>
    </row>
    <row r="855" spans="2:5" ht="13.9" customHeight="1" x14ac:dyDescent="0.25">
      <c r="B855" s="29">
        <f t="shared" si="55"/>
        <v>8.7180115273773815</v>
      </c>
      <c r="C855" s="30">
        <f t="shared" si="54"/>
        <v>7.3417454218528862E-3</v>
      </c>
      <c r="D855" s="30">
        <f t="shared" si="52"/>
        <v>7.1998294828484688E-2</v>
      </c>
      <c r="E855" s="30">
        <f t="shared" si="53"/>
        <v>0.1386108900017313</v>
      </c>
    </row>
    <row r="856" spans="2:5" ht="13.9" customHeight="1" x14ac:dyDescent="0.25">
      <c r="B856" s="29">
        <f t="shared" si="55"/>
        <v>8.7280115273773813</v>
      </c>
      <c r="C856" s="30">
        <f t="shared" si="54"/>
        <v>7.3249316503619438E-3</v>
      </c>
      <c r="D856" s="30">
        <f t="shared" si="52"/>
        <v>7.1833407215604467E-2</v>
      </c>
      <c r="E856" s="30">
        <f t="shared" si="53"/>
        <v>0.13861089000173127</v>
      </c>
    </row>
    <row r="857" spans="2:5" ht="13.9" customHeight="1" x14ac:dyDescent="0.25">
      <c r="B857" s="29">
        <f t="shared" si="55"/>
        <v>8.7380115273773811</v>
      </c>
      <c r="C857" s="30">
        <f t="shared" si="54"/>
        <v>7.3081755721409718E-3</v>
      </c>
      <c r="D857" s="30">
        <f t="shared" si="52"/>
        <v>7.1669085383314859E-2</v>
      </c>
      <c r="E857" s="30">
        <f t="shared" si="53"/>
        <v>0.13861089000173127</v>
      </c>
    </row>
    <row r="858" spans="2:5" ht="13.9" customHeight="1" x14ac:dyDescent="0.25">
      <c r="B858" s="29">
        <f t="shared" si="55"/>
        <v>8.7480115273773809</v>
      </c>
      <c r="C858" s="30">
        <f t="shared" si="54"/>
        <v>7.2914769235401921E-3</v>
      </c>
      <c r="D858" s="30">
        <f t="shared" si="52"/>
        <v>7.1505326746081593E-2</v>
      </c>
      <c r="E858" s="30">
        <f t="shared" si="53"/>
        <v>0.13861089000173127</v>
      </c>
    </row>
    <row r="859" spans="2:5" ht="13.9" customHeight="1" x14ac:dyDescent="0.25">
      <c r="B859" s="29">
        <f t="shared" si="55"/>
        <v>8.7580115273773806</v>
      </c>
      <c r="C859" s="30">
        <f t="shared" si="54"/>
        <v>7.2748354424141577E-3</v>
      </c>
      <c r="D859" s="30">
        <f t="shared" si="52"/>
        <v>7.1342128733122914E-2</v>
      </c>
      <c r="E859" s="30">
        <f t="shared" si="53"/>
        <v>0.1386108900017313</v>
      </c>
    </row>
    <row r="860" spans="2:5" ht="13.9" customHeight="1" x14ac:dyDescent="0.25">
      <c r="B860" s="29">
        <f t="shared" si="55"/>
        <v>8.7680115273773804</v>
      </c>
      <c r="C860" s="30">
        <f t="shared" si="54"/>
        <v>7.2582508681114681E-3</v>
      </c>
      <c r="D860" s="30">
        <f t="shared" si="52"/>
        <v>7.1179488788308723E-2</v>
      </c>
      <c r="E860" s="30">
        <f t="shared" si="53"/>
        <v>0.13861089000173127</v>
      </c>
    </row>
    <row r="861" spans="2:5" ht="13.9" customHeight="1" x14ac:dyDescent="0.25">
      <c r="B861" s="29">
        <f t="shared" si="55"/>
        <v>8.7780115273773802</v>
      </c>
      <c r="C861" s="30">
        <f t="shared" si="54"/>
        <v>7.2417229414645599E-3</v>
      </c>
      <c r="D861" s="30">
        <f t="shared" si="52"/>
        <v>7.1017404370060488E-2</v>
      </c>
      <c r="E861" s="30">
        <f t="shared" si="53"/>
        <v>0.13861089000173127</v>
      </c>
    </row>
    <row r="862" spans="2:5" ht="13.9" customHeight="1" x14ac:dyDescent="0.25">
      <c r="B862" s="29">
        <f t="shared" si="55"/>
        <v>8.78801152737738</v>
      </c>
      <c r="C862" s="30">
        <f t="shared" si="54"/>
        <v>7.2252514047795816E-3</v>
      </c>
      <c r="D862" s="30">
        <f t="shared" si="52"/>
        <v>7.0855872951251925E-2</v>
      </c>
      <c r="E862" s="30">
        <f t="shared" si="53"/>
        <v>0.1386108900017313</v>
      </c>
    </row>
    <row r="863" spans="2:5" ht="13.9" customHeight="1" x14ac:dyDescent="0.25">
      <c r="B863" s="29">
        <f t="shared" si="55"/>
        <v>8.7980115273773798</v>
      </c>
      <c r="C863" s="30">
        <f t="shared" si="54"/>
        <v>7.2088360018263487E-3</v>
      </c>
      <c r="D863" s="30">
        <f t="shared" si="52"/>
        <v>7.0694892019110445E-2</v>
      </c>
      <c r="E863" s="30">
        <f t="shared" si="53"/>
        <v>0.13861089000173127</v>
      </c>
    </row>
    <row r="864" spans="2:5" ht="13.9" customHeight="1" x14ac:dyDescent="0.25">
      <c r="B864" s="29">
        <f t="shared" si="55"/>
        <v>8.8080115273773796</v>
      </c>
      <c r="C864" s="30">
        <f t="shared" si="54"/>
        <v>7.1924764778283799E-3</v>
      </c>
      <c r="D864" s="30">
        <f t="shared" si="52"/>
        <v>7.0534459075119571E-2</v>
      </c>
      <c r="E864" s="30">
        <f t="shared" si="53"/>
        <v>0.1386108900017313</v>
      </c>
    </row>
    <row r="865" spans="2:5" ht="13.9" customHeight="1" x14ac:dyDescent="0.25">
      <c r="B865" s="29">
        <f t="shared" si="55"/>
        <v>8.8180115273773794</v>
      </c>
      <c r="C865" s="30">
        <f t="shared" si="54"/>
        <v>7.1761725794530131E-3</v>
      </c>
      <c r="D865" s="30">
        <f t="shared" si="52"/>
        <v>7.0374571634921862E-2</v>
      </c>
      <c r="E865" s="30">
        <f t="shared" si="53"/>
        <v>0.1386108900017313</v>
      </c>
    </row>
    <row r="866" spans="2:5" ht="13.9" customHeight="1" x14ac:dyDescent="0.25">
      <c r="B866" s="29">
        <f t="shared" si="55"/>
        <v>8.8280115273773792</v>
      </c>
      <c r="C866" s="30">
        <f t="shared" si="54"/>
        <v>7.1599240548015928E-3</v>
      </c>
      <c r="D866" s="30">
        <f t="shared" si="52"/>
        <v>7.0215227228222779E-2</v>
      </c>
      <c r="E866" s="30">
        <f t="shared" si="53"/>
        <v>0.1386108900017313</v>
      </c>
    </row>
    <row r="867" spans="2:5" ht="13.9" customHeight="1" x14ac:dyDescent="0.25">
      <c r="B867" s="29">
        <f t="shared" si="55"/>
        <v>8.8380115273773789</v>
      </c>
      <c r="C867" s="30">
        <f t="shared" si="54"/>
        <v>7.1437306533997458E-3</v>
      </c>
      <c r="D867" s="30">
        <f t="shared" si="52"/>
        <v>7.0056423398695278E-2</v>
      </c>
      <c r="E867" s="30">
        <f t="shared" si="53"/>
        <v>0.13861089000173127</v>
      </c>
    </row>
    <row r="868" spans="2:5" ht="13.9" customHeight="1" x14ac:dyDescent="0.25">
      <c r="B868" s="29">
        <f t="shared" si="55"/>
        <v>8.8480115273773787</v>
      </c>
      <c r="C868" s="30">
        <f t="shared" si="54"/>
        <v>7.1275921261877264E-3</v>
      </c>
      <c r="D868" s="30">
        <f t="shared" si="52"/>
        <v>6.9898157703885175E-2</v>
      </c>
      <c r="E868" s="30">
        <f t="shared" si="53"/>
        <v>0.1386108900017313</v>
      </c>
    </row>
    <row r="869" spans="2:5" ht="13.9" customHeight="1" x14ac:dyDescent="0.25">
      <c r="B869" s="29">
        <f t="shared" si="55"/>
        <v>8.8580115273773785</v>
      </c>
      <c r="C869" s="30">
        <f t="shared" si="54"/>
        <v>7.1115082255108373E-3</v>
      </c>
      <c r="D869" s="30">
        <f t="shared" si="52"/>
        <v>6.9740427715117126E-2</v>
      </c>
      <c r="E869" s="30">
        <f t="shared" si="53"/>
        <v>0.1386108900017313</v>
      </c>
    </row>
    <row r="870" spans="2:5" ht="13.9" customHeight="1" x14ac:dyDescent="0.25">
      <c r="B870" s="29">
        <f t="shared" si="55"/>
        <v>8.8680115273773783</v>
      </c>
      <c r="C870" s="30">
        <f t="shared" si="54"/>
        <v>7.0954787051099328E-3</v>
      </c>
      <c r="D870" s="30">
        <f t="shared" si="52"/>
        <v>6.9583231017401576E-2</v>
      </c>
      <c r="E870" s="30">
        <f t="shared" si="53"/>
        <v>0.1386108900017313</v>
      </c>
    </row>
    <row r="871" spans="2:5" ht="13.9" customHeight="1" x14ac:dyDescent="0.25">
      <c r="B871" s="29">
        <f t="shared" si="55"/>
        <v>8.8780115273773781</v>
      </c>
      <c r="C871" s="30">
        <f t="shared" si="54"/>
        <v>7.0795033201119899E-3</v>
      </c>
      <c r="D871" s="30">
        <f t="shared" si="52"/>
        <v>6.9426565209342248E-2</v>
      </c>
      <c r="E871" s="30">
        <f t="shared" si="53"/>
        <v>0.1386108900017313</v>
      </c>
    </row>
    <row r="872" spans="2:5" ht="13.9" customHeight="1" x14ac:dyDescent="0.25">
      <c r="B872" s="29">
        <f t="shared" si="55"/>
        <v>8.8880115273773779</v>
      </c>
      <c r="C872" s="30">
        <f t="shared" si="54"/>
        <v>7.063581827020755E-3</v>
      </c>
      <c r="D872" s="30">
        <f t="shared" si="52"/>
        <v>6.927042790304444E-2</v>
      </c>
      <c r="E872" s="30">
        <f t="shared" si="53"/>
        <v>0.1386108900017313</v>
      </c>
    </row>
    <row r="873" spans="2:5" ht="13.9" customHeight="1" x14ac:dyDescent="0.25">
      <c r="B873" s="29">
        <f t="shared" si="55"/>
        <v>8.8980115273773777</v>
      </c>
      <c r="C873" s="30">
        <f t="shared" si="54"/>
        <v>7.0477139837074694E-3</v>
      </c>
      <c r="D873" s="30">
        <f t="shared" si="52"/>
        <v>6.9114816724024031E-2</v>
      </c>
      <c r="E873" s="30">
        <f t="shared" si="53"/>
        <v>0.13861089000173127</v>
      </c>
    </row>
    <row r="874" spans="2:5" ht="13.9" customHeight="1" x14ac:dyDescent="0.25">
      <c r="B874" s="29">
        <f t="shared" si="55"/>
        <v>8.9080115273773774</v>
      </c>
      <c r="C874" s="30">
        <f t="shared" si="54"/>
        <v>7.0318995494016625E-3</v>
      </c>
      <c r="D874" s="30">
        <f t="shared" si="52"/>
        <v>6.8959729311117282E-2</v>
      </c>
      <c r="E874" s="30">
        <f t="shared" si="53"/>
        <v>0.1386108900017313</v>
      </c>
    </row>
    <row r="875" spans="2:5" ht="13.9" customHeight="1" x14ac:dyDescent="0.25">
      <c r="B875" s="29">
        <f t="shared" si="55"/>
        <v>8.9180115273773772</v>
      </c>
      <c r="C875" s="30">
        <f t="shared" si="54"/>
        <v>7.0161382846820174E-3</v>
      </c>
      <c r="D875" s="30">
        <f t="shared" si="52"/>
        <v>6.8805163316391138E-2</v>
      </c>
      <c r="E875" s="30">
        <f t="shared" si="53"/>
        <v>0.1386108900017313</v>
      </c>
    </row>
    <row r="876" spans="2:5" ht="13.9" customHeight="1" x14ac:dyDescent="0.25">
      <c r="B876" s="29">
        <f t="shared" si="55"/>
        <v>8.928011527377377</v>
      </c>
      <c r="C876" s="30">
        <f t="shared" si="54"/>
        <v>7.0004299514673067E-3</v>
      </c>
      <c r="D876" s="30">
        <f t="shared" si="52"/>
        <v>6.8651116405054433E-2</v>
      </c>
      <c r="E876" s="30">
        <f t="shared" si="53"/>
        <v>0.1386108900017313</v>
      </c>
    </row>
    <row r="877" spans="2:5" ht="13.9" customHeight="1" x14ac:dyDescent="0.25">
      <c r="B877" s="29">
        <f t="shared" si="55"/>
        <v>8.9380115273773768</v>
      </c>
      <c r="C877" s="30">
        <f t="shared" si="54"/>
        <v>6.9847743130074056E-3</v>
      </c>
      <c r="D877" s="30">
        <f t="shared" si="52"/>
        <v>6.8497586255369725E-2</v>
      </c>
      <c r="E877" s="30">
        <f t="shared" si="53"/>
        <v>0.1386108900017313</v>
      </c>
    </row>
    <row r="878" spans="2:5" ht="13.9" customHeight="1" x14ac:dyDescent="0.25">
      <c r="B878" s="29">
        <f t="shared" si="55"/>
        <v>8.9480115273773766</v>
      </c>
      <c r="C878" s="30">
        <f t="shared" si="54"/>
        <v>6.9691711338743714E-3</v>
      </c>
      <c r="D878" s="30">
        <f t="shared" si="52"/>
        <v>6.8344570558565798E-2</v>
      </c>
      <c r="E878" s="30">
        <f t="shared" si="53"/>
        <v>0.1386108900017313</v>
      </c>
    </row>
    <row r="879" spans="2:5" ht="13.9" customHeight="1" x14ac:dyDescent="0.25">
      <c r="B879" s="29">
        <f t="shared" si="55"/>
        <v>8.9580115273773764</v>
      </c>
      <c r="C879" s="30">
        <f t="shared" si="54"/>
        <v>6.95362017995359E-3</v>
      </c>
      <c r="D879" s="30">
        <f t="shared" si="52"/>
        <v>6.8192067018750871E-2</v>
      </c>
      <c r="E879" s="30">
        <f t="shared" si="53"/>
        <v>0.1386108900017313</v>
      </c>
    </row>
    <row r="880" spans="2:5" ht="13.9" customHeight="1" x14ac:dyDescent="0.25">
      <c r="B880" s="29">
        <f t="shared" si="55"/>
        <v>8.9680115273773762</v>
      </c>
      <c r="C880" s="30">
        <f t="shared" si="54"/>
        <v>6.9381212184349951E-3</v>
      </c>
      <c r="D880" s="30">
        <f t="shared" si="52"/>
        <v>6.8040073352826455E-2</v>
      </c>
      <c r="E880" s="30">
        <f t="shared" si="53"/>
        <v>0.13861089000173127</v>
      </c>
    </row>
    <row r="881" spans="2:5" ht="13.9" customHeight="1" x14ac:dyDescent="0.25">
      <c r="B881" s="29">
        <f t="shared" si="55"/>
        <v>8.978011527377376</v>
      </c>
      <c r="C881" s="30">
        <f t="shared" si="54"/>
        <v>6.9226740178043554E-3</v>
      </c>
      <c r="D881" s="30">
        <f t="shared" si="52"/>
        <v>6.7888587290401967E-2</v>
      </c>
      <c r="E881" s="30">
        <f t="shared" si="53"/>
        <v>0.13861089000173127</v>
      </c>
    </row>
    <row r="882" spans="2:5" ht="13.9" customHeight="1" x14ac:dyDescent="0.25">
      <c r="B882" s="29">
        <f t="shared" si="55"/>
        <v>8.9880115273773757</v>
      </c>
      <c r="C882" s="30">
        <f t="shared" si="54"/>
        <v>6.9072783478346285E-3</v>
      </c>
      <c r="D882" s="30">
        <f t="shared" si="52"/>
        <v>6.7737606573709849E-2</v>
      </c>
      <c r="E882" s="30">
        <f t="shared" si="53"/>
        <v>0.1386108900017313</v>
      </c>
    </row>
    <row r="883" spans="2:5" ht="13.9" customHeight="1" x14ac:dyDescent="0.25">
      <c r="B883" s="29">
        <f t="shared" si="55"/>
        <v>8.9980115273773755</v>
      </c>
      <c r="C883" s="30">
        <f t="shared" si="54"/>
        <v>6.8919339795773804E-3</v>
      </c>
      <c r="D883" s="30">
        <f t="shared" si="52"/>
        <v>6.7587128957521489E-2</v>
      </c>
      <c r="E883" s="30">
        <f t="shared" si="53"/>
        <v>0.13861089000173127</v>
      </c>
    </row>
    <row r="884" spans="2:5" ht="13.9" customHeight="1" x14ac:dyDescent="0.25">
      <c r="B884" s="29">
        <f t="shared" si="55"/>
        <v>9.0080115273773753</v>
      </c>
      <c r="C884" s="30">
        <f t="shared" si="54"/>
        <v>6.8766406853542801E-3</v>
      </c>
      <c r="D884" s="30">
        <f t="shared" si="52"/>
        <v>6.7437152209063808E-2</v>
      </c>
      <c r="E884" s="30">
        <f t="shared" si="53"/>
        <v>0.13861089000173127</v>
      </c>
    </row>
    <row r="885" spans="2:5" ht="13.9" customHeight="1" x14ac:dyDescent="0.25">
      <c r="B885" s="29">
        <f t="shared" si="55"/>
        <v>9.0180115273773751</v>
      </c>
      <c r="C885" s="30">
        <f t="shared" si="54"/>
        <v>6.8613982387486453E-3</v>
      </c>
      <c r="D885" s="30">
        <f t="shared" si="52"/>
        <v>6.7287674107936332E-2</v>
      </c>
      <c r="E885" s="30">
        <f t="shared" si="53"/>
        <v>0.1386108900017313</v>
      </c>
    </row>
    <row r="886" spans="2:5" ht="13.9" customHeight="1" x14ac:dyDescent="0.25">
      <c r="B886" s="29">
        <f t="shared" si="55"/>
        <v>9.0280115273773749</v>
      </c>
      <c r="C886" s="30">
        <f t="shared" si="54"/>
        <v>6.846206414597069E-3</v>
      </c>
      <c r="D886" s="30">
        <f t="shared" si="52"/>
        <v>6.7138692446029075E-2</v>
      </c>
      <c r="E886" s="30">
        <f t="shared" si="53"/>
        <v>0.1386108900017313</v>
      </c>
    </row>
    <row r="887" spans="2:5" ht="13.9" customHeight="1" x14ac:dyDescent="0.25">
      <c r="B887" s="29">
        <f t="shared" si="55"/>
        <v>9.0380115273773747</v>
      </c>
      <c r="C887" s="30">
        <f t="shared" si="54"/>
        <v>6.8310649889811005E-3</v>
      </c>
      <c r="D887" s="30">
        <f t="shared" si="52"/>
        <v>6.6990205027440949E-2</v>
      </c>
      <c r="E887" s="30">
        <f t="shared" si="53"/>
        <v>0.1386108900017313</v>
      </c>
    </row>
    <row r="888" spans="2:5" ht="13.9" customHeight="1" x14ac:dyDescent="0.25">
      <c r="B888" s="29">
        <f t="shared" si="55"/>
        <v>9.0480115273773745</v>
      </c>
      <c r="C888" s="30">
        <f t="shared" si="54"/>
        <v>6.8159737392189963E-3</v>
      </c>
      <c r="D888" s="30">
        <f t="shared" si="52"/>
        <v>6.6842209668398919E-2</v>
      </c>
      <c r="E888" s="30">
        <f t="shared" si="53"/>
        <v>0.1386108900017313</v>
      </c>
    </row>
    <row r="889" spans="2:5" ht="13.9" customHeight="1" x14ac:dyDescent="0.25">
      <c r="B889" s="29">
        <f t="shared" si="55"/>
        <v>9.0580115273773743</v>
      </c>
      <c r="C889" s="30">
        <f t="shared" si="54"/>
        <v>6.8009324438575297E-3</v>
      </c>
      <c r="D889" s="30">
        <f t="shared" si="52"/>
        <v>6.6694704197177629E-2</v>
      </c>
      <c r="E889" s="30">
        <f t="shared" si="53"/>
        <v>0.1386108900017313</v>
      </c>
    </row>
    <row r="890" spans="2:5" ht="13.9" customHeight="1" x14ac:dyDescent="0.25">
      <c r="B890" s="29">
        <f t="shared" si="55"/>
        <v>9.068011527377374</v>
      </c>
      <c r="C890" s="30">
        <f t="shared" si="54"/>
        <v>6.7859408826638698E-3</v>
      </c>
      <c r="D890" s="30">
        <f t="shared" si="52"/>
        <v>6.6547686454019761E-2</v>
      </c>
      <c r="E890" s="30">
        <f t="shared" si="53"/>
        <v>0.13861089000173127</v>
      </c>
    </row>
    <row r="891" spans="2:5" ht="13.9" customHeight="1" x14ac:dyDescent="0.25">
      <c r="B891" s="29">
        <f t="shared" si="55"/>
        <v>9.0780115273773738</v>
      </c>
      <c r="C891" s="30">
        <f t="shared" si="54"/>
        <v>6.7709988366175203E-3</v>
      </c>
      <c r="D891" s="30">
        <f t="shared" si="52"/>
        <v>6.640115429105703E-2</v>
      </c>
      <c r="E891" s="30">
        <f t="shared" si="53"/>
        <v>0.13861089000173127</v>
      </c>
    </row>
    <row r="892" spans="2:5" ht="13.9" customHeight="1" x14ac:dyDescent="0.25">
      <c r="B892" s="29">
        <f t="shared" si="55"/>
        <v>9.0880115273773736</v>
      </c>
      <c r="C892" s="30">
        <f t="shared" si="54"/>
        <v>6.7561060879023178E-3</v>
      </c>
      <c r="D892" s="30">
        <f t="shared" si="52"/>
        <v>6.625510557223166E-2</v>
      </c>
      <c r="E892" s="30">
        <f t="shared" si="53"/>
        <v>0.1386108900017313</v>
      </c>
    </row>
    <row r="893" spans="2:5" ht="13.9" customHeight="1" x14ac:dyDescent="0.25">
      <c r="B893" s="29">
        <f t="shared" si="55"/>
        <v>9.0980115273773734</v>
      </c>
      <c r="C893" s="30">
        <f t="shared" si="54"/>
        <v>6.7412624198984906E-3</v>
      </c>
      <c r="D893" s="30">
        <f t="shared" si="52"/>
        <v>6.6109538173218518E-2</v>
      </c>
      <c r="E893" s="30">
        <f t="shared" si="53"/>
        <v>0.13861089000173127</v>
      </c>
    </row>
    <row r="894" spans="2:5" ht="13.9" customHeight="1" x14ac:dyDescent="0.25">
      <c r="B894" s="29">
        <f t="shared" si="55"/>
        <v>9.1080115273773732</v>
      </c>
      <c r="C894" s="30">
        <f t="shared" si="54"/>
        <v>6.7264676171747912E-3</v>
      </c>
      <c r="D894" s="30">
        <f t="shared" si="52"/>
        <v>6.5964449981348025E-2</v>
      </c>
      <c r="E894" s="30">
        <f t="shared" si="53"/>
        <v>0.1386108900017313</v>
      </c>
    </row>
    <row r="895" spans="2:5" ht="13.9" customHeight="1" x14ac:dyDescent="0.25">
      <c r="B895" s="29">
        <f t="shared" si="55"/>
        <v>9.118011527377373</v>
      </c>
      <c r="C895" s="30">
        <f t="shared" si="54"/>
        <v>6.71172146548067E-3</v>
      </c>
      <c r="D895" s="30">
        <f t="shared" si="52"/>
        <v>6.5819838895529281E-2</v>
      </c>
      <c r="E895" s="30">
        <f t="shared" si="53"/>
        <v>0.1386108900017313</v>
      </c>
    </row>
    <row r="896" spans="2:5" ht="13.9" customHeight="1" x14ac:dyDescent="0.25">
      <c r="B896" s="29">
        <f t="shared" si="55"/>
        <v>9.1280115273773728</v>
      </c>
      <c r="C896" s="30">
        <f t="shared" si="54"/>
        <v>6.697023751738522E-3</v>
      </c>
      <c r="D896" s="30">
        <f t="shared" si="52"/>
        <v>6.5675702826174159E-2</v>
      </c>
      <c r="E896" s="30">
        <f t="shared" si="53"/>
        <v>0.13861089000173127</v>
      </c>
    </row>
    <row r="897" spans="2:5" ht="13.9" customHeight="1" x14ac:dyDescent="0.25">
      <c r="B897" s="29">
        <f t="shared" si="55"/>
        <v>9.1380115273773725</v>
      </c>
      <c r="C897" s="30">
        <f t="shared" si="54"/>
        <v>6.6823742640359941E-3</v>
      </c>
      <c r="D897" s="30">
        <f t="shared" si="52"/>
        <v>6.553203969512178E-2</v>
      </c>
      <c r="E897" s="30">
        <f t="shared" si="53"/>
        <v>0.13861089000173132</v>
      </c>
    </row>
    <row r="898" spans="2:5" ht="13.9" customHeight="1" x14ac:dyDescent="0.25">
      <c r="B898" s="29">
        <f t="shared" si="55"/>
        <v>9.1480115273773723</v>
      </c>
      <c r="C898" s="30">
        <f t="shared" si="54"/>
        <v>6.6677727916183375E-3</v>
      </c>
      <c r="D898" s="30">
        <f t="shared" si="52"/>
        <v>6.5388847435563544E-2</v>
      </c>
      <c r="E898" s="30">
        <f t="shared" si="53"/>
        <v>0.1386108900017313</v>
      </c>
    </row>
    <row r="899" spans="2:5" ht="13.9" customHeight="1" x14ac:dyDescent="0.25">
      <c r="B899" s="29">
        <f t="shared" si="55"/>
        <v>9.1580115273773721</v>
      </c>
      <c r="C899" s="30">
        <f t="shared" si="54"/>
        <v>6.6532191248808367E-3</v>
      </c>
      <c r="D899" s="30">
        <f t="shared" si="52"/>
        <v>6.5246123991968899E-2</v>
      </c>
      <c r="E899" s="30">
        <f t="shared" si="53"/>
        <v>0.13861089000173132</v>
      </c>
    </row>
    <row r="900" spans="2:5" ht="13.9" customHeight="1" x14ac:dyDescent="0.25">
      <c r="B900" s="29">
        <f t="shared" si="55"/>
        <v>9.1680115273773719</v>
      </c>
      <c r="C900" s="30">
        <f t="shared" si="54"/>
        <v>6.6387130553612799E-3</v>
      </c>
      <c r="D900" s="30">
        <f t="shared" si="52"/>
        <v>6.5103867320011458E-2</v>
      </c>
      <c r="E900" s="30">
        <f t="shared" si="53"/>
        <v>0.13861089000173127</v>
      </c>
    </row>
    <row r="901" spans="2:5" ht="13.9" customHeight="1" x14ac:dyDescent="0.25">
      <c r="B901" s="29">
        <f t="shared" si="55"/>
        <v>9.1780115273773717</v>
      </c>
      <c r="C901" s="30">
        <f t="shared" si="54"/>
        <v>6.6242543757325011E-3</v>
      </c>
      <c r="D901" s="30">
        <f t="shared" si="52"/>
        <v>6.4962075386495913E-2</v>
      </c>
      <c r="E901" s="30">
        <f t="shared" si="53"/>
        <v>0.13861089000173127</v>
      </c>
    </row>
    <row r="902" spans="2:5" ht="13.9" customHeight="1" x14ac:dyDescent="0.25">
      <c r="B902" s="29">
        <f t="shared" si="55"/>
        <v>9.1880115273773715</v>
      </c>
      <c r="C902" s="30">
        <f t="shared" si="54"/>
        <v>6.6098428797949646E-3</v>
      </c>
      <c r="D902" s="30">
        <f t="shared" si="52"/>
        <v>6.4820746169285279E-2</v>
      </c>
      <c r="E902" s="30">
        <f t="shared" si="53"/>
        <v>0.13861089000173127</v>
      </c>
    </row>
    <row r="903" spans="2:5" ht="13.9" customHeight="1" x14ac:dyDescent="0.25">
      <c r="B903" s="29">
        <f t="shared" si="55"/>
        <v>9.1980115273773713</v>
      </c>
      <c r="C903" s="30">
        <f t="shared" si="54"/>
        <v>6.5954783624694183E-3</v>
      </c>
      <c r="D903" s="30">
        <f t="shared" si="52"/>
        <v>6.4679877657228838E-2</v>
      </c>
      <c r="E903" s="30">
        <f t="shared" si="53"/>
        <v>0.1386108900017313</v>
      </c>
    </row>
    <row r="904" spans="2:5" ht="13.9" customHeight="1" x14ac:dyDescent="0.25">
      <c r="B904" s="29">
        <f t="shared" si="55"/>
        <v>9.2080115273773711</v>
      </c>
      <c r="C904" s="30">
        <f t="shared" si="54"/>
        <v>6.5811606197895981E-3</v>
      </c>
      <c r="D904" s="30">
        <f t="shared" si="52"/>
        <v>6.4539467850090654E-2</v>
      </c>
      <c r="E904" s="30">
        <f t="shared" si="53"/>
        <v>0.1386108900017313</v>
      </c>
    </row>
    <row r="905" spans="2:5" ht="13.9" customHeight="1" x14ac:dyDescent="0.25">
      <c r="B905" s="29">
        <f t="shared" si="55"/>
        <v>9.2180115273773708</v>
      </c>
      <c r="C905" s="30">
        <f t="shared" si="54"/>
        <v>6.5668894488949839E-3</v>
      </c>
      <c r="D905" s="30">
        <f t="shared" ref="D905:D968" si="56">C905*9.8067</f>
        <v>6.4399514758478438E-2</v>
      </c>
      <c r="E905" s="30">
        <f t="shared" ref="E905:E968" si="57">((B905^2)/(4*PI()^2))*D905</f>
        <v>0.1386108900017313</v>
      </c>
    </row>
    <row r="906" spans="2:5" ht="13.9" customHeight="1" x14ac:dyDescent="0.25">
      <c r="B906" s="29">
        <f t="shared" si="55"/>
        <v>9.2280115273773706</v>
      </c>
      <c r="C906" s="30">
        <f t="shared" si="54"/>
        <v>6.5526646480236162E-3</v>
      </c>
      <c r="D906" s="30">
        <f t="shared" si="56"/>
        <v>6.4260016403773199E-2</v>
      </c>
      <c r="E906" s="30">
        <f t="shared" si="57"/>
        <v>0.1386108900017313</v>
      </c>
    </row>
    <row r="907" spans="2:5" ht="13.9" customHeight="1" x14ac:dyDescent="0.25">
      <c r="B907" s="29">
        <f t="shared" si="55"/>
        <v>9.2380115273773704</v>
      </c>
      <c r="C907" s="30">
        <f t="shared" si="54"/>
        <v>6.5384860165049637E-3</v>
      </c>
      <c r="D907" s="30">
        <f t="shared" si="56"/>
        <v>6.4120970818059217E-2</v>
      </c>
      <c r="E907" s="30">
        <f t="shared" si="57"/>
        <v>0.13861089000173127</v>
      </c>
    </row>
    <row r="908" spans="2:5" ht="13.9" customHeight="1" x14ac:dyDescent="0.25">
      <c r="B908" s="29">
        <f t="shared" si="55"/>
        <v>9.2480115273773702</v>
      </c>
      <c r="C908" s="30">
        <f t="shared" si="54"/>
        <v>6.5243533547528496E-3</v>
      </c>
      <c r="D908" s="30">
        <f t="shared" si="56"/>
        <v>6.3982376044054767E-2</v>
      </c>
      <c r="E908" s="30">
        <f t="shared" si="57"/>
        <v>0.1386108900017313</v>
      </c>
    </row>
    <row r="909" spans="2:5" ht="13.9" customHeight="1" x14ac:dyDescent="0.25">
      <c r="B909" s="29">
        <f t="shared" si="55"/>
        <v>9.25801152737737</v>
      </c>
      <c r="C909" s="30">
        <f t="shared" ref="C909:C972" si="58">IF(B909&lt;6,$C$5/B909,6*$C$5/B909^2)</f>
        <v>6.5102664642584249E-3</v>
      </c>
      <c r="D909" s="30">
        <f t="shared" si="56"/>
        <v>6.384423013504309E-2</v>
      </c>
      <c r="E909" s="30">
        <f t="shared" si="57"/>
        <v>0.1386108900017313</v>
      </c>
    </row>
    <row r="910" spans="2:5" ht="13.9" customHeight="1" x14ac:dyDescent="0.25">
      <c r="B910" s="29">
        <f t="shared" ref="B910:B973" si="59">B909+0.01</f>
        <v>9.2680115273773698</v>
      </c>
      <c r="C910" s="30">
        <f t="shared" si="58"/>
        <v>6.4962251475831944E-3</v>
      </c>
      <c r="D910" s="30">
        <f t="shared" si="56"/>
        <v>6.3706531154804111E-2</v>
      </c>
      <c r="E910" s="30">
        <f t="shared" si="57"/>
        <v>0.1386108900017313</v>
      </c>
    </row>
    <row r="911" spans="2:5" ht="13.9" customHeight="1" x14ac:dyDescent="0.25">
      <c r="B911" s="29">
        <f t="shared" si="59"/>
        <v>9.2780115273773696</v>
      </c>
      <c r="C911" s="30">
        <f t="shared" si="58"/>
        <v>6.4822292083521055E-3</v>
      </c>
      <c r="D911" s="30">
        <f t="shared" si="56"/>
        <v>6.3569277177546582E-2</v>
      </c>
      <c r="E911" s="30">
        <f t="shared" si="57"/>
        <v>0.13861089000173127</v>
      </c>
    </row>
    <row r="912" spans="2:5" ht="13.9" customHeight="1" x14ac:dyDescent="0.25">
      <c r="B912" s="29">
        <f t="shared" si="59"/>
        <v>9.2880115273773693</v>
      </c>
      <c r="C912" s="30">
        <f t="shared" si="58"/>
        <v>6.468278451246679E-3</v>
      </c>
      <c r="D912" s="30">
        <f t="shared" si="56"/>
        <v>6.34324662878408E-2</v>
      </c>
      <c r="E912" s="30">
        <f t="shared" si="57"/>
        <v>0.13861089000173127</v>
      </c>
    </row>
    <row r="913" spans="2:5" ht="13.9" customHeight="1" x14ac:dyDescent="0.25">
      <c r="B913" s="29">
        <f t="shared" si="59"/>
        <v>9.2980115273773691</v>
      </c>
      <c r="C913" s="30">
        <f t="shared" si="58"/>
        <v>6.4543726819981922E-3</v>
      </c>
      <c r="D913" s="30">
        <f t="shared" si="56"/>
        <v>6.3296096580551672E-2</v>
      </c>
      <c r="E913" s="30">
        <f t="shared" si="57"/>
        <v>0.1386108900017313</v>
      </c>
    </row>
    <row r="914" spans="2:5" ht="13.9" customHeight="1" x14ac:dyDescent="0.25">
      <c r="B914" s="29">
        <f t="shared" si="59"/>
        <v>9.3080115273773689</v>
      </c>
      <c r="C914" s="30">
        <f t="shared" si="58"/>
        <v>6.4405117073809207E-3</v>
      </c>
      <c r="D914" s="30">
        <f t="shared" si="56"/>
        <v>6.3160166160772468E-2</v>
      </c>
      <c r="E914" s="30">
        <f t="shared" si="57"/>
        <v>0.13861089000173127</v>
      </c>
    </row>
    <row r="915" spans="2:5" ht="13.9" customHeight="1" x14ac:dyDescent="0.25">
      <c r="B915" s="29">
        <f t="shared" si="59"/>
        <v>9.3180115273773687</v>
      </c>
      <c r="C915" s="30">
        <f t="shared" si="58"/>
        <v>6.4266953352054203E-3</v>
      </c>
      <c r="D915" s="30">
        <f t="shared" si="56"/>
        <v>6.3024673143758994E-2</v>
      </c>
      <c r="E915" s="30">
        <f t="shared" si="57"/>
        <v>0.1386108900017313</v>
      </c>
    </row>
    <row r="916" spans="2:5" ht="13.9" customHeight="1" x14ac:dyDescent="0.25">
      <c r="B916" s="29">
        <f t="shared" si="59"/>
        <v>9.3280115273773685</v>
      </c>
      <c r="C916" s="30">
        <f t="shared" si="58"/>
        <v>6.4129233743118706E-3</v>
      </c>
      <c r="D916" s="30">
        <f t="shared" si="56"/>
        <v>6.2889615654864214E-2</v>
      </c>
      <c r="E916" s="30">
        <f t="shared" si="57"/>
        <v>0.1386108900017313</v>
      </c>
    </row>
    <row r="917" spans="2:5" ht="13.9" customHeight="1" x14ac:dyDescent="0.25">
      <c r="B917" s="29">
        <f t="shared" si="59"/>
        <v>9.3380115273773683</v>
      </c>
      <c r="C917" s="30">
        <f t="shared" si="58"/>
        <v>6.3991956345634616E-3</v>
      </c>
      <c r="D917" s="30">
        <f t="shared" si="56"/>
        <v>6.27549918294735E-2</v>
      </c>
      <c r="E917" s="30">
        <f t="shared" si="57"/>
        <v>0.13861089000173132</v>
      </c>
    </row>
    <row r="918" spans="2:5" ht="13.9" customHeight="1" x14ac:dyDescent="0.25">
      <c r="B918" s="29">
        <f t="shared" si="59"/>
        <v>9.3480115273773681</v>
      </c>
      <c r="C918" s="30">
        <f t="shared" si="58"/>
        <v>6.3855119268398227E-3</v>
      </c>
      <c r="D918" s="30">
        <f t="shared" si="56"/>
        <v>6.2620799812940081E-2</v>
      </c>
      <c r="E918" s="30">
        <f t="shared" si="57"/>
        <v>0.13861089000173127</v>
      </c>
    </row>
    <row r="919" spans="2:5" ht="13.9" customHeight="1" x14ac:dyDescent="0.25">
      <c r="B919" s="29">
        <f t="shared" si="59"/>
        <v>9.3580115273773679</v>
      </c>
      <c r="C919" s="30">
        <f t="shared" si="58"/>
        <v>6.371872063030525E-3</v>
      </c>
      <c r="D919" s="30">
        <f t="shared" si="56"/>
        <v>6.2487037760521447E-2</v>
      </c>
      <c r="E919" s="30">
        <f t="shared" si="57"/>
        <v>0.13861089000173127</v>
      </c>
    </row>
    <row r="920" spans="2:5" ht="13.9" customHeight="1" x14ac:dyDescent="0.25">
      <c r="B920" s="29">
        <f t="shared" si="59"/>
        <v>9.3680115273773676</v>
      </c>
      <c r="C920" s="30">
        <f t="shared" si="58"/>
        <v>6.3582758560286031E-3</v>
      </c>
      <c r="D920" s="30">
        <f t="shared" si="56"/>
        <v>6.2353703837315699E-2</v>
      </c>
      <c r="E920" s="30">
        <f t="shared" si="57"/>
        <v>0.1386108900017313</v>
      </c>
    </row>
    <row r="921" spans="2:5" ht="13.9" customHeight="1" x14ac:dyDescent="0.25">
      <c r="B921" s="29">
        <f t="shared" si="59"/>
        <v>9.3780115273773674</v>
      </c>
      <c r="C921" s="30">
        <f t="shared" si="58"/>
        <v>6.3447231197241412E-3</v>
      </c>
      <c r="D921" s="30">
        <f t="shared" si="56"/>
        <v>6.2220796218198732E-2</v>
      </c>
      <c r="E921" s="30">
        <f t="shared" si="57"/>
        <v>0.1386108900017313</v>
      </c>
    </row>
    <row r="922" spans="2:5" ht="13.9" customHeight="1" x14ac:dyDescent="0.25">
      <c r="B922" s="29">
        <f t="shared" si="59"/>
        <v>9.3880115273773672</v>
      </c>
      <c r="C922" s="30">
        <f t="shared" si="58"/>
        <v>6.3312136689979079E-3</v>
      </c>
      <c r="D922" s="30">
        <f t="shared" si="56"/>
        <v>6.2088313087761776E-2</v>
      </c>
      <c r="E922" s="30">
        <f t="shared" si="57"/>
        <v>0.1386108900017313</v>
      </c>
    </row>
    <row r="923" spans="2:5" ht="13.9" customHeight="1" x14ac:dyDescent="0.25">
      <c r="B923" s="29">
        <f t="shared" si="59"/>
        <v>9.398011527377367</v>
      </c>
      <c r="C923" s="30">
        <f t="shared" si="58"/>
        <v>6.3177473197150343E-3</v>
      </c>
      <c r="D923" s="30">
        <f t="shared" si="56"/>
        <v>6.1956252640249419E-2</v>
      </c>
      <c r="E923" s="30">
        <f t="shared" si="57"/>
        <v>0.1386108900017313</v>
      </c>
    </row>
    <row r="924" spans="2:5" ht="13.9" customHeight="1" x14ac:dyDescent="0.25">
      <c r="B924" s="29">
        <f t="shared" si="59"/>
        <v>9.4080115273773668</v>
      </c>
      <c r="C924" s="30">
        <f t="shared" si="58"/>
        <v>6.3043238887187363E-3</v>
      </c>
      <c r="D924" s="30">
        <f t="shared" si="56"/>
        <v>6.1824613079498027E-2</v>
      </c>
      <c r="E924" s="30">
        <f t="shared" si="57"/>
        <v>0.1386108900017313</v>
      </c>
    </row>
    <row r="925" spans="2:5" ht="13.9" customHeight="1" x14ac:dyDescent="0.25">
      <c r="B925" s="29">
        <f t="shared" si="59"/>
        <v>9.4180115273773666</v>
      </c>
      <c r="C925" s="30">
        <f t="shared" si="58"/>
        <v>6.2909431938240855E-3</v>
      </c>
      <c r="D925" s="30">
        <f t="shared" si="56"/>
        <v>6.1693392618874653E-2</v>
      </c>
      <c r="E925" s="30">
        <f t="shared" si="57"/>
        <v>0.1386108900017313</v>
      </c>
    </row>
    <row r="926" spans="2:5" ht="13.9" customHeight="1" x14ac:dyDescent="0.25">
      <c r="B926" s="29">
        <f t="shared" si="59"/>
        <v>9.4280115273773664</v>
      </c>
      <c r="C926" s="30">
        <f t="shared" si="58"/>
        <v>6.2776050538118347E-3</v>
      </c>
      <c r="D926" s="30">
        <f t="shared" si="56"/>
        <v>6.1562589481216512E-2</v>
      </c>
      <c r="E926" s="30">
        <f t="shared" si="57"/>
        <v>0.13861089000173127</v>
      </c>
    </row>
    <row r="927" spans="2:5" ht="13.9" customHeight="1" x14ac:dyDescent="0.25">
      <c r="B927" s="29">
        <f t="shared" si="59"/>
        <v>9.4380115273773661</v>
      </c>
      <c r="C927" s="30">
        <f t="shared" si="58"/>
        <v>6.2643092884222765E-3</v>
      </c>
      <c r="D927" s="30">
        <f t="shared" si="56"/>
        <v>6.1432201898770737E-2</v>
      </c>
      <c r="E927" s="30">
        <f t="shared" si="57"/>
        <v>0.1386108900017313</v>
      </c>
    </row>
    <row r="928" spans="2:5" ht="13.9" customHeight="1" x14ac:dyDescent="0.25">
      <c r="B928" s="29">
        <f t="shared" si="59"/>
        <v>9.4480115273773659</v>
      </c>
      <c r="C928" s="30">
        <f t="shared" si="58"/>
        <v>6.2510557183491529E-3</v>
      </c>
      <c r="D928" s="30">
        <f t="shared" si="56"/>
        <v>6.1302228113134634E-2</v>
      </c>
      <c r="E928" s="30">
        <f t="shared" si="57"/>
        <v>0.1386108900017313</v>
      </c>
    </row>
    <row r="929" spans="2:5" ht="13.9" customHeight="1" x14ac:dyDescent="0.25">
      <c r="B929" s="29">
        <f t="shared" si="59"/>
        <v>9.4580115273773657</v>
      </c>
      <c r="C929" s="30">
        <f t="shared" si="58"/>
        <v>6.2378441652336135E-3</v>
      </c>
      <c r="D929" s="30">
        <f t="shared" si="56"/>
        <v>6.1172666375196472E-2</v>
      </c>
      <c r="E929" s="30">
        <f t="shared" si="57"/>
        <v>0.1386108900017313</v>
      </c>
    </row>
    <row r="930" spans="2:5" ht="13.9" customHeight="1" x14ac:dyDescent="0.25">
      <c r="B930" s="29">
        <f t="shared" si="59"/>
        <v>9.4680115273773655</v>
      </c>
      <c r="C930" s="30">
        <f t="shared" si="58"/>
        <v>6.2246744516582086E-3</v>
      </c>
      <c r="D930" s="30">
        <f t="shared" si="56"/>
        <v>6.1043514945076552E-2</v>
      </c>
      <c r="E930" s="30">
        <f t="shared" si="57"/>
        <v>0.1386108900017313</v>
      </c>
    </row>
    <row r="931" spans="2:5" ht="13.9" customHeight="1" x14ac:dyDescent="0.25">
      <c r="B931" s="29">
        <f t="shared" si="59"/>
        <v>9.4780115273773653</v>
      </c>
      <c r="C931" s="30">
        <f t="shared" si="58"/>
        <v>6.2115464011409417E-3</v>
      </c>
      <c r="D931" s="30">
        <f t="shared" si="56"/>
        <v>6.0914772092068872E-2</v>
      </c>
      <c r="E931" s="30">
        <f t="shared" si="57"/>
        <v>0.1386108900017313</v>
      </c>
    </row>
    <row r="932" spans="2:5" ht="13.9" customHeight="1" x14ac:dyDescent="0.25">
      <c r="B932" s="29">
        <f t="shared" si="59"/>
        <v>9.4880115273773651</v>
      </c>
      <c r="C932" s="30">
        <f t="shared" si="58"/>
        <v>6.1984598381293497E-3</v>
      </c>
      <c r="D932" s="30">
        <f t="shared" si="56"/>
        <v>6.0786436094583091E-2</v>
      </c>
      <c r="E932" s="30">
        <f t="shared" si="57"/>
        <v>0.1386108900017313</v>
      </c>
    </row>
    <row r="933" spans="2:5" ht="13.9" customHeight="1" x14ac:dyDescent="0.25">
      <c r="B933" s="29">
        <f t="shared" si="59"/>
        <v>9.4980115273773649</v>
      </c>
      <c r="C933" s="30">
        <f t="shared" si="58"/>
        <v>6.1854145879946349E-3</v>
      </c>
      <c r="D933" s="30">
        <f t="shared" si="56"/>
        <v>6.065850524008698E-2</v>
      </c>
      <c r="E933" s="30">
        <f t="shared" si="57"/>
        <v>0.13861089000173127</v>
      </c>
    </row>
    <row r="934" spans="2:5" ht="13.9" customHeight="1" x14ac:dyDescent="0.25">
      <c r="B934" s="29">
        <f t="shared" si="59"/>
        <v>9.5080115273773647</v>
      </c>
      <c r="C934" s="30">
        <f t="shared" si="58"/>
        <v>6.1724104770258465E-3</v>
      </c>
      <c r="D934" s="30">
        <f t="shared" si="56"/>
        <v>6.0530977825049362E-2</v>
      </c>
      <c r="E934" s="30">
        <f t="shared" si="57"/>
        <v>0.1386108900017313</v>
      </c>
    </row>
    <row r="935" spans="2:5" ht="13.9" customHeight="1" x14ac:dyDescent="0.25">
      <c r="B935" s="29">
        <f t="shared" si="59"/>
        <v>9.5180115273773644</v>
      </c>
      <c r="C935" s="30">
        <f t="shared" si="58"/>
        <v>6.1594473324240841E-3</v>
      </c>
      <c r="D935" s="30">
        <f t="shared" si="56"/>
        <v>6.040385215488326E-2</v>
      </c>
      <c r="E935" s="30">
        <f t="shared" si="57"/>
        <v>0.1386108900017313</v>
      </c>
    </row>
    <row r="936" spans="2:5" ht="13.9" customHeight="1" x14ac:dyDescent="0.25">
      <c r="B936" s="29">
        <f t="shared" si="59"/>
        <v>9.5280115273773642</v>
      </c>
      <c r="C936" s="30">
        <f t="shared" si="58"/>
        <v>6.1465249822967721E-3</v>
      </c>
      <c r="D936" s="30">
        <f t="shared" si="56"/>
        <v>6.0277126543889753E-2</v>
      </c>
      <c r="E936" s="30">
        <f t="shared" si="57"/>
        <v>0.1386108900017313</v>
      </c>
    </row>
    <row r="937" spans="2:5" ht="13.9" customHeight="1" x14ac:dyDescent="0.25">
      <c r="B937" s="29">
        <f t="shared" si="59"/>
        <v>9.538011527377364</v>
      </c>
      <c r="C937" s="30">
        <f t="shared" si="58"/>
        <v>6.133643255651953E-3</v>
      </c>
      <c r="D937" s="30">
        <f t="shared" si="56"/>
        <v>6.0150799315202001E-2</v>
      </c>
      <c r="E937" s="30">
        <f t="shared" si="57"/>
        <v>0.13861089000173127</v>
      </c>
    </row>
    <row r="938" spans="2:5" ht="13.9" customHeight="1" x14ac:dyDescent="0.25">
      <c r="B938" s="29">
        <f t="shared" si="59"/>
        <v>9.5480115273773638</v>
      </c>
      <c r="C938" s="30">
        <f t="shared" si="58"/>
        <v>6.1208019823926294E-3</v>
      </c>
      <c r="D938" s="30">
        <f t="shared" si="56"/>
        <v>6.0024868800729797E-2</v>
      </c>
      <c r="E938" s="30">
        <f t="shared" si="57"/>
        <v>0.1386108900017313</v>
      </c>
    </row>
    <row r="939" spans="2:5" ht="13.9" customHeight="1" x14ac:dyDescent="0.25">
      <c r="B939" s="29">
        <f t="shared" si="59"/>
        <v>9.5580115273773636</v>
      </c>
      <c r="C939" s="30">
        <f t="shared" si="58"/>
        <v>6.1080009933111544E-3</v>
      </c>
      <c r="D939" s="30">
        <f t="shared" si="56"/>
        <v>5.9899333341104491E-2</v>
      </c>
      <c r="E939" s="30">
        <f t="shared" si="57"/>
        <v>0.13861089000173127</v>
      </c>
    </row>
    <row r="940" spans="2:5" ht="13.9" customHeight="1" x14ac:dyDescent="0.25">
      <c r="B940" s="29">
        <f t="shared" si="59"/>
        <v>9.5680115273773634</v>
      </c>
      <c r="C940" s="30">
        <f t="shared" si="58"/>
        <v>6.0952401200836566E-3</v>
      </c>
      <c r="D940" s="30">
        <f t="shared" si="56"/>
        <v>5.977419128562439E-2</v>
      </c>
      <c r="E940" s="30">
        <f t="shared" si="57"/>
        <v>0.1386108900017313</v>
      </c>
    </row>
    <row r="941" spans="2:5" ht="13.9" customHeight="1" x14ac:dyDescent="0.25">
      <c r="B941" s="29">
        <f t="shared" si="59"/>
        <v>9.5780115273773632</v>
      </c>
      <c r="C941" s="30">
        <f t="shared" si="58"/>
        <v>6.0825191952645005E-3</v>
      </c>
      <c r="D941" s="30">
        <f t="shared" si="56"/>
        <v>5.9649440992200375E-2</v>
      </c>
      <c r="E941" s="30">
        <f t="shared" si="57"/>
        <v>0.1386108900017313</v>
      </c>
    </row>
    <row r="942" spans="2:5" ht="13.9" customHeight="1" x14ac:dyDescent="0.25">
      <c r="B942" s="29">
        <f t="shared" si="59"/>
        <v>9.588011527377363</v>
      </c>
      <c r="C942" s="30">
        <f t="shared" si="58"/>
        <v>6.0698380522808031E-3</v>
      </c>
      <c r="D942" s="30">
        <f t="shared" si="56"/>
        <v>5.9525080827302145E-2</v>
      </c>
      <c r="E942" s="30">
        <f t="shared" si="57"/>
        <v>0.1386108900017313</v>
      </c>
    </row>
    <row r="943" spans="2:5" ht="13.9" customHeight="1" x14ac:dyDescent="0.25">
      <c r="B943" s="29">
        <f t="shared" si="59"/>
        <v>9.5980115273773627</v>
      </c>
      <c r="C943" s="30">
        <f t="shared" si="58"/>
        <v>6.0571965254269718E-3</v>
      </c>
      <c r="D943" s="30">
        <f t="shared" si="56"/>
        <v>5.9401109165904679E-2</v>
      </c>
      <c r="E943" s="30">
        <f t="shared" si="57"/>
        <v>0.1386108900017313</v>
      </c>
    </row>
    <row r="944" spans="2:5" ht="13.9" customHeight="1" x14ac:dyDescent="0.25">
      <c r="B944" s="29">
        <f t="shared" si="59"/>
        <v>9.6080115273773625</v>
      </c>
      <c r="C944" s="30">
        <f t="shared" si="58"/>
        <v>6.0445944498592986E-3</v>
      </c>
      <c r="D944" s="30">
        <f t="shared" si="56"/>
        <v>5.9277524391435181E-2</v>
      </c>
      <c r="E944" s="30">
        <f t="shared" si="57"/>
        <v>0.1386108900017313</v>
      </c>
    </row>
    <row r="945" spans="2:5" ht="13.9" customHeight="1" x14ac:dyDescent="0.25">
      <c r="B945" s="29">
        <f t="shared" si="59"/>
        <v>9.6180115273773623</v>
      </c>
      <c r="C945" s="30">
        <f t="shared" si="58"/>
        <v>6.0320316615905811E-3</v>
      </c>
      <c r="D945" s="30">
        <f t="shared" si="56"/>
        <v>5.9154324895720346E-2</v>
      </c>
      <c r="E945" s="30">
        <f t="shared" si="57"/>
        <v>0.1386108900017313</v>
      </c>
    </row>
    <row r="946" spans="2:5" ht="13.9" customHeight="1" x14ac:dyDescent="0.25">
      <c r="B946" s="29">
        <f t="shared" si="59"/>
        <v>9.6280115273773621</v>
      </c>
      <c r="C946" s="30">
        <f t="shared" si="58"/>
        <v>6.0195079974847895E-3</v>
      </c>
      <c r="D946" s="30">
        <f t="shared" si="56"/>
        <v>5.9031509078934084E-2</v>
      </c>
      <c r="E946" s="30">
        <f t="shared" si="57"/>
        <v>0.1386108900017313</v>
      </c>
    </row>
    <row r="947" spans="2:5" ht="13.9" customHeight="1" x14ac:dyDescent="0.25">
      <c r="B947" s="29">
        <f t="shared" si="59"/>
        <v>9.6380115273773619</v>
      </c>
      <c r="C947" s="30">
        <f t="shared" si="58"/>
        <v>6.007023295251772E-3</v>
      </c>
      <c r="D947" s="30">
        <f t="shared" si="56"/>
        <v>5.890907534954555E-2</v>
      </c>
      <c r="E947" s="30">
        <f t="shared" si="57"/>
        <v>0.1386108900017313</v>
      </c>
    </row>
    <row r="948" spans="2:5" ht="13.9" customHeight="1" x14ac:dyDescent="0.25">
      <c r="B948" s="29">
        <f t="shared" si="59"/>
        <v>9.6480115273773617</v>
      </c>
      <c r="C948" s="30">
        <f t="shared" si="58"/>
        <v>5.9945773934419935E-3</v>
      </c>
      <c r="D948" s="30">
        <f t="shared" si="56"/>
        <v>5.8787022124267591E-2</v>
      </c>
      <c r="E948" s="30">
        <f t="shared" si="57"/>
        <v>0.13861089000173127</v>
      </c>
    </row>
    <row r="949" spans="2:5" ht="13.9" customHeight="1" x14ac:dyDescent="0.25">
      <c r="B949" s="29">
        <f t="shared" si="59"/>
        <v>9.6580115273773615</v>
      </c>
      <c r="C949" s="30">
        <f t="shared" si="58"/>
        <v>5.9821701314413198E-3</v>
      </c>
      <c r="D949" s="30">
        <f t="shared" si="56"/>
        <v>5.8665347828005587E-2</v>
      </c>
      <c r="E949" s="30">
        <f t="shared" si="57"/>
        <v>0.1386108900017313</v>
      </c>
    </row>
    <row r="950" spans="2:5" ht="13.9" customHeight="1" x14ac:dyDescent="0.25">
      <c r="B950" s="29">
        <f t="shared" si="59"/>
        <v>9.6680115273773612</v>
      </c>
      <c r="C950" s="30">
        <f t="shared" si="58"/>
        <v>5.9698013494658341E-3</v>
      </c>
      <c r="D950" s="30">
        <f t="shared" si="56"/>
        <v>5.8544050893806591E-2</v>
      </c>
      <c r="E950" s="30">
        <f t="shared" si="57"/>
        <v>0.1386108900017313</v>
      </c>
    </row>
    <row r="951" spans="2:5" ht="13.9" customHeight="1" x14ac:dyDescent="0.25">
      <c r="B951" s="29">
        <f t="shared" si="59"/>
        <v>9.678011527377361</v>
      </c>
      <c r="C951" s="30">
        <f t="shared" si="58"/>
        <v>5.9574708885566912E-3</v>
      </c>
      <c r="D951" s="30">
        <f t="shared" si="56"/>
        <v>5.8423129762808897E-2</v>
      </c>
      <c r="E951" s="30">
        <f t="shared" si="57"/>
        <v>0.13861089000173127</v>
      </c>
    </row>
    <row r="952" spans="2:5" ht="13.9" customHeight="1" x14ac:dyDescent="0.25">
      <c r="B952" s="29">
        <f t="shared" si="59"/>
        <v>9.6880115273773608</v>
      </c>
      <c r="C952" s="30">
        <f t="shared" si="58"/>
        <v>5.9451785905750123E-3</v>
      </c>
      <c r="D952" s="30">
        <f t="shared" si="56"/>
        <v>5.8302582884191968E-2</v>
      </c>
      <c r="E952" s="30">
        <f t="shared" si="57"/>
        <v>0.13861089000173127</v>
      </c>
    </row>
    <row r="953" spans="2:5" ht="13.9" customHeight="1" x14ac:dyDescent="0.25">
      <c r="B953" s="29">
        <f t="shared" si="59"/>
        <v>9.6980115273773606</v>
      </c>
      <c r="C953" s="30">
        <f t="shared" si="58"/>
        <v>5.9329242981968153E-3</v>
      </c>
      <c r="D953" s="30">
        <f t="shared" si="56"/>
        <v>5.8182408715126706E-2</v>
      </c>
      <c r="E953" s="30">
        <f t="shared" si="57"/>
        <v>0.1386108900017313</v>
      </c>
    </row>
    <row r="954" spans="2:5" ht="13.9" customHeight="1" x14ac:dyDescent="0.25">
      <c r="B954" s="29">
        <f t="shared" si="59"/>
        <v>9.7080115273773604</v>
      </c>
      <c r="C954" s="30">
        <f t="shared" si="58"/>
        <v>5.9207078549079785E-3</v>
      </c>
      <c r="D954" s="30">
        <f t="shared" si="56"/>
        <v>5.8062605720726065E-2</v>
      </c>
      <c r="E954" s="30">
        <f t="shared" si="57"/>
        <v>0.1386108900017313</v>
      </c>
    </row>
    <row r="955" spans="2:5" ht="13.9" customHeight="1" x14ac:dyDescent="0.25">
      <c r="B955" s="29">
        <f t="shared" si="59"/>
        <v>9.7180115273773602</v>
      </c>
      <c r="C955" s="30">
        <f t="shared" si="58"/>
        <v>5.9085291049992428E-3</v>
      </c>
      <c r="D955" s="30">
        <f t="shared" si="56"/>
        <v>5.7943172373996071E-2</v>
      </c>
      <c r="E955" s="30">
        <f t="shared" si="57"/>
        <v>0.1386108900017313</v>
      </c>
    </row>
    <row r="956" spans="2:5" ht="13.9" customHeight="1" x14ac:dyDescent="0.25">
      <c r="B956" s="29">
        <f t="shared" si="59"/>
        <v>9.72801152737736</v>
      </c>
      <c r="C956" s="30">
        <f t="shared" si="58"/>
        <v>5.8963878935612557E-3</v>
      </c>
      <c r="D956" s="30">
        <f t="shared" si="56"/>
        <v>5.7824107155787161E-2</v>
      </c>
      <c r="E956" s="30">
        <f t="shared" si="57"/>
        <v>0.1386108900017313</v>
      </c>
    </row>
    <row r="957" spans="2:5" ht="13.9" customHeight="1" x14ac:dyDescent="0.25">
      <c r="B957" s="29">
        <f t="shared" si="59"/>
        <v>9.7380115273773598</v>
      </c>
      <c r="C957" s="30">
        <f t="shared" si="58"/>
        <v>5.8842840664796369E-3</v>
      </c>
      <c r="D957" s="30">
        <f t="shared" si="56"/>
        <v>5.7705408554745853E-2</v>
      </c>
      <c r="E957" s="30">
        <f t="shared" si="57"/>
        <v>0.1386108900017313</v>
      </c>
    </row>
    <row r="958" spans="2:5" ht="13.9" customHeight="1" x14ac:dyDescent="0.25">
      <c r="B958" s="29">
        <f t="shared" si="59"/>
        <v>9.7480115273773595</v>
      </c>
      <c r="C958" s="30">
        <f t="shared" si="58"/>
        <v>5.8722174704300923E-3</v>
      </c>
      <c r="D958" s="30">
        <f t="shared" si="56"/>
        <v>5.7587075067266784E-2</v>
      </c>
      <c r="E958" s="30">
        <f t="shared" si="57"/>
        <v>0.1386108900017313</v>
      </c>
    </row>
    <row r="959" spans="2:5" ht="13.9" customHeight="1" x14ac:dyDescent="0.25">
      <c r="B959" s="29">
        <f t="shared" si="59"/>
        <v>9.7580115273773593</v>
      </c>
      <c r="C959" s="30">
        <f t="shared" si="58"/>
        <v>5.8601879528735615E-3</v>
      </c>
      <c r="D959" s="30">
        <f t="shared" si="56"/>
        <v>5.746910519744515E-2</v>
      </c>
      <c r="E959" s="30">
        <f t="shared" si="57"/>
        <v>0.1386108900017313</v>
      </c>
    </row>
    <row r="960" spans="2:5" ht="13.9" customHeight="1" x14ac:dyDescent="0.25">
      <c r="B960" s="29">
        <f t="shared" si="59"/>
        <v>9.7680115273773591</v>
      </c>
      <c r="C960" s="30">
        <f t="shared" si="58"/>
        <v>5.8481953620513876E-3</v>
      </c>
      <c r="D960" s="30">
        <f t="shared" si="56"/>
        <v>5.7351497457029339E-2</v>
      </c>
      <c r="E960" s="30">
        <f t="shared" si="57"/>
        <v>0.1386108900017313</v>
      </c>
    </row>
    <row r="961" spans="2:5" ht="13.9" customHeight="1" x14ac:dyDescent="0.25">
      <c r="B961" s="29">
        <f t="shared" si="59"/>
        <v>9.7780115273773589</v>
      </c>
      <c r="C961" s="30">
        <f t="shared" si="58"/>
        <v>5.8362395469805425E-3</v>
      </c>
      <c r="D961" s="30">
        <f t="shared" si="56"/>
        <v>5.7234250365374079E-2</v>
      </c>
      <c r="E961" s="30">
        <f t="shared" si="57"/>
        <v>0.13861089000173127</v>
      </c>
    </row>
    <row r="962" spans="2:5" ht="13.9" customHeight="1" x14ac:dyDescent="0.25">
      <c r="B962" s="29">
        <f t="shared" si="59"/>
        <v>9.7880115273773587</v>
      </c>
      <c r="C962" s="30">
        <f t="shared" si="58"/>
        <v>5.8243203574488657E-3</v>
      </c>
      <c r="D962" s="30">
        <f t="shared" si="56"/>
        <v>5.7117362449393784E-2</v>
      </c>
      <c r="E962" s="30">
        <f t="shared" si="57"/>
        <v>0.1386108900017313</v>
      </c>
    </row>
    <row r="963" spans="2:5" ht="13.9" customHeight="1" x14ac:dyDescent="0.25">
      <c r="B963" s="29">
        <f t="shared" si="59"/>
        <v>9.7980115273773585</v>
      </c>
      <c r="C963" s="30">
        <f t="shared" si="58"/>
        <v>5.8124376440103495E-3</v>
      </c>
      <c r="D963" s="30">
        <f t="shared" si="56"/>
        <v>5.7000832243516292E-2</v>
      </c>
      <c r="E963" s="30">
        <f t="shared" si="57"/>
        <v>0.1386108900017313</v>
      </c>
    </row>
    <row r="964" spans="2:5" ht="13.9" customHeight="1" x14ac:dyDescent="0.25">
      <c r="B964" s="29">
        <f t="shared" si="59"/>
        <v>9.8080115273773583</v>
      </c>
      <c r="C964" s="30">
        <f t="shared" si="58"/>
        <v>5.8005912579804546E-3</v>
      </c>
      <c r="D964" s="30">
        <f t="shared" si="56"/>
        <v>5.6884658289636923E-2</v>
      </c>
      <c r="E964" s="30">
        <f t="shared" si="57"/>
        <v>0.1386108900017313</v>
      </c>
    </row>
    <row r="965" spans="2:5" ht="13.9" customHeight="1" x14ac:dyDescent="0.25">
      <c r="B965" s="29">
        <f t="shared" si="59"/>
        <v>9.818011527377358</v>
      </c>
      <c r="C965" s="30">
        <f t="shared" si="58"/>
        <v>5.7887810514314604E-3</v>
      </c>
      <c r="D965" s="30">
        <f t="shared" si="56"/>
        <v>5.6768839137072896E-2</v>
      </c>
      <c r="E965" s="30">
        <f t="shared" si="57"/>
        <v>0.1386108900017313</v>
      </c>
    </row>
    <row r="966" spans="2:5" ht="13.9" customHeight="1" x14ac:dyDescent="0.25">
      <c r="B966" s="29">
        <f t="shared" si="59"/>
        <v>9.8280115273773578</v>
      </c>
      <c r="C966" s="30">
        <f t="shared" si="58"/>
        <v>5.7770068771878435E-3</v>
      </c>
      <c r="D966" s="30">
        <f t="shared" si="56"/>
        <v>5.6653373342518021E-2</v>
      </c>
      <c r="E966" s="30">
        <f t="shared" si="57"/>
        <v>0.1386108900017313</v>
      </c>
    </row>
    <row r="967" spans="2:5" ht="13.9" customHeight="1" x14ac:dyDescent="0.25">
      <c r="B967" s="29">
        <f t="shared" si="59"/>
        <v>9.8380115273773576</v>
      </c>
      <c r="C967" s="30">
        <f t="shared" si="58"/>
        <v>5.7652685888216959E-3</v>
      </c>
      <c r="D967" s="30">
        <f t="shared" si="56"/>
        <v>5.6538259469997722E-2</v>
      </c>
      <c r="E967" s="30">
        <f t="shared" si="57"/>
        <v>0.1386108900017313</v>
      </c>
    </row>
    <row r="968" spans="2:5" ht="13.9" customHeight="1" x14ac:dyDescent="0.25">
      <c r="B968" s="29">
        <f t="shared" si="59"/>
        <v>9.8480115273773574</v>
      </c>
      <c r="C968" s="30">
        <f t="shared" si="58"/>
        <v>5.7535660406481696E-3</v>
      </c>
      <c r="D968" s="30">
        <f t="shared" si="56"/>
        <v>5.64234960908244E-2</v>
      </c>
      <c r="E968" s="30">
        <f t="shared" si="57"/>
        <v>0.13861089000173127</v>
      </c>
    </row>
    <row r="969" spans="2:5" ht="13.9" customHeight="1" x14ac:dyDescent="0.25">
      <c r="B969" s="29">
        <f t="shared" si="59"/>
        <v>9.8580115273773572</v>
      </c>
      <c r="C969" s="30">
        <f t="shared" si="58"/>
        <v>5.7418990877209581E-3</v>
      </c>
      <c r="D969" s="30">
        <f t="shared" ref="D969:D976" si="60">C969*9.8067</f>
        <v>5.6309081783553115E-2</v>
      </c>
      <c r="E969" s="30">
        <f t="shared" ref="E969:E976" si="61">((B969^2)/(4*PI()^2))*D969</f>
        <v>0.1386108900017313</v>
      </c>
    </row>
    <row r="970" spans="2:5" ht="13.9" customHeight="1" x14ac:dyDescent="0.25">
      <c r="B970" s="29">
        <f t="shared" si="59"/>
        <v>9.868011527377357</v>
      </c>
      <c r="C970" s="30">
        <f t="shared" si="58"/>
        <v>5.730267585827808E-3</v>
      </c>
      <c r="D970" s="30">
        <f t="shared" si="60"/>
        <v>5.6195015133937563E-2</v>
      </c>
      <c r="E970" s="30">
        <f t="shared" si="61"/>
        <v>0.13861089000173132</v>
      </c>
    </row>
    <row r="971" spans="2:5" ht="13.9" customHeight="1" x14ac:dyDescent="0.25">
      <c r="B971" s="29">
        <f t="shared" si="59"/>
        <v>9.8780115273773568</v>
      </c>
      <c r="C971" s="30">
        <f t="shared" si="58"/>
        <v>5.7186713914860621E-3</v>
      </c>
      <c r="D971" s="30">
        <f t="shared" si="60"/>
        <v>5.6081294734886364E-2</v>
      </c>
      <c r="E971" s="30">
        <f t="shared" si="61"/>
        <v>0.13861089000173132</v>
      </c>
    </row>
    <row r="972" spans="2:5" ht="13.9" customHeight="1" x14ac:dyDescent="0.25">
      <c r="B972" s="29">
        <f t="shared" si="59"/>
        <v>9.8880115273773566</v>
      </c>
      <c r="C972" s="30">
        <f t="shared" si="58"/>
        <v>5.7071103619382333E-3</v>
      </c>
      <c r="D972" s="30">
        <f t="shared" si="60"/>
        <v>5.5967919186419669E-2</v>
      </c>
      <c r="E972" s="30">
        <f t="shared" si="61"/>
        <v>0.1386108900017313</v>
      </c>
    </row>
    <row r="973" spans="2:5" ht="13.9" customHeight="1" x14ac:dyDescent="0.25">
      <c r="B973" s="29">
        <f t="shared" si="59"/>
        <v>9.8980115273773563</v>
      </c>
      <c r="C973" s="30">
        <f>IF(B973&lt;6,$C$5/B973,6*$C$5/B973^2)</f>
        <v>5.6955843551476154E-3</v>
      </c>
      <c r="D973" s="30">
        <f t="shared" si="60"/>
        <v>5.5854887095626117E-2</v>
      </c>
      <c r="E973" s="30">
        <f t="shared" si="61"/>
        <v>0.1386108900017313</v>
      </c>
    </row>
    <row r="974" spans="2:5" ht="13.9" customHeight="1" x14ac:dyDescent="0.25">
      <c r="B974" s="29">
        <f>B973+0.01</f>
        <v>9.9080115273773561</v>
      </c>
      <c r="C974" s="30">
        <f>IF(B974&lt;6,$C$5/B974,6*$C$5/B974^2)</f>
        <v>5.6840932297939134E-3</v>
      </c>
      <c r="D974" s="30">
        <f t="shared" si="60"/>
        <v>5.5742197076619968E-2</v>
      </c>
      <c r="E974" s="30">
        <f t="shared" si="61"/>
        <v>0.1386108900017313</v>
      </c>
    </row>
    <row r="975" spans="2:5" ht="13.9" customHeight="1" x14ac:dyDescent="0.25">
      <c r="B975" s="29">
        <f>B974+0.01</f>
        <v>9.9180115273773559</v>
      </c>
      <c r="C975" s="30">
        <f>IF(B975&lt;6,$C$5/B975,6*$C$5/B975^2)</f>
        <v>5.6726368452689191E-3</v>
      </c>
      <c r="D975" s="30">
        <f t="shared" si="60"/>
        <v>5.5629847750498708E-2</v>
      </c>
      <c r="E975" s="30">
        <f t="shared" si="61"/>
        <v>0.1386108900017313</v>
      </c>
    </row>
    <row r="976" spans="2:5" ht="13.9" customHeight="1" x14ac:dyDescent="0.25">
      <c r="B976" s="29">
        <f>B975+0.01</f>
        <v>9.9280115273773557</v>
      </c>
      <c r="C976" s="30">
        <f>IF(B976&lt;6,$C$5/B976,6*$C$5/B976^2)</f>
        <v>5.6612150616722054E-3</v>
      </c>
      <c r="D976" s="30">
        <f t="shared" si="60"/>
        <v>5.5517837745300815E-2</v>
      </c>
      <c r="E976" s="30">
        <f t="shared" si="61"/>
        <v>0.1386108900017313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/>
  </sheetViews>
  <sheetFormatPr defaultRowHeight="13.9" customHeight="1" x14ac:dyDescent="0.2"/>
  <cols>
    <col min="1" max="1" width="5.7109375" style="11" customWidth="1"/>
    <col min="2" max="6" width="8.7109375" style="11" customWidth="1"/>
    <col min="7" max="9" width="10.7109375" style="11" customWidth="1"/>
    <col min="10" max="16384" width="9.140625" style="11"/>
  </cols>
  <sheetData>
    <row r="1" spans="2:9" ht="13.9" customHeight="1" x14ac:dyDescent="0.2">
      <c r="B1" s="51" t="s">
        <v>48</v>
      </c>
      <c r="C1" s="53"/>
      <c r="D1" s="53"/>
      <c r="E1" s="53"/>
      <c r="F1" s="53"/>
      <c r="G1" s="53"/>
      <c r="H1" s="53"/>
      <c r="I1" s="52"/>
    </row>
    <row r="2" spans="2:9" ht="13.9" customHeight="1" x14ac:dyDescent="0.2">
      <c r="B2" s="69" t="s">
        <v>21</v>
      </c>
      <c r="C2" s="34" t="s">
        <v>22</v>
      </c>
      <c r="D2" s="51" t="s">
        <v>26</v>
      </c>
      <c r="E2" s="53"/>
      <c r="F2" s="53"/>
      <c r="G2" s="53"/>
      <c r="H2" s="53"/>
      <c r="I2" s="52"/>
    </row>
    <row r="3" spans="2:9" ht="13.9" customHeight="1" x14ac:dyDescent="0.2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" customHeight="1" x14ac:dyDescent="0.2">
      <c r="B4" s="27">
        <v>1</v>
      </c>
      <c r="C4" s="30">
        <v>1.3096174484975596</v>
      </c>
      <c r="D4" s="30">
        <v>3.5377943986905621E-8</v>
      </c>
      <c r="E4" s="30">
        <v>0.75716628958207788</v>
      </c>
      <c r="F4" s="30">
        <v>2.7715009359647766E-6</v>
      </c>
      <c r="G4" s="29">
        <v>3.5377943986905621E-8</v>
      </c>
      <c r="H4" s="29">
        <v>0.75716628958207788</v>
      </c>
      <c r="I4" s="29">
        <v>2.7715009359647766E-6</v>
      </c>
    </row>
    <row r="5" spans="2:9" ht="13.9" customHeight="1" x14ac:dyDescent="0.2">
      <c r="B5" s="27">
        <v>2</v>
      </c>
      <c r="C5" s="30">
        <v>1.307092793578384</v>
      </c>
      <c r="D5" s="30">
        <v>0.77374314118256171</v>
      </c>
      <c r="E5" s="30">
        <v>3.561361166814292E-8</v>
      </c>
      <c r="F5" s="30">
        <v>1.3130142685317642E-6</v>
      </c>
      <c r="G5" s="29">
        <v>0.77374317656050573</v>
      </c>
      <c r="H5" s="29">
        <v>0.75716632519568949</v>
      </c>
      <c r="I5" s="29">
        <v>4.084515204496541E-6</v>
      </c>
    </row>
    <row r="6" spans="2:9" ht="13.9" customHeight="1" x14ac:dyDescent="0.2">
      <c r="B6" s="27">
        <v>3</v>
      </c>
      <c r="C6" s="30">
        <v>1.1396819458700804</v>
      </c>
      <c r="D6" s="30">
        <v>1.6463494103669155E-6</v>
      </c>
      <c r="E6" s="30">
        <v>3.3841268257261373E-6</v>
      </c>
      <c r="F6" s="30">
        <v>0.76721530854708331</v>
      </c>
      <c r="G6" s="29">
        <v>0.77374482290991609</v>
      </c>
      <c r="H6" s="29">
        <v>0.75716970932251526</v>
      </c>
      <c r="I6" s="29">
        <v>0.76721939306228781</v>
      </c>
    </row>
    <row r="7" spans="2:9" ht="13.9" customHeight="1" x14ac:dyDescent="0.2">
      <c r="B7" s="27">
        <v>4</v>
      </c>
      <c r="C7" s="30">
        <v>0.36934614082417294</v>
      </c>
      <c r="D7" s="30">
        <v>0.1307797039995085</v>
      </c>
      <c r="E7" s="30">
        <v>4.6933818738076749E-10</v>
      </c>
      <c r="F7" s="30">
        <v>2.8501894684255919E-6</v>
      </c>
      <c r="G7" s="29">
        <v>0.90452452690942464</v>
      </c>
      <c r="H7" s="29">
        <v>0.7571697097918535</v>
      </c>
      <c r="I7" s="29">
        <v>0.76722224325175625</v>
      </c>
    </row>
    <row r="8" spans="2:9" ht="13.9" customHeight="1" x14ac:dyDescent="0.2">
      <c r="B8" s="27">
        <v>5</v>
      </c>
      <c r="C8" s="30">
        <v>0.35540503739118667</v>
      </c>
      <c r="D8" s="30">
        <v>9.6840823604274829E-10</v>
      </c>
      <c r="E8" s="30">
        <v>0.14178257974348005</v>
      </c>
      <c r="F8" s="30">
        <v>8.8433229474464863E-6</v>
      </c>
      <c r="G8" s="29">
        <v>0.90452452787783288</v>
      </c>
      <c r="H8" s="29">
        <v>0.89895228953533357</v>
      </c>
      <c r="I8" s="29">
        <v>0.76723108657470374</v>
      </c>
    </row>
    <row r="9" spans="2:9" ht="13.9" customHeight="1" x14ac:dyDescent="0.2">
      <c r="B9" s="27">
        <v>6</v>
      </c>
      <c r="C9" s="30">
        <v>0.31825257308006821</v>
      </c>
      <c r="D9" s="30">
        <v>2.2604064340768168E-6</v>
      </c>
      <c r="E9" s="30">
        <v>7.8036257678474413E-6</v>
      </c>
      <c r="F9" s="30">
        <v>0.13480190846398826</v>
      </c>
      <c r="G9" s="29">
        <v>0.90452678828426691</v>
      </c>
      <c r="H9" s="29">
        <v>0.89896009316110137</v>
      </c>
      <c r="I9" s="29">
        <v>0.90203299503869205</v>
      </c>
    </row>
    <row r="10" spans="2:9" ht="13.9" customHeight="1" x14ac:dyDescent="0.2">
      <c r="B10" s="27">
        <v>7</v>
      </c>
      <c r="C10" s="30">
        <v>0.17603532754961437</v>
      </c>
      <c r="D10" s="30">
        <v>5.7297758449962995E-2</v>
      </c>
      <c r="E10" s="30">
        <v>6.6429122217391745E-11</v>
      </c>
      <c r="F10" s="30">
        <v>1.5795008095622654E-7</v>
      </c>
      <c r="G10" s="29">
        <v>0.9618245467342299</v>
      </c>
      <c r="H10" s="29">
        <v>0.89896009322753045</v>
      </c>
      <c r="I10" s="29">
        <v>0.90203315298877296</v>
      </c>
    </row>
    <row r="11" spans="2:9" ht="13.9" customHeight="1" x14ac:dyDescent="0.2">
      <c r="B11" s="27">
        <v>8</v>
      </c>
      <c r="C11" s="30">
        <v>0.16126583857357293</v>
      </c>
      <c r="D11" s="30">
        <v>5.131378174056129E-11</v>
      </c>
      <c r="E11" s="30">
        <v>6.0974672625847472E-2</v>
      </c>
      <c r="F11" s="30">
        <v>5.2386512029585863E-7</v>
      </c>
      <c r="G11" s="29">
        <v>0.96182454678554363</v>
      </c>
      <c r="H11" s="29">
        <v>0.95993476585337789</v>
      </c>
      <c r="I11" s="29">
        <v>0.90203367685389324</v>
      </c>
    </row>
    <row r="12" spans="2:9" ht="13.9" customHeight="1" x14ac:dyDescent="0.2">
      <c r="B12" s="27">
        <v>9</v>
      </c>
      <c r="C12" s="30">
        <v>0.14967342614912049</v>
      </c>
      <c r="D12" s="30">
        <v>8.1653521704181473E-9</v>
      </c>
      <c r="E12" s="30">
        <v>1.3561293454034178E-7</v>
      </c>
      <c r="F12" s="30">
        <v>5.8760190670877448E-2</v>
      </c>
      <c r="G12" s="29">
        <v>0.9618245549508958</v>
      </c>
      <c r="H12" s="29">
        <v>0.95993490146631244</v>
      </c>
      <c r="I12" s="29">
        <v>0.96079386752477069</v>
      </c>
    </row>
    <row r="13" spans="2:9" ht="13.9" customHeight="1" x14ac:dyDescent="0.2">
      <c r="B13" s="27"/>
      <c r="C13" s="30"/>
      <c r="D13" s="30"/>
      <c r="E13" s="30"/>
      <c r="F13" s="30"/>
      <c r="G13" s="30"/>
      <c r="H13" s="30"/>
      <c r="I13" s="30"/>
    </row>
    <row r="14" spans="2:9" ht="13.9" customHeight="1" x14ac:dyDescent="0.2">
      <c r="B14" s="27"/>
      <c r="C14" s="30"/>
      <c r="D14" s="30"/>
      <c r="E14" s="30"/>
      <c r="F14" s="30"/>
      <c r="G14" s="30"/>
      <c r="H14" s="30"/>
      <c r="I14" s="30"/>
    </row>
    <row r="15" spans="2:9" ht="13.9" customHeight="1" x14ac:dyDescent="0.2">
      <c r="B15" s="27"/>
      <c r="C15" s="30"/>
      <c r="D15" s="30"/>
      <c r="E15" s="30"/>
      <c r="F15" s="30"/>
      <c r="G15" s="30"/>
      <c r="H15" s="30"/>
      <c r="I15" s="30"/>
    </row>
    <row r="16" spans="2:9" ht="13.9" customHeight="1" x14ac:dyDescent="0.2">
      <c r="B16" s="27"/>
      <c r="C16" s="30"/>
      <c r="D16" s="30"/>
      <c r="E16" s="30"/>
      <c r="F16" s="30"/>
      <c r="G16" s="30"/>
      <c r="H16" s="30"/>
      <c r="I16" s="30"/>
    </row>
    <row r="17" spans="2:9" ht="13.9" customHeight="1" x14ac:dyDescent="0.2">
      <c r="B17" s="27"/>
      <c r="C17" s="30"/>
      <c r="D17" s="30"/>
      <c r="E17" s="30"/>
      <c r="F17" s="30"/>
      <c r="G17" s="30"/>
      <c r="H17" s="30"/>
      <c r="I17" s="30"/>
    </row>
    <row r="18" spans="2:9" ht="13.9" customHeight="1" x14ac:dyDescent="0.2">
      <c r="B18" s="27"/>
      <c r="C18" s="30"/>
      <c r="D18" s="30"/>
      <c r="E18" s="30"/>
      <c r="F18" s="30"/>
      <c r="G18" s="30"/>
      <c r="H18" s="30"/>
      <c r="I18" s="30"/>
    </row>
    <row r="19" spans="2:9" ht="13.9" customHeight="1" x14ac:dyDescent="0.2">
      <c r="B19" s="27"/>
      <c r="C19" s="30"/>
      <c r="D19" s="30"/>
      <c r="E19" s="30"/>
      <c r="F19" s="30"/>
      <c r="G19" s="30"/>
      <c r="H19" s="30"/>
      <c r="I19" s="30"/>
    </row>
    <row r="20" spans="2:9" ht="13.9" customHeight="1" x14ac:dyDescent="0.2">
      <c r="B20" s="27"/>
      <c r="C20" s="30"/>
      <c r="D20" s="30"/>
      <c r="E20" s="30"/>
      <c r="F20" s="30"/>
      <c r="G20" s="30"/>
      <c r="H20" s="30"/>
      <c r="I20" s="30"/>
    </row>
    <row r="21" spans="2:9" ht="13.9" customHeight="1" x14ac:dyDescent="0.2">
      <c r="B21" s="27"/>
      <c r="C21" s="30"/>
      <c r="D21" s="30"/>
      <c r="E21" s="30"/>
      <c r="F21" s="30"/>
      <c r="G21" s="30"/>
      <c r="H21" s="30"/>
      <c r="I21" s="30"/>
    </row>
    <row r="22" spans="2:9" ht="13.9" customHeight="1" x14ac:dyDescent="0.2">
      <c r="B22" s="27"/>
      <c r="C22" s="30"/>
      <c r="D22" s="30"/>
      <c r="E22" s="30"/>
      <c r="F22" s="30"/>
      <c r="G22" s="30"/>
      <c r="H22" s="30"/>
      <c r="I22" s="30"/>
    </row>
    <row r="23" spans="2:9" ht="13.9" customHeight="1" x14ac:dyDescent="0.2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1.570312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55" t="s">
        <v>19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8" t="s">
        <v>96</v>
      </c>
      <c r="P1" s="59"/>
      <c r="Q1" s="59"/>
      <c r="R1" s="59"/>
      <c r="S1" s="59"/>
      <c r="T1" s="59"/>
      <c r="U1" s="59"/>
      <c r="V1" s="59"/>
      <c r="W1" s="59"/>
      <c r="X1" s="59"/>
      <c r="Y1" s="59"/>
      <c r="Z1" s="60"/>
    </row>
    <row r="2" spans="2:26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6" t="s">
        <v>37</v>
      </c>
      <c r="P2" s="56" t="s">
        <v>39</v>
      </c>
      <c r="Q2" s="56" t="s">
        <v>38</v>
      </c>
      <c r="R2" s="56" t="s">
        <v>60</v>
      </c>
      <c r="S2" s="56" t="s">
        <v>46</v>
      </c>
      <c r="T2" s="56" t="s">
        <v>45</v>
      </c>
      <c r="U2" s="55" t="s">
        <v>61</v>
      </c>
      <c r="V2" s="58" t="s">
        <v>42</v>
      </c>
      <c r="W2" s="60"/>
      <c r="X2" s="58" t="s">
        <v>43</v>
      </c>
      <c r="Y2" s="60"/>
      <c r="Z2" s="56" t="s">
        <v>47</v>
      </c>
    </row>
    <row r="3" spans="2:26" ht="26.45" customHeight="1" x14ac:dyDescent="0.2">
      <c r="B3" s="55"/>
      <c r="C3" s="55"/>
      <c r="D3" s="55"/>
      <c r="E3" s="55"/>
      <c r="F3" s="55"/>
      <c r="G3" s="55"/>
      <c r="H3" s="55"/>
      <c r="I3" s="22" t="s">
        <v>40</v>
      </c>
      <c r="J3" s="22" t="s">
        <v>945</v>
      </c>
      <c r="K3" s="22" t="s">
        <v>40</v>
      </c>
      <c r="L3" s="22" t="s">
        <v>946</v>
      </c>
      <c r="M3" s="55"/>
      <c r="O3" s="57"/>
      <c r="P3" s="57"/>
      <c r="Q3" s="57"/>
      <c r="R3" s="57"/>
      <c r="S3" s="57"/>
      <c r="T3" s="57"/>
      <c r="U3" s="55"/>
      <c r="V3" s="22" t="s">
        <v>40</v>
      </c>
      <c r="W3" s="22" t="s">
        <v>945</v>
      </c>
      <c r="X3" s="22" t="s">
        <v>40</v>
      </c>
      <c r="Y3" s="22" t="s">
        <v>946</v>
      </c>
      <c r="Z3" s="57"/>
    </row>
    <row r="4" spans="2:26" x14ac:dyDescent="0.2">
      <c r="B4" s="27" t="s">
        <v>131</v>
      </c>
      <c r="C4" s="27">
        <v>189</v>
      </c>
      <c r="D4" s="27" t="s">
        <v>127</v>
      </c>
      <c r="E4" s="27" t="s">
        <v>106</v>
      </c>
      <c r="F4" s="27" t="s">
        <v>132</v>
      </c>
      <c r="G4" s="27" t="s">
        <v>63</v>
      </c>
      <c r="H4" s="27">
        <v>60</v>
      </c>
      <c r="I4" s="27">
        <v>14</v>
      </c>
      <c r="J4" s="37">
        <v>-5.5400000000000002E-4</v>
      </c>
      <c r="K4" s="27">
        <v>3</v>
      </c>
      <c r="L4" s="38">
        <v>5.6700000000000001E-4</v>
      </c>
      <c r="M4" s="27" t="s">
        <v>65</v>
      </c>
      <c r="O4" s="27" t="s">
        <v>131</v>
      </c>
      <c r="P4" s="27">
        <v>189</v>
      </c>
      <c r="Q4" s="27" t="s">
        <v>127</v>
      </c>
      <c r="R4" s="27" t="s">
        <v>376</v>
      </c>
      <c r="S4" s="27" t="s">
        <v>132</v>
      </c>
      <c r="T4" s="27" t="s">
        <v>63</v>
      </c>
      <c r="U4" s="27">
        <v>10</v>
      </c>
      <c r="V4" s="27">
        <v>14</v>
      </c>
      <c r="W4" s="37">
        <v>-5.5500000000000005E-4</v>
      </c>
      <c r="X4" s="27">
        <v>3</v>
      </c>
      <c r="Y4" s="38">
        <v>5.6800000000000004E-4</v>
      </c>
      <c r="Z4" s="27" t="s">
        <v>65</v>
      </c>
    </row>
    <row r="5" spans="2:26" x14ac:dyDescent="0.2">
      <c r="B5" s="27" t="s">
        <v>131</v>
      </c>
      <c r="C5" s="27">
        <v>189</v>
      </c>
      <c r="D5" s="27" t="s">
        <v>127</v>
      </c>
      <c r="E5" s="27" t="s">
        <v>106</v>
      </c>
      <c r="F5" s="27" t="s">
        <v>133</v>
      </c>
      <c r="G5" s="27" t="s">
        <v>64</v>
      </c>
      <c r="H5" s="27">
        <v>60</v>
      </c>
      <c r="I5" s="27">
        <v>11</v>
      </c>
      <c r="J5" s="37">
        <v>-5.1900000000000004E-4</v>
      </c>
      <c r="K5" s="27">
        <v>4</v>
      </c>
      <c r="L5" s="38">
        <v>5.2400000000000005E-4</v>
      </c>
      <c r="M5" s="27" t="s">
        <v>65</v>
      </c>
      <c r="O5" s="27" t="s">
        <v>131</v>
      </c>
      <c r="P5" s="27">
        <v>189</v>
      </c>
      <c r="Q5" s="27" t="s">
        <v>127</v>
      </c>
      <c r="R5" s="27" t="s">
        <v>376</v>
      </c>
      <c r="S5" s="27" t="s">
        <v>133</v>
      </c>
      <c r="T5" s="27" t="s">
        <v>64</v>
      </c>
      <c r="U5" s="27">
        <v>10</v>
      </c>
      <c r="V5" s="27">
        <v>11</v>
      </c>
      <c r="W5" s="37">
        <v>-5.1999999999999995E-4</v>
      </c>
      <c r="X5" s="27">
        <v>4</v>
      </c>
      <c r="Y5" s="38">
        <v>5.2599999999999999E-4</v>
      </c>
      <c r="Z5" s="27" t="s">
        <v>65</v>
      </c>
    </row>
    <row r="6" spans="2:26" x14ac:dyDescent="0.2">
      <c r="B6" s="27" t="s">
        <v>131</v>
      </c>
      <c r="C6" s="27">
        <v>201</v>
      </c>
      <c r="D6" s="27" t="s">
        <v>128</v>
      </c>
      <c r="E6" s="27" t="s">
        <v>106</v>
      </c>
      <c r="F6" s="27" t="s">
        <v>134</v>
      </c>
      <c r="G6" s="27" t="s">
        <v>63</v>
      </c>
      <c r="H6" s="27">
        <v>60</v>
      </c>
      <c r="I6" s="27">
        <v>20</v>
      </c>
      <c r="J6" s="37">
        <v>-1.3799999999999999E-4</v>
      </c>
      <c r="K6" s="27">
        <v>4</v>
      </c>
      <c r="L6" s="38">
        <v>-1.3200000000000001E-4</v>
      </c>
      <c r="M6" s="27" t="s">
        <v>65</v>
      </c>
      <c r="O6" s="27" t="s">
        <v>131</v>
      </c>
      <c r="P6" s="27">
        <v>201</v>
      </c>
      <c r="Q6" s="27" t="s">
        <v>128</v>
      </c>
      <c r="R6" s="27" t="s">
        <v>376</v>
      </c>
      <c r="S6" s="27" t="s">
        <v>134</v>
      </c>
      <c r="T6" s="27" t="s">
        <v>63</v>
      </c>
      <c r="U6" s="27">
        <v>10</v>
      </c>
      <c r="V6" s="27">
        <v>20</v>
      </c>
      <c r="W6" s="37">
        <v>-1.3799999999999999E-4</v>
      </c>
      <c r="X6" s="27">
        <v>4</v>
      </c>
      <c r="Y6" s="38">
        <v>-1.3100000000000001E-4</v>
      </c>
      <c r="Z6" s="27" t="s">
        <v>65</v>
      </c>
    </row>
    <row r="7" spans="2:26" x14ac:dyDescent="0.2">
      <c r="B7" s="27" t="s">
        <v>131</v>
      </c>
      <c r="C7" s="27">
        <v>201</v>
      </c>
      <c r="D7" s="27" t="s">
        <v>128</v>
      </c>
      <c r="E7" s="27" t="s">
        <v>106</v>
      </c>
      <c r="F7" s="27" t="s">
        <v>135</v>
      </c>
      <c r="G7" s="27" t="s">
        <v>64</v>
      </c>
      <c r="H7" s="27">
        <v>60</v>
      </c>
      <c r="I7" s="27">
        <v>17</v>
      </c>
      <c r="J7" s="37">
        <v>-1.85E-4</v>
      </c>
      <c r="K7" s="27">
        <v>3</v>
      </c>
      <c r="L7" s="38">
        <v>-1.7200000000000001E-4</v>
      </c>
      <c r="M7" s="27" t="s">
        <v>65</v>
      </c>
      <c r="O7" s="27" t="s">
        <v>131</v>
      </c>
      <c r="P7" s="27">
        <v>201</v>
      </c>
      <c r="Q7" s="27" t="s">
        <v>128</v>
      </c>
      <c r="R7" s="27" t="s">
        <v>376</v>
      </c>
      <c r="S7" s="27" t="s">
        <v>135</v>
      </c>
      <c r="T7" s="27" t="s">
        <v>64</v>
      </c>
      <c r="U7" s="27">
        <v>10</v>
      </c>
      <c r="V7" s="27">
        <v>17</v>
      </c>
      <c r="W7" s="37">
        <v>-1.85E-4</v>
      </c>
      <c r="X7" s="27">
        <v>3</v>
      </c>
      <c r="Y7" s="38">
        <v>-1.7200000000000001E-4</v>
      </c>
      <c r="Z7" s="27" t="s">
        <v>65</v>
      </c>
    </row>
    <row r="8" spans="2:26" x14ac:dyDescent="0.2">
      <c r="B8" s="27" t="s">
        <v>131</v>
      </c>
      <c r="C8" s="27">
        <v>197</v>
      </c>
      <c r="D8" s="27" t="s">
        <v>129</v>
      </c>
      <c r="E8" s="27" t="s">
        <v>106</v>
      </c>
      <c r="F8" s="27" t="s">
        <v>136</v>
      </c>
      <c r="G8" s="27" t="s">
        <v>63</v>
      </c>
      <c r="H8" s="27">
        <v>60</v>
      </c>
      <c r="I8" s="27">
        <v>15</v>
      </c>
      <c r="J8" s="37">
        <v>-2.4000000000000001E-4</v>
      </c>
      <c r="K8" s="27">
        <v>12</v>
      </c>
      <c r="L8" s="38">
        <v>-2.1000000000000001E-4</v>
      </c>
      <c r="M8" s="27" t="s">
        <v>65</v>
      </c>
      <c r="O8" s="27" t="s">
        <v>131</v>
      </c>
      <c r="P8" s="27">
        <v>197</v>
      </c>
      <c r="Q8" s="27" t="s">
        <v>129</v>
      </c>
      <c r="R8" s="27" t="s">
        <v>376</v>
      </c>
      <c r="S8" s="27" t="s">
        <v>136</v>
      </c>
      <c r="T8" s="27" t="s">
        <v>63</v>
      </c>
      <c r="U8" s="27">
        <v>10</v>
      </c>
      <c r="V8" s="27">
        <v>15</v>
      </c>
      <c r="W8" s="37">
        <v>-2.4000000000000001E-4</v>
      </c>
      <c r="X8" s="27">
        <v>12</v>
      </c>
      <c r="Y8" s="38">
        <v>-2.1000000000000001E-4</v>
      </c>
      <c r="Z8" s="27" t="s">
        <v>65</v>
      </c>
    </row>
    <row r="9" spans="2:26" x14ac:dyDescent="0.2">
      <c r="B9" s="27" t="s">
        <v>131</v>
      </c>
      <c r="C9" s="27">
        <v>197</v>
      </c>
      <c r="D9" s="27" t="s">
        <v>129</v>
      </c>
      <c r="E9" s="27" t="s">
        <v>106</v>
      </c>
      <c r="F9" s="27" t="s">
        <v>137</v>
      </c>
      <c r="G9" s="27" t="s">
        <v>64</v>
      </c>
      <c r="H9" s="27">
        <v>60</v>
      </c>
      <c r="I9" s="27">
        <v>17</v>
      </c>
      <c r="J9" s="37">
        <v>-2.41E-4</v>
      </c>
      <c r="K9" s="27">
        <v>6</v>
      </c>
      <c r="L9" s="38">
        <v>-2.1100000000000001E-4</v>
      </c>
      <c r="M9" s="27" t="s">
        <v>65</v>
      </c>
      <c r="O9" s="27" t="s">
        <v>131</v>
      </c>
      <c r="P9" s="27">
        <v>197</v>
      </c>
      <c r="Q9" s="27" t="s">
        <v>129</v>
      </c>
      <c r="R9" s="27" t="s">
        <v>376</v>
      </c>
      <c r="S9" s="27" t="s">
        <v>137</v>
      </c>
      <c r="T9" s="27" t="s">
        <v>64</v>
      </c>
      <c r="U9" s="27">
        <v>10</v>
      </c>
      <c r="V9" s="27">
        <v>17</v>
      </c>
      <c r="W9" s="37">
        <v>-2.41E-4</v>
      </c>
      <c r="X9" s="27">
        <v>6</v>
      </c>
      <c r="Y9" s="38">
        <v>-2.1100000000000001E-4</v>
      </c>
      <c r="Z9" s="27" t="s">
        <v>65</v>
      </c>
    </row>
    <row r="10" spans="2:26" x14ac:dyDescent="0.2">
      <c r="B10" s="27" t="s">
        <v>131</v>
      </c>
      <c r="C10" s="27">
        <v>198</v>
      </c>
      <c r="D10" s="27" t="s">
        <v>129</v>
      </c>
      <c r="E10" s="27" t="s">
        <v>106</v>
      </c>
      <c r="F10" s="27" t="s">
        <v>138</v>
      </c>
      <c r="G10" s="27" t="s">
        <v>63</v>
      </c>
      <c r="H10" s="27">
        <v>60</v>
      </c>
      <c r="I10" s="27">
        <v>15</v>
      </c>
      <c r="J10" s="37">
        <v>-2.41E-4</v>
      </c>
      <c r="K10" s="27">
        <v>12</v>
      </c>
      <c r="L10" s="38">
        <v>-2.1000000000000001E-4</v>
      </c>
      <c r="M10" s="27" t="s">
        <v>65</v>
      </c>
      <c r="O10" s="27" t="s">
        <v>131</v>
      </c>
      <c r="P10" s="27">
        <v>198</v>
      </c>
      <c r="Q10" s="27" t="s">
        <v>129</v>
      </c>
      <c r="R10" s="27" t="s">
        <v>376</v>
      </c>
      <c r="S10" s="27" t="s">
        <v>138</v>
      </c>
      <c r="T10" s="27" t="s">
        <v>63</v>
      </c>
      <c r="U10" s="27">
        <v>10</v>
      </c>
      <c r="V10" s="27">
        <v>15</v>
      </c>
      <c r="W10" s="37">
        <v>-2.41E-4</v>
      </c>
      <c r="X10" s="27">
        <v>12</v>
      </c>
      <c r="Y10" s="38">
        <v>-2.1100000000000001E-4</v>
      </c>
      <c r="Z10" s="27" t="s">
        <v>65</v>
      </c>
    </row>
    <row r="11" spans="2:26" x14ac:dyDescent="0.2">
      <c r="B11" s="27" t="s">
        <v>131</v>
      </c>
      <c r="C11" s="27">
        <v>198</v>
      </c>
      <c r="D11" s="27" t="s">
        <v>129</v>
      </c>
      <c r="E11" s="27" t="s">
        <v>106</v>
      </c>
      <c r="F11" s="27" t="s">
        <v>139</v>
      </c>
      <c r="G11" s="27" t="s">
        <v>64</v>
      </c>
      <c r="H11" s="27">
        <v>60</v>
      </c>
      <c r="I11" s="27">
        <v>17</v>
      </c>
      <c r="J11" s="37">
        <v>-2.4000000000000001E-4</v>
      </c>
      <c r="K11" s="27">
        <v>6</v>
      </c>
      <c r="L11" s="38">
        <v>-2.1000000000000001E-4</v>
      </c>
      <c r="M11" s="27" t="s">
        <v>65</v>
      </c>
      <c r="O11" s="27" t="s">
        <v>131</v>
      </c>
      <c r="P11" s="27">
        <v>198</v>
      </c>
      <c r="Q11" s="27" t="s">
        <v>129</v>
      </c>
      <c r="R11" s="27" t="s">
        <v>376</v>
      </c>
      <c r="S11" s="27" t="s">
        <v>139</v>
      </c>
      <c r="T11" s="27" t="s">
        <v>64</v>
      </c>
      <c r="U11" s="27">
        <v>10</v>
      </c>
      <c r="V11" s="27">
        <v>17</v>
      </c>
      <c r="W11" s="37">
        <v>-2.4000000000000001E-4</v>
      </c>
      <c r="X11" s="27">
        <v>6</v>
      </c>
      <c r="Y11" s="38">
        <v>-2.1100000000000001E-4</v>
      </c>
      <c r="Z11" s="27" t="s">
        <v>65</v>
      </c>
    </row>
    <row r="12" spans="2:26" x14ac:dyDescent="0.2">
      <c r="B12" s="27" t="s">
        <v>131</v>
      </c>
      <c r="C12" s="27">
        <v>202</v>
      </c>
      <c r="D12" s="27" t="s">
        <v>128</v>
      </c>
      <c r="E12" s="27" t="s">
        <v>106</v>
      </c>
      <c r="F12" s="27" t="s">
        <v>140</v>
      </c>
      <c r="G12" s="27" t="s">
        <v>63</v>
      </c>
      <c r="H12" s="27">
        <v>60</v>
      </c>
      <c r="I12" s="27">
        <v>20</v>
      </c>
      <c r="J12" s="37">
        <v>-1.5100000000000001E-4</v>
      </c>
      <c r="K12" s="27">
        <v>4</v>
      </c>
      <c r="L12" s="38">
        <v>-1.4200000000000001E-4</v>
      </c>
      <c r="M12" s="27" t="s">
        <v>65</v>
      </c>
      <c r="O12" s="27" t="s">
        <v>131</v>
      </c>
      <c r="P12" s="27">
        <v>202</v>
      </c>
      <c r="Q12" s="27" t="s">
        <v>128</v>
      </c>
      <c r="R12" s="27" t="s">
        <v>376</v>
      </c>
      <c r="S12" s="27" t="s">
        <v>140</v>
      </c>
      <c r="T12" s="27" t="s">
        <v>63</v>
      </c>
      <c r="U12" s="27">
        <v>10</v>
      </c>
      <c r="V12" s="27">
        <v>20</v>
      </c>
      <c r="W12" s="37">
        <v>-1.4999999999999999E-4</v>
      </c>
      <c r="X12" s="27">
        <v>4</v>
      </c>
      <c r="Y12" s="38">
        <v>-1.4100000000000001E-4</v>
      </c>
      <c r="Z12" s="27" t="s">
        <v>65</v>
      </c>
    </row>
    <row r="13" spans="2:26" x14ac:dyDescent="0.2">
      <c r="B13" s="27" t="s">
        <v>131</v>
      </c>
      <c r="C13" s="27">
        <v>202</v>
      </c>
      <c r="D13" s="27" t="s">
        <v>128</v>
      </c>
      <c r="E13" s="27" t="s">
        <v>106</v>
      </c>
      <c r="F13" s="27" t="s">
        <v>141</v>
      </c>
      <c r="G13" s="27" t="s">
        <v>64</v>
      </c>
      <c r="H13" s="27">
        <v>60</v>
      </c>
      <c r="I13" s="27">
        <v>17</v>
      </c>
      <c r="J13" s="37">
        <v>-1.8599999999999999E-4</v>
      </c>
      <c r="K13" s="27">
        <v>3</v>
      </c>
      <c r="L13" s="38">
        <v>-1.7100000000000001E-4</v>
      </c>
      <c r="M13" s="27" t="s">
        <v>65</v>
      </c>
      <c r="O13" s="27" t="s">
        <v>131</v>
      </c>
      <c r="P13" s="27">
        <v>202</v>
      </c>
      <c r="Q13" s="27" t="s">
        <v>128</v>
      </c>
      <c r="R13" s="27" t="s">
        <v>376</v>
      </c>
      <c r="S13" s="27" t="s">
        <v>141</v>
      </c>
      <c r="T13" s="27" t="s">
        <v>64</v>
      </c>
      <c r="U13" s="27">
        <v>10</v>
      </c>
      <c r="V13" s="27">
        <v>17</v>
      </c>
      <c r="W13" s="37">
        <v>-1.8699999999999999E-4</v>
      </c>
      <c r="X13" s="27">
        <v>3</v>
      </c>
      <c r="Y13" s="38">
        <v>-1.7200000000000001E-4</v>
      </c>
      <c r="Z13" s="27" t="s">
        <v>65</v>
      </c>
    </row>
    <row r="14" spans="2:26" x14ac:dyDescent="0.2">
      <c r="B14" s="27" t="s">
        <v>131</v>
      </c>
      <c r="C14" s="27">
        <v>190</v>
      </c>
      <c r="D14" s="27" t="s">
        <v>127</v>
      </c>
      <c r="E14" s="27" t="s">
        <v>106</v>
      </c>
      <c r="F14" s="27" t="s">
        <v>142</v>
      </c>
      <c r="G14" s="27" t="s">
        <v>63</v>
      </c>
      <c r="H14" s="27">
        <v>60</v>
      </c>
      <c r="I14" s="27">
        <v>9</v>
      </c>
      <c r="J14" s="37">
        <v>-3.57E-4</v>
      </c>
      <c r="K14" s="27">
        <v>1</v>
      </c>
      <c r="L14" s="38">
        <v>3.4600000000000001E-4</v>
      </c>
      <c r="M14" s="27" t="s">
        <v>65</v>
      </c>
      <c r="O14" s="27" t="s">
        <v>131</v>
      </c>
      <c r="P14" s="27">
        <v>190</v>
      </c>
      <c r="Q14" s="27" t="s">
        <v>127</v>
      </c>
      <c r="R14" s="27" t="s">
        <v>376</v>
      </c>
      <c r="S14" s="27" t="s">
        <v>142</v>
      </c>
      <c r="T14" s="27" t="s">
        <v>63</v>
      </c>
      <c r="U14" s="27">
        <v>10</v>
      </c>
      <c r="V14" s="27">
        <v>9</v>
      </c>
      <c r="W14" s="37">
        <v>-3.5799999999999997E-4</v>
      </c>
      <c r="X14" s="27">
        <v>1</v>
      </c>
      <c r="Y14" s="38">
        <v>3.4699999999999998E-4</v>
      </c>
      <c r="Z14" s="27" t="s">
        <v>65</v>
      </c>
    </row>
    <row r="15" spans="2:26" x14ac:dyDescent="0.2">
      <c r="B15" s="27" t="s">
        <v>131</v>
      </c>
      <c r="C15" s="27">
        <v>190</v>
      </c>
      <c r="D15" s="27" t="s">
        <v>127</v>
      </c>
      <c r="E15" s="27" t="s">
        <v>106</v>
      </c>
      <c r="F15" s="27" t="s">
        <v>143</v>
      </c>
      <c r="G15" s="27" t="s">
        <v>64</v>
      </c>
      <c r="H15" s="27">
        <v>60</v>
      </c>
      <c r="I15" s="27">
        <v>16</v>
      </c>
      <c r="J15" s="37">
        <v>-1.7799999999999999E-4</v>
      </c>
      <c r="K15" s="27">
        <v>1</v>
      </c>
      <c r="L15" s="38">
        <v>-1.4899999999999999E-4</v>
      </c>
      <c r="M15" s="27" t="s">
        <v>65</v>
      </c>
      <c r="O15" s="27" t="s">
        <v>131</v>
      </c>
      <c r="P15" s="27">
        <v>190</v>
      </c>
      <c r="Q15" s="27" t="s">
        <v>127</v>
      </c>
      <c r="R15" s="27" t="s">
        <v>376</v>
      </c>
      <c r="S15" s="27" t="s">
        <v>143</v>
      </c>
      <c r="T15" s="27" t="s">
        <v>64</v>
      </c>
      <c r="U15" s="27">
        <v>10</v>
      </c>
      <c r="V15" s="27">
        <v>16</v>
      </c>
      <c r="W15" s="37">
        <v>-1.7899999999999999E-4</v>
      </c>
      <c r="X15" s="27">
        <v>1</v>
      </c>
      <c r="Y15" s="38">
        <v>-1.4999999999999999E-4</v>
      </c>
      <c r="Z15" s="27" t="s">
        <v>65</v>
      </c>
    </row>
    <row r="16" spans="2:26" x14ac:dyDescent="0.2">
      <c r="B16" s="27" t="s">
        <v>131</v>
      </c>
      <c r="C16" s="27">
        <v>206</v>
      </c>
      <c r="D16" s="27" t="s">
        <v>128</v>
      </c>
      <c r="E16" s="27" t="s">
        <v>106</v>
      </c>
      <c r="F16" s="27" t="s">
        <v>144</v>
      </c>
      <c r="G16" s="27" t="s">
        <v>63</v>
      </c>
      <c r="H16" s="27">
        <v>60</v>
      </c>
      <c r="I16" s="27">
        <v>22</v>
      </c>
      <c r="J16" s="37">
        <v>-1.47E-4</v>
      </c>
      <c r="K16" s="27">
        <v>1</v>
      </c>
      <c r="L16" s="38">
        <v>-1.25E-4</v>
      </c>
      <c r="M16" s="27" t="s">
        <v>65</v>
      </c>
      <c r="O16" s="27" t="s">
        <v>131</v>
      </c>
      <c r="P16" s="27">
        <v>206</v>
      </c>
      <c r="Q16" s="27" t="s">
        <v>128</v>
      </c>
      <c r="R16" s="27" t="s">
        <v>376</v>
      </c>
      <c r="S16" s="27" t="s">
        <v>144</v>
      </c>
      <c r="T16" s="27" t="s">
        <v>63</v>
      </c>
      <c r="U16" s="27">
        <v>10</v>
      </c>
      <c r="V16" s="27">
        <v>22</v>
      </c>
      <c r="W16" s="37">
        <v>-1.47E-4</v>
      </c>
      <c r="X16" s="27">
        <v>1</v>
      </c>
      <c r="Y16" s="38">
        <v>-1.25E-4</v>
      </c>
      <c r="Z16" s="27" t="s">
        <v>65</v>
      </c>
    </row>
    <row r="17" spans="2:26" x14ac:dyDescent="0.2">
      <c r="B17" s="27" t="s">
        <v>131</v>
      </c>
      <c r="C17" s="27">
        <v>206</v>
      </c>
      <c r="D17" s="27" t="s">
        <v>128</v>
      </c>
      <c r="E17" s="27" t="s">
        <v>106</v>
      </c>
      <c r="F17" s="27" t="s">
        <v>145</v>
      </c>
      <c r="G17" s="27" t="s">
        <v>64</v>
      </c>
      <c r="H17" s="27">
        <v>60</v>
      </c>
      <c r="I17" s="27">
        <v>15</v>
      </c>
      <c r="J17" s="37">
        <v>-1.9900000000000001E-4</v>
      </c>
      <c r="K17" s="27">
        <v>6</v>
      </c>
      <c r="L17" s="38">
        <v>-1.66E-4</v>
      </c>
      <c r="M17" s="27" t="s">
        <v>65</v>
      </c>
      <c r="O17" s="27" t="s">
        <v>131</v>
      </c>
      <c r="P17" s="27">
        <v>206</v>
      </c>
      <c r="Q17" s="27" t="s">
        <v>128</v>
      </c>
      <c r="R17" s="27" t="s">
        <v>376</v>
      </c>
      <c r="S17" s="27" t="s">
        <v>145</v>
      </c>
      <c r="T17" s="27" t="s">
        <v>64</v>
      </c>
      <c r="U17" s="27">
        <v>10</v>
      </c>
      <c r="V17" s="27">
        <v>15</v>
      </c>
      <c r="W17" s="37">
        <v>-1.9900000000000001E-4</v>
      </c>
      <c r="X17" s="27">
        <v>6</v>
      </c>
      <c r="Y17" s="38">
        <v>-1.66E-4</v>
      </c>
      <c r="Z17" s="27" t="s">
        <v>65</v>
      </c>
    </row>
    <row r="18" spans="2:26" x14ac:dyDescent="0.2">
      <c r="B18" s="27" t="s">
        <v>131</v>
      </c>
      <c r="C18" s="27">
        <v>191</v>
      </c>
      <c r="D18" s="27" t="s">
        <v>129</v>
      </c>
      <c r="E18" s="27" t="s">
        <v>106</v>
      </c>
      <c r="F18" s="27" t="s">
        <v>146</v>
      </c>
      <c r="G18" s="27" t="s">
        <v>63</v>
      </c>
      <c r="H18" s="27">
        <v>60</v>
      </c>
      <c r="I18" s="27">
        <v>16</v>
      </c>
      <c r="J18" s="37">
        <v>-7.7999999999999999E-5</v>
      </c>
      <c r="K18" s="27">
        <v>6</v>
      </c>
      <c r="L18" s="38">
        <v>-7.7999999999999999E-5</v>
      </c>
      <c r="M18" s="27" t="s">
        <v>65</v>
      </c>
      <c r="O18" s="27" t="s">
        <v>131</v>
      </c>
      <c r="P18" s="27">
        <v>191</v>
      </c>
      <c r="Q18" s="27" t="s">
        <v>129</v>
      </c>
      <c r="R18" s="27" t="s">
        <v>376</v>
      </c>
      <c r="S18" s="27" t="s">
        <v>146</v>
      </c>
      <c r="T18" s="27" t="s">
        <v>63</v>
      </c>
      <c r="U18" s="27">
        <v>10</v>
      </c>
      <c r="V18" s="27">
        <v>15</v>
      </c>
      <c r="W18" s="37">
        <v>-7.7999999999999999E-5</v>
      </c>
      <c r="X18" s="27">
        <v>6</v>
      </c>
      <c r="Y18" s="38">
        <v>-7.7999999999999999E-5</v>
      </c>
      <c r="Z18" s="27" t="s">
        <v>65</v>
      </c>
    </row>
    <row r="19" spans="2:26" x14ac:dyDescent="0.2">
      <c r="B19" s="27" t="s">
        <v>131</v>
      </c>
      <c r="C19" s="27">
        <v>191</v>
      </c>
      <c r="D19" s="27" t="s">
        <v>129</v>
      </c>
      <c r="E19" s="27" t="s">
        <v>106</v>
      </c>
      <c r="F19" s="27" t="s">
        <v>147</v>
      </c>
      <c r="G19" s="27" t="s">
        <v>64</v>
      </c>
      <c r="H19" s="27">
        <v>60</v>
      </c>
      <c r="I19" s="27">
        <v>15</v>
      </c>
      <c r="J19" s="37">
        <v>-1.1E-4</v>
      </c>
      <c r="K19" s="27">
        <v>12</v>
      </c>
      <c r="L19" s="38">
        <v>-1.1E-4</v>
      </c>
      <c r="M19" s="27" t="s">
        <v>65</v>
      </c>
      <c r="O19" s="27" t="s">
        <v>131</v>
      </c>
      <c r="P19" s="27">
        <v>191</v>
      </c>
      <c r="Q19" s="27" t="s">
        <v>129</v>
      </c>
      <c r="R19" s="27" t="s">
        <v>376</v>
      </c>
      <c r="S19" s="27" t="s">
        <v>147</v>
      </c>
      <c r="T19" s="27" t="s">
        <v>64</v>
      </c>
      <c r="U19" s="27">
        <v>10</v>
      </c>
      <c r="V19" s="27">
        <v>15</v>
      </c>
      <c r="W19" s="37">
        <v>-1.0900000000000001E-4</v>
      </c>
      <c r="X19" s="27">
        <v>12</v>
      </c>
      <c r="Y19" s="38">
        <v>-1.0900000000000001E-4</v>
      </c>
      <c r="Z19" s="27" t="s">
        <v>65</v>
      </c>
    </row>
    <row r="20" spans="2:26" x14ac:dyDescent="0.2">
      <c r="B20" s="27" t="s">
        <v>131</v>
      </c>
      <c r="C20" s="27">
        <v>209</v>
      </c>
      <c r="D20" s="27" t="s">
        <v>128</v>
      </c>
      <c r="E20" s="27" t="s">
        <v>106</v>
      </c>
      <c r="F20" s="27" t="s">
        <v>148</v>
      </c>
      <c r="G20" s="27" t="s">
        <v>63</v>
      </c>
      <c r="H20" s="27">
        <v>60</v>
      </c>
      <c r="I20" s="27">
        <v>21</v>
      </c>
      <c r="J20" s="37">
        <v>-1.16E-4</v>
      </c>
      <c r="K20" s="27">
        <v>1</v>
      </c>
      <c r="L20" s="38">
        <v>-1.01E-4</v>
      </c>
      <c r="M20" s="27" t="s">
        <v>65</v>
      </c>
      <c r="O20" s="27" t="s">
        <v>131</v>
      </c>
      <c r="P20" s="27">
        <v>209</v>
      </c>
      <c r="Q20" s="27" t="s">
        <v>128</v>
      </c>
      <c r="R20" s="27" t="s">
        <v>376</v>
      </c>
      <c r="S20" s="27" t="s">
        <v>148</v>
      </c>
      <c r="T20" s="27" t="s">
        <v>63</v>
      </c>
      <c r="U20" s="27">
        <v>10</v>
      </c>
      <c r="V20" s="27">
        <v>22</v>
      </c>
      <c r="W20" s="37">
        <v>-1.16E-4</v>
      </c>
      <c r="X20" s="27">
        <v>1</v>
      </c>
      <c r="Y20" s="38">
        <v>-1.01E-4</v>
      </c>
      <c r="Z20" s="27" t="s">
        <v>65</v>
      </c>
    </row>
    <row r="21" spans="2:26" x14ac:dyDescent="0.2">
      <c r="B21" s="27" t="s">
        <v>131</v>
      </c>
      <c r="C21" s="27">
        <v>209</v>
      </c>
      <c r="D21" s="27" t="s">
        <v>128</v>
      </c>
      <c r="E21" s="27" t="s">
        <v>106</v>
      </c>
      <c r="F21" s="27" t="s">
        <v>149</v>
      </c>
      <c r="G21" s="27" t="s">
        <v>64</v>
      </c>
      <c r="H21" s="27">
        <v>60</v>
      </c>
      <c r="I21" s="27">
        <v>15</v>
      </c>
      <c r="J21" s="37">
        <v>-1.47E-4</v>
      </c>
      <c r="K21" s="27">
        <v>6</v>
      </c>
      <c r="L21" s="38">
        <v>-1.27E-4</v>
      </c>
      <c r="M21" s="27" t="s">
        <v>65</v>
      </c>
      <c r="O21" s="27" t="s">
        <v>131</v>
      </c>
      <c r="P21" s="27">
        <v>209</v>
      </c>
      <c r="Q21" s="27" t="s">
        <v>128</v>
      </c>
      <c r="R21" s="27" t="s">
        <v>376</v>
      </c>
      <c r="S21" s="27" t="s">
        <v>149</v>
      </c>
      <c r="T21" s="27" t="s">
        <v>64</v>
      </c>
      <c r="U21" s="27">
        <v>10</v>
      </c>
      <c r="V21" s="27">
        <v>15</v>
      </c>
      <c r="W21" s="37">
        <v>-1.47E-4</v>
      </c>
      <c r="X21" s="27">
        <v>6</v>
      </c>
      <c r="Y21" s="38">
        <v>-1.26E-4</v>
      </c>
      <c r="Z21" s="27" t="s">
        <v>65</v>
      </c>
    </row>
    <row r="22" spans="2:26" x14ac:dyDescent="0.2">
      <c r="B22" s="27" t="s">
        <v>131</v>
      </c>
      <c r="C22" s="27">
        <v>210</v>
      </c>
      <c r="D22" s="27" t="s">
        <v>128</v>
      </c>
      <c r="E22" s="27" t="s">
        <v>106</v>
      </c>
      <c r="F22" s="27" t="s">
        <v>150</v>
      </c>
      <c r="G22" s="27" t="s">
        <v>63</v>
      </c>
      <c r="H22" s="27">
        <v>60</v>
      </c>
      <c r="I22" s="27">
        <v>20</v>
      </c>
      <c r="J22" s="37">
        <v>-1.12E-4</v>
      </c>
      <c r="K22" s="27">
        <v>1</v>
      </c>
      <c r="L22" s="38">
        <v>-9.7999999999999997E-5</v>
      </c>
      <c r="M22" s="27" t="s">
        <v>65</v>
      </c>
      <c r="O22" s="27" t="s">
        <v>131</v>
      </c>
      <c r="P22" s="27">
        <v>210</v>
      </c>
      <c r="Q22" s="27" t="s">
        <v>128</v>
      </c>
      <c r="R22" s="27" t="s">
        <v>376</v>
      </c>
      <c r="S22" s="27" t="s">
        <v>150</v>
      </c>
      <c r="T22" s="27" t="s">
        <v>63</v>
      </c>
      <c r="U22" s="27">
        <v>10</v>
      </c>
      <c r="V22" s="27">
        <v>20</v>
      </c>
      <c r="W22" s="37">
        <v>-1.12E-4</v>
      </c>
      <c r="X22" s="27">
        <v>1</v>
      </c>
      <c r="Y22" s="38">
        <v>-9.7999999999999997E-5</v>
      </c>
      <c r="Z22" s="27" t="s">
        <v>65</v>
      </c>
    </row>
    <row r="23" spans="2:26" x14ac:dyDescent="0.2">
      <c r="B23" s="27" t="s">
        <v>131</v>
      </c>
      <c r="C23" s="27">
        <v>210</v>
      </c>
      <c r="D23" s="27" t="s">
        <v>128</v>
      </c>
      <c r="E23" s="27" t="s">
        <v>106</v>
      </c>
      <c r="F23" s="27" t="s">
        <v>151</v>
      </c>
      <c r="G23" s="27" t="s">
        <v>64</v>
      </c>
      <c r="H23" s="27">
        <v>60</v>
      </c>
      <c r="I23" s="27">
        <v>15</v>
      </c>
      <c r="J23" s="37">
        <v>-1.46E-4</v>
      </c>
      <c r="K23" s="27">
        <v>6</v>
      </c>
      <c r="L23" s="38">
        <v>-1.26E-4</v>
      </c>
      <c r="M23" s="27" t="s">
        <v>65</v>
      </c>
      <c r="O23" s="27" t="s">
        <v>131</v>
      </c>
      <c r="P23" s="27">
        <v>210</v>
      </c>
      <c r="Q23" s="27" t="s">
        <v>128</v>
      </c>
      <c r="R23" s="27" t="s">
        <v>376</v>
      </c>
      <c r="S23" s="27" t="s">
        <v>151</v>
      </c>
      <c r="T23" s="27" t="s">
        <v>64</v>
      </c>
      <c r="U23" s="27">
        <v>10</v>
      </c>
      <c r="V23" s="27">
        <v>15</v>
      </c>
      <c r="W23" s="37">
        <v>-1.45E-4</v>
      </c>
      <c r="X23" s="27">
        <v>6</v>
      </c>
      <c r="Y23" s="38">
        <v>-1.25E-4</v>
      </c>
      <c r="Z23" s="27" t="s">
        <v>65</v>
      </c>
    </row>
    <row r="24" spans="2:26" x14ac:dyDescent="0.2">
      <c r="B24" s="27" t="s">
        <v>131</v>
      </c>
      <c r="C24" s="27">
        <v>193</v>
      </c>
      <c r="D24" s="27" t="s">
        <v>129</v>
      </c>
      <c r="E24" s="27" t="s">
        <v>106</v>
      </c>
      <c r="F24" s="27" t="s">
        <v>152</v>
      </c>
      <c r="G24" s="27" t="s">
        <v>63</v>
      </c>
      <c r="H24" s="27">
        <v>60</v>
      </c>
      <c r="I24" s="27">
        <v>17</v>
      </c>
      <c r="J24" s="37">
        <v>-7.7000000000000001E-5</v>
      </c>
      <c r="K24" s="27">
        <v>6</v>
      </c>
      <c r="L24" s="38">
        <v>-7.7000000000000001E-5</v>
      </c>
      <c r="M24" s="27" t="s">
        <v>65</v>
      </c>
      <c r="O24" s="27" t="s">
        <v>131</v>
      </c>
      <c r="P24" s="27">
        <v>193</v>
      </c>
      <c r="Q24" s="27" t="s">
        <v>129</v>
      </c>
      <c r="R24" s="27" t="s">
        <v>376</v>
      </c>
      <c r="S24" s="27" t="s">
        <v>152</v>
      </c>
      <c r="T24" s="27" t="s">
        <v>63</v>
      </c>
      <c r="U24" s="27">
        <v>10</v>
      </c>
      <c r="V24" s="27">
        <v>17</v>
      </c>
      <c r="W24" s="37">
        <v>-7.6000000000000004E-5</v>
      </c>
      <c r="X24" s="27">
        <v>6</v>
      </c>
      <c r="Y24" s="38">
        <v>-7.6000000000000004E-5</v>
      </c>
      <c r="Z24" s="27" t="s">
        <v>65</v>
      </c>
    </row>
    <row r="25" spans="2:26" x14ac:dyDescent="0.2">
      <c r="B25" s="27" t="s">
        <v>131</v>
      </c>
      <c r="C25" s="27">
        <v>193</v>
      </c>
      <c r="D25" s="27" t="s">
        <v>129</v>
      </c>
      <c r="E25" s="27" t="s">
        <v>106</v>
      </c>
      <c r="F25" s="27" t="s">
        <v>153</v>
      </c>
      <c r="G25" s="27" t="s">
        <v>64</v>
      </c>
      <c r="H25" s="27">
        <v>60</v>
      </c>
      <c r="I25" s="27">
        <v>17</v>
      </c>
      <c r="J25" s="37">
        <v>-1.11E-4</v>
      </c>
      <c r="K25" s="27">
        <v>6</v>
      </c>
      <c r="L25" s="38">
        <v>-1.11E-4</v>
      </c>
      <c r="M25" s="27" t="s">
        <v>65</v>
      </c>
      <c r="O25" s="27" t="s">
        <v>131</v>
      </c>
      <c r="P25" s="27">
        <v>193</v>
      </c>
      <c r="Q25" s="27" t="s">
        <v>129</v>
      </c>
      <c r="R25" s="27" t="s">
        <v>376</v>
      </c>
      <c r="S25" s="27" t="s">
        <v>153</v>
      </c>
      <c r="T25" s="27" t="s">
        <v>64</v>
      </c>
      <c r="U25" s="27">
        <v>10</v>
      </c>
      <c r="V25" s="27">
        <v>17</v>
      </c>
      <c r="W25" s="37">
        <v>-1.12E-4</v>
      </c>
      <c r="X25" s="27">
        <v>6</v>
      </c>
      <c r="Y25" s="38">
        <v>-1.11E-4</v>
      </c>
      <c r="Z25" s="27" t="s">
        <v>65</v>
      </c>
    </row>
    <row r="26" spans="2:26" x14ac:dyDescent="0.2">
      <c r="B26" s="27" t="s">
        <v>131</v>
      </c>
      <c r="C26" s="27">
        <v>204</v>
      </c>
      <c r="D26" s="27" t="s">
        <v>128</v>
      </c>
      <c r="E26" s="27" t="s">
        <v>106</v>
      </c>
      <c r="F26" s="27" t="s">
        <v>154</v>
      </c>
      <c r="G26" s="27" t="s">
        <v>63</v>
      </c>
      <c r="H26" s="27">
        <v>60</v>
      </c>
      <c r="I26" s="27">
        <v>17</v>
      </c>
      <c r="J26" s="37">
        <v>-9.2999999999999997E-5</v>
      </c>
      <c r="K26" s="27">
        <v>3</v>
      </c>
      <c r="L26" s="38">
        <v>-8.0000000000000007E-5</v>
      </c>
      <c r="M26" s="27" t="s">
        <v>65</v>
      </c>
      <c r="O26" s="27" t="s">
        <v>131</v>
      </c>
      <c r="P26" s="27">
        <v>204</v>
      </c>
      <c r="Q26" s="27" t="s">
        <v>128</v>
      </c>
      <c r="R26" s="27" t="s">
        <v>376</v>
      </c>
      <c r="S26" s="27" t="s">
        <v>154</v>
      </c>
      <c r="T26" s="27" t="s">
        <v>63</v>
      </c>
      <c r="U26" s="27">
        <v>10</v>
      </c>
      <c r="V26" s="27">
        <v>17</v>
      </c>
      <c r="W26" s="37">
        <v>-9.2999999999999997E-5</v>
      </c>
      <c r="X26" s="27">
        <v>3</v>
      </c>
      <c r="Y26" s="38">
        <v>-8.0000000000000007E-5</v>
      </c>
      <c r="Z26" s="27" t="s">
        <v>65</v>
      </c>
    </row>
    <row r="27" spans="2:26" x14ac:dyDescent="0.2">
      <c r="B27" s="27" t="s">
        <v>131</v>
      </c>
      <c r="C27" s="27">
        <v>204</v>
      </c>
      <c r="D27" s="27" t="s">
        <v>128</v>
      </c>
      <c r="E27" s="27" t="s">
        <v>106</v>
      </c>
      <c r="F27" s="27" t="s">
        <v>155</v>
      </c>
      <c r="G27" s="27" t="s">
        <v>64</v>
      </c>
      <c r="H27" s="27">
        <v>60</v>
      </c>
      <c r="I27" s="27">
        <v>22</v>
      </c>
      <c r="J27" s="37">
        <v>-4.1E-5</v>
      </c>
      <c r="K27" s="27">
        <v>1</v>
      </c>
      <c r="L27" s="38">
        <v>-3.6000000000000001E-5</v>
      </c>
      <c r="M27" s="27" t="s">
        <v>65</v>
      </c>
      <c r="O27" s="27" t="s">
        <v>131</v>
      </c>
      <c r="P27" s="27">
        <v>204</v>
      </c>
      <c r="Q27" s="27" t="s">
        <v>128</v>
      </c>
      <c r="R27" s="27" t="s">
        <v>376</v>
      </c>
      <c r="S27" s="27" t="s">
        <v>155</v>
      </c>
      <c r="T27" s="27" t="s">
        <v>64</v>
      </c>
      <c r="U27" s="27">
        <v>10</v>
      </c>
      <c r="V27" s="27">
        <v>22</v>
      </c>
      <c r="W27" s="37">
        <v>-4.1E-5</v>
      </c>
      <c r="X27" s="27">
        <v>1</v>
      </c>
      <c r="Y27" s="38">
        <v>-3.6999999999999998E-5</v>
      </c>
      <c r="Z27" s="27" t="s">
        <v>65</v>
      </c>
    </row>
    <row r="28" spans="2:26" x14ac:dyDescent="0.2">
      <c r="B28" s="27" t="s">
        <v>131</v>
      </c>
      <c r="C28" s="27">
        <v>205</v>
      </c>
      <c r="D28" s="27" t="s">
        <v>128</v>
      </c>
      <c r="E28" s="27" t="s">
        <v>106</v>
      </c>
      <c r="F28" s="27" t="s">
        <v>156</v>
      </c>
      <c r="G28" s="27" t="s">
        <v>63</v>
      </c>
      <c r="H28" s="27">
        <v>60</v>
      </c>
      <c r="I28" s="27">
        <v>20</v>
      </c>
      <c r="J28" s="37">
        <v>-1.47E-4</v>
      </c>
      <c r="K28" s="27">
        <v>4</v>
      </c>
      <c r="L28" s="38">
        <v>-1.25E-4</v>
      </c>
      <c r="M28" s="27" t="s">
        <v>65</v>
      </c>
      <c r="O28" s="27" t="s">
        <v>131</v>
      </c>
      <c r="P28" s="27">
        <v>205</v>
      </c>
      <c r="Q28" s="27" t="s">
        <v>128</v>
      </c>
      <c r="R28" s="27" t="s">
        <v>376</v>
      </c>
      <c r="S28" s="27" t="s">
        <v>156</v>
      </c>
      <c r="T28" s="27" t="s">
        <v>63</v>
      </c>
      <c r="U28" s="27">
        <v>10</v>
      </c>
      <c r="V28" s="27">
        <v>20</v>
      </c>
      <c r="W28" s="37">
        <v>-1.47E-4</v>
      </c>
      <c r="X28" s="27">
        <v>4</v>
      </c>
      <c r="Y28" s="38">
        <v>-1.25E-4</v>
      </c>
      <c r="Z28" s="27" t="s">
        <v>65</v>
      </c>
    </row>
    <row r="29" spans="2:26" x14ac:dyDescent="0.2">
      <c r="B29" s="27" t="s">
        <v>131</v>
      </c>
      <c r="C29" s="27">
        <v>205</v>
      </c>
      <c r="D29" s="27" t="s">
        <v>128</v>
      </c>
      <c r="E29" s="27" t="s">
        <v>106</v>
      </c>
      <c r="F29" s="27" t="s">
        <v>157</v>
      </c>
      <c r="G29" s="27" t="s">
        <v>64</v>
      </c>
      <c r="H29" s="27">
        <v>60</v>
      </c>
      <c r="I29" s="27">
        <v>17</v>
      </c>
      <c r="J29" s="37">
        <v>-2.0000000000000001E-4</v>
      </c>
      <c r="K29" s="27">
        <v>3</v>
      </c>
      <c r="L29" s="38">
        <v>-1.66E-4</v>
      </c>
      <c r="M29" s="27" t="s">
        <v>65</v>
      </c>
      <c r="O29" s="27" t="s">
        <v>131</v>
      </c>
      <c r="P29" s="27">
        <v>205</v>
      </c>
      <c r="Q29" s="27" t="s">
        <v>128</v>
      </c>
      <c r="R29" s="27" t="s">
        <v>376</v>
      </c>
      <c r="S29" s="27" t="s">
        <v>157</v>
      </c>
      <c r="T29" s="27" t="s">
        <v>64</v>
      </c>
      <c r="U29" s="27">
        <v>10</v>
      </c>
      <c r="V29" s="27">
        <v>17</v>
      </c>
      <c r="W29" s="37">
        <v>-2.0000000000000001E-4</v>
      </c>
      <c r="X29" s="27">
        <v>3</v>
      </c>
      <c r="Y29" s="38">
        <v>-1.6699999999999999E-4</v>
      </c>
      <c r="Z29" s="27" t="s">
        <v>65</v>
      </c>
    </row>
    <row r="30" spans="2:26" x14ac:dyDescent="0.2">
      <c r="B30" s="27" t="s">
        <v>131</v>
      </c>
      <c r="C30" s="27">
        <v>192</v>
      </c>
      <c r="D30" s="27" t="s">
        <v>129</v>
      </c>
      <c r="E30" s="27" t="s">
        <v>106</v>
      </c>
      <c r="F30" s="27" t="s">
        <v>158</v>
      </c>
      <c r="G30" s="27" t="s">
        <v>63</v>
      </c>
      <c r="H30" s="27">
        <v>60</v>
      </c>
      <c r="I30" s="27">
        <v>15</v>
      </c>
      <c r="J30" s="37">
        <v>-7.7999999999999999E-5</v>
      </c>
      <c r="K30" s="27">
        <v>12</v>
      </c>
      <c r="L30" s="38">
        <v>-7.7999999999999999E-5</v>
      </c>
      <c r="M30" s="27" t="s">
        <v>65</v>
      </c>
      <c r="O30" s="27" t="s">
        <v>131</v>
      </c>
      <c r="P30" s="27">
        <v>192</v>
      </c>
      <c r="Q30" s="27" t="s">
        <v>129</v>
      </c>
      <c r="R30" s="27" t="s">
        <v>376</v>
      </c>
      <c r="S30" s="27" t="s">
        <v>158</v>
      </c>
      <c r="T30" s="27" t="s">
        <v>63</v>
      </c>
      <c r="U30" s="27">
        <v>10</v>
      </c>
      <c r="V30" s="27">
        <v>15</v>
      </c>
      <c r="W30" s="37">
        <v>-7.8999999999999996E-5</v>
      </c>
      <c r="X30" s="27">
        <v>12</v>
      </c>
      <c r="Y30" s="38">
        <v>-7.8999999999999996E-5</v>
      </c>
      <c r="Z30" s="27" t="s">
        <v>65</v>
      </c>
    </row>
    <row r="31" spans="2:26" x14ac:dyDescent="0.2">
      <c r="B31" s="27" t="s">
        <v>131</v>
      </c>
      <c r="C31" s="27">
        <v>192</v>
      </c>
      <c r="D31" s="27" t="s">
        <v>129</v>
      </c>
      <c r="E31" s="27" t="s">
        <v>106</v>
      </c>
      <c r="F31" s="27" t="s">
        <v>159</v>
      </c>
      <c r="G31" s="27" t="s">
        <v>64</v>
      </c>
      <c r="H31" s="27">
        <v>60</v>
      </c>
      <c r="I31" s="27">
        <v>17</v>
      </c>
      <c r="J31" s="37">
        <v>-1.1E-4</v>
      </c>
      <c r="K31" s="27">
        <v>6</v>
      </c>
      <c r="L31" s="38">
        <v>-1.1E-4</v>
      </c>
      <c r="M31" s="27" t="s">
        <v>65</v>
      </c>
      <c r="O31" s="27" t="s">
        <v>131</v>
      </c>
      <c r="P31" s="27">
        <v>192</v>
      </c>
      <c r="Q31" s="27" t="s">
        <v>129</v>
      </c>
      <c r="R31" s="27" t="s">
        <v>376</v>
      </c>
      <c r="S31" s="27" t="s">
        <v>159</v>
      </c>
      <c r="T31" s="27" t="s">
        <v>64</v>
      </c>
      <c r="U31" s="27">
        <v>10</v>
      </c>
      <c r="V31" s="27">
        <v>17</v>
      </c>
      <c r="W31" s="37">
        <v>-1.11E-4</v>
      </c>
      <c r="X31" s="27">
        <v>6</v>
      </c>
      <c r="Y31" s="38">
        <v>-1.1E-4</v>
      </c>
      <c r="Z31" s="27" t="s">
        <v>65</v>
      </c>
    </row>
    <row r="32" spans="2:26" x14ac:dyDescent="0.2">
      <c r="B32" s="27" t="s">
        <v>131</v>
      </c>
      <c r="C32" s="27">
        <v>207</v>
      </c>
      <c r="D32" s="27" t="s">
        <v>128</v>
      </c>
      <c r="E32" s="27" t="s">
        <v>106</v>
      </c>
      <c r="F32" s="27" t="s">
        <v>160</v>
      </c>
      <c r="G32" s="27" t="s">
        <v>63</v>
      </c>
      <c r="H32" s="27">
        <v>60</v>
      </c>
      <c r="I32" s="27">
        <v>20</v>
      </c>
      <c r="J32" s="37">
        <v>-1.16E-4</v>
      </c>
      <c r="K32" s="27">
        <v>4</v>
      </c>
      <c r="L32" s="38">
        <v>-1.01E-4</v>
      </c>
      <c r="M32" s="27" t="s">
        <v>65</v>
      </c>
      <c r="O32" s="27" t="s">
        <v>131</v>
      </c>
      <c r="P32" s="27">
        <v>207</v>
      </c>
      <c r="Q32" s="27" t="s">
        <v>128</v>
      </c>
      <c r="R32" s="27" t="s">
        <v>376</v>
      </c>
      <c r="S32" s="27" t="s">
        <v>160</v>
      </c>
      <c r="T32" s="27" t="s">
        <v>63</v>
      </c>
      <c r="U32" s="27">
        <v>10</v>
      </c>
      <c r="V32" s="27">
        <v>20</v>
      </c>
      <c r="W32" s="37">
        <v>-1.16E-4</v>
      </c>
      <c r="X32" s="27">
        <v>4</v>
      </c>
      <c r="Y32" s="38">
        <v>-1.01E-4</v>
      </c>
      <c r="Z32" s="27" t="s">
        <v>65</v>
      </c>
    </row>
    <row r="33" spans="2:26" x14ac:dyDescent="0.2">
      <c r="B33" s="27" t="s">
        <v>131</v>
      </c>
      <c r="C33" s="27">
        <v>207</v>
      </c>
      <c r="D33" s="27" t="s">
        <v>128</v>
      </c>
      <c r="E33" s="27" t="s">
        <v>106</v>
      </c>
      <c r="F33" s="27" t="s">
        <v>161</v>
      </c>
      <c r="G33" s="27" t="s">
        <v>64</v>
      </c>
      <c r="H33" s="27">
        <v>60</v>
      </c>
      <c r="I33" s="27">
        <v>17</v>
      </c>
      <c r="J33" s="37">
        <v>-1.4799999999999999E-4</v>
      </c>
      <c r="K33" s="27">
        <v>3</v>
      </c>
      <c r="L33" s="38">
        <v>-1.27E-4</v>
      </c>
      <c r="M33" s="27" t="s">
        <v>65</v>
      </c>
      <c r="O33" s="27" t="s">
        <v>131</v>
      </c>
      <c r="P33" s="27">
        <v>207</v>
      </c>
      <c r="Q33" s="27" t="s">
        <v>128</v>
      </c>
      <c r="R33" s="27" t="s">
        <v>376</v>
      </c>
      <c r="S33" s="27" t="s">
        <v>161</v>
      </c>
      <c r="T33" s="27" t="s">
        <v>64</v>
      </c>
      <c r="U33" s="27">
        <v>10</v>
      </c>
      <c r="V33" s="27">
        <v>17</v>
      </c>
      <c r="W33" s="37">
        <v>-1.4799999999999999E-4</v>
      </c>
      <c r="X33" s="27">
        <v>3</v>
      </c>
      <c r="Y33" s="38">
        <v>-1.2799999999999999E-4</v>
      </c>
      <c r="Z33" s="27" t="s">
        <v>65</v>
      </c>
    </row>
    <row r="34" spans="2:26" x14ac:dyDescent="0.2">
      <c r="B34" s="27" t="s">
        <v>131</v>
      </c>
      <c r="C34" s="27">
        <v>208</v>
      </c>
      <c r="D34" s="27" t="s">
        <v>128</v>
      </c>
      <c r="E34" s="27" t="s">
        <v>106</v>
      </c>
      <c r="F34" s="27" t="s">
        <v>162</v>
      </c>
      <c r="G34" s="27" t="s">
        <v>63</v>
      </c>
      <c r="H34" s="27">
        <v>60</v>
      </c>
      <c r="I34" s="27">
        <v>20</v>
      </c>
      <c r="J34" s="37">
        <v>-1.12E-4</v>
      </c>
      <c r="K34" s="27">
        <v>1</v>
      </c>
      <c r="L34" s="38">
        <v>-9.7999999999999997E-5</v>
      </c>
      <c r="M34" s="27" t="s">
        <v>65</v>
      </c>
      <c r="O34" s="27" t="s">
        <v>131</v>
      </c>
      <c r="P34" s="27">
        <v>208</v>
      </c>
      <c r="Q34" s="27" t="s">
        <v>128</v>
      </c>
      <c r="R34" s="27" t="s">
        <v>376</v>
      </c>
      <c r="S34" s="27" t="s">
        <v>162</v>
      </c>
      <c r="T34" s="27" t="s">
        <v>63</v>
      </c>
      <c r="U34" s="27">
        <v>10</v>
      </c>
      <c r="V34" s="27">
        <v>20</v>
      </c>
      <c r="W34" s="37">
        <v>-1.12E-4</v>
      </c>
      <c r="X34" s="27">
        <v>1</v>
      </c>
      <c r="Y34" s="38">
        <v>-9.7999999999999997E-5</v>
      </c>
      <c r="Z34" s="27" t="s">
        <v>65</v>
      </c>
    </row>
    <row r="35" spans="2:26" x14ac:dyDescent="0.2">
      <c r="B35" s="27" t="s">
        <v>131</v>
      </c>
      <c r="C35" s="27">
        <v>208</v>
      </c>
      <c r="D35" s="27" t="s">
        <v>128</v>
      </c>
      <c r="E35" s="27" t="s">
        <v>106</v>
      </c>
      <c r="F35" s="27" t="s">
        <v>163</v>
      </c>
      <c r="G35" s="27" t="s">
        <v>64</v>
      </c>
      <c r="H35" s="27">
        <v>60</v>
      </c>
      <c r="I35" s="27">
        <v>17</v>
      </c>
      <c r="J35" s="37">
        <v>-1.46E-4</v>
      </c>
      <c r="K35" s="27">
        <v>3</v>
      </c>
      <c r="L35" s="38">
        <v>-1.26E-4</v>
      </c>
      <c r="M35" s="27" t="s">
        <v>65</v>
      </c>
      <c r="O35" s="27" t="s">
        <v>131</v>
      </c>
      <c r="P35" s="27">
        <v>208</v>
      </c>
      <c r="Q35" s="27" t="s">
        <v>128</v>
      </c>
      <c r="R35" s="27" t="s">
        <v>376</v>
      </c>
      <c r="S35" s="27" t="s">
        <v>163</v>
      </c>
      <c r="T35" s="27" t="s">
        <v>64</v>
      </c>
      <c r="U35" s="27">
        <v>10</v>
      </c>
      <c r="V35" s="27">
        <v>17</v>
      </c>
      <c r="W35" s="37">
        <v>-1.47E-4</v>
      </c>
      <c r="X35" s="27">
        <v>3</v>
      </c>
      <c r="Y35" s="38">
        <v>-1.26E-4</v>
      </c>
      <c r="Z35" s="27" t="s">
        <v>65</v>
      </c>
    </row>
    <row r="36" spans="2:26" x14ac:dyDescent="0.2">
      <c r="B36" s="27" t="s">
        <v>131</v>
      </c>
      <c r="C36" s="27">
        <v>194</v>
      </c>
      <c r="D36" s="27" t="s">
        <v>129</v>
      </c>
      <c r="E36" s="27" t="s">
        <v>106</v>
      </c>
      <c r="F36" s="27" t="s">
        <v>164</v>
      </c>
      <c r="G36" s="27" t="s">
        <v>63</v>
      </c>
      <c r="H36" s="27">
        <v>60</v>
      </c>
      <c r="I36" s="27">
        <v>16</v>
      </c>
      <c r="J36" s="37">
        <v>-7.7000000000000001E-5</v>
      </c>
      <c r="K36" s="27">
        <v>6</v>
      </c>
      <c r="L36" s="38">
        <v>-7.7000000000000001E-5</v>
      </c>
      <c r="M36" s="27" t="s">
        <v>65</v>
      </c>
      <c r="O36" s="27" t="s">
        <v>131</v>
      </c>
      <c r="P36" s="27">
        <v>194</v>
      </c>
      <c r="Q36" s="27" t="s">
        <v>129</v>
      </c>
      <c r="R36" s="27" t="s">
        <v>376</v>
      </c>
      <c r="S36" s="27" t="s">
        <v>164</v>
      </c>
      <c r="T36" s="27" t="s">
        <v>63</v>
      </c>
      <c r="U36" s="27">
        <v>10</v>
      </c>
      <c r="V36" s="27">
        <v>15</v>
      </c>
      <c r="W36" s="37">
        <v>-7.7000000000000001E-5</v>
      </c>
      <c r="X36" s="27">
        <v>6</v>
      </c>
      <c r="Y36" s="38">
        <v>-7.7000000000000001E-5</v>
      </c>
      <c r="Z36" s="27" t="s">
        <v>65</v>
      </c>
    </row>
    <row r="37" spans="2:26" x14ac:dyDescent="0.2">
      <c r="B37" s="27" t="s">
        <v>131</v>
      </c>
      <c r="C37" s="27">
        <v>194</v>
      </c>
      <c r="D37" s="27" t="s">
        <v>129</v>
      </c>
      <c r="E37" s="27" t="s">
        <v>106</v>
      </c>
      <c r="F37" s="27" t="s">
        <v>165</v>
      </c>
      <c r="G37" s="27" t="s">
        <v>64</v>
      </c>
      <c r="H37" s="27">
        <v>60</v>
      </c>
      <c r="I37" s="27">
        <v>17</v>
      </c>
      <c r="J37" s="37">
        <v>-1.12E-4</v>
      </c>
      <c r="K37" s="27">
        <v>6</v>
      </c>
      <c r="L37" s="38">
        <v>-1.12E-4</v>
      </c>
      <c r="M37" s="27" t="s">
        <v>65</v>
      </c>
      <c r="O37" s="27" t="s">
        <v>131</v>
      </c>
      <c r="P37" s="27">
        <v>194</v>
      </c>
      <c r="Q37" s="27" t="s">
        <v>129</v>
      </c>
      <c r="R37" s="27" t="s">
        <v>376</v>
      </c>
      <c r="S37" s="27" t="s">
        <v>165</v>
      </c>
      <c r="T37" s="27" t="s">
        <v>64</v>
      </c>
      <c r="U37" s="27">
        <v>10</v>
      </c>
      <c r="V37" s="27">
        <v>17</v>
      </c>
      <c r="W37" s="37">
        <v>-1.12E-4</v>
      </c>
      <c r="X37" s="27">
        <v>6</v>
      </c>
      <c r="Y37" s="38">
        <v>-1.12E-4</v>
      </c>
      <c r="Z37" s="27" t="s">
        <v>65</v>
      </c>
    </row>
    <row r="38" spans="2:26" x14ac:dyDescent="0.2">
      <c r="B38" s="27" t="s">
        <v>131</v>
      </c>
      <c r="C38" s="27">
        <v>203</v>
      </c>
      <c r="D38" s="27" t="s">
        <v>128</v>
      </c>
      <c r="E38" s="27" t="s">
        <v>106</v>
      </c>
      <c r="F38" s="27" t="s">
        <v>166</v>
      </c>
      <c r="G38" s="27" t="s">
        <v>63</v>
      </c>
      <c r="H38" s="27">
        <v>60</v>
      </c>
      <c r="I38" s="27">
        <v>15</v>
      </c>
      <c r="J38" s="37">
        <v>-9.1000000000000003E-5</v>
      </c>
      <c r="K38" s="27">
        <v>6</v>
      </c>
      <c r="L38" s="38">
        <v>-7.7999999999999999E-5</v>
      </c>
      <c r="M38" s="27" t="s">
        <v>65</v>
      </c>
      <c r="O38" s="27" t="s">
        <v>131</v>
      </c>
      <c r="P38" s="27">
        <v>203</v>
      </c>
      <c r="Q38" s="27" t="s">
        <v>128</v>
      </c>
      <c r="R38" s="27" t="s">
        <v>376</v>
      </c>
      <c r="S38" s="27" t="s">
        <v>166</v>
      </c>
      <c r="T38" s="27" t="s">
        <v>63</v>
      </c>
      <c r="U38" s="27">
        <v>10</v>
      </c>
      <c r="V38" s="27">
        <v>15</v>
      </c>
      <c r="W38" s="37">
        <v>-9.1000000000000003E-5</v>
      </c>
      <c r="X38" s="27">
        <v>6</v>
      </c>
      <c r="Y38" s="38">
        <v>-7.7999999999999999E-5</v>
      </c>
      <c r="Z38" s="27" t="s">
        <v>65</v>
      </c>
    </row>
    <row r="39" spans="2:26" x14ac:dyDescent="0.2">
      <c r="B39" s="27" t="s">
        <v>131</v>
      </c>
      <c r="C39" s="27">
        <v>203</v>
      </c>
      <c r="D39" s="27" t="s">
        <v>128</v>
      </c>
      <c r="E39" s="27" t="s">
        <v>106</v>
      </c>
      <c r="F39" s="27" t="s">
        <v>167</v>
      </c>
      <c r="G39" s="27" t="s">
        <v>64</v>
      </c>
      <c r="H39" s="27">
        <v>60</v>
      </c>
      <c r="I39" s="27">
        <v>22</v>
      </c>
      <c r="J39" s="37">
        <v>-4.8000000000000001E-5</v>
      </c>
      <c r="K39" s="27">
        <v>1</v>
      </c>
      <c r="L39" s="38">
        <v>-4.3000000000000002E-5</v>
      </c>
      <c r="M39" s="27" t="s">
        <v>65</v>
      </c>
      <c r="O39" s="27" t="s">
        <v>131</v>
      </c>
      <c r="P39" s="27">
        <v>203</v>
      </c>
      <c r="Q39" s="27" t="s">
        <v>128</v>
      </c>
      <c r="R39" s="27" t="s">
        <v>376</v>
      </c>
      <c r="S39" s="27" t="s">
        <v>167</v>
      </c>
      <c r="T39" s="27" t="s">
        <v>64</v>
      </c>
      <c r="U39" s="27">
        <v>10</v>
      </c>
      <c r="V39" s="27">
        <v>22</v>
      </c>
      <c r="W39" s="37">
        <v>-4.8000000000000001E-5</v>
      </c>
      <c r="X39" s="27">
        <v>1</v>
      </c>
      <c r="Y39" s="38">
        <v>-4.3000000000000002E-5</v>
      </c>
      <c r="Z39" s="27" t="s">
        <v>65</v>
      </c>
    </row>
    <row r="40" spans="2:26" x14ac:dyDescent="0.2">
      <c r="B40" s="27" t="s">
        <v>131</v>
      </c>
      <c r="C40" s="27">
        <v>187</v>
      </c>
      <c r="D40" s="27" t="s">
        <v>127</v>
      </c>
      <c r="E40" s="27" t="s">
        <v>106</v>
      </c>
      <c r="F40" s="27" t="s">
        <v>168</v>
      </c>
      <c r="G40" s="27" t="s">
        <v>63</v>
      </c>
      <c r="H40" s="27">
        <v>60</v>
      </c>
      <c r="I40" s="27">
        <v>16</v>
      </c>
      <c r="J40" s="37">
        <v>-5.5400000000000002E-4</v>
      </c>
      <c r="K40" s="27">
        <v>6</v>
      </c>
      <c r="L40" s="38">
        <v>5.6700000000000001E-4</v>
      </c>
      <c r="M40" s="27" t="s">
        <v>65</v>
      </c>
      <c r="O40" s="27" t="s">
        <v>131</v>
      </c>
      <c r="P40" s="27">
        <v>187</v>
      </c>
      <c r="Q40" s="27" t="s">
        <v>127</v>
      </c>
      <c r="R40" s="27" t="s">
        <v>376</v>
      </c>
      <c r="S40" s="27" t="s">
        <v>168</v>
      </c>
      <c r="T40" s="27" t="s">
        <v>63</v>
      </c>
      <c r="U40" s="27">
        <v>10</v>
      </c>
      <c r="V40" s="27">
        <v>16</v>
      </c>
      <c r="W40" s="37">
        <v>-5.53E-4</v>
      </c>
      <c r="X40" s="27">
        <v>6</v>
      </c>
      <c r="Y40" s="38">
        <v>5.6599999999999999E-4</v>
      </c>
      <c r="Z40" s="27" t="s">
        <v>65</v>
      </c>
    </row>
    <row r="41" spans="2:26" x14ac:dyDescent="0.2">
      <c r="B41" s="27" t="s">
        <v>131</v>
      </c>
      <c r="C41" s="27">
        <v>187</v>
      </c>
      <c r="D41" s="27" t="s">
        <v>127</v>
      </c>
      <c r="E41" s="27" t="s">
        <v>106</v>
      </c>
      <c r="F41" s="27" t="s">
        <v>169</v>
      </c>
      <c r="G41" s="27" t="s">
        <v>64</v>
      </c>
      <c r="H41" s="27">
        <v>60</v>
      </c>
      <c r="I41" s="27">
        <v>9</v>
      </c>
      <c r="J41" s="37">
        <v>-5.1900000000000004E-4</v>
      </c>
      <c r="K41" s="27">
        <v>1</v>
      </c>
      <c r="L41" s="38">
        <v>5.2400000000000005E-4</v>
      </c>
      <c r="M41" s="27" t="s">
        <v>65</v>
      </c>
      <c r="O41" s="27" t="s">
        <v>131</v>
      </c>
      <c r="P41" s="27">
        <v>187</v>
      </c>
      <c r="Q41" s="27" t="s">
        <v>127</v>
      </c>
      <c r="R41" s="27" t="s">
        <v>376</v>
      </c>
      <c r="S41" s="27" t="s">
        <v>169</v>
      </c>
      <c r="T41" s="27" t="s">
        <v>64</v>
      </c>
      <c r="U41" s="27">
        <v>10</v>
      </c>
      <c r="V41" s="27">
        <v>9</v>
      </c>
      <c r="W41" s="37">
        <v>-5.1699999999999999E-4</v>
      </c>
      <c r="X41" s="27">
        <v>1</v>
      </c>
      <c r="Y41" s="38">
        <v>5.22E-4</v>
      </c>
      <c r="Z41" s="27" t="s">
        <v>65</v>
      </c>
    </row>
    <row r="42" spans="2:26" x14ac:dyDescent="0.2">
      <c r="B42" s="27" t="s">
        <v>131</v>
      </c>
      <c r="C42" s="27">
        <v>199</v>
      </c>
      <c r="D42" s="27" t="s">
        <v>128</v>
      </c>
      <c r="E42" s="27" t="s">
        <v>106</v>
      </c>
      <c r="F42" s="27" t="s">
        <v>170</v>
      </c>
      <c r="G42" s="27" t="s">
        <v>63</v>
      </c>
      <c r="H42" s="27">
        <v>60</v>
      </c>
      <c r="I42" s="27">
        <v>22</v>
      </c>
      <c r="J42" s="37">
        <v>-1.3799999999999999E-4</v>
      </c>
      <c r="K42" s="27">
        <v>1</v>
      </c>
      <c r="L42" s="38">
        <v>-1.3200000000000001E-4</v>
      </c>
      <c r="M42" s="27" t="s">
        <v>65</v>
      </c>
      <c r="O42" s="27" t="s">
        <v>131</v>
      </c>
      <c r="P42" s="27">
        <v>199</v>
      </c>
      <c r="Q42" s="27" t="s">
        <v>128</v>
      </c>
      <c r="R42" s="27" t="s">
        <v>376</v>
      </c>
      <c r="S42" s="27" t="s">
        <v>170</v>
      </c>
      <c r="T42" s="27" t="s">
        <v>63</v>
      </c>
      <c r="U42" s="27">
        <v>10</v>
      </c>
      <c r="V42" s="27">
        <v>22</v>
      </c>
      <c r="W42" s="37">
        <v>-1.3899999999999999E-4</v>
      </c>
      <c r="X42" s="27">
        <v>1</v>
      </c>
      <c r="Y42" s="38">
        <v>-1.3200000000000001E-4</v>
      </c>
      <c r="Z42" s="27" t="s">
        <v>65</v>
      </c>
    </row>
    <row r="43" spans="2:26" x14ac:dyDescent="0.2">
      <c r="B43" s="27" t="s">
        <v>131</v>
      </c>
      <c r="C43" s="27">
        <v>199</v>
      </c>
      <c r="D43" s="27" t="s">
        <v>128</v>
      </c>
      <c r="E43" s="27" t="s">
        <v>106</v>
      </c>
      <c r="F43" s="27" t="s">
        <v>171</v>
      </c>
      <c r="G43" s="27" t="s">
        <v>64</v>
      </c>
      <c r="H43" s="27">
        <v>60</v>
      </c>
      <c r="I43" s="27">
        <v>15</v>
      </c>
      <c r="J43" s="37">
        <v>-1.85E-4</v>
      </c>
      <c r="K43" s="27">
        <v>6</v>
      </c>
      <c r="L43" s="38">
        <v>-1.7200000000000001E-4</v>
      </c>
      <c r="M43" s="27" t="s">
        <v>65</v>
      </c>
      <c r="O43" s="27" t="s">
        <v>131</v>
      </c>
      <c r="P43" s="27">
        <v>199</v>
      </c>
      <c r="Q43" s="27" t="s">
        <v>128</v>
      </c>
      <c r="R43" s="27" t="s">
        <v>376</v>
      </c>
      <c r="S43" s="27" t="s">
        <v>171</v>
      </c>
      <c r="T43" s="27" t="s">
        <v>64</v>
      </c>
      <c r="U43" s="27">
        <v>10</v>
      </c>
      <c r="V43" s="27">
        <v>15</v>
      </c>
      <c r="W43" s="37">
        <v>-1.85E-4</v>
      </c>
      <c r="X43" s="27">
        <v>6</v>
      </c>
      <c r="Y43" s="38">
        <v>-1.7100000000000001E-4</v>
      </c>
      <c r="Z43" s="27" t="s">
        <v>65</v>
      </c>
    </row>
    <row r="44" spans="2:26" x14ac:dyDescent="0.2">
      <c r="B44" s="27" t="s">
        <v>131</v>
      </c>
      <c r="C44" s="27">
        <v>195</v>
      </c>
      <c r="D44" s="27" t="s">
        <v>129</v>
      </c>
      <c r="E44" s="27" t="s">
        <v>106</v>
      </c>
      <c r="F44" s="27" t="s">
        <v>172</v>
      </c>
      <c r="G44" s="27" t="s">
        <v>63</v>
      </c>
      <c r="H44" s="27">
        <v>60</v>
      </c>
      <c r="I44" s="27">
        <v>17</v>
      </c>
      <c r="J44" s="37">
        <v>-2.4000000000000001E-4</v>
      </c>
      <c r="K44" s="27">
        <v>6</v>
      </c>
      <c r="L44" s="38">
        <v>-2.1000000000000001E-4</v>
      </c>
      <c r="M44" s="27" t="s">
        <v>65</v>
      </c>
      <c r="O44" s="27" t="s">
        <v>131</v>
      </c>
      <c r="P44" s="27">
        <v>195</v>
      </c>
      <c r="Q44" s="27" t="s">
        <v>129</v>
      </c>
      <c r="R44" s="27" t="s">
        <v>376</v>
      </c>
      <c r="S44" s="27" t="s">
        <v>172</v>
      </c>
      <c r="T44" s="27" t="s">
        <v>63</v>
      </c>
      <c r="U44" s="27">
        <v>10</v>
      </c>
      <c r="V44" s="27">
        <v>17</v>
      </c>
      <c r="W44" s="37">
        <v>-2.3900000000000001E-4</v>
      </c>
      <c r="X44" s="27">
        <v>6</v>
      </c>
      <c r="Y44" s="38">
        <v>-2.0900000000000001E-4</v>
      </c>
      <c r="Z44" s="27" t="s">
        <v>65</v>
      </c>
    </row>
    <row r="45" spans="2:26" x14ac:dyDescent="0.2">
      <c r="B45" s="27" t="s">
        <v>131</v>
      </c>
      <c r="C45" s="27">
        <v>195</v>
      </c>
      <c r="D45" s="27" t="s">
        <v>129</v>
      </c>
      <c r="E45" s="27" t="s">
        <v>106</v>
      </c>
      <c r="F45" s="27" t="s">
        <v>173</v>
      </c>
      <c r="G45" s="27" t="s">
        <v>64</v>
      </c>
      <c r="H45" s="27">
        <v>60</v>
      </c>
      <c r="I45" s="27">
        <v>15</v>
      </c>
      <c r="J45" s="37">
        <v>-2.41E-4</v>
      </c>
      <c r="K45" s="27">
        <v>12</v>
      </c>
      <c r="L45" s="38">
        <v>-2.1100000000000001E-4</v>
      </c>
      <c r="M45" s="27" t="s">
        <v>65</v>
      </c>
      <c r="O45" s="27" t="s">
        <v>131</v>
      </c>
      <c r="P45" s="27">
        <v>195</v>
      </c>
      <c r="Q45" s="27" t="s">
        <v>129</v>
      </c>
      <c r="R45" s="27" t="s">
        <v>376</v>
      </c>
      <c r="S45" s="27" t="s">
        <v>173</v>
      </c>
      <c r="T45" s="27" t="s">
        <v>64</v>
      </c>
      <c r="U45" s="27">
        <v>10</v>
      </c>
      <c r="V45" s="27">
        <v>15</v>
      </c>
      <c r="W45" s="37">
        <v>-2.4000000000000001E-4</v>
      </c>
      <c r="X45" s="27">
        <v>12</v>
      </c>
      <c r="Y45" s="38">
        <v>-2.1000000000000001E-4</v>
      </c>
      <c r="Z45" s="27" t="s">
        <v>65</v>
      </c>
    </row>
    <row r="46" spans="2:26" x14ac:dyDescent="0.2">
      <c r="B46" s="27" t="s">
        <v>131</v>
      </c>
      <c r="C46" s="27">
        <v>196</v>
      </c>
      <c r="D46" s="27" t="s">
        <v>129</v>
      </c>
      <c r="E46" s="27" t="s">
        <v>106</v>
      </c>
      <c r="F46" s="27" t="s">
        <v>174</v>
      </c>
      <c r="G46" s="27" t="s">
        <v>63</v>
      </c>
      <c r="H46" s="27">
        <v>60</v>
      </c>
      <c r="I46" s="27">
        <v>17</v>
      </c>
      <c r="J46" s="37">
        <v>-2.4000000000000001E-4</v>
      </c>
      <c r="K46" s="27">
        <v>6</v>
      </c>
      <c r="L46" s="38">
        <v>-2.1000000000000001E-4</v>
      </c>
      <c r="M46" s="27" t="s">
        <v>65</v>
      </c>
      <c r="O46" s="27" t="s">
        <v>131</v>
      </c>
      <c r="P46" s="27">
        <v>196</v>
      </c>
      <c r="Q46" s="27" t="s">
        <v>129</v>
      </c>
      <c r="R46" s="27" t="s">
        <v>376</v>
      </c>
      <c r="S46" s="27" t="s">
        <v>174</v>
      </c>
      <c r="T46" s="27" t="s">
        <v>63</v>
      </c>
      <c r="U46" s="27">
        <v>10</v>
      </c>
      <c r="V46" s="27">
        <v>17</v>
      </c>
      <c r="W46" s="37">
        <v>-2.4000000000000001E-4</v>
      </c>
      <c r="X46" s="27">
        <v>6</v>
      </c>
      <c r="Y46" s="38">
        <v>-2.1000000000000001E-4</v>
      </c>
      <c r="Z46" s="27" t="s">
        <v>65</v>
      </c>
    </row>
    <row r="47" spans="2:26" x14ac:dyDescent="0.2">
      <c r="B47" s="27" t="s">
        <v>131</v>
      </c>
      <c r="C47" s="27">
        <v>196</v>
      </c>
      <c r="D47" s="27" t="s">
        <v>129</v>
      </c>
      <c r="E47" s="27" t="s">
        <v>106</v>
      </c>
      <c r="F47" s="27" t="s">
        <v>175</v>
      </c>
      <c r="G47" s="27" t="s">
        <v>64</v>
      </c>
      <c r="H47" s="27">
        <v>60</v>
      </c>
      <c r="I47" s="27">
        <v>15</v>
      </c>
      <c r="J47" s="37">
        <v>-2.41E-4</v>
      </c>
      <c r="K47" s="27">
        <v>12</v>
      </c>
      <c r="L47" s="38">
        <v>-2.1100000000000001E-4</v>
      </c>
      <c r="M47" s="27" t="s">
        <v>65</v>
      </c>
      <c r="O47" s="27" t="s">
        <v>131</v>
      </c>
      <c r="P47" s="27">
        <v>196</v>
      </c>
      <c r="Q47" s="27" t="s">
        <v>129</v>
      </c>
      <c r="R47" s="27" t="s">
        <v>376</v>
      </c>
      <c r="S47" s="27" t="s">
        <v>175</v>
      </c>
      <c r="T47" s="27" t="s">
        <v>64</v>
      </c>
      <c r="U47" s="27">
        <v>10</v>
      </c>
      <c r="V47" s="27">
        <v>15</v>
      </c>
      <c r="W47" s="37">
        <v>-2.4000000000000001E-4</v>
      </c>
      <c r="X47" s="27">
        <v>12</v>
      </c>
      <c r="Y47" s="38">
        <v>-2.1000000000000001E-4</v>
      </c>
      <c r="Z47" s="27" t="s">
        <v>65</v>
      </c>
    </row>
    <row r="48" spans="2:26" x14ac:dyDescent="0.2">
      <c r="B48" s="27" t="s">
        <v>131</v>
      </c>
      <c r="C48" s="27">
        <v>200</v>
      </c>
      <c r="D48" s="27" t="s">
        <v>128</v>
      </c>
      <c r="E48" s="27" t="s">
        <v>106</v>
      </c>
      <c r="F48" s="27" t="s">
        <v>176</v>
      </c>
      <c r="G48" s="27" t="s">
        <v>63</v>
      </c>
      <c r="H48" s="27">
        <v>60</v>
      </c>
      <c r="I48" s="27">
        <v>22</v>
      </c>
      <c r="J48" s="37">
        <v>-1.4899999999999999E-4</v>
      </c>
      <c r="K48" s="27">
        <v>1</v>
      </c>
      <c r="L48" s="38">
        <v>-1.3999999999999999E-4</v>
      </c>
      <c r="M48" s="27" t="s">
        <v>65</v>
      </c>
      <c r="O48" s="27" t="s">
        <v>131</v>
      </c>
      <c r="P48" s="27">
        <v>200</v>
      </c>
      <c r="Q48" s="27" t="s">
        <v>128</v>
      </c>
      <c r="R48" s="27" t="s">
        <v>376</v>
      </c>
      <c r="S48" s="27" t="s">
        <v>176</v>
      </c>
      <c r="T48" s="27" t="s">
        <v>63</v>
      </c>
      <c r="U48" s="27">
        <v>10</v>
      </c>
      <c r="V48" s="27">
        <v>22</v>
      </c>
      <c r="W48" s="37">
        <v>-1.4899999999999999E-4</v>
      </c>
      <c r="X48" s="27">
        <v>1</v>
      </c>
      <c r="Y48" s="38">
        <v>-1.3999999999999999E-4</v>
      </c>
      <c r="Z48" s="27" t="s">
        <v>65</v>
      </c>
    </row>
    <row r="49" spans="2:26" x14ac:dyDescent="0.2">
      <c r="B49" s="27" t="s">
        <v>131</v>
      </c>
      <c r="C49" s="27">
        <v>200</v>
      </c>
      <c r="D49" s="27" t="s">
        <v>128</v>
      </c>
      <c r="E49" s="27" t="s">
        <v>106</v>
      </c>
      <c r="F49" s="27" t="s">
        <v>177</v>
      </c>
      <c r="G49" s="27" t="s">
        <v>64</v>
      </c>
      <c r="H49" s="27">
        <v>60</v>
      </c>
      <c r="I49" s="27">
        <v>15</v>
      </c>
      <c r="J49" s="37">
        <v>-1.9799999999999999E-4</v>
      </c>
      <c r="K49" s="27">
        <v>6</v>
      </c>
      <c r="L49" s="38">
        <v>-1.8200000000000001E-4</v>
      </c>
      <c r="M49" s="27" t="s">
        <v>65</v>
      </c>
      <c r="O49" s="27" t="s">
        <v>131</v>
      </c>
      <c r="P49" s="27">
        <v>200</v>
      </c>
      <c r="Q49" s="27" t="s">
        <v>128</v>
      </c>
      <c r="R49" s="27" t="s">
        <v>376</v>
      </c>
      <c r="S49" s="27" t="s">
        <v>177</v>
      </c>
      <c r="T49" s="27" t="s">
        <v>64</v>
      </c>
      <c r="U49" s="27">
        <v>10</v>
      </c>
      <c r="V49" s="27">
        <v>15</v>
      </c>
      <c r="W49" s="37">
        <v>-1.9799999999999999E-4</v>
      </c>
      <c r="X49" s="27">
        <v>6</v>
      </c>
      <c r="Y49" s="38">
        <v>-1.8200000000000001E-4</v>
      </c>
      <c r="Z49" s="27" t="s">
        <v>65</v>
      </c>
    </row>
    <row r="50" spans="2:26" x14ac:dyDescent="0.2">
      <c r="B50" s="27" t="s">
        <v>131</v>
      </c>
      <c r="C50" s="27">
        <v>188</v>
      </c>
      <c r="D50" s="27" t="s">
        <v>127</v>
      </c>
      <c r="E50" s="27" t="s">
        <v>106</v>
      </c>
      <c r="F50" s="27" t="s">
        <v>178</v>
      </c>
      <c r="G50" s="27" t="s">
        <v>63</v>
      </c>
      <c r="H50" s="27">
        <v>60</v>
      </c>
      <c r="I50" s="27">
        <v>11</v>
      </c>
      <c r="J50" s="37">
        <v>-3.4299999999999999E-4</v>
      </c>
      <c r="K50" s="27">
        <v>4</v>
      </c>
      <c r="L50" s="38">
        <v>3.1799999999999998E-4</v>
      </c>
      <c r="M50" s="27" t="s">
        <v>65</v>
      </c>
      <c r="O50" s="27" t="s">
        <v>131</v>
      </c>
      <c r="P50" s="27">
        <v>188</v>
      </c>
      <c r="Q50" s="27" t="s">
        <v>127</v>
      </c>
      <c r="R50" s="27" t="s">
        <v>376</v>
      </c>
      <c r="S50" s="27" t="s">
        <v>178</v>
      </c>
      <c r="T50" s="27" t="s">
        <v>63</v>
      </c>
      <c r="U50" s="27">
        <v>10</v>
      </c>
      <c r="V50" s="27">
        <v>11</v>
      </c>
      <c r="W50" s="37">
        <v>-3.4299999999999999E-4</v>
      </c>
      <c r="X50" s="27">
        <v>4</v>
      </c>
      <c r="Y50" s="38">
        <v>3.1700000000000001E-4</v>
      </c>
      <c r="Z50" s="27" t="s">
        <v>65</v>
      </c>
    </row>
    <row r="51" spans="2:26" x14ac:dyDescent="0.2">
      <c r="B51" s="27" t="s">
        <v>131</v>
      </c>
      <c r="C51" s="27">
        <v>188</v>
      </c>
      <c r="D51" s="27" t="s">
        <v>127</v>
      </c>
      <c r="E51" s="27" t="s">
        <v>106</v>
      </c>
      <c r="F51" s="27" t="s">
        <v>179</v>
      </c>
      <c r="G51" s="27" t="s">
        <v>64</v>
      </c>
      <c r="H51" s="27">
        <v>60</v>
      </c>
      <c r="I51" s="27">
        <v>14</v>
      </c>
      <c r="J51" s="37">
        <v>-2.0699999999999999E-4</v>
      </c>
      <c r="K51" s="27">
        <v>4</v>
      </c>
      <c r="L51" s="38">
        <v>-1.73E-4</v>
      </c>
      <c r="M51" s="27" t="s">
        <v>65</v>
      </c>
      <c r="O51" s="27" t="s">
        <v>131</v>
      </c>
      <c r="P51" s="27">
        <v>188</v>
      </c>
      <c r="Q51" s="27" t="s">
        <v>127</v>
      </c>
      <c r="R51" s="27" t="s">
        <v>376</v>
      </c>
      <c r="S51" s="27" t="s">
        <v>179</v>
      </c>
      <c r="T51" s="27" t="s">
        <v>64</v>
      </c>
      <c r="U51" s="27">
        <v>10</v>
      </c>
      <c r="V51" s="27">
        <v>14</v>
      </c>
      <c r="W51" s="37">
        <v>-2.0699999999999999E-4</v>
      </c>
      <c r="X51" s="27">
        <v>4</v>
      </c>
      <c r="Y51" s="38">
        <v>-1.7200000000000001E-4</v>
      </c>
      <c r="Z51" s="27" t="s">
        <v>65</v>
      </c>
    </row>
    <row r="52" spans="2:26" x14ac:dyDescent="0.2">
      <c r="B52" s="27" t="s">
        <v>180</v>
      </c>
      <c r="C52" s="27">
        <v>251</v>
      </c>
      <c r="D52" s="27" t="s">
        <v>127</v>
      </c>
      <c r="E52" s="27" t="s">
        <v>106</v>
      </c>
      <c r="F52" s="27" t="s">
        <v>181</v>
      </c>
      <c r="G52" s="27" t="s">
        <v>63</v>
      </c>
      <c r="H52" s="27">
        <v>60</v>
      </c>
      <c r="I52" s="27">
        <v>14</v>
      </c>
      <c r="J52" s="37">
        <v>-5.5500000000000005E-4</v>
      </c>
      <c r="K52" s="27">
        <v>4</v>
      </c>
      <c r="L52" s="38">
        <v>-4.64E-4</v>
      </c>
      <c r="M52" s="27" t="s">
        <v>65</v>
      </c>
      <c r="O52" s="27" t="s">
        <v>180</v>
      </c>
      <c r="P52" s="27">
        <v>251</v>
      </c>
      <c r="Q52" s="27" t="s">
        <v>127</v>
      </c>
      <c r="R52" s="27" t="s">
        <v>376</v>
      </c>
      <c r="S52" s="27" t="s">
        <v>181</v>
      </c>
      <c r="T52" s="27" t="s">
        <v>63</v>
      </c>
      <c r="U52" s="27">
        <v>10</v>
      </c>
      <c r="V52" s="27">
        <v>14</v>
      </c>
      <c r="W52" s="37">
        <v>-5.5500000000000005E-4</v>
      </c>
      <c r="X52" s="27">
        <v>4</v>
      </c>
      <c r="Y52" s="38">
        <v>-4.6500000000000003E-4</v>
      </c>
      <c r="Z52" s="27" t="s">
        <v>65</v>
      </c>
    </row>
    <row r="53" spans="2:26" x14ac:dyDescent="0.2">
      <c r="B53" s="27" t="s">
        <v>180</v>
      </c>
      <c r="C53" s="27">
        <v>251</v>
      </c>
      <c r="D53" s="27" t="s">
        <v>127</v>
      </c>
      <c r="E53" s="27" t="s">
        <v>106</v>
      </c>
      <c r="F53" s="27" t="s">
        <v>182</v>
      </c>
      <c r="G53" s="27" t="s">
        <v>64</v>
      </c>
      <c r="H53" s="27">
        <v>60</v>
      </c>
      <c r="I53" s="27">
        <v>11</v>
      </c>
      <c r="J53" s="37">
        <v>-3.9800000000000002E-4</v>
      </c>
      <c r="K53" s="27">
        <v>3</v>
      </c>
      <c r="L53" s="38">
        <v>-3.39E-4</v>
      </c>
      <c r="M53" s="27" t="s">
        <v>65</v>
      </c>
      <c r="O53" s="27" t="s">
        <v>180</v>
      </c>
      <c r="P53" s="27">
        <v>251</v>
      </c>
      <c r="Q53" s="27" t="s">
        <v>127</v>
      </c>
      <c r="R53" s="27" t="s">
        <v>376</v>
      </c>
      <c r="S53" s="27" t="s">
        <v>182</v>
      </c>
      <c r="T53" s="27" t="s">
        <v>64</v>
      </c>
      <c r="U53" s="27">
        <v>10</v>
      </c>
      <c r="V53" s="27">
        <v>11</v>
      </c>
      <c r="W53" s="37">
        <v>-3.9800000000000002E-4</v>
      </c>
      <c r="X53" s="27">
        <v>3</v>
      </c>
      <c r="Y53" s="38">
        <v>-3.4000000000000002E-4</v>
      </c>
      <c r="Z53" s="27" t="s">
        <v>65</v>
      </c>
    </row>
    <row r="54" spans="2:26" x14ac:dyDescent="0.2">
      <c r="B54" s="27" t="s">
        <v>180</v>
      </c>
      <c r="C54" s="27">
        <v>263</v>
      </c>
      <c r="D54" s="27" t="s">
        <v>128</v>
      </c>
      <c r="E54" s="27" t="s">
        <v>106</v>
      </c>
      <c r="F54" s="27" t="s">
        <v>183</v>
      </c>
      <c r="G54" s="27" t="s">
        <v>63</v>
      </c>
      <c r="H54" s="27">
        <v>60</v>
      </c>
      <c r="I54" s="27">
        <v>20</v>
      </c>
      <c r="J54" s="37">
        <v>-1.8900000000000001E-4</v>
      </c>
      <c r="K54" s="27">
        <v>4</v>
      </c>
      <c r="L54" s="38">
        <v>-1.76E-4</v>
      </c>
      <c r="M54" s="27" t="s">
        <v>65</v>
      </c>
      <c r="O54" s="27" t="s">
        <v>180</v>
      </c>
      <c r="P54" s="27">
        <v>263</v>
      </c>
      <c r="Q54" s="27" t="s">
        <v>128</v>
      </c>
      <c r="R54" s="27" t="s">
        <v>376</v>
      </c>
      <c r="S54" s="27" t="s">
        <v>183</v>
      </c>
      <c r="T54" s="27" t="s">
        <v>63</v>
      </c>
      <c r="U54" s="27">
        <v>10</v>
      </c>
      <c r="V54" s="27">
        <v>20</v>
      </c>
      <c r="W54" s="37">
        <v>-1.8900000000000001E-4</v>
      </c>
      <c r="X54" s="27">
        <v>4</v>
      </c>
      <c r="Y54" s="38">
        <v>-1.76E-4</v>
      </c>
      <c r="Z54" s="27" t="s">
        <v>65</v>
      </c>
    </row>
    <row r="55" spans="2:26" x14ac:dyDescent="0.2">
      <c r="B55" s="27" t="s">
        <v>180</v>
      </c>
      <c r="C55" s="27">
        <v>263</v>
      </c>
      <c r="D55" s="27" t="s">
        <v>128</v>
      </c>
      <c r="E55" s="27" t="s">
        <v>106</v>
      </c>
      <c r="F55" s="27" t="s">
        <v>184</v>
      </c>
      <c r="G55" s="27" t="s">
        <v>64</v>
      </c>
      <c r="H55" s="27">
        <v>60</v>
      </c>
      <c r="I55" s="27">
        <v>17</v>
      </c>
      <c r="J55" s="37">
        <v>-1.7799999999999999E-4</v>
      </c>
      <c r="K55" s="27">
        <v>3</v>
      </c>
      <c r="L55" s="38">
        <v>-1.6100000000000001E-4</v>
      </c>
      <c r="M55" s="27" t="s">
        <v>65</v>
      </c>
      <c r="O55" s="27" t="s">
        <v>180</v>
      </c>
      <c r="P55" s="27">
        <v>263</v>
      </c>
      <c r="Q55" s="27" t="s">
        <v>128</v>
      </c>
      <c r="R55" s="27" t="s">
        <v>376</v>
      </c>
      <c r="S55" s="27" t="s">
        <v>184</v>
      </c>
      <c r="T55" s="27" t="s">
        <v>64</v>
      </c>
      <c r="U55" s="27">
        <v>10</v>
      </c>
      <c r="V55" s="27">
        <v>17</v>
      </c>
      <c r="W55" s="37">
        <v>-1.7899999999999999E-4</v>
      </c>
      <c r="X55" s="27">
        <v>3</v>
      </c>
      <c r="Y55" s="38">
        <v>-1.6100000000000001E-4</v>
      </c>
      <c r="Z55" s="27" t="s">
        <v>65</v>
      </c>
    </row>
    <row r="56" spans="2:26" x14ac:dyDescent="0.2">
      <c r="B56" s="27" t="s">
        <v>180</v>
      </c>
      <c r="C56" s="27">
        <v>259</v>
      </c>
      <c r="D56" s="27" t="s">
        <v>129</v>
      </c>
      <c r="E56" s="27" t="s">
        <v>106</v>
      </c>
      <c r="F56" s="27" t="s">
        <v>185</v>
      </c>
      <c r="G56" s="27" t="s">
        <v>63</v>
      </c>
      <c r="H56" s="27">
        <v>60</v>
      </c>
      <c r="I56" s="27">
        <v>15</v>
      </c>
      <c r="J56" s="37">
        <v>-1.8799999999999999E-4</v>
      </c>
      <c r="K56" s="27">
        <v>12</v>
      </c>
      <c r="L56" s="38">
        <v>-1.64E-4</v>
      </c>
      <c r="M56" s="27" t="s">
        <v>65</v>
      </c>
      <c r="O56" s="27" t="s">
        <v>180</v>
      </c>
      <c r="P56" s="27">
        <v>259</v>
      </c>
      <c r="Q56" s="27" t="s">
        <v>129</v>
      </c>
      <c r="R56" s="27" t="s">
        <v>376</v>
      </c>
      <c r="S56" s="27" t="s">
        <v>185</v>
      </c>
      <c r="T56" s="27" t="s">
        <v>63</v>
      </c>
      <c r="U56" s="27">
        <v>10</v>
      </c>
      <c r="V56" s="27">
        <v>15</v>
      </c>
      <c r="W56" s="37">
        <v>-1.8799999999999999E-4</v>
      </c>
      <c r="X56" s="27">
        <v>12</v>
      </c>
      <c r="Y56" s="38">
        <v>-1.64E-4</v>
      </c>
      <c r="Z56" s="27" t="s">
        <v>65</v>
      </c>
    </row>
    <row r="57" spans="2:26" x14ac:dyDescent="0.2">
      <c r="B57" s="27" t="s">
        <v>180</v>
      </c>
      <c r="C57" s="27">
        <v>259</v>
      </c>
      <c r="D57" s="27" t="s">
        <v>129</v>
      </c>
      <c r="E57" s="27" t="s">
        <v>106</v>
      </c>
      <c r="F57" s="27" t="s">
        <v>186</v>
      </c>
      <c r="G57" s="27" t="s">
        <v>64</v>
      </c>
      <c r="H57" s="27">
        <v>60</v>
      </c>
      <c r="I57" s="27">
        <v>17</v>
      </c>
      <c r="J57" s="37">
        <v>-2.4699999999999999E-4</v>
      </c>
      <c r="K57" s="27">
        <v>6</v>
      </c>
      <c r="L57" s="38">
        <v>-2.33E-4</v>
      </c>
      <c r="M57" s="27" t="s">
        <v>65</v>
      </c>
      <c r="O57" s="27" t="s">
        <v>180</v>
      </c>
      <c r="P57" s="27">
        <v>259</v>
      </c>
      <c r="Q57" s="27" t="s">
        <v>129</v>
      </c>
      <c r="R57" s="27" t="s">
        <v>376</v>
      </c>
      <c r="S57" s="27" t="s">
        <v>186</v>
      </c>
      <c r="T57" s="27" t="s">
        <v>64</v>
      </c>
      <c r="U57" s="27">
        <v>10</v>
      </c>
      <c r="V57" s="27">
        <v>17</v>
      </c>
      <c r="W57" s="37">
        <v>-2.4800000000000001E-4</v>
      </c>
      <c r="X57" s="27">
        <v>6</v>
      </c>
      <c r="Y57" s="38">
        <v>-2.33E-4</v>
      </c>
      <c r="Z57" s="27" t="s">
        <v>65</v>
      </c>
    </row>
    <row r="58" spans="2:26" x14ac:dyDescent="0.2">
      <c r="B58" s="27" t="s">
        <v>180</v>
      </c>
      <c r="C58" s="27">
        <v>260</v>
      </c>
      <c r="D58" s="27" t="s">
        <v>129</v>
      </c>
      <c r="E58" s="27" t="s">
        <v>106</v>
      </c>
      <c r="F58" s="27" t="s">
        <v>187</v>
      </c>
      <c r="G58" s="27" t="s">
        <v>63</v>
      </c>
      <c r="H58" s="27">
        <v>60</v>
      </c>
      <c r="I58" s="27">
        <v>15</v>
      </c>
      <c r="J58" s="37">
        <v>-1.8799999999999999E-4</v>
      </c>
      <c r="K58" s="27">
        <v>12</v>
      </c>
      <c r="L58" s="38">
        <v>-1.64E-4</v>
      </c>
      <c r="M58" s="27" t="s">
        <v>65</v>
      </c>
      <c r="O58" s="27" t="s">
        <v>180</v>
      </c>
      <c r="P58" s="27">
        <v>260</v>
      </c>
      <c r="Q58" s="27" t="s">
        <v>129</v>
      </c>
      <c r="R58" s="27" t="s">
        <v>376</v>
      </c>
      <c r="S58" s="27" t="s">
        <v>187</v>
      </c>
      <c r="T58" s="27" t="s">
        <v>63</v>
      </c>
      <c r="U58" s="27">
        <v>10</v>
      </c>
      <c r="V58" s="27">
        <v>15</v>
      </c>
      <c r="W58" s="37">
        <v>-1.8799999999999999E-4</v>
      </c>
      <c r="X58" s="27">
        <v>12</v>
      </c>
      <c r="Y58" s="38">
        <v>-1.64E-4</v>
      </c>
      <c r="Z58" s="27" t="s">
        <v>65</v>
      </c>
    </row>
    <row r="59" spans="2:26" x14ac:dyDescent="0.2">
      <c r="B59" s="27" t="s">
        <v>180</v>
      </c>
      <c r="C59" s="27">
        <v>260</v>
      </c>
      <c r="D59" s="27" t="s">
        <v>129</v>
      </c>
      <c r="E59" s="27" t="s">
        <v>106</v>
      </c>
      <c r="F59" s="27" t="s">
        <v>188</v>
      </c>
      <c r="G59" s="27" t="s">
        <v>64</v>
      </c>
      <c r="H59" s="27">
        <v>60</v>
      </c>
      <c r="I59" s="27">
        <v>17</v>
      </c>
      <c r="J59" s="37">
        <v>-2.4699999999999999E-4</v>
      </c>
      <c r="K59" s="27">
        <v>6</v>
      </c>
      <c r="L59" s="38">
        <v>-2.32E-4</v>
      </c>
      <c r="M59" s="27" t="s">
        <v>65</v>
      </c>
      <c r="O59" s="27" t="s">
        <v>180</v>
      </c>
      <c r="P59" s="27">
        <v>260</v>
      </c>
      <c r="Q59" s="27" t="s">
        <v>129</v>
      </c>
      <c r="R59" s="27" t="s">
        <v>376</v>
      </c>
      <c r="S59" s="27" t="s">
        <v>188</v>
      </c>
      <c r="T59" s="27" t="s">
        <v>64</v>
      </c>
      <c r="U59" s="27">
        <v>10</v>
      </c>
      <c r="V59" s="27">
        <v>17</v>
      </c>
      <c r="W59" s="37">
        <v>-2.4699999999999999E-4</v>
      </c>
      <c r="X59" s="27">
        <v>6</v>
      </c>
      <c r="Y59" s="38">
        <v>-2.33E-4</v>
      </c>
      <c r="Z59" s="27" t="s">
        <v>65</v>
      </c>
    </row>
    <row r="60" spans="2:26" x14ac:dyDescent="0.2">
      <c r="B60" s="27" t="s">
        <v>180</v>
      </c>
      <c r="C60" s="27">
        <v>264</v>
      </c>
      <c r="D60" s="27" t="s">
        <v>128</v>
      </c>
      <c r="E60" s="27" t="s">
        <v>106</v>
      </c>
      <c r="F60" s="27" t="s">
        <v>189</v>
      </c>
      <c r="G60" s="27" t="s">
        <v>63</v>
      </c>
      <c r="H60" s="27">
        <v>60</v>
      </c>
      <c r="I60" s="27">
        <v>20</v>
      </c>
      <c r="J60" s="37">
        <v>-1.9799999999999999E-4</v>
      </c>
      <c r="K60" s="27">
        <v>4</v>
      </c>
      <c r="L60" s="38">
        <v>-1.83E-4</v>
      </c>
      <c r="M60" s="27" t="s">
        <v>65</v>
      </c>
      <c r="O60" s="27" t="s">
        <v>180</v>
      </c>
      <c r="P60" s="27">
        <v>264</v>
      </c>
      <c r="Q60" s="27" t="s">
        <v>128</v>
      </c>
      <c r="R60" s="27" t="s">
        <v>376</v>
      </c>
      <c r="S60" s="27" t="s">
        <v>189</v>
      </c>
      <c r="T60" s="27" t="s">
        <v>63</v>
      </c>
      <c r="U60" s="27">
        <v>10</v>
      </c>
      <c r="V60" s="27">
        <v>20</v>
      </c>
      <c r="W60" s="37">
        <v>-1.9799999999999999E-4</v>
      </c>
      <c r="X60" s="27">
        <v>4</v>
      </c>
      <c r="Y60" s="38">
        <v>-1.83E-4</v>
      </c>
      <c r="Z60" s="27" t="s">
        <v>65</v>
      </c>
    </row>
    <row r="61" spans="2:26" x14ac:dyDescent="0.2">
      <c r="B61" s="27" t="s">
        <v>180</v>
      </c>
      <c r="C61" s="27">
        <v>264</v>
      </c>
      <c r="D61" s="27" t="s">
        <v>128</v>
      </c>
      <c r="E61" s="27" t="s">
        <v>106</v>
      </c>
      <c r="F61" s="27" t="s">
        <v>190</v>
      </c>
      <c r="G61" s="27" t="s">
        <v>64</v>
      </c>
      <c r="H61" s="27">
        <v>60</v>
      </c>
      <c r="I61" s="27">
        <v>17</v>
      </c>
      <c r="J61" s="37">
        <v>-1.8799999999999999E-4</v>
      </c>
      <c r="K61" s="27">
        <v>3</v>
      </c>
      <c r="L61" s="38">
        <v>-1.6899999999999999E-4</v>
      </c>
      <c r="M61" s="27" t="s">
        <v>65</v>
      </c>
      <c r="O61" s="27" t="s">
        <v>180</v>
      </c>
      <c r="P61" s="27">
        <v>264</v>
      </c>
      <c r="Q61" s="27" t="s">
        <v>128</v>
      </c>
      <c r="R61" s="27" t="s">
        <v>376</v>
      </c>
      <c r="S61" s="27" t="s">
        <v>190</v>
      </c>
      <c r="T61" s="27" t="s">
        <v>64</v>
      </c>
      <c r="U61" s="27">
        <v>10</v>
      </c>
      <c r="V61" s="27">
        <v>17</v>
      </c>
      <c r="W61" s="37">
        <v>-1.8900000000000001E-4</v>
      </c>
      <c r="X61" s="27">
        <v>3</v>
      </c>
      <c r="Y61" s="38">
        <v>-1.7000000000000001E-4</v>
      </c>
      <c r="Z61" s="27" t="s">
        <v>65</v>
      </c>
    </row>
    <row r="62" spans="2:26" x14ac:dyDescent="0.2">
      <c r="B62" s="27" t="s">
        <v>180</v>
      </c>
      <c r="C62" s="27">
        <v>252</v>
      </c>
      <c r="D62" s="27" t="s">
        <v>127</v>
      </c>
      <c r="E62" s="27" t="s">
        <v>106</v>
      </c>
      <c r="F62" s="27" t="s">
        <v>191</v>
      </c>
      <c r="G62" s="27" t="s">
        <v>63</v>
      </c>
      <c r="H62" s="27">
        <v>60</v>
      </c>
      <c r="I62" s="27">
        <v>9</v>
      </c>
      <c r="J62" s="37">
        <v>-2.7599999999999999E-4</v>
      </c>
      <c r="K62" s="27">
        <v>6</v>
      </c>
      <c r="L62" s="38">
        <v>-2.3599999999999999E-4</v>
      </c>
      <c r="M62" s="27" t="s">
        <v>65</v>
      </c>
      <c r="O62" s="27" t="s">
        <v>180</v>
      </c>
      <c r="P62" s="27">
        <v>252</v>
      </c>
      <c r="Q62" s="27" t="s">
        <v>127</v>
      </c>
      <c r="R62" s="27" t="s">
        <v>376</v>
      </c>
      <c r="S62" s="27" t="s">
        <v>191</v>
      </c>
      <c r="T62" s="27" t="s">
        <v>63</v>
      </c>
      <c r="U62" s="27">
        <v>10</v>
      </c>
      <c r="V62" s="27">
        <v>9</v>
      </c>
      <c r="W62" s="37">
        <v>-2.7700000000000001E-4</v>
      </c>
      <c r="X62" s="27">
        <v>6</v>
      </c>
      <c r="Y62" s="38">
        <v>-2.3699999999999999E-4</v>
      </c>
      <c r="Z62" s="27" t="s">
        <v>65</v>
      </c>
    </row>
    <row r="63" spans="2:26" x14ac:dyDescent="0.2">
      <c r="B63" s="27" t="s">
        <v>180</v>
      </c>
      <c r="C63" s="27">
        <v>252</v>
      </c>
      <c r="D63" s="27" t="s">
        <v>127</v>
      </c>
      <c r="E63" s="27" t="s">
        <v>106</v>
      </c>
      <c r="F63" s="27" t="s">
        <v>192</v>
      </c>
      <c r="G63" s="27" t="s">
        <v>64</v>
      </c>
      <c r="H63" s="27">
        <v>60</v>
      </c>
      <c r="I63" s="27">
        <v>11</v>
      </c>
      <c r="J63" s="37">
        <v>-2.03E-4</v>
      </c>
      <c r="K63" s="27">
        <v>3</v>
      </c>
      <c r="L63" s="38">
        <v>-1.76E-4</v>
      </c>
      <c r="M63" s="27" t="s">
        <v>65</v>
      </c>
      <c r="O63" s="27" t="s">
        <v>180</v>
      </c>
      <c r="P63" s="27">
        <v>252</v>
      </c>
      <c r="Q63" s="27" t="s">
        <v>127</v>
      </c>
      <c r="R63" s="27" t="s">
        <v>376</v>
      </c>
      <c r="S63" s="27" t="s">
        <v>192</v>
      </c>
      <c r="T63" s="27" t="s">
        <v>64</v>
      </c>
      <c r="U63" s="27">
        <v>10</v>
      </c>
      <c r="V63" s="27">
        <v>11</v>
      </c>
      <c r="W63" s="37">
        <v>-2.03E-4</v>
      </c>
      <c r="X63" s="27">
        <v>3</v>
      </c>
      <c r="Y63" s="38">
        <v>-1.7699999999999999E-4</v>
      </c>
      <c r="Z63" s="27" t="s">
        <v>65</v>
      </c>
    </row>
    <row r="64" spans="2:26" x14ac:dyDescent="0.2">
      <c r="B64" s="27" t="s">
        <v>180</v>
      </c>
      <c r="C64" s="27">
        <v>268</v>
      </c>
      <c r="D64" s="27" t="s">
        <v>128</v>
      </c>
      <c r="E64" s="27" t="s">
        <v>106</v>
      </c>
      <c r="F64" s="27" t="s">
        <v>193</v>
      </c>
      <c r="G64" s="27" t="s">
        <v>63</v>
      </c>
      <c r="H64" s="27">
        <v>60</v>
      </c>
      <c r="I64" s="27">
        <v>22</v>
      </c>
      <c r="J64" s="37">
        <v>-1.9100000000000001E-4</v>
      </c>
      <c r="K64" s="27">
        <v>1</v>
      </c>
      <c r="L64" s="38">
        <v>-1.66E-4</v>
      </c>
      <c r="M64" s="27" t="s">
        <v>65</v>
      </c>
      <c r="O64" s="27" t="s">
        <v>180</v>
      </c>
      <c r="P64" s="27">
        <v>268</v>
      </c>
      <c r="Q64" s="27" t="s">
        <v>128</v>
      </c>
      <c r="R64" s="27" t="s">
        <v>376</v>
      </c>
      <c r="S64" s="27" t="s">
        <v>193</v>
      </c>
      <c r="T64" s="27" t="s">
        <v>63</v>
      </c>
      <c r="U64" s="27">
        <v>10</v>
      </c>
      <c r="V64" s="27">
        <v>22</v>
      </c>
      <c r="W64" s="37">
        <v>-1.9100000000000001E-4</v>
      </c>
      <c r="X64" s="27">
        <v>1</v>
      </c>
      <c r="Y64" s="38">
        <v>-1.66E-4</v>
      </c>
      <c r="Z64" s="27" t="s">
        <v>65</v>
      </c>
    </row>
    <row r="65" spans="2:26" x14ac:dyDescent="0.2">
      <c r="B65" s="27" t="s">
        <v>180</v>
      </c>
      <c r="C65" s="27">
        <v>268</v>
      </c>
      <c r="D65" s="27" t="s">
        <v>128</v>
      </c>
      <c r="E65" s="27" t="s">
        <v>106</v>
      </c>
      <c r="F65" s="27" t="s">
        <v>194</v>
      </c>
      <c r="G65" s="27" t="s">
        <v>64</v>
      </c>
      <c r="H65" s="27">
        <v>60</v>
      </c>
      <c r="I65" s="27">
        <v>15</v>
      </c>
      <c r="J65" s="37">
        <v>-1.84E-4</v>
      </c>
      <c r="K65" s="27">
        <v>6</v>
      </c>
      <c r="L65" s="38">
        <v>-1.6000000000000001E-4</v>
      </c>
      <c r="M65" s="27" t="s">
        <v>65</v>
      </c>
      <c r="O65" s="27" t="s">
        <v>180</v>
      </c>
      <c r="P65" s="27">
        <v>268</v>
      </c>
      <c r="Q65" s="27" t="s">
        <v>128</v>
      </c>
      <c r="R65" s="27" t="s">
        <v>376</v>
      </c>
      <c r="S65" s="27" t="s">
        <v>194</v>
      </c>
      <c r="T65" s="27" t="s">
        <v>64</v>
      </c>
      <c r="U65" s="27">
        <v>10</v>
      </c>
      <c r="V65" s="27">
        <v>15</v>
      </c>
      <c r="W65" s="37">
        <v>-1.83E-4</v>
      </c>
      <c r="X65" s="27">
        <v>3</v>
      </c>
      <c r="Y65" s="38">
        <v>-1.5899999999999999E-4</v>
      </c>
      <c r="Z65" s="27" t="s">
        <v>65</v>
      </c>
    </row>
    <row r="66" spans="2:26" x14ac:dyDescent="0.2">
      <c r="B66" s="27" t="s">
        <v>180</v>
      </c>
      <c r="C66" s="27">
        <v>253</v>
      </c>
      <c r="D66" s="27" t="s">
        <v>129</v>
      </c>
      <c r="E66" s="27" t="s">
        <v>106</v>
      </c>
      <c r="F66" s="27" t="s">
        <v>195</v>
      </c>
      <c r="G66" s="27" t="s">
        <v>63</v>
      </c>
      <c r="H66" s="27">
        <v>60</v>
      </c>
      <c r="I66" s="27">
        <v>20</v>
      </c>
      <c r="J66" s="37">
        <v>-8.6000000000000003E-5</v>
      </c>
      <c r="K66" s="27">
        <v>1</v>
      </c>
      <c r="L66" s="38">
        <v>-8.6000000000000003E-5</v>
      </c>
      <c r="M66" s="27" t="s">
        <v>65</v>
      </c>
      <c r="O66" s="27" t="s">
        <v>180</v>
      </c>
      <c r="P66" s="27">
        <v>253</v>
      </c>
      <c r="Q66" s="27" t="s">
        <v>129</v>
      </c>
      <c r="R66" s="27" t="s">
        <v>376</v>
      </c>
      <c r="S66" s="27" t="s">
        <v>195</v>
      </c>
      <c r="T66" s="27" t="s">
        <v>63</v>
      </c>
      <c r="U66" s="27">
        <v>10</v>
      </c>
      <c r="V66" s="27">
        <v>20</v>
      </c>
      <c r="W66" s="37">
        <v>-8.6000000000000003E-5</v>
      </c>
      <c r="X66" s="27">
        <v>7</v>
      </c>
      <c r="Y66" s="38">
        <v>-8.6000000000000003E-5</v>
      </c>
      <c r="Z66" s="27" t="s">
        <v>65</v>
      </c>
    </row>
    <row r="67" spans="2:26" x14ac:dyDescent="0.2">
      <c r="B67" s="27" t="s">
        <v>180</v>
      </c>
      <c r="C67" s="27">
        <v>253</v>
      </c>
      <c r="D67" s="27" t="s">
        <v>129</v>
      </c>
      <c r="E67" s="27" t="s">
        <v>106</v>
      </c>
      <c r="F67" s="27" t="s">
        <v>196</v>
      </c>
      <c r="G67" s="27" t="s">
        <v>64</v>
      </c>
      <c r="H67" s="27">
        <v>60</v>
      </c>
      <c r="I67" s="27">
        <v>16</v>
      </c>
      <c r="J67" s="37">
        <v>-2.1000000000000001E-4</v>
      </c>
      <c r="K67" s="27">
        <v>6</v>
      </c>
      <c r="L67" s="38">
        <v>-2.1100000000000001E-4</v>
      </c>
      <c r="M67" s="27" t="s">
        <v>65</v>
      </c>
      <c r="O67" s="27" t="s">
        <v>180</v>
      </c>
      <c r="P67" s="27">
        <v>253</v>
      </c>
      <c r="Q67" s="27" t="s">
        <v>129</v>
      </c>
      <c r="R67" s="27" t="s">
        <v>376</v>
      </c>
      <c r="S67" s="27" t="s">
        <v>196</v>
      </c>
      <c r="T67" s="27" t="s">
        <v>64</v>
      </c>
      <c r="U67" s="27">
        <v>10</v>
      </c>
      <c r="V67" s="27">
        <v>17</v>
      </c>
      <c r="W67" s="37">
        <v>-2.1100000000000001E-4</v>
      </c>
      <c r="X67" s="27">
        <v>6</v>
      </c>
      <c r="Y67" s="38">
        <v>-2.1100000000000001E-4</v>
      </c>
      <c r="Z67" s="27" t="s">
        <v>65</v>
      </c>
    </row>
    <row r="68" spans="2:26" x14ac:dyDescent="0.2">
      <c r="B68" s="27" t="s">
        <v>180</v>
      </c>
      <c r="C68" s="27">
        <v>271</v>
      </c>
      <c r="D68" s="27" t="s">
        <v>128</v>
      </c>
      <c r="E68" s="27" t="s">
        <v>106</v>
      </c>
      <c r="F68" s="27" t="s">
        <v>197</v>
      </c>
      <c r="G68" s="27" t="s">
        <v>63</v>
      </c>
      <c r="H68" s="27">
        <v>60</v>
      </c>
      <c r="I68" s="27">
        <v>20</v>
      </c>
      <c r="J68" s="37">
        <v>-1.9900000000000001E-4</v>
      </c>
      <c r="K68" s="27">
        <v>4</v>
      </c>
      <c r="L68" s="38">
        <v>-1.7699999999999999E-4</v>
      </c>
      <c r="M68" s="27" t="s">
        <v>65</v>
      </c>
      <c r="O68" s="27" t="s">
        <v>180</v>
      </c>
      <c r="P68" s="27">
        <v>271</v>
      </c>
      <c r="Q68" s="27" t="s">
        <v>128</v>
      </c>
      <c r="R68" s="27" t="s">
        <v>376</v>
      </c>
      <c r="S68" s="27" t="s">
        <v>197</v>
      </c>
      <c r="T68" s="27" t="s">
        <v>63</v>
      </c>
      <c r="U68" s="27">
        <v>10</v>
      </c>
      <c r="V68" s="27">
        <v>20</v>
      </c>
      <c r="W68" s="37">
        <v>-1.9900000000000001E-4</v>
      </c>
      <c r="X68" s="27">
        <v>4</v>
      </c>
      <c r="Y68" s="38">
        <v>-1.7699999999999999E-4</v>
      </c>
      <c r="Z68" s="27" t="s">
        <v>65</v>
      </c>
    </row>
    <row r="69" spans="2:26" x14ac:dyDescent="0.2">
      <c r="B69" s="27" t="s">
        <v>180</v>
      </c>
      <c r="C69" s="27">
        <v>271</v>
      </c>
      <c r="D69" s="27" t="s">
        <v>128</v>
      </c>
      <c r="E69" s="27" t="s">
        <v>106</v>
      </c>
      <c r="F69" s="27" t="s">
        <v>198</v>
      </c>
      <c r="G69" s="27" t="s">
        <v>64</v>
      </c>
      <c r="H69" s="27">
        <v>60</v>
      </c>
      <c r="I69" s="27">
        <v>17</v>
      </c>
      <c r="J69" s="37">
        <v>-1.9900000000000001E-4</v>
      </c>
      <c r="K69" s="27">
        <v>3</v>
      </c>
      <c r="L69" s="38">
        <v>-1.7699999999999999E-4</v>
      </c>
      <c r="M69" s="27" t="s">
        <v>65</v>
      </c>
      <c r="O69" s="27" t="s">
        <v>180</v>
      </c>
      <c r="P69" s="27">
        <v>271</v>
      </c>
      <c r="Q69" s="27" t="s">
        <v>128</v>
      </c>
      <c r="R69" s="27" t="s">
        <v>376</v>
      </c>
      <c r="S69" s="27" t="s">
        <v>198</v>
      </c>
      <c r="T69" s="27" t="s">
        <v>64</v>
      </c>
      <c r="U69" s="27">
        <v>10</v>
      </c>
      <c r="V69" s="27">
        <v>17</v>
      </c>
      <c r="W69" s="37">
        <v>-2.0000000000000001E-4</v>
      </c>
      <c r="X69" s="27">
        <v>3</v>
      </c>
      <c r="Y69" s="38">
        <v>-1.7699999999999999E-4</v>
      </c>
      <c r="Z69" s="27" t="s">
        <v>65</v>
      </c>
    </row>
    <row r="70" spans="2:26" x14ac:dyDescent="0.2">
      <c r="B70" s="27" t="s">
        <v>180</v>
      </c>
      <c r="C70" s="27">
        <v>272</v>
      </c>
      <c r="D70" s="27" t="s">
        <v>128</v>
      </c>
      <c r="E70" s="27" t="s">
        <v>106</v>
      </c>
      <c r="F70" s="27" t="s">
        <v>199</v>
      </c>
      <c r="G70" s="27" t="s">
        <v>63</v>
      </c>
      <c r="H70" s="27">
        <v>60</v>
      </c>
      <c r="I70" s="27">
        <v>20</v>
      </c>
      <c r="J70" s="37">
        <v>-1.9599999999999999E-4</v>
      </c>
      <c r="K70" s="27">
        <v>4</v>
      </c>
      <c r="L70" s="38">
        <v>-1.74E-4</v>
      </c>
      <c r="M70" s="27" t="s">
        <v>65</v>
      </c>
      <c r="O70" s="27" t="s">
        <v>180</v>
      </c>
      <c r="P70" s="27">
        <v>272</v>
      </c>
      <c r="Q70" s="27" t="s">
        <v>128</v>
      </c>
      <c r="R70" s="27" t="s">
        <v>376</v>
      </c>
      <c r="S70" s="27" t="s">
        <v>199</v>
      </c>
      <c r="T70" s="27" t="s">
        <v>63</v>
      </c>
      <c r="U70" s="27">
        <v>10</v>
      </c>
      <c r="V70" s="27">
        <v>20</v>
      </c>
      <c r="W70" s="37">
        <v>-1.9599999999999999E-4</v>
      </c>
      <c r="X70" s="27">
        <v>4</v>
      </c>
      <c r="Y70" s="38">
        <v>-1.74E-4</v>
      </c>
      <c r="Z70" s="27" t="s">
        <v>65</v>
      </c>
    </row>
    <row r="71" spans="2:26" x14ac:dyDescent="0.2">
      <c r="B71" s="27" t="s">
        <v>180</v>
      </c>
      <c r="C71" s="27">
        <v>272</v>
      </c>
      <c r="D71" s="27" t="s">
        <v>128</v>
      </c>
      <c r="E71" s="27" t="s">
        <v>106</v>
      </c>
      <c r="F71" s="27" t="s">
        <v>200</v>
      </c>
      <c r="G71" s="27" t="s">
        <v>64</v>
      </c>
      <c r="H71" s="27">
        <v>60</v>
      </c>
      <c r="I71" s="27">
        <v>17</v>
      </c>
      <c r="J71" s="37">
        <v>-1.9699999999999999E-4</v>
      </c>
      <c r="K71" s="27">
        <v>3</v>
      </c>
      <c r="L71" s="38">
        <v>-1.75E-4</v>
      </c>
      <c r="M71" s="27" t="s">
        <v>65</v>
      </c>
      <c r="O71" s="27" t="s">
        <v>180</v>
      </c>
      <c r="P71" s="27">
        <v>272</v>
      </c>
      <c r="Q71" s="27" t="s">
        <v>128</v>
      </c>
      <c r="R71" s="27" t="s">
        <v>376</v>
      </c>
      <c r="S71" s="27" t="s">
        <v>200</v>
      </c>
      <c r="T71" s="27" t="s">
        <v>64</v>
      </c>
      <c r="U71" s="27">
        <v>10</v>
      </c>
      <c r="V71" s="27">
        <v>17</v>
      </c>
      <c r="W71" s="37">
        <v>-1.9699999999999999E-4</v>
      </c>
      <c r="X71" s="27">
        <v>3</v>
      </c>
      <c r="Y71" s="38">
        <v>-1.76E-4</v>
      </c>
      <c r="Z71" s="27" t="s">
        <v>65</v>
      </c>
    </row>
    <row r="72" spans="2:26" x14ac:dyDescent="0.2">
      <c r="B72" s="27" t="s">
        <v>180</v>
      </c>
      <c r="C72" s="27">
        <v>255</v>
      </c>
      <c r="D72" s="27" t="s">
        <v>129</v>
      </c>
      <c r="E72" s="27" t="s">
        <v>106</v>
      </c>
      <c r="F72" s="27" t="s">
        <v>201</v>
      </c>
      <c r="G72" s="27" t="s">
        <v>63</v>
      </c>
      <c r="H72" s="27">
        <v>60</v>
      </c>
      <c r="I72" s="27">
        <v>22</v>
      </c>
      <c r="J72" s="37">
        <v>-8.8999999999999995E-5</v>
      </c>
      <c r="K72" s="27">
        <v>1</v>
      </c>
      <c r="L72" s="38">
        <v>-8.8999999999999995E-5</v>
      </c>
      <c r="M72" s="27" t="s">
        <v>65</v>
      </c>
      <c r="O72" s="27" t="s">
        <v>180</v>
      </c>
      <c r="P72" s="27">
        <v>255</v>
      </c>
      <c r="Q72" s="27" t="s">
        <v>129</v>
      </c>
      <c r="R72" s="27" t="s">
        <v>376</v>
      </c>
      <c r="S72" s="27" t="s">
        <v>201</v>
      </c>
      <c r="T72" s="27" t="s">
        <v>63</v>
      </c>
      <c r="U72" s="27">
        <v>10</v>
      </c>
      <c r="V72" s="27">
        <v>22</v>
      </c>
      <c r="W72" s="37">
        <v>-8.7999999999999998E-5</v>
      </c>
      <c r="X72" s="27">
        <v>1</v>
      </c>
      <c r="Y72" s="38">
        <v>-8.7999999999999998E-5</v>
      </c>
      <c r="Z72" s="27" t="s">
        <v>65</v>
      </c>
    </row>
    <row r="73" spans="2:26" x14ac:dyDescent="0.2">
      <c r="B73" s="27" t="s">
        <v>180</v>
      </c>
      <c r="C73" s="27">
        <v>255</v>
      </c>
      <c r="D73" s="27" t="s">
        <v>129</v>
      </c>
      <c r="E73" s="27" t="s">
        <v>106</v>
      </c>
      <c r="F73" s="27" t="s">
        <v>202</v>
      </c>
      <c r="G73" s="27" t="s">
        <v>64</v>
      </c>
      <c r="H73" s="27">
        <v>60</v>
      </c>
      <c r="I73" s="27">
        <v>15</v>
      </c>
      <c r="J73" s="37">
        <v>-2.14E-4</v>
      </c>
      <c r="K73" s="27">
        <v>12</v>
      </c>
      <c r="L73" s="38">
        <v>-2.14E-4</v>
      </c>
      <c r="M73" s="27" t="s">
        <v>65</v>
      </c>
      <c r="O73" s="27" t="s">
        <v>180</v>
      </c>
      <c r="P73" s="27">
        <v>255</v>
      </c>
      <c r="Q73" s="27" t="s">
        <v>129</v>
      </c>
      <c r="R73" s="27" t="s">
        <v>376</v>
      </c>
      <c r="S73" s="27" t="s">
        <v>202</v>
      </c>
      <c r="T73" s="27" t="s">
        <v>64</v>
      </c>
      <c r="U73" s="27">
        <v>10</v>
      </c>
      <c r="V73" s="27">
        <v>15</v>
      </c>
      <c r="W73" s="37">
        <v>-2.14E-4</v>
      </c>
      <c r="X73" s="27">
        <v>12</v>
      </c>
      <c r="Y73" s="38">
        <v>-2.14E-4</v>
      </c>
      <c r="Z73" s="27" t="s">
        <v>65</v>
      </c>
    </row>
    <row r="74" spans="2:26" x14ac:dyDescent="0.2">
      <c r="B74" s="27" t="s">
        <v>180</v>
      </c>
      <c r="C74" s="27">
        <v>266</v>
      </c>
      <c r="D74" s="27" t="s">
        <v>128</v>
      </c>
      <c r="E74" s="27" t="s">
        <v>106</v>
      </c>
      <c r="F74" s="27" t="s">
        <v>203</v>
      </c>
      <c r="G74" s="27" t="s">
        <v>63</v>
      </c>
      <c r="H74" s="27">
        <v>60</v>
      </c>
      <c r="I74" s="27">
        <v>17</v>
      </c>
      <c r="J74" s="37">
        <v>-7.2000000000000002E-5</v>
      </c>
      <c r="K74" s="27">
        <v>3</v>
      </c>
      <c r="L74" s="38">
        <v>-6.7000000000000002E-5</v>
      </c>
      <c r="M74" s="27" t="s">
        <v>65</v>
      </c>
      <c r="O74" s="27" t="s">
        <v>180</v>
      </c>
      <c r="P74" s="27">
        <v>266</v>
      </c>
      <c r="Q74" s="27" t="s">
        <v>128</v>
      </c>
      <c r="R74" s="27" t="s">
        <v>376</v>
      </c>
      <c r="S74" s="27" t="s">
        <v>203</v>
      </c>
      <c r="T74" s="27" t="s">
        <v>63</v>
      </c>
      <c r="U74" s="27">
        <v>10</v>
      </c>
      <c r="V74" s="27">
        <v>17</v>
      </c>
      <c r="W74" s="37">
        <v>-7.2000000000000002E-5</v>
      </c>
      <c r="X74" s="27">
        <v>3</v>
      </c>
      <c r="Y74" s="38">
        <v>-6.7000000000000002E-5</v>
      </c>
      <c r="Z74" s="27" t="s">
        <v>65</v>
      </c>
    </row>
    <row r="75" spans="2:26" x14ac:dyDescent="0.2">
      <c r="B75" s="27" t="s">
        <v>180</v>
      </c>
      <c r="C75" s="27">
        <v>266</v>
      </c>
      <c r="D75" s="27" t="s">
        <v>128</v>
      </c>
      <c r="E75" s="27" t="s">
        <v>106</v>
      </c>
      <c r="F75" s="27" t="s">
        <v>204</v>
      </c>
      <c r="G75" s="27" t="s">
        <v>64</v>
      </c>
      <c r="H75" s="27">
        <v>60</v>
      </c>
      <c r="I75" s="27">
        <v>15</v>
      </c>
      <c r="J75" s="37">
        <v>-8.2000000000000001E-5</v>
      </c>
      <c r="K75" s="27">
        <v>6</v>
      </c>
      <c r="L75" s="38">
        <v>-7.6000000000000004E-5</v>
      </c>
      <c r="M75" s="27" t="s">
        <v>65</v>
      </c>
      <c r="O75" s="27" t="s">
        <v>180</v>
      </c>
      <c r="P75" s="27">
        <v>266</v>
      </c>
      <c r="Q75" s="27" t="s">
        <v>128</v>
      </c>
      <c r="R75" s="27" t="s">
        <v>376</v>
      </c>
      <c r="S75" s="27" t="s">
        <v>204</v>
      </c>
      <c r="T75" s="27" t="s">
        <v>64</v>
      </c>
      <c r="U75" s="27">
        <v>10</v>
      </c>
      <c r="V75" s="27">
        <v>15</v>
      </c>
      <c r="W75" s="37">
        <v>-8.2000000000000001E-5</v>
      </c>
      <c r="X75" s="27">
        <v>6</v>
      </c>
      <c r="Y75" s="38">
        <v>-7.4999999999999993E-5</v>
      </c>
      <c r="Z75" s="27" t="s">
        <v>65</v>
      </c>
    </row>
    <row r="76" spans="2:26" x14ac:dyDescent="0.2">
      <c r="B76" s="27" t="s">
        <v>180</v>
      </c>
      <c r="C76" s="27">
        <v>267</v>
      </c>
      <c r="D76" s="27" t="s">
        <v>128</v>
      </c>
      <c r="E76" s="27" t="s">
        <v>106</v>
      </c>
      <c r="F76" s="27" t="s">
        <v>205</v>
      </c>
      <c r="G76" s="27" t="s">
        <v>63</v>
      </c>
      <c r="H76" s="27">
        <v>60</v>
      </c>
      <c r="I76" s="27">
        <v>20</v>
      </c>
      <c r="J76" s="37">
        <v>-1.9100000000000001E-4</v>
      </c>
      <c r="K76" s="27">
        <v>4</v>
      </c>
      <c r="L76" s="38">
        <v>-1.6699999999999999E-4</v>
      </c>
      <c r="M76" s="27" t="s">
        <v>65</v>
      </c>
      <c r="O76" s="27" t="s">
        <v>180</v>
      </c>
      <c r="P76" s="27">
        <v>267</v>
      </c>
      <c r="Q76" s="27" t="s">
        <v>128</v>
      </c>
      <c r="R76" s="27" t="s">
        <v>376</v>
      </c>
      <c r="S76" s="27" t="s">
        <v>205</v>
      </c>
      <c r="T76" s="27" t="s">
        <v>63</v>
      </c>
      <c r="U76" s="27">
        <v>10</v>
      </c>
      <c r="V76" s="27">
        <v>20</v>
      </c>
      <c r="W76" s="37">
        <v>-1.9100000000000001E-4</v>
      </c>
      <c r="X76" s="27">
        <v>4</v>
      </c>
      <c r="Y76" s="38">
        <v>-1.6699999999999999E-4</v>
      </c>
      <c r="Z76" s="27" t="s">
        <v>65</v>
      </c>
    </row>
    <row r="77" spans="2:26" x14ac:dyDescent="0.2">
      <c r="B77" s="27" t="s">
        <v>180</v>
      </c>
      <c r="C77" s="27">
        <v>267</v>
      </c>
      <c r="D77" s="27" t="s">
        <v>128</v>
      </c>
      <c r="E77" s="27" t="s">
        <v>106</v>
      </c>
      <c r="F77" s="27" t="s">
        <v>206</v>
      </c>
      <c r="G77" s="27" t="s">
        <v>64</v>
      </c>
      <c r="H77" s="27">
        <v>60</v>
      </c>
      <c r="I77" s="27">
        <v>17</v>
      </c>
      <c r="J77" s="37">
        <v>-1.84E-4</v>
      </c>
      <c r="K77" s="27">
        <v>3</v>
      </c>
      <c r="L77" s="38">
        <v>-1.6000000000000001E-4</v>
      </c>
      <c r="M77" s="27" t="s">
        <v>65</v>
      </c>
      <c r="O77" s="27" t="s">
        <v>180</v>
      </c>
      <c r="P77" s="27">
        <v>267</v>
      </c>
      <c r="Q77" s="27" t="s">
        <v>128</v>
      </c>
      <c r="R77" s="27" t="s">
        <v>376</v>
      </c>
      <c r="S77" s="27" t="s">
        <v>206</v>
      </c>
      <c r="T77" s="27" t="s">
        <v>64</v>
      </c>
      <c r="U77" s="27">
        <v>10</v>
      </c>
      <c r="V77" s="27">
        <v>17</v>
      </c>
      <c r="W77" s="37">
        <v>-1.85E-4</v>
      </c>
      <c r="X77" s="27">
        <v>3</v>
      </c>
      <c r="Y77" s="38">
        <v>-1.6100000000000001E-4</v>
      </c>
      <c r="Z77" s="27" t="s">
        <v>65</v>
      </c>
    </row>
    <row r="78" spans="2:26" x14ac:dyDescent="0.2">
      <c r="B78" s="27" t="s">
        <v>180</v>
      </c>
      <c r="C78" s="27">
        <v>254</v>
      </c>
      <c r="D78" s="27" t="s">
        <v>129</v>
      </c>
      <c r="E78" s="27" t="s">
        <v>106</v>
      </c>
      <c r="F78" s="27" t="s">
        <v>207</v>
      </c>
      <c r="G78" s="27" t="s">
        <v>63</v>
      </c>
      <c r="H78" s="27">
        <v>60</v>
      </c>
      <c r="I78" s="27">
        <v>20</v>
      </c>
      <c r="J78" s="37">
        <v>-8.6000000000000003E-5</v>
      </c>
      <c r="K78" s="27">
        <v>1</v>
      </c>
      <c r="L78" s="38">
        <v>-8.6000000000000003E-5</v>
      </c>
      <c r="M78" s="27" t="s">
        <v>65</v>
      </c>
      <c r="O78" s="27" t="s">
        <v>180</v>
      </c>
      <c r="P78" s="27">
        <v>254</v>
      </c>
      <c r="Q78" s="27" t="s">
        <v>129</v>
      </c>
      <c r="R78" s="27" t="s">
        <v>376</v>
      </c>
      <c r="S78" s="27" t="s">
        <v>207</v>
      </c>
      <c r="T78" s="27" t="s">
        <v>63</v>
      </c>
      <c r="U78" s="27">
        <v>10</v>
      </c>
      <c r="V78" s="27">
        <v>20</v>
      </c>
      <c r="W78" s="37">
        <v>-8.7000000000000001E-5</v>
      </c>
      <c r="X78" s="27">
        <v>7</v>
      </c>
      <c r="Y78" s="38">
        <v>-8.7000000000000001E-5</v>
      </c>
      <c r="Z78" s="27" t="s">
        <v>65</v>
      </c>
    </row>
    <row r="79" spans="2:26" x14ac:dyDescent="0.2">
      <c r="B79" s="27" t="s">
        <v>180</v>
      </c>
      <c r="C79" s="27">
        <v>254</v>
      </c>
      <c r="D79" s="27" t="s">
        <v>129</v>
      </c>
      <c r="E79" s="27" t="s">
        <v>106</v>
      </c>
      <c r="F79" s="27" t="s">
        <v>208</v>
      </c>
      <c r="G79" s="27" t="s">
        <v>64</v>
      </c>
      <c r="H79" s="27">
        <v>60</v>
      </c>
      <c r="I79" s="27">
        <v>15</v>
      </c>
      <c r="J79" s="37">
        <v>-2.1000000000000001E-4</v>
      </c>
      <c r="K79" s="27">
        <v>12</v>
      </c>
      <c r="L79" s="38">
        <v>-2.1100000000000001E-4</v>
      </c>
      <c r="M79" s="27" t="s">
        <v>65</v>
      </c>
      <c r="O79" s="27" t="s">
        <v>180</v>
      </c>
      <c r="P79" s="27">
        <v>254</v>
      </c>
      <c r="Q79" s="27" t="s">
        <v>129</v>
      </c>
      <c r="R79" s="27" t="s">
        <v>376</v>
      </c>
      <c r="S79" s="27" t="s">
        <v>208</v>
      </c>
      <c r="T79" s="27" t="s">
        <v>64</v>
      </c>
      <c r="U79" s="27">
        <v>10</v>
      </c>
      <c r="V79" s="27">
        <v>16</v>
      </c>
      <c r="W79" s="37">
        <v>-2.1000000000000001E-4</v>
      </c>
      <c r="X79" s="27">
        <v>6</v>
      </c>
      <c r="Y79" s="38">
        <v>-2.1000000000000001E-4</v>
      </c>
      <c r="Z79" s="27" t="s">
        <v>65</v>
      </c>
    </row>
    <row r="80" spans="2:26" x14ac:dyDescent="0.2">
      <c r="B80" s="27" t="s">
        <v>180</v>
      </c>
      <c r="C80" s="27">
        <v>269</v>
      </c>
      <c r="D80" s="27" t="s">
        <v>128</v>
      </c>
      <c r="E80" s="27" t="s">
        <v>106</v>
      </c>
      <c r="F80" s="27" t="s">
        <v>209</v>
      </c>
      <c r="G80" s="27" t="s">
        <v>63</v>
      </c>
      <c r="H80" s="27">
        <v>60</v>
      </c>
      <c r="I80" s="27">
        <v>22</v>
      </c>
      <c r="J80" s="37">
        <v>-2.0000000000000001E-4</v>
      </c>
      <c r="K80" s="27">
        <v>1</v>
      </c>
      <c r="L80" s="38">
        <v>-1.7699999999999999E-4</v>
      </c>
      <c r="M80" s="27" t="s">
        <v>65</v>
      </c>
      <c r="O80" s="27" t="s">
        <v>180</v>
      </c>
      <c r="P80" s="27">
        <v>269</v>
      </c>
      <c r="Q80" s="27" t="s">
        <v>128</v>
      </c>
      <c r="R80" s="27" t="s">
        <v>376</v>
      </c>
      <c r="S80" s="27" t="s">
        <v>209</v>
      </c>
      <c r="T80" s="27" t="s">
        <v>63</v>
      </c>
      <c r="U80" s="27">
        <v>10</v>
      </c>
      <c r="V80" s="27">
        <v>20</v>
      </c>
      <c r="W80" s="37">
        <v>-1.9900000000000001E-4</v>
      </c>
      <c r="X80" s="27">
        <v>1</v>
      </c>
      <c r="Y80" s="38">
        <v>-1.7699999999999999E-4</v>
      </c>
      <c r="Z80" s="27" t="s">
        <v>65</v>
      </c>
    </row>
    <row r="81" spans="2:26" x14ac:dyDescent="0.2">
      <c r="B81" s="27" t="s">
        <v>180</v>
      </c>
      <c r="C81" s="27">
        <v>269</v>
      </c>
      <c r="D81" s="27" t="s">
        <v>128</v>
      </c>
      <c r="E81" s="27" t="s">
        <v>106</v>
      </c>
      <c r="F81" s="27" t="s">
        <v>210</v>
      </c>
      <c r="G81" s="27" t="s">
        <v>64</v>
      </c>
      <c r="H81" s="27">
        <v>60</v>
      </c>
      <c r="I81" s="27">
        <v>15</v>
      </c>
      <c r="J81" s="37">
        <v>-1.9900000000000001E-4</v>
      </c>
      <c r="K81" s="27">
        <v>6</v>
      </c>
      <c r="L81" s="38">
        <v>-1.7699999999999999E-4</v>
      </c>
      <c r="M81" s="27" t="s">
        <v>65</v>
      </c>
      <c r="O81" s="27" t="s">
        <v>180</v>
      </c>
      <c r="P81" s="27">
        <v>269</v>
      </c>
      <c r="Q81" s="27" t="s">
        <v>128</v>
      </c>
      <c r="R81" s="27" t="s">
        <v>376</v>
      </c>
      <c r="S81" s="27" t="s">
        <v>210</v>
      </c>
      <c r="T81" s="27" t="s">
        <v>64</v>
      </c>
      <c r="U81" s="27">
        <v>10</v>
      </c>
      <c r="V81" s="27">
        <v>15</v>
      </c>
      <c r="W81" s="37">
        <v>-1.9900000000000001E-4</v>
      </c>
      <c r="X81" s="27">
        <v>6</v>
      </c>
      <c r="Y81" s="38">
        <v>-1.76E-4</v>
      </c>
      <c r="Z81" s="27" t="s">
        <v>65</v>
      </c>
    </row>
    <row r="82" spans="2:26" x14ac:dyDescent="0.2">
      <c r="B82" s="27" t="s">
        <v>180</v>
      </c>
      <c r="C82" s="27">
        <v>270</v>
      </c>
      <c r="D82" s="27" t="s">
        <v>128</v>
      </c>
      <c r="E82" s="27" t="s">
        <v>106</v>
      </c>
      <c r="F82" s="27" t="s">
        <v>211</v>
      </c>
      <c r="G82" s="27" t="s">
        <v>63</v>
      </c>
      <c r="H82" s="27">
        <v>60</v>
      </c>
      <c r="I82" s="27">
        <v>22</v>
      </c>
      <c r="J82" s="37">
        <v>-1.9599999999999999E-4</v>
      </c>
      <c r="K82" s="27">
        <v>1</v>
      </c>
      <c r="L82" s="38">
        <v>-1.75E-4</v>
      </c>
      <c r="M82" s="27" t="s">
        <v>65</v>
      </c>
      <c r="O82" s="27" t="s">
        <v>180</v>
      </c>
      <c r="P82" s="27">
        <v>270</v>
      </c>
      <c r="Q82" s="27" t="s">
        <v>128</v>
      </c>
      <c r="R82" s="27" t="s">
        <v>376</v>
      </c>
      <c r="S82" s="27" t="s">
        <v>211</v>
      </c>
      <c r="T82" s="27" t="s">
        <v>63</v>
      </c>
      <c r="U82" s="27">
        <v>10</v>
      </c>
      <c r="V82" s="27">
        <v>22</v>
      </c>
      <c r="W82" s="37">
        <v>-1.9599999999999999E-4</v>
      </c>
      <c r="X82" s="27">
        <v>1</v>
      </c>
      <c r="Y82" s="38">
        <v>-1.74E-4</v>
      </c>
      <c r="Z82" s="27" t="s">
        <v>65</v>
      </c>
    </row>
    <row r="83" spans="2:26" x14ac:dyDescent="0.2">
      <c r="B83" s="27" t="s">
        <v>180</v>
      </c>
      <c r="C83" s="27">
        <v>270</v>
      </c>
      <c r="D83" s="27" t="s">
        <v>128</v>
      </c>
      <c r="E83" s="27" t="s">
        <v>106</v>
      </c>
      <c r="F83" s="27" t="s">
        <v>212</v>
      </c>
      <c r="G83" s="27" t="s">
        <v>64</v>
      </c>
      <c r="H83" s="27">
        <v>60</v>
      </c>
      <c r="I83" s="27">
        <v>15</v>
      </c>
      <c r="J83" s="37">
        <v>-1.9699999999999999E-4</v>
      </c>
      <c r="K83" s="27">
        <v>6</v>
      </c>
      <c r="L83" s="38">
        <v>-1.75E-4</v>
      </c>
      <c r="M83" s="27" t="s">
        <v>65</v>
      </c>
      <c r="O83" s="27" t="s">
        <v>180</v>
      </c>
      <c r="P83" s="27">
        <v>270</v>
      </c>
      <c r="Q83" s="27" t="s">
        <v>128</v>
      </c>
      <c r="R83" s="27" t="s">
        <v>376</v>
      </c>
      <c r="S83" s="27" t="s">
        <v>212</v>
      </c>
      <c r="T83" s="27" t="s">
        <v>64</v>
      </c>
      <c r="U83" s="27">
        <v>10</v>
      </c>
      <c r="V83" s="27">
        <v>15</v>
      </c>
      <c r="W83" s="37">
        <v>-1.9599999999999999E-4</v>
      </c>
      <c r="X83" s="27">
        <v>6</v>
      </c>
      <c r="Y83" s="38">
        <v>-1.75E-4</v>
      </c>
      <c r="Z83" s="27" t="s">
        <v>65</v>
      </c>
    </row>
    <row r="84" spans="2:26" x14ac:dyDescent="0.2">
      <c r="B84" s="27" t="s">
        <v>180</v>
      </c>
      <c r="C84" s="27">
        <v>256</v>
      </c>
      <c r="D84" s="27" t="s">
        <v>129</v>
      </c>
      <c r="E84" s="27" t="s">
        <v>106</v>
      </c>
      <c r="F84" s="27" t="s">
        <v>213</v>
      </c>
      <c r="G84" s="27" t="s">
        <v>63</v>
      </c>
      <c r="H84" s="27">
        <v>60</v>
      </c>
      <c r="I84" s="27">
        <v>22</v>
      </c>
      <c r="J84" s="37">
        <v>-8.7999999999999998E-5</v>
      </c>
      <c r="K84" s="27">
        <v>1</v>
      </c>
      <c r="L84" s="38">
        <v>-8.7999999999999998E-5</v>
      </c>
      <c r="M84" s="27" t="s">
        <v>65</v>
      </c>
      <c r="O84" s="27" t="s">
        <v>180</v>
      </c>
      <c r="P84" s="27">
        <v>256</v>
      </c>
      <c r="Q84" s="27" t="s">
        <v>129</v>
      </c>
      <c r="R84" s="27" t="s">
        <v>376</v>
      </c>
      <c r="S84" s="27" t="s">
        <v>213</v>
      </c>
      <c r="T84" s="27" t="s">
        <v>63</v>
      </c>
      <c r="U84" s="27">
        <v>10</v>
      </c>
      <c r="V84" s="27">
        <v>20</v>
      </c>
      <c r="W84" s="37">
        <v>-8.7000000000000001E-5</v>
      </c>
      <c r="X84" s="27">
        <v>1</v>
      </c>
      <c r="Y84" s="38">
        <v>-8.7000000000000001E-5</v>
      </c>
      <c r="Z84" s="27" t="s">
        <v>65</v>
      </c>
    </row>
    <row r="85" spans="2:26" x14ac:dyDescent="0.2">
      <c r="B85" s="27" t="s">
        <v>180</v>
      </c>
      <c r="C85" s="27">
        <v>256</v>
      </c>
      <c r="D85" s="27" t="s">
        <v>129</v>
      </c>
      <c r="E85" s="27" t="s">
        <v>106</v>
      </c>
      <c r="F85" s="27" t="s">
        <v>214</v>
      </c>
      <c r="G85" s="27" t="s">
        <v>64</v>
      </c>
      <c r="H85" s="27">
        <v>60</v>
      </c>
      <c r="I85" s="27">
        <v>15</v>
      </c>
      <c r="J85" s="37">
        <v>-2.1000000000000001E-4</v>
      </c>
      <c r="K85" s="27">
        <v>12</v>
      </c>
      <c r="L85" s="38">
        <v>-2.1100000000000001E-4</v>
      </c>
      <c r="M85" s="27" t="s">
        <v>65</v>
      </c>
      <c r="O85" s="27" t="s">
        <v>180</v>
      </c>
      <c r="P85" s="27">
        <v>256</v>
      </c>
      <c r="Q85" s="27" t="s">
        <v>129</v>
      </c>
      <c r="R85" s="27" t="s">
        <v>376</v>
      </c>
      <c r="S85" s="27" t="s">
        <v>214</v>
      </c>
      <c r="T85" s="27" t="s">
        <v>64</v>
      </c>
      <c r="U85" s="27">
        <v>10</v>
      </c>
      <c r="V85" s="27">
        <v>15</v>
      </c>
      <c r="W85" s="37">
        <v>-2.1000000000000001E-4</v>
      </c>
      <c r="X85" s="27">
        <v>6</v>
      </c>
      <c r="Y85" s="38">
        <v>-2.1000000000000001E-4</v>
      </c>
      <c r="Z85" s="27" t="s">
        <v>65</v>
      </c>
    </row>
    <row r="86" spans="2:26" x14ac:dyDescent="0.2">
      <c r="B86" s="27" t="s">
        <v>180</v>
      </c>
      <c r="C86" s="27">
        <v>265</v>
      </c>
      <c r="D86" s="27" t="s">
        <v>128</v>
      </c>
      <c r="E86" s="27" t="s">
        <v>106</v>
      </c>
      <c r="F86" s="27" t="s">
        <v>215</v>
      </c>
      <c r="G86" s="27" t="s">
        <v>63</v>
      </c>
      <c r="H86" s="27">
        <v>60</v>
      </c>
      <c r="I86" s="27">
        <v>15</v>
      </c>
      <c r="J86" s="37">
        <v>-6.9999999999999994E-5</v>
      </c>
      <c r="K86" s="27">
        <v>6</v>
      </c>
      <c r="L86" s="38">
        <v>-6.4999999999999994E-5</v>
      </c>
      <c r="M86" s="27" t="s">
        <v>65</v>
      </c>
      <c r="O86" s="27" t="s">
        <v>180</v>
      </c>
      <c r="P86" s="27">
        <v>265</v>
      </c>
      <c r="Q86" s="27" t="s">
        <v>128</v>
      </c>
      <c r="R86" s="27" t="s">
        <v>376</v>
      </c>
      <c r="S86" s="27" t="s">
        <v>215</v>
      </c>
      <c r="T86" s="27" t="s">
        <v>63</v>
      </c>
      <c r="U86" s="27">
        <v>10</v>
      </c>
      <c r="V86" s="27">
        <v>15</v>
      </c>
      <c r="W86" s="37">
        <v>-6.9999999999999994E-5</v>
      </c>
      <c r="X86" s="27">
        <v>6</v>
      </c>
      <c r="Y86" s="38">
        <v>-6.4999999999999994E-5</v>
      </c>
      <c r="Z86" s="27" t="s">
        <v>65</v>
      </c>
    </row>
    <row r="87" spans="2:26" x14ac:dyDescent="0.2">
      <c r="B87" s="27" t="s">
        <v>180</v>
      </c>
      <c r="C87" s="27">
        <v>265</v>
      </c>
      <c r="D87" s="27" t="s">
        <v>128</v>
      </c>
      <c r="E87" s="27" t="s">
        <v>106</v>
      </c>
      <c r="F87" s="27" t="s">
        <v>216</v>
      </c>
      <c r="G87" s="27" t="s">
        <v>64</v>
      </c>
      <c r="H87" s="27">
        <v>60</v>
      </c>
      <c r="I87" s="27">
        <v>17</v>
      </c>
      <c r="J87" s="37">
        <v>-8.2999999999999998E-5</v>
      </c>
      <c r="K87" s="27">
        <v>3</v>
      </c>
      <c r="L87" s="38">
        <v>-7.4999999999999993E-5</v>
      </c>
      <c r="M87" s="27" t="s">
        <v>65</v>
      </c>
      <c r="O87" s="27" t="s">
        <v>180</v>
      </c>
      <c r="P87" s="27">
        <v>265</v>
      </c>
      <c r="Q87" s="27" t="s">
        <v>128</v>
      </c>
      <c r="R87" s="27" t="s">
        <v>376</v>
      </c>
      <c r="S87" s="27" t="s">
        <v>216</v>
      </c>
      <c r="T87" s="27" t="s">
        <v>64</v>
      </c>
      <c r="U87" s="27">
        <v>10</v>
      </c>
      <c r="V87" s="27">
        <v>17</v>
      </c>
      <c r="W87" s="37">
        <v>-8.2999999999999998E-5</v>
      </c>
      <c r="X87" s="27">
        <v>3</v>
      </c>
      <c r="Y87" s="38">
        <v>-7.6000000000000004E-5</v>
      </c>
      <c r="Z87" s="27" t="s">
        <v>65</v>
      </c>
    </row>
    <row r="88" spans="2:26" x14ac:dyDescent="0.2">
      <c r="B88" s="27" t="s">
        <v>180</v>
      </c>
      <c r="C88" s="27">
        <v>249</v>
      </c>
      <c r="D88" s="27" t="s">
        <v>127</v>
      </c>
      <c r="E88" s="27" t="s">
        <v>106</v>
      </c>
      <c r="F88" s="27" t="s">
        <v>217</v>
      </c>
      <c r="G88" s="27" t="s">
        <v>63</v>
      </c>
      <c r="H88" s="27">
        <v>60</v>
      </c>
      <c r="I88" s="27">
        <v>16</v>
      </c>
      <c r="J88" s="37">
        <v>-5.5500000000000005E-4</v>
      </c>
      <c r="K88" s="27">
        <v>1</v>
      </c>
      <c r="L88" s="38">
        <v>-4.64E-4</v>
      </c>
      <c r="M88" s="27" t="s">
        <v>65</v>
      </c>
      <c r="O88" s="27" t="s">
        <v>180</v>
      </c>
      <c r="P88" s="27">
        <v>249</v>
      </c>
      <c r="Q88" s="27" t="s">
        <v>127</v>
      </c>
      <c r="R88" s="27" t="s">
        <v>376</v>
      </c>
      <c r="S88" s="27" t="s">
        <v>217</v>
      </c>
      <c r="T88" s="27" t="s">
        <v>63</v>
      </c>
      <c r="U88" s="27">
        <v>10</v>
      </c>
      <c r="V88" s="27">
        <v>16</v>
      </c>
      <c r="W88" s="37">
        <v>-5.53E-4</v>
      </c>
      <c r="X88" s="27">
        <v>1</v>
      </c>
      <c r="Y88" s="38">
        <v>-4.6299999999999998E-4</v>
      </c>
      <c r="Z88" s="27" t="s">
        <v>65</v>
      </c>
    </row>
    <row r="89" spans="2:26" x14ac:dyDescent="0.2">
      <c r="B89" s="27" t="s">
        <v>180</v>
      </c>
      <c r="C89" s="27">
        <v>249</v>
      </c>
      <c r="D89" s="27" t="s">
        <v>127</v>
      </c>
      <c r="E89" s="27" t="s">
        <v>106</v>
      </c>
      <c r="F89" s="27" t="s">
        <v>218</v>
      </c>
      <c r="G89" s="27" t="s">
        <v>64</v>
      </c>
      <c r="H89" s="27">
        <v>60</v>
      </c>
      <c r="I89" s="27">
        <v>9</v>
      </c>
      <c r="J89" s="37">
        <v>-3.9800000000000002E-4</v>
      </c>
      <c r="K89" s="27">
        <v>6</v>
      </c>
      <c r="L89" s="38">
        <v>-3.39E-4</v>
      </c>
      <c r="M89" s="27" t="s">
        <v>65</v>
      </c>
      <c r="O89" s="27" t="s">
        <v>180</v>
      </c>
      <c r="P89" s="27">
        <v>249</v>
      </c>
      <c r="Q89" s="27" t="s">
        <v>127</v>
      </c>
      <c r="R89" s="27" t="s">
        <v>376</v>
      </c>
      <c r="S89" s="27" t="s">
        <v>218</v>
      </c>
      <c r="T89" s="27" t="s">
        <v>64</v>
      </c>
      <c r="U89" s="27">
        <v>10</v>
      </c>
      <c r="V89" s="27">
        <v>9</v>
      </c>
      <c r="W89" s="37">
        <v>-3.97E-4</v>
      </c>
      <c r="X89" s="27">
        <v>6</v>
      </c>
      <c r="Y89" s="38">
        <v>-3.3799999999999998E-4</v>
      </c>
      <c r="Z89" s="27" t="s">
        <v>65</v>
      </c>
    </row>
    <row r="90" spans="2:26" x14ac:dyDescent="0.2">
      <c r="B90" s="27" t="s">
        <v>180</v>
      </c>
      <c r="C90" s="27">
        <v>261</v>
      </c>
      <c r="D90" s="27" t="s">
        <v>128</v>
      </c>
      <c r="E90" s="27" t="s">
        <v>106</v>
      </c>
      <c r="F90" s="27" t="s">
        <v>219</v>
      </c>
      <c r="G90" s="27" t="s">
        <v>63</v>
      </c>
      <c r="H90" s="27">
        <v>60</v>
      </c>
      <c r="I90" s="27">
        <v>22</v>
      </c>
      <c r="J90" s="37">
        <v>-1.8900000000000001E-4</v>
      </c>
      <c r="K90" s="27">
        <v>1</v>
      </c>
      <c r="L90" s="38">
        <v>-1.76E-4</v>
      </c>
      <c r="M90" s="27" t="s">
        <v>65</v>
      </c>
      <c r="O90" s="27" t="s">
        <v>180</v>
      </c>
      <c r="P90" s="27">
        <v>261</v>
      </c>
      <c r="Q90" s="27" t="s">
        <v>128</v>
      </c>
      <c r="R90" s="27" t="s">
        <v>376</v>
      </c>
      <c r="S90" s="27" t="s">
        <v>219</v>
      </c>
      <c r="T90" s="27" t="s">
        <v>63</v>
      </c>
      <c r="U90" s="27">
        <v>10</v>
      </c>
      <c r="V90" s="27">
        <v>22</v>
      </c>
      <c r="W90" s="37">
        <v>-1.8900000000000001E-4</v>
      </c>
      <c r="X90" s="27">
        <v>1</v>
      </c>
      <c r="Y90" s="38">
        <v>-1.76E-4</v>
      </c>
      <c r="Z90" s="27" t="s">
        <v>65</v>
      </c>
    </row>
    <row r="91" spans="2:26" x14ac:dyDescent="0.2">
      <c r="B91" s="27" t="s">
        <v>180</v>
      </c>
      <c r="C91" s="27">
        <v>261</v>
      </c>
      <c r="D91" s="27" t="s">
        <v>128</v>
      </c>
      <c r="E91" s="27" t="s">
        <v>106</v>
      </c>
      <c r="F91" s="27" t="s">
        <v>220</v>
      </c>
      <c r="G91" s="27" t="s">
        <v>64</v>
      </c>
      <c r="H91" s="27">
        <v>60</v>
      </c>
      <c r="I91" s="27">
        <v>15</v>
      </c>
      <c r="J91" s="37">
        <v>-1.7899999999999999E-4</v>
      </c>
      <c r="K91" s="27">
        <v>6</v>
      </c>
      <c r="L91" s="38">
        <v>-1.6100000000000001E-4</v>
      </c>
      <c r="M91" s="27" t="s">
        <v>65</v>
      </c>
      <c r="O91" s="27" t="s">
        <v>180</v>
      </c>
      <c r="P91" s="27">
        <v>261</v>
      </c>
      <c r="Q91" s="27" t="s">
        <v>128</v>
      </c>
      <c r="R91" s="27" t="s">
        <v>376</v>
      </c>
      <c r="S91" s="27" t="s">
        <v>220</v>
      </c>
      <c r="T91" s="27" t="s">
        <v>64</v>
      </c>
      <c r="U91" s="27">
        <v>10</v>
      </c>
      <c r="V91" s="27">
        <v>15</v>
      </c>
      <c r="W91" s="37">
        <v>-1.7799999999999999E-4</v>
      </c>
      <c r="X91" s="27">
        <v>6</v>
      </c>
      <c r="Y91" s="38">
        <v>-1.6000000000000001E-4</v>
      </c>
      <c r="Z91" s="27" t="s">
        <v>65</v>
      </c>
    </row>
    <row r="92" spans="2:26" x14ac:dyDescent="0.2">
      <c r="B92" s="27" t="s">
        <v>180</v>
      </c>
      <c r="C92" s="27">
        <v>257</v>
      </c>
      <c r="D92" s="27" t="s">
        <v>129</v>
      </c>
      <c r="E92" s="27" t="s">
        <v>106</v>
      </c>
      <c r="F92" s="27" t="s">
        <v>221</v>
      </c>
      <c r="G92" s="27" t="s">
        <v>63</v>
      </c>
      <c r="H92" s="27">
        <v>60</v>
      </c>
      <c r="I92" s="27">
        <v>17</v>
      </c>
      <c r="J92" s="37">
        <v>-1.8699999999999999E-4</v>
      </c>
      <c r="K92" s="27">
        <v>6</v>
      </c>
      <c r="L92" s="38">
        <v>-1.64E-4</v>
      </c>
      <c r="M92" s="27" t="s">
        <v>65</v>
      </c>
      <c r="O92" s="27" t="s">
        <v>180</v>
      </c>
      <c r="P92" s="27">
        <v>257</v>
      </c>
      <c r="Q92" s="27" t="s">
        <v>129</v>
      </c>
      <c r="R92" s="27" t="s">
        <v>376</v>
      </c>
      <c r="S92" s="27" t="s">
        <v>221</v>
      </c>
      <c r="T92" s="27" t="s">
        <v>63</v>
      </c>
      <c r="U92" s="27">
        <v>10</v>
      </c>
      <c r="V92" s="27">
        <v>17</v>
      </c>
      <c r="W92" s="37">
        <v>-1.8699999999999999E-4</v>
      </c>
      <c r="X92" s="27">
        <v>6</v>
      </c>
      <c r="Y92" s="38">
        <v>-1.64E-4</v>
      </c>
      <c r="Z92" s="27" t="s">
        <v>65</v>
      </c>
    </row>
    <row r="93" spans="2:26" x14ac:dyDescent="0.2">
      <c r="B93" s="27" t="s">
        <v>180</v>
      </c>
      <c r="C93" s="27">
        <v>257</v>
      </c>
      <c r="D93" s="27" t="s">
        <v>129</v>
      </c>
      <c r="E93" s="27" t="s">
        <v>106</v>
      </c>
      <c r="F93" s="27" t="s">
        <v>222</v>
      </c>
      <c r="G93" s="27" t="s">
        <v>64</v>
      </c>
      <c r="H93" s="27">
        <v>60</v>
      </c>
      <c r="I93" s="27">
        <v>15</v>
      </c>
      <c r="J93" s="37">
        <v>-2.4699999999999999E-4</v>
      </c>
      <c r="K93" s="27">
        <v>12</v>
      </c>
      <c r="L93" s="38">
        <v>-2.33E-4</v>
      </c>
      <c r="M93" s="27" t="s">
        <v>65</v>
      </c>
      <c r="O93" s="27" t="s">
        <v>180</v>
      </c>
      <c r="P93" s="27">
        <v>257</v>
      </c>
      <c r="Q93" s="27" t="s">
        <v>129</v>
      </c>
      <c r="R93" s="27" t="s">
        <v>376</v>
      </c>
      <c r="S93" s="27" t="s">
        <v>222</v>
      </c>
      <c r="T93" s="27" t="s">
        <v>64</v>
      </c>
      <c r="U93" s="27">
        <v>10</v>
      </c>
      <c r="V93" s="27">
        <v>15</v>
      </c>
      <c r="W93" s="37">
        <v>-2.4600000000000002E-4</v>
      </c>
      <c r="X93" s="27">
        <v>12</v>
      </c>
      <c r="Y93" s="38">
        <v>-2.32E-4</v>
      </c>
      <c r="Z93" s="27" t="s">
        <v>65</v>
      </c>
    </row>
    <row r="94" spans="2:26" x14ac:dyDescent="0.2">
      <c r="B94" s="27" t="s">
        <v>180</v>
      </c>
      <c r="C94" s="27">
        <v>258</v>
      </c>
      <c r="D94" s="27" t="s">
        <v>129</v>
      </c>
      <c r="E94" s="27" t="s">
        <v>106</v>
      </c>
      <c r="F94" s="27" t="s">
        <v>223</v>
      </c>
      <c r="G94" s="27" t="s">
        <v>63</v>
      </c>
      <c r="H94" s="27">
        <v>60</v>
      </c>
      <c r="I94" s="27">
        <v>17</v>
      </c>
      <c r="J94" s="37">
        <v>-1.8699999999999999E-4</v>
      </c>
      <c r="K94" s="27">
        <v>6</v>
      </c>
      <c r="L94" s="38">
        <v>-1.64E-4</v>
      </c>
      <c r="M94" s="27" t="s">
        <v>65</v>
      </c>
      <c r="O94" s="27" t="s">
        <v>180</v>
      </c>
      <c r="P94" s="27">
        <v>258</v>
      </c>
      <c r="Q94" s="27" t="s">
        <v>129</v>
      </c>
      <c r="R94" s="27" t="s">
        <v>376</v>
      </c>
      <c r="S94" s="27" t="s">
        <v>223</v>
      </c>
      <c r="T94" s="27" t="s">
        <v>63</v>
      </c>
      <c r="U94" s="27">
        <v>10</v>
      </c>
      <c r="V94" s="27">
        <v>17</v>
      </c>
      <c r="W94" s="37">
        <v>-1.8699999999999999E-4</v>
      </c>
      <c r="X94" s="27">
        <v>6</v>
      </c>
      <c r="Y94" s="38">
        <v>-1.63E-4</v>
      </c>
      <c r="Z94" s="27" t="s">
        <v>65</v>
      </c>
    </row>
    <row r="95" spans="2:26" x14ac:dyDescent="0.2">
      <c r="B95" s="27" t="s">
        <v>180</v>
      </c>
      <c r="C95" s="27">
        <v>258</v>
      </c>
      <c r="D95" s="27" t="s">
        <v>129</v>
      </c>
      <c r="E95" s="27" t="s">
        <v>106</v>
      </c>
      <c r="F95" s="27" t="s">
        <v>224</v>
      </c>
      <c r="G95" s="27" t="s">
        <v>64</v>
      </c>
      <c r="H95" s="27">
        <v>60</v>
      </c>
      <c r="I95" s="27">
        <v>15</v>
      </c>
      <c r="J95" s="37">
        <v>-2.4699999999999999E-4</v>
      </c>
      <c r="K95" s="27">
        <v>12</v>
      </c>
      <c r="L95" s="38">
        <v>-2.32E-4</v>
      </c>
      <c r="M95" s="27" t="s">
        <v>65</v>
      </c>
      <c r="O95" s="27" t="s">
        <v>180</v>
      </c>
      <c r="P95" s="27">
        <v>258</v>
      </c>
      <c r="Q95" s="27" t="s">
        <v>129</v>
      </c>
      <c r="R95" s="27" t="s">
        <v>376</v>
      </c>
      <c r="S95" s="27" t="s">
        <v>224</v>
      </c>
      <c r="T95" s="27" t="s">
        <v>64</v>
      </c>
      <c r="U95" s="27">
        <v>10</v>
      </c>
      <c r="V95" s="27">
        <v>15</v>
      </c>
      <c r="W95" s="37">
        <v>-2.4600000000000002E-4</v>
      </c>
      <c r="X95" s="27">
        <v>12</v>
      </c>
      <c r="Y95" s="38">
        <v>-2.32E-4</v>
      </c>
      <c r="Z95" s="27" t="s">
        <v>65</v>
      </c>
    </row>
    <row r="96" spans="2:26" x14ac:dyDescent="0.2">
      <c r="B96" s="27" t="s">
        <v>180</v>
      </c>
      <c r="C96" s="27">
        <v>262</v>
      </c>
      <c r="D96" s="27" t="s">
        <v>128</v>
      </c>
      <c r="E96" s="27" t="s">
        <v>106</v>
      </c>
      <c r="F96" s="27" t="s">
        <v>225</v>
      </c>
      <c r="G96" s="27" t="s">
        <v>63</v>
      </c>
      <c r="H96" s="27">
        <v>60</v>
      </c>
      <c r="I96" s="27">
        <v>22</v>
      </c>
      <c r="J96" s="37">
        <v>-1.9699999999999999E-4</v>
      </c>
      <c r="K96" s="27">
        <v>1</v>
      </c>
      <c r="L96" s="38">
        <v>-1.8200000000000001E-4</v>
      </c>
      <c r="M96" s="27" t="s">
        <v>65</v>
      </c>
      <c r="O96" s="27" t="s">
        <v>180</v>
      </c>
      <c r="P96" s="27">
        <v>262</v>
      </c>
      <c r="Q96" s="27" t="s">
        <v>128</v>
      </c>
      <c r="R96" s="27" t="s">
        <v>376</v>
      </c>
      <c r="S96" s="27" t="s">
        <v>225</v>
      </c>
      <c r="T96" s="27" t="s">
        <v>63</v>
      </c>
      <c r="U96" s="27">
        <v>10</v>
      </c>
      <c r="V96" s="27">
        <v>22</v>
      </c>
      <c r="W96" s="37">
        <v>-1.9699999999999999E-4</v>
      </c>
      <c r="X96" s="27">
        <v>1</v>
      </c>
      <c r="Y96" s="38">
        <v>-1.8200000000000001E-4</v>
      </c>
      <c r="Z96" s="27" t="s">
        <v>65</v>
      </c>
    </row>
    <row r="97" spans="2:26" x14ac:dyDescent="0.2">
      <c r="B97" s="27" t="s">
        <v>180</v>
      </c>
      <c r="C97" s="27">
        <v>262</v>
      </c>
      <c r="D97" s="27" t="s">
        <v>128</v>
      </c>
      <c r="E97" s="27" t="s">
        <v>106</v>
      </c>
      <c r="F97" s="27" t="s">
        <v>226</v>
      </c>
      <c r="G97" s="27" t="s">
        <v>64</v>
      </c>
      <c r="H97" s="27">
        <v>60</v>
      </c>
      <c r="I97" s="27">
        <v>15</v>
      </c>
      <c r="J97" s="37">
        <v>-1.8200000000000001E-4</v>
      </c>
      <c r="K97" s="27">
        <v>6</v>
      </c>
      <c r="L97" s="38">
        <v>-1.63E-4</v>
      </c>
      <c r="M97" s="27" t="s">
        <v>65</v>
      </c>
      <c r="O97" s="27" t="s">
        <v>180</v>
      </c>
      <c r="P97" s="27">
        <v>262</v>
      </c>
      <c r="Q97" s="27" t="s">
        <v>128</v>
      </c>
      <c r="R97" s="27" t="s">
        <v>376</v>
      </c>
      <c r="S97" s="27" t="s">
        <v>226</v>
      </c>
      <c r="T97" s="27" t="s">
        <v>64</v>
      </c>
      <c r="U97" s="27">
        <v>10</v>
      </c>
      <c r="V97" s="27">
        <v>15</v>
      </c>
      <c r="W97" s="37">
        <v>-1.8100000000000001E-4</v>
      </c>
      <c r="X97" s="27">
        <v>6</v>
      </c>
      <c r="Y97" s="38">
        <v>-1.63E-4</v>
      </c>
      <c r="Z97" s="27" t="s">
        <v>65</v>
      </c>
    </row>
    <row r="98" spans="2:26" x14ac:dyDescent="0.2">
      <c r="B98" s="27" t="s">
        <v>180</v>
      </c>
      <c r="C98" s="27">
        <v>250</v>
      </c>
      <c r="D98" s="27" t="s">
        <v>127</v>
      </c>
      <c r="E98" s="27" t="s">
        <v>106</v>
      </c>
      <c r="F98" s="27" t="s">
        <v>227</v>
      </c>
      <c r="G98" s="27" t="s">
        <v>63</v>
      </c>
      <c r="H98" s="27">
        <v>60</v>
      </c>
      <c r="I98" s="27">
        <v>11</v>
      </c>
      <c r="J98" s="37">
        <v>-2.6699999999999998E-4</v>
      </c>
      <c r="K98" s="27">
        <v>3</v>
      </c>
      <c r="L98" s="38">
        <v>-2.2900000000000001E-4</v>
      </c>
      <c r="M98" s="27" t="s">
        <v>65</v>
      </c>
      <c r="O98" s="27" t="s">
        <v>180</v>
      </c>
      <c r="P98" s="27">
        <v>250</v>
      </c>
      <c r="Q98" s="27" t="s">
        <v>127</v>
      </c>
      <c r="R98" s="27" t="s">
        <v>376</v>
      </c>
      <c r="S98" s="27" t="s">
        <v>227</v>
      </c>
      <c r="T98" s="27" t="s">
        <v>63</v>
      </c>
      <c r="U98" s="27">
        <v>10</v>
      </c>
      <c r="V98" s="27">
        <v>11</v>
      </c>
      <c r="W98" s="37">
        <v>-2.6600000000000001E-4</v>
      </c>
      <c r="X98" s="27">
        <v>3</v>
      </c>
      <c r="Y98" s="38">
        <v>-2.2800000000000001E-4</v>
      </c>
      <c r="Z98" s="27" t="s">
        <v>65</v>
      </c>
    </row>
    <row r="99" spans="2:26" x14ac:dyDescent="0.2">
      <c r="B99" s="27" t="s">
        <v>180</v>
      </c>
      <c r="C99" s="27">
        <v>250</v>
      </c>
      <c r="D99" s="27" t="s">
        <v>127</v>
      </c>
      <c r="E99" s="27" t="s">
        <v>106</v>
      </c>
      <c r="F99" s="27" t="s">
        <v>228</v>
      </c>
      <c r="G99" s="27" t="s">
        <v>64</v>
      </c>
      <c r="H99" s="27">
        <v>60</v>
      </c>
      <c r="I99" s="27">
        <v>9</v>
      </c>
      <c r="J99" s="37">
        <v>-2.0000000000000001E-4</v>
      </c>
      <c r="K99" s="27">
        <v>6</v>
      </c>
      <c r="L99" s="38">
        <v>-1.75E-4</v>
      </c>
      <c r="M99" s="27" t="s">
        <v>65</v>
      </c>
      <c r="O99" s="27" t="s">
        <v>180</v>
      </c>
      <c r="P99" s="27">
        <v>250</v>
      </c>
      <c r="Q99" s="27" t="s">
        <v>127</v>
      </c>
      <c r="R99" s="27" t="s">
        <v>376</v>
      </c>
      <c r="S99" s="27" t="s">
        <v>228</v>
      </c>
      <c r="T99" s="27" t="s">
        <v>64</v>
      </c>
      <c r="U99" s="27">
        <v>10</v>
      </c>
      <c r="V99" s="27">
        <v>9</v>
      </c>
      <c r="W99" s="37">
        <v>-2.0000000000000001E-4</v>
      </c>
      <c r="X99" s="27">
        <v>6</v>
      </c>
      <c r="Y99" s="38">
        <v>-1.74E-4</v>
      </c>
      <c r="Z99" s="27" t="s">
        <v>65</v>
      </c>
    </row>
    <row r="100" spans="2:26" x14ac:dyDescent="0.2">
      <c r="B100" s="27" t="s">
        <v>229</v>
      </c>
      <c r="C100" s="27">
        <v>65</v>
      </c>
      <c r="D100" s="27" t="s">
        <v>127</v>
      </c>
      <c r="E100" s="27" t="s">
        <v>106</v>
      </c>
      <c r="F100" s="27" t="s">
        <v>230</v>
      </c>
      <c r="G100" s="27" t="s">
        <v>63</v>
      </c>
      <c r="H100" s="27">
        <v>60</v>
      </c>
      <c r="I100" s="27">
        <v>14</v>
      </c>
      <c r="J100" s="37">
        <v>-6.4300000000000002E-4</v>
      </c>
      <c r="K100" s="27">
        <v>4</v>
      </c>
      <c r="L100" s="38">
        <v>-5.4799999999999998E-4</v>
      </c>
      <c r="M100" s="27" t="s">
        <v>65</v>
      </c>
      <c r="O100" s="27" t="s">
        <v>229</v>
      </c>
      <c r="P100" s="27">
        <v>65</v>
      </c>
      <c r="Q100" s="27" t="s">
        <v>127</v>
      </c>
      <c r="R100" s="27" t="s">
        <v>376</v>
      </c>
      <c r="S100" s="27" t="s">
        <v>230</v>
      </c>
      <c r="T100" s="27" t="s">
        <v>63</v>
      </c>
      <c r="U100" s="27">
        <v>10</v>
      </c>
      <c r="V100" s="27">
        <v>14</v>
      </c>
      <c r="W100" s="37">
        <v>-6.4499999999999996E-4</v>
      </c>
      <c r="X100" s="27">
        <v>4</v>
      </c>
      <c r="Y100" s="38">
        <v>-5.4900000000000001E-4</v>
      </c>
      <c r="Z100" s="27" t="s">
        <v>65</v>
      </c>
    </row>
    <row r="101" spans="2:26" x14ac:dyDescent="0.2">
      <c r="B101" s="27" t="s">
        <v>229</v>
      </c>
      <c r="C101" s="27">
        <v>65</v>
      </c>
      <c r="D101" s="27" t="s">
        <v>127</v>
      </c>
      <c r="E101" s="27" t="s">
        <v>106</v>
      </c>
      <c r="F101" s="27" t="s">
        <v>231</v>
      </c>
      <c r="G101" s="27" t="s">
        <v>64</v>
      </c>
      <c r="H101" s="27">
        <v>60</v>
      </c>
      <c r="I101" s="27">
        <v>11</v>
      </c>
      <c r="J101" s="37">
        <v>-4.57E-4</v>
      </c>
      <c r="K101" s="27">
        <v>3</v>
      </c>
      <c r="L101" s="38">
        <v>-3.97E-4</v>
      </c>
      <c r="M101" s="27" t="s">
        <v>65</v>
      </c>
      <c r="O101" s="27" t="s">
        <v>229</v>
      </c>
      <c r="P101" s="27">
        <v>65</v>
      </c>
      <c r="Q101" s="27" t="s">
        <v>127</v>
      </c>
      <c r="R101" s="27" t="s">
        <v>376</v>
      </c>
      <c r="S101" s="27" t="s">
        <v>231</v>
      </c>
      <c r="T101" s="27" t="s">
        <v>64</v>
      </c>
      <c r="U101" s="27">
        <v>10</v>
      </c>
      <c r="V101" s="27">
        <v>11</v>
      </c>
      <c r="W101" s="37">
        <v>-4.5800000000000002E-4</v>
      </c>
      <c r="X101" s="27">
        <v>3</v>
      </c>
      <c r="Y101" s="38">
        <v>-3.9800000000000002E-4</v>
      </c>
      <c r="Z101" s="27" t="s">
        <v>65</v>
      </c>
    </row>
    <row r="102" spans="2:26" x14ac:dyDescent="0.2">
      <c r="B102" s="27" t="s">
        <v>229</v>
      </c>
      <c r="C102" s="27">
        <v>77</v>
      </c>
      <c r="D102" s="27" t="s">
        <v>128</v>
      </c>
      <c r="E102" s="27" t="s">
        <v>106</v>
      </c>
      <c r="F102" s="27" t="s">
        <v>232</v>
      </c>
      <c r="G102" s="27" t="s">
        <v>63</v>
      </c>
      <c r="H102" s="27">
        <v>60</v>
      </c>
      <c r="I102" s="27">
        <v>20</v>
      </c>
      <c r="J102" s="37">
        <v>-2.7099999999999997E-4</v>
      </c>
      <c r="K102" s="27">
        <v>4</v>
      </c>
      <c r="L102" s="38">
        <v>-2.4800000000000001E-4</v>
      </c>
      <c r="M102" s="27" t="s">
        <v>65</v>
      </c>
      <c r="O102" s="27" t="s">
        <v>229</v>
      </c>
      <c r="P102" s="27">
        <v>77</v>
      </c>
      <c r="Q102" s="27" t="s">
        <v>128</v>
      </c>
      <c r="R102" s="27" t="s">
        <v>376</v>
      </c>
      <c r="S102" s="27" t="s">
        <v>232</v>
      </c>
      <c r="T102" s="27" t="s">
        <v>63</v>
      </c>
      <c r="U102" s="27">
        <v>10</v>
      </c>
      <c r="V102" s="27">
        <v>20</v>
      </c>
      <c r="W102" s="37">
        <v>-2.72E-4</v>
      </c>
      <c r="X102" s="27">
        <v>4</v>
      </c>
      <c r="Y102" s="38">
        <v>-2.4899999999999998E-4</v>
      </c>
      <c r="Z102" s="27" t="s">
        <v>65</v>
      </c>
    </row>
    <row r="103" spans="2:26" x14ac:dyDescent="0.2">
      <c r="B103" s="27" t="s">
        <v>229</v>
      </c>
      <c r="C103" s="27">
        <v>77</v>
      </c>
      <c r="D103" s="27" t="s">
        <v>128</v>
      </c>
      <c r="E103" s="27" t="s">
        <v>106</v>
      </c>
      <c r="F103" s="27" t="s">
        <v>233</v>
      </c>
      <c r="G103" s="27" t="s">
        <v>64</v>
      </c>
      <c r="H103" s="27">
        <v>60</v>
      </c>
      <c r="I103" s="27">
        <v>17</v>
      </c>
      <c r="J103" s="37">
        <v>-2.2599999999999999E-4</v>
      </c>
      <c r="K103" s="27">
        <v>3</v>
      </c>
      <c r="L103" s="38">
        <v>-2.0699999999999999E-4</v>
      </c>
      <c r="M103" s="27" t="s">
        <v>65</v>
      </c>
      <c r="O103" s="27" t="s">
        <v>229</v>
      </c>
      <c r="P103" s="27">
        <v>77</v>
      </c>
      <c r="Q103" s="27" t="s">
        <v>128</v>
      </c>
      <c r="R103" s="27" t="s">
        <v>376</v>
      </c>
      <c r="S103" s="27" t="s">
        <v>233</v>
      </c>
      <c r="T103" s="27" t="s">
        <v>64</v>
      </c>
      <c r="U103" s="27">
        <v>10</v>
      </c>
      <c r="V103" s="27">
        <v>17</v>
      </c>
      <c r="W103" s="37">
        <v>-2.2699999999999999E-4</v>
      </c>
      <c r="X103" s="27">
        <v>3</v>
      </c>
      <c r="Y103" s="38">
        <v>-2.0799999999999999E-4</v>
      </c>
      <c r="Z103" s="27" t="s">
        <v>65</v>
      </c>
    </row>
    <row r="104" spans="2:26" x14ac:dyDescent="0.2">
      <c r="B104" s="27" t="s">
        <v>229</v>
      </c>
      <c r="C104" s="27">
        <v>73</v>
      </c>
      <c r="D104" s="27" t="s">
        <v>129</v>
      </c>
      <c r="E104" s="27" t="s">
        <v>106</v>
      </c>
      <c r="F104" s="27" t="s">
        <v>234</v>
      </c>
      <c r="G104" s="27" t="s">
        <v>63</v>
      </c>
      <c r="H104" s="27">
        <v>60</v>
      </c>
      <c r="I104" s="27">
        <v>20</v>
      </c>
      <c r="J104" s="37">
        <v>-2.7300000000000002E-4</v>
      </c>
      <c r="K104" s="27">
        <v>7</v>
      </c>
      <c r="L104" s="38">
        <v>-2.4899999999999998E-4</v>
      </c>
      <c r="M104" s="27" t="s">
        <v>65</v>
      </c>
      <c r="O104" s="27" t="s">
        <v>229</v>
      </c>
      <c r="P104" s="27">
        <v>73</v>
      </c>
      <c r="Q104" s="27" t="s">
        <v>129</v>
      </c>
      <c r="R104" s="27" t="s">
        <v>376</v>
      </c>
      <c r="S104" s="27" t="s">
        <v>234</v>
      </c>
      <c r="T104" s="27" t="s">
        <v>63</v>
      </c>
      <c r="U104" s="27">
        <v>10</v>
      </c>
      <c r="V104" s="27">
        <v>20</v>
      </c>
      <c r="W104" s="37">
        <v>-2.7300000000000002E-4</v>
      </c>
      <c r="X104" s="27">
        <v>7</v>
      </c>
      <c r="Y104" s="38">
        <v>-2.4899999999999998E-4</v>
      </c>
      <c r="Z104" s="27" t="s">
        <v>65</v>
      </c>
    </row>
    <row r="105" spans="2:26" x14ac:dyDescent="0.2">
      <c r="B105" s="27" t="s">
        <v>229</v>
      </c>
      <c r="C105" s="27">
        <v>73</v>
      </c>
      <c r="D105" s="27" t="s">
        <v>129</v>
      </c>
      <c r="E105" s="27" t="s">
        <v>106</v>
      </c>
      <c r="F105" s="27" t="s">
        <v>235</v>
      </c>
      <c r="G105" s="27" t="s">
        <v>64</v>
      </c>
      <c r="H105" s="27">
        <v>60</v>
      </c>
      <c r="I105" s="27">
        <v>17</v>
      </c>
      <c r="J105" s="37">
        <v>-2.5999999999999998E-4</v>
      </c>
      <c r="K105" s="27">
        <v>6</v>
      </c>
      <c r="L105" s="38">
        <v>-2.4399999999999999E-4</v>
      </c>
      <c r="M105" s="27" t="s">
        <v>65</v>
      </c>
      <c r="O105" s="27" t="s">
        <v>229</v>
      </c>
      <c r="P105" s="27">
        <v>73</v>
      </c>
      <c r="Q105" s="27" t="s">
        <v>129</v>
      </c>
      <c r="R105" s="27" t="s">
        <v>376</v>
      </c>
      <c r="S105" s="27" t="s">
        <v>235</v>
      </c>
      <c r="T105" s="27" t="s">
        <v>64</v>
      </c>
      <c r="U105" s="27">
        <v>10</v>
      </c>
      <c r="V105" s="27">
        <v>17</v>
      </c>
      <c r="W105" s="37">
        <v>-2.61E-4</v>
      </c>
      <c r="X105" s="27">
        <v>6</v>
      </c>
      <c r="Y105" s="38">
        <v>-2.4399999999999999E-4</v>
      </c>
      <c r="Z105" s="27" t="s">
        <v>65</v>
      </c>
    </row>
    <row r="106" spans="2:26" x14ac:dyDescent="0.2">
      <c r="B106" s="27" t="s">
        <v>229</v>
      </c>
      <c r="C106" s="27">
        <v>74</v>
      </c>
      <c r="D106" s="27" t="s">
        <v>129</v>
      </c>
      <c r="E106" s="27" t="s">
        <v>106</v>
      </c>
      <c r="F106" s="27" t="s">
        <v>236</v>
      </c>
      <c r="G106" s="27" t="s">
        <v>63</v>
      </c>
      <c r="H106" s="27">
        <v>60</v>
      </c>
      <c r="I106" s="27">
        <v>20</v>
      </c>
      <c r="J106" s="37">
        <v>-2.72E-4</v>
      </c>
      <c r="K106" s="27">
        <v>7</v>
      </c>
      <c r="L106" s="38">
        <v>-2.4800000000000001E-4</v>
      </c>
      <c r="M106" s="27" t="s">
        <v>65</v>
      </c>
      <c r="O106" s="27" t="s">
        <v>229</v>
      </c>
      <c r="P106" s="27">
        <v>74</v>
      </c>
      <c r="Q106" s="27" t="s">
        <v>129</v>
      </c>
      <c r="R106" s="27" t="s">
        <v>376</v>
      </c>
      <c r="S106" s="27" t="s">
        <v>236</v>
      </c>
      <c r="T106" s="27" t="s">
        <v>63</v>
      </c>
      <c r="U106" s="27">
        <v>10</v>
      </c>
      <c r="V106" s="27">
        <v>20</v>
      </c>
      <c r="W106" s="37">
        <v>-2.72E-4</v>
      </c>
      <c r="X106" s="27">
        <v>7</v>
      </c>
      <c r="Y106" s="38">
        <v>-2.4800000000000001E-4</v>
      </c>
      <c r="Z106" s="27" t="s">
        <v>65</v>
      </c>
    </row>
    <row r="107" spans="2:26" x14ac:dyDescent="0.2">
      <c r="B107" s="27" t="s">
        <v>229</v>
      </c>
      <c r="C107" s="27">
        <v>74</v>
      </c>
      <c r="D107" s="27" t="s">
        <v>129</v>
      </c>
      <c r="E107" s="27" t="s">
        <v>106</v>
      </c>
      <c r="F107" s="27" t="s">
        <v>237</v>
      </c>
      <c r="G107" s="27" t="s">
        <v>64</v>
      </c>
      <c r="H107" s="27">
        <v>60</v>
      </c>
      <c r="I107" s="27">
        <v>17</v>
      </c>
      <c r="J107" s="37">
        <v>-2.5900000000000001E-4</v>
      </c>
      <c r="K107" s="27">
        <v>6</v>
      </c>
      <c r="L107" s="38">
        <v>-2.42E-4</v>
      </c>
      <c r="M107" s="27" t="s">
        <v>65</v>
      </c>
      <c r="O107" s="27" t="s">
        <v>229</v>
      </c>
      <c r="P107" s="27">
        <v>74</v>
      </c>
      <c r="Q107" s="27" t="s">
        <v>129</v>
      </c>
      <c r="R107" s="27" t="s">
        <v>376</v>
      </c>
      <c r="S107" s="27" t="s">
        <v>237</v>
      </c>
      <c r="T107" s="27" t="s">
        <v>64</v>
      </c>
      <c r="U107" s="27">
        <v>10</v>
      </c>
      <c r="V107" s="27">
        <v>17</v>
      </c>
      <c r="W107" s="37">
        <v>-2.5999999999999998E-4</v>
      </c>
      <c r="X107" s="27">
        <v>6</v>
      </c>
      <c r="Y107" s="38">
        <v>-2.43E-4</v>
      </c>
      <c r="Z107" s="27" t="s">
        <v>65</v>
      </c>
    </row>
    <row r="108" spans="2:26" x14ac:dyDescent="0.2">
      <c r="B108" s="27" t="s">
        <v>229</v>
      </c>
      <c r="C108" s="27">
        <v>78</v>
      </c>
      <c r="D108" s="27" t="s">
        <v>128</v>
      </c>
      <c r="E108" s="27" t="s">
        <v>106</v>
      </c>
      <c r="F108" s="27" t="s">
        <v>238</v>
      </c>
      <c r="G108" s="27" t="s">
        <v>63</v>
      </c>
      <c r="H108" s="27">
        <v>60</v>
      </c>
      <c r="I108" s="27">
        <v>20</v>
      </c>
      <c r="J108" s="37">
        <v>-2.7599999999999999E-4</v>
      </c>
      <c r="K108" s="27">
        <v>4</v>
      </c>
      <c r="L108" s="38">
        <v>-2.52E-4</v>
      </c>
      <c r="M108" s="27" t="s">
        <v>65</v>
      </c>
      <c r="O108" s="27" t="s">
        <v>229</v>
      </c>
      <c r="P108" s="27">
        <v>78</v>
      </c>
      <c r="Q108" s="27" t="s">
        <v>128</v>
      </c>
      <c r="R108" s="27" t="s">
        <v>376</v>
      </c>
      <c r="S108" s="27" t="s">
        <v>238</v>
      </c>
      <c r="T108" s="27" t="s">
        <v>63</v>
      </c>
      <c r="U108" s="27">
        <v>10</v>
      </c>
      <c r="V108" s="27">
        <v>20</v>
      </c>
      <c r="W108" s="37">
        <v>-2.7700000000000001E-4</v>
      </c>
      <c r="X108" s="27">
        <v>4</v>
      </c>
      <c r="Y108" s="38">
        <v>-2.52E-4</v>
      </c>
      <c r="Z108" s="27" t="s">
        <v>65</v>
      </c>
    </row>
    <row r="109" spans="2:26" x14ac:dyDescent="0.2">
      <c r="B109" s="27" t="s">
        <v>229</v>
      </c>
      <c r="C109" s="27">
        <v>78</v>
      </c>
      <c r="D109" s="27" t="s">
        <v>128</v>
      </c>
      <c r="E109" s="27" t="s">
        <v>106</v>
      </c>
      <c r="F109" s="27" t="s">
        <v>239</v>
      </c>
      <c r="G109" s="27" t="s">
        <v>64</v>
      </c>
      <c r="H109" s="27">
        <v>60</v>
      </c>
      <c r="I109" s="27">
        <v>17</v>
      </c>
      <c r="J109" s="37">
        <v>-2.2800000000000001E-4</v>
      </c>
      <c r="K109" s="27">
        <v>3</v>
      </c>
      <c r="L109" s="38">
        <v>-2.0900000000000001E-4</v>
      </c>
      <c r="M109" s="27" t="s">
        <v>65</v>
      </c>
      <c r="O109" s="27" t="s">
        <v>229</v>
      </c>
      <c r="P109" s="27">
        <v>78</v>
      </c>
      <c r="Q109" s="27" t="s">
        <v>128</v>
      </c>
      <c r="R109" s="27" t="s">
        <v>376</v>
      </c>
      <c r="S109" s="27" t="s">
        <v>239</v>
      </c>
      <c r="T109" s="27" t="s">
        <v>64</v>
      </c>
      <c r="U109" s="27">
        <v>10</v>
      </c>
      <c r="V109" s="27">
        <v>17</v>
      </c>
      <c r="W109" s="37">
        <v>-2.2900000000000001E-4</v>
      </c>
      <c r="X109" s="27">
        <v>3</v>
      </c>
      <c r="Y109" s="38">
        <v>-2.0900000000000001E-4</v>
      </c>
      <c r="Z109" s="27" t="s">
        <v>65</v>
      </c>
    </row>
    <row r="110" spans="2:26" x14ac:dyDescent="0.2">
      <c r="B110" s="27" t="s">
        <v>229</v>
      </c>
      <c r="C110" s="27">
        <v>66</v>
      </c>
      <c r="D110" s="27" t="s">
        <v>127</v>
      </c>
      <c r="E110" s="27" t="s">
        <v>106</v>
      </c>
      <c r="F110" s="27" t="s">
        <v>240</v>
      </c>
      <c r="G110" s="27" t="s">
        <v>63</v>
      </c>
      <c r="H110" s="27">
        <v>60</v>
      </c>
      <c r="I110" s="27">
        <v>14</v>
      </c>
      <c r="J110" s="37">
        <v>-2.9E-4</v>
      </c>
      <c r="K110" s="27">
        <v>4</v>
      </c>
      <c r="L110" s="38">
        <v>-2.5399999999999999E-4</v>
      </c>
      <c r="M110" s="27" t="s">
        <v>65</v>
      </c>
      <c r="O110" s="27" t="s">
        <v>229</v>
      </c>
      <c r="P110" s="27">
        <v>66</v>
      </c>
      <c r="Q110" s="27" t="s">
        <v>127</v>
      </c>
      <c r="R110" s="27" t="s">
        <v>376</v>
      </c>
      <c r="S110" s="27" t="s">
        <v>240</v>
      </c>
      <c r="T110" s="27" t="s">
        <v>63</v>
      </c>
      <c r="U110" s="27">
        <v>10</v>
      </c>
      <c r="V110" s="27">
        <v>14</v>
      </c>
      <c r="W110" s="37">
        <v>-2.9100000000000003E-4</v>
      </c>
      <c r="X110" s="27">
        <v>4</v>
      </c>
      <c r="Y110" s="38">
        <v>-2.5500000000000002E-4</v>
      </c>
      <c r="Z110" s="27" t="s">
        <v>65</v>
      </c>
    </row>
    <row r="111" spans="2:26" x14ac:dyDescent="0.2">
      <c r="B111" s="27" t="s">
        <v>229</v>
      </c>
      <c r="C111" s="27">
        <v>66</v>
      </c>
      <c r="D111" s="27" t="s">
        <v>127</v>
      </c>
      <c r="E111" s="27" t="s">
        <v>106</v>
      </c>
      <c r="F111" s="27" t="s">
        <v>241</v>
      </c>
      <c r="G111" s="27" t="s">
        <v>64</v>
      </c>
      <c r="H111" s="27">
        <v>60</v>
      </c>
      <c r="I111" s="27">
        <v>11</v>
      </c>
      <c r="J111" s="37">
        <v>-2.3599999999999999E-4</v>
      </c>
      <c r="K111" s="27">
        <v>3</v>
      </c>
      <c r="L111" s="38">
        <v>-2.1000000000000001E-4</v>
      </c>
      <c r="M111" s="27" t="s">
        <v>65</v>
      </c>
      <c r="O111" s="27" t="s">
        <v>229</v>
      </c>
      <c r="P111" s="27">
        <v>66</v>
      </c>
      <c r="Q111" s="27" t="s">
        <v>127</v>
      </c>
      <c r="R111" s="27" t="s">
        <v>376</v>
      </c>
      <c r="S111" s="27" t="s">
        <v>241</v>
      </c>
      <c r="T111" s="27" t="s">
        <v>64</v>
      </c>
      <c r="U111" s="27">
        <v>10</v>
      </c>
      <c r="V111" s="27">
        <v>11</v>
      </c>
      <c r="W111" s="37">
        <v>-2.3699999999999999E-4</v>
      </c>
      <c r="X111" s="27">
        <v>3</v>
      </c>
      <c r="Y111" s="38">
        <v>-2.1000000000000001E-4</v>
      </c>
      <c r="Z111" s="27" t="s">
        <v>65</v>
      </c>
    </row>
    <row r="112" spans="2:26" x14ac:dyDescent="0.2">
      <c r="B112" s="27" t="s">
        <v>229</v>
      </c>
      <c r="C112" s="27">
        <v>82</v>
      </c>
      <c r="D112" s="27" t="s">
        <v>128</v>
      </c>
      <c r="E112" s="27" t="s">
        <v>106</v>
      </c>
      <c r="F112" s="27" t="s">
        <v>242</v>
      </c>
      <c r="G112" s="27" t="s">
        <v>63</v>
      </c>
      <c r="H112" s="27">
        <v>60</v>
      </c>
      <c r="I112" s="27">
        <v>22</v>
      </c>
      <c r="J112" s="37">
        <v>-2.7799999999999998E-4</v>
      </c>
      <c r="K112" s="27">
        <v>1</v>
      </c>
      <c r="L112" s="38">
        <v>-2.4399999999999999E-4</v>
      </c>
      <c r="M112" s="27" t="s">
        <v>65</v>
      </c>
      <c r="O112" s="27" t="s">
        <v>229</v>
      </c>
      <c r="P112" s="27">
        <v>82</v>
      </c>
      <c r="Q112" s="27" t="s">
        <v>128</v>
      </c>
      <c r="R112" s="27" t="s">
        <v>376</v>
      </c>
      <c r="S112" s="27" t="s">
        <v>242</v>
      </c>
      <c r="T112" s="27" t="s">
        <v>63</v>
      </c>
      <c r="U112" s="27">
        <v>10</v>
      </c>
      <c r="V112" s="27">
        <v>22</v>
      </c>
      <c r="W112" s="37">
        <v>-2.7700000000000001E-4</v>
      </c>
      <c r="X112" s="27">
        <v>1</v>
      </c>
      <c r="Y112" s="38">
        <v>-2.4399999999999999E-4</v>
      </c>
      <c r="Z112" s="27" t="s">
        <v>65</v>
      </c>
    </row>
    <row r="113" spans="2:26" x14ac:dyDescent="0.2">
      <c r="B113" s="27" t="s">
        <v>229</v>
      </c>
      <c r="C113" s="27">
        <v>82</v>
      </c>
      <c r="D113" s="27" t="s">
        <v>128</v>
      </c>
      <c r="E113" s="27" t="s">
        <v>106</v>
      </c>
      <c r="F113" s="27" t="s">
        <v>243</v>
      </c>
      <c r="G113" s="27" t="s">
        <v>64</v>
      </c>
      <c r="H113" s="27">
        <v>60</v>
      </c>
      <c r="I113" s="27">
        <v>15</v>
      </c>
      <c r="J113" s="37">
        <v>-2.3599999999999999E-4</v>
      </c>
      <c r="K113" s="27">
        <v>6</v>
      </c>
      <c r="L113" s="38">
        <v>-2.0900000000000001E-4</v>
      </c>
      <c r="M113" s="27" t="s">
        <v>65</v>
      </c>
      <c r="O113" s="27" t="s">
        <v>229</v>
      </c>
      <c r="P113" s="27">
        <v>82</v>
      </c>
      <c r="Q113" s="27" t="s">
        <v>128</v>
      </c>
      <c r="R113" s="27" t="s">
        <v>376</v>
      </c>
      <c r="S113" s="27" t="s">
        <v>243</v>
      </c>
      <c r="T113" s="27" t="s">
        <v>64</v>
      </c>
      <c r="U113" s="27">
        <v>10</v>
      </c>
      <c r="V113" s="27">
        <v>15</v>
      </c>
      <c r="W113" s="37">
        <v>-2.3599999999999999E-4</v>
      </c>
      <c r="X113" s="27">
        <v>6</v>
      </c>
      <c r="Y113" s="38">
        <v>-2.0900000000000001E-4</v>
      </c>
      <c r="Z113" s="27" t="s">
        <v>65</v>
      </c>
    </row>
    <row r="114" spans="2:26" x14ac:dyDescent="0.2">
      <c r="B114" s="27" t="s">
        <v>229</v>
      </c>
      <c r="C114" s="27">
        <v>67</v>
      </c>
      <c r="D114" s="27" t="s">
        <v>129</v>
      </c>
      <c r="E114" s="27" t="s">
        <v>106</v>
      </c>
      <c r="F114" s="27" t="s">
        <v>244</v>
      </c>
      <c r="G114" s="27" t="s">
        <v>63</v>
      </c>
      <c r="H114" s="27">
        <v>60</v>
      </c>
      <c r="I114" s="27">
        <v>22</v>
      </c>
      <c r="J114" s="37">
        <v>-2.14E-4</v>
      </c>
      <c r="K114" s="27">
        <v>1</v>
      </c>
      <c r="L114" s="38">
        <v>-2.14E-4</v>
      </c>
      <c r="M114" s="27" t="s">
        <v>65</v>
      </c>
      <c r="O114" s="27" t="s">
        <v>229</v>
      </c>
      <c r="P114" s="27">
        <v>67</v>
      </c>
      <c r="Q114" s="27" t="s">
        <v>129</v>
      </c>
      <c r="R114" s="27" t="s">
        <v>376</v>
      </c>
      <c r="S114" s="27" t="s">
        <v>244</v>
      </c>
      <c r="T114" s="27" t="s">
        <v>63</v>
      </c>
      <c r="U114" s="27">
        <v>10</v>
      </c>
      <c r="V114" s="27">
        <v>20</v>
      </c>
      <c r="W114" s="37">
        <v>-2.13E-4</v>
      </c>
      <c r="X114" s="27">
        <v>7</v>
      </c>
      <c r="Y114" s="38">
        <v>-2.14E-4</v>
      </c>
      <c r="Z114" s="27" t="s">
        <v>65</v>
      </c>
    </row>
    <row r="115" spans="2:26" x14ac:dyDescent="0.2">
      <c r="B115" s="27" t="s">
        <v>229</v>
      </c>
      <c r="C115" s="27">
        <v>67</v>
      </c>
      <c r="D115" s="27" t="s">
        <v>129</v>
      </c>
      <c r="E115" s="27" t="s">
        <v>106</v>
      </c>
      <c r="F115" s="27" t="s">
        <v>245</v>
      </c>
      <c r="G115" s="27" t="s">
        <v>64</v>
      </c>
      <c r="H115" s="27">
        <v>60</v>
      </c>
      <c r="I115" s="27">
        <v>15</v>
      </c>
      <c r="J115" s="37">
        <v>-2.33E-4</v>
      </c>
      <c r="K115" s="27">
        <v>12</v>
      </c>
      <c r="L115" s="38">
        <v>-2.34E-4</v>
      </c>
      <c r="M115" s="27" t="s">
        <v>65</v>
      </c>
      <c r="O115" s="27" t="s">
        <v>229</v>
      </c>
      <c r="P115" s="27">
        <v>67</v>
      </c>
      <c r="Q115" s="27" t="s">
        <v>129</v>
      </c>
      <c r="R115" s="27" t="s">
        <v>376</v>
      </c>
      <c r="S115" s="27" t="s">
        <v>245</v>
      </c>
      <c r="T115" s="27" t="s">
        <v>64</v>
      </c>
      <c r="U115" s="27">
        <v>10</v>
      </c>
      <c r="V115" s="27">
        <v>15</v>
      </c>
      <c r="W115" s="37">
        <v>-2.33E-4</v>
      </c>
      <c r="X115" s="27">
        <v>6</v>
      </c>
      <c r="Y115" s="38">
        <v>-2.34E-4</v>
      </c>
      <c r="Z115" s="27" t="s">
        <v>65</v>
      </c>
    </row>
    <row r="116" spans="2:26" x14ac:dyDescent="0.2">
      <c r="B116" s="27" t="s">
        <v>229</v>
      </c>
      <c r="C116" s="27">
        <v>85</v>
      </c>
      <c r="D116" s="27" t="s">
        <v>128</v>
      </c>
      <c r="E116" s="27" t="s">
        <v>106</v>
      </c>
      <c r="F116" s="27" t="s">
        <v>246</v>
      </c>
      <c r="G116" s="27" t="s">
        <v>63</v>
      </c>
      <c r="H116" s="27">
        <v>60</v>
      </c>
      <c r="I116" s="27">
        <v>20</v>
      </c>
      <c r="J116" s="37">
        <v>-3.0499999999999999E-4</v>
      </c>
      <c r="K116" s="27">
        <v>1</v>
      </c>
      <c r="L116" s="38">
        <v>-2.72E-4</v>
      </c>
      <c r="M116" s="27" t="s">
        <v>65</v>
      </c>
      <c r="O116" s="27" t="s">
        <v>229</v>
      </c>
      <c r="P116" s="27">
        <v>85</v>
      </c>
      <c r="Q116" s="27" t="s">
        <v>128</v>
      </c>
      <c r="R116" s="27" t="s">
        <v>376</v>
      </c>
      <c r="S116" s="27" t="s">
        <v>246</v>
      </c>
      <c r="T116" s="27" t="s">
        <v>63</v>
      </c>
      <c r="U116" s="27">
        <v>10</v>
      </c>
      <c r="V116" s="27">
        <v>20</v>
      </c>
      <c r="W116" s="37">
        <v>-3.0600000000000001E-4</v>
      </c>
      <c r="X116" s="27">
        <v>4</v>
      </c>
      <c r="Y116" s="38">
        <v>-2.72E-4</v>
      </c>
      <c r="Z116" s="27" t="s">
        <v>65</v>
      </c>
    </row>
    <row r="117" spans="2:26" x14ac:dyDescent="0.2">
      <c r="B117" s="27" t="s">
        <v>229</v>
      </c>
      <c r="C117" s="27">
        <v>85</v>
      </c>
      <c r="D117" s="27" t="s">
        <v>128</v>
      </c>
      <c r="E117" s="27" t="s">
        <v>106</v>
      </c>
      <c r="F117" s="27" t="s">
        <v>247</v>
      </c>
      <c r="G117" s="27" t="s">
        <v>64</v>
      </c>
      <c r="H117" s="27">
        <v>60</v>
      </c>
      <c r="I117" s="27">
        <v>15</v>
      </c>
      <c r="J117" s="37">
        <v>-2.5999999999999998E-4</v>
      </c>
      <c r="K117" s="27">
        <v>3</v>
      </c>
      <c r="L117" s="38">
        <v>-2.34E-4</v>
      </c>
      <c r="M117" s="27" t="s">
        <v>65</v>
      </c>
      <c r="O117" s="27" t="s">
        <v>229</v>
      </c>
      <c r="P117" s="27">
        <v>85</v>
      </c>
      <c r="Q117" s="27" t="s">
        <v>128</v>
      </c>
      <c r="R117" s="27" t="s">
        <v>376</v>
      </c>
      <c r="S117" s="27" t="s">
        <v>247</v>
      </c>
      <c r="T117" s="27" t="s">
        <v>64</v>
      </c>
      <c r="U117" s="27">
        <v>10</v>
      </c>
      <c r="V117" s="27">
        <v>15</v>
      </c>
      <c r="W117" s="37">
        <v>-2.5999999999999998E-4</v>
      </c>
      <c r="X117" s="27">
        <v>3</v>
      </c>
      <c r="Y117" s="38">
        <v>-2.3499999999999999E-4</v>
      </c>
      <c r="Z117" s="27" t="s">
        <v>65</v>
      </c>
    </row>
    <row r="118" spans="2:26" x14ac:dyDescent="0.2">
      <c r="B118" s="27" t="s">
        <v>229</v>
      </c>
      <c r="C118" s="27">
        <v>86</v>
      </c>
      <c r="D118" s="27" t="s">
        <v>128</v>
      </c>
      <c r="E118" s="27" t="s">
        <v>106</v>
      </c>
      <c r="F118" s="27" t="s">
        <v>248</v>
      </c>
      <c r="G118" s="27" t="s">
        <v>63</v>
      </c>
      <c r="H118" s="27">
        <v>60</v>
      </c>
      <c r="I118" s="27">
        <v>20</v>
      </c>
      <c r="J118" s="37">
        <v>-3.0299999999999999E-4</v>
      </c>
      <c r="K118" s="27">
        <v>4</v>
      </c>
      <c r="L118" s="38">
        <v>-2.7E-4</v>
      </c>
      <c r="M118" s="27" t="s">
        <v>65</v>
      </c>
      <c r="O118" s="27" t="s">
        <v>229</v>
      </c>
      <c r="P118" s="27">
        <v>86</v>
      </c>
      <c r="Q118" s="27" t="s">
        <v>128</v>
      </c>
      <c r="R118" s="27" t="s">
        <v>376</v>
      </c>
      <c r="S118" s="27" t="s">
        <v>248</v>
      </c>
      <c r="T118" s="27" t="s">
        <v>63</v>
      </c>
      <c r="U118" s="27">
        <v>10</v>
      </c>
      <c r="V118" s="27">
        <v>20</v>
      </c>
      <c r="W118" s="37">
        <v>-3.0400000000000002E-4</v>
      </c>
      <c r="X118" s="27">
        <v>4</v>
      </c>
      <c r="Y118" s="38">
        <v>-2.7099999999999997E-4</v>
      </c>
      <c r="Z118" s="27" t="s">
        <v>65</v>
      </c>
    </row>
    <row r="119" spans="2:26" x14ac:dyDescent="0.2">
      <c r="B119" s="27" t="s">
        <v>229</v>
      </c>
      <c r="C119" s="27">
        <v>86</v>
      </c>
      <c r="D119" s="27" t="s">
        <v>128</v>
      </c>
      <c r="E119" s="27" t="s">
        <v>106</v>
      </c>
      <c r="F119" s="27" t="s">
        <v>249</v>
      </c>
      <c r="G119" s="27" t="s">
        <v>64</v>
      </c>
      <c r="H119" s="27">
        <v>60</v>
      </c>
      <c r="I119" s="27">
        <v>16</v>
      </c>
      <c r="J119" s="37">
        <v>-2.5900000000000001E-4</v>
      </c>
      <c r="K119" s="27">
        <v>3</v>
      </c>
      <c r="L119" s="38">
        <v>-2.34E-4</v>
      </c>
      <c r="M119" s="27" t="s">
        <v>65</v>
      </c>
      <c r="O119" s="27" t="s">
        <v>229</v>
      </c>
      <c r="P119" s="27">
        <v>86</v>
      </c>
      <c r="Q119" s="27" t="s">
        <v>128</v>
      </c>
      <c r="R119" s="27" t="s">
        <v>376</v>
      </c>
      <c r="S119" s="27" t="s">
        <v>249</v>
      </c>
      <c r="T119" s="27" t="s">
        <v>64</v>
      </c>
      <c r="U119" s="27">
        <v>10</v>
      </c>
      <c r="V119" s="27">
        <v>17</v>
      </c>
      <c r="W119" s="37">
        <v>-2.5999999999999998E-4</v>
      </c>
      <c r="X119" s="27">
        <v>3</v>
      </c>
      <c r="Y119" s="38">
        <v>-2.34E-4</v>
      </c>
      <c r="Z119" s="27" t="s">
        <v>65</v>
      </c>
    </row>
    <row r="120" spans="2:26" x14ac:dyDescent="0.2">
      <c r="B120" s="27" t="s">
        <v>229</v>
      </c>
      <c r="C120" s="27">
        <v>69</v>
      </c>
      <c r="D120" s="27" t="s">
        <v>129</v>
      </c>
      <c r="E120" s="27" t="s">
        <v>106</v>
      </c>
      <c r="F120" s="27" t="s">
        <v>250</v>
      </c>
      <c r="G120" s="27" t="s">
        <v>63</v>
      </c>
      <c r="H120" s="27">
        <v>60</v>
      </c>
      <c r="I120" s="27">
        <v>20</v>
      </c>
      <c r="J120" s="37">
        <v>-2.1599999999999999E-4</v>
      </c>
      <c r="K120" s="27">
        <v>7</v>
      </c>
      <c r="L120" s="38">
        <v>-2.1599999999999999E-4</v>
      </c>
      <c r="M120" s="27" t="s">
        <v>65</v>
      </c>
      <c r="O120" s="27" t="s">
        <v>229</v>
      </c>
      <c r="P120" s="27">
        <v>69</v>
      </c>
      <c r="Q120" s="27" t="s">
        <v>129</v>
      </c>
      <c r="R120" s="27" t="s">
        <v>376</v>
      </c>
      <c r="S120" s="27" t="s">
        <v>250</v>
      </c>
      <c r="T120" s="27" t="s">
        <v>63</v>
      </c>
      <c r="U120" s="27">
        <v>10</v>
      </c>
      <c r="V120" s="27">
        <v>20</v>
      </c>
      <c r="W120" s="37">
        <v>-2.1699999999999999E-4</v>
      </c>
      <c r="X120" s="27">
        <v>7</v>
      </c>
      <c r="Y120" s="38">
        <v>-2.1699999999999999E-4</v>
      </c>
      <c r="Z120" s="27" t="s">
        <v>65</v>
      </c>
    </row>
    <row r="121" spans="2:26" x14ac:dyDescent="0.2">
      <c r="B121" s="27" t="s">
        <v>229</v>
      </c>
      <c r="C121" s="27">
        <v>69</v>
      </c>
      <c r="D121" s="27" t="s">
        <v>129</v>
      </c>
      <c r="E121" s="27" t="s">
        <v>106</v>
      </c>
      <c r="F121" s="27" t="s">
        <v>251</v>
      </c>
      <c r="G121" s="27" t="s">
        <v>64</v>
      </c>
      <c r="H121" s="27">
        <v>60</v>
      </c>
      <c r="I121" s="27">
        <v>17</v>
      </c>
      <c r="J121" s="37">
        <v>-2.3499999999999999E-4</v>
      </c>
      <c r="K121" s="27">
        <v>6</v>
      </c>
      <c r="L121" s="38">
        <v>-2.3499999999999999E-4</v>
      </c>
      <c r="M121" s="27" t="s">
        <v>65</v>
      </c>
      <c r="O121" s="27" t="s">
        <v>229</v>
      </c>
      <c r="P121" s="27">
        <v>69</v>
      </c>
      <c r="Q121" s="27" t="s">
        <v>129</v>
      </c>
      <c r="R121" s="27" t="s">
        <v>376</v>
      </c>
      <c r="S121" s="27" t="s">
        <v>251</v>
      </c>
      <c r="T121" s="27" t="s">
        <v>64</v>
      </c>
      <c r="U121" s="27">
        <v>10</v>
      </c>
      <c r="V121" s="27">
        <v>17</v>
      </c>
      <c r="W121" s="37">
        <v>-2.3599999999999999E-4</v>
      </c>
      <c r="X121" s="27">
        <v>6</v>
      </c>
      <c r="Y121" s="38">
        <v>-2.3599999999999999E-4</v>
      </c>
      <c r="Z121" s="27" t="s">
        <v>65</v>
      </c>
    </row>
    <row r="122" spans="2:26" x14ac:dyDescent="0.2">
      <c r="B122" s="27" t="s">
        <v>229</v>
      </c>
      <c r="C122" s="27">
        <v>80</v>
      </c>
      <c r="D122" s="27" t="s">
        <v>128</v>
      </c>
      <c r="E122" s="27" t="s">
        <v>106</v>
      </c>
      <c r="F122" s="27" t="s">
        <v>252</v>
      </c>
      <c r="G122" s="27" t="s">
        <v>63</v>
      </c>
      <c r="H122" s="27">
        <v>60</v>
      </c>
      <c r="I122" s="27">
        <v>22</v>
      </c>
      <c r="J122" s="37">
        <v>-9.6000000000000002E-5</v>
      </c>
      <c r="K122" s="27">
        <v>1</v>
      </c>
      <c r="L122" s="38">
        <v>-9.1000000000000003E-5</v>
      </c>
      <c r="M122" s="27" t="s">
        <v>65</v>
      </c>
      <c r="O122" s="27" t="s">
        <v>229</v>
      </c>
      <c r="P122" s="27">
        <v>80</v>
      </c>
      <c r="Q122" s="27" t="s">
        <v>128</v>
      </c>
      <c r="R122" s="27" t="s">
        <v>376</v>
      </c>
      <c r="S122" s="27" t="s">
        <v>252</v>
      </c>
      <c r="T122" s="27" t="s">
        <v>63</v>
      </c>
      <c r="U122" s="27">
        <v>10</v>
      </c>
      <c r="V122" s="27">
        <v>22</v>
      </c>
      <c r="W122" s="37">
        <v>-9.5000000000000005E-5</v>
      </c>
      <c r="X122" s="27">
        <v>1</v>
      </c>
      <c r="Y122" s="38">
        <v>-9.1000000000000003E-5</v>
      </c>
      <c r="Z122" s="27" t="s">
        <v>65</v>
      </c>
    </row>
    <row r="123" spans="2:26" x14ac:dyDescent="0.2">
      <c r="B123" s="27" t="s">
        <v>229</v>
      </c>
      <c r="C123" s="27">
        <v>80</v>
      </c>
      <c r="D123" s="27" t="s">
        <v>128</v>
      </c>
      <c r="E123" s="27" t="s">
        <v>106</v>
      </c>
      <c r="F123" s="27" t="s">
        <v>253</v>
      </c>
      <c r="G123" s="27" t="s">
        <v>64</v>
      </c>
      <c r="H123" s="27">
        <v>60</v>
      </c>
      <c r="I123" s="27">
        <v>15</v>
      </c>
      <c r="J123" s="37">
        <v>-1.02E-4</v>
      </c>
      <c r="K123" s="27">
        <v>6</v>
      </c>
      <c r="L123" s="38">
        <v>-9.6000000000000002E-5</v>
      </c>
      <c r="M123" s="27" t="s">
        <v>65</v>
      </c>
      <c r="O123" s="27" t="s">
        <v>229</v>
      </c>
      <c r="P123" s="27">
        <v>80</v>
      </c>
      <c r="Q123" s="27" t="s">
        <v>128</v>
      </c>
      <c r="R123" s="27" t="s">
        <v>376</v>
      </c>
      <c r="S123" s="27" t="s">
        <v>253</v>
      </c>
      <c r="T123" s="27" t="s">
        <v>64</v>
      </c>
      <c r="U123" s="27">
        <v>10</v>
      </c>
      <c r="V123" s="27">
        <v>15</v>
      </c>
      <c r="W123" s="37">
        <v>-1.02E-4</v>
      </c>
      <c r="X123" s="27">
        <v>3</v>
      </c>
      <c r="Y123" s="38">
        <v>-9.5000000000000005E-5</v>
      </c>
      <c r="Z123" s="27" t="s">
        <v>65</v>
      </c>
    </row>
    <row r="124" spans="2:26" x14ac:dyDescent="0.2">
      <c r="B124" s="27" t="s">
        <v>229</v>
      </c>
      <c r="C124" s="27">
        <v>81</v>
      </c>
      <c r="D124" s="27" t="s">
        <v>128</v>
      </c>
      <c r="E124" s="27" t="s">
        <v>106</v>
      </c>
      <c r="F124" s="27" t="s">
        <v>254</v>
      </c>
      <c r="G124" s="27" t="s">
        <v>63</v>
      </c>
      <c r="H124" s="27">
        <v>60</v>
      </c>
      <c r="I124" s="27">
        <v>20</v>
      </c>
      <c r="J124" s="37">
        <v>-2.7900000000000001E-4</v>
      </c>
      <c r="K124" s="27">
        <v>4</v>
      </c>
      <c r="L124" s="38">
        <v>-2.4499999999999999E-4</v>
      </c>
      <c r="M124" s="27" t="s">
        <v>65</v>
      </c>
      <c r="O124" s="27" t="s">
        <v>229</v>
      </c>
      <c r="P124" s="27">
        <v>81</v>
      </c>
      <c r="Q124" s="27" t="s">
        <v>128</v>
      </c>
      <c r="R124" s="27" t="s">
        <v>376</v>
      </c>
      <c r="S124" s="27" t="s">
        <v>254</v>
      </c>
      <c r="T124" s="27" t="s">
        <v>63</v>
      </c>
      <c r="U124" s="27">
        <v>10</v>
      </c>
      <c r="V124" s="27">
        <v>20</v>
      </c>
      <c r="W124" s="37">
        <v>-2.7900000000000001E-4</v>
      </c>
      <c r="X124" s="27">
        <v>4</v>
      </c>
      <c r="Y124" s="38">
        <v>-2.4499999999999999E-4</v>
      </c>
      <c r="Z124" s="27" t="s">
        <v>65</v>
      </c>
    </row>
    <row r="125" spans="2:26" x14ac:dyDescent="0.2">
      <c r="B125" s="27" t="s">
        <v>229</v>
      </c>
      <c r="C125" s="27">
        <v>81</v>
      </c>
      <c r="D125" s="27" t="s">
        <v>128</v>
      </c>
      <c r="E125" s="27" t="s">
        <v>106</v>
      </c>
      <c r="F125" s="27" t="s">
        <v>255</v>
      </c>
      <c r="G125" s="27" t="s">
        <v>64</v>
      </c>
      <c r="H125" s="27">
        <v>60</v>
      </c>
      <c r="I125" s="27">
        <v>17</v>
      </c>
      <c r="J125" s="37">
        <v>-2.3599999999999999E-4</v>
      </c>
      <c r="K125" s="27">
        <v>3</v>
      </c>
      <c r="L125" s="38">
        <v>-2.1000000000000001E-4</v>
      </c>
      <c r="M125" s="27" t="s">
        <v>65</v>
      </c>
      <c r="O125" s="27" t="s">
        <v>229</v>
      </c>
      <c r="P125" s="27">
        <v>81</v>
      </c>
      <c r="Q125" s="27" t="s">
        <v>128</v>
      </c>
      <c r="R125" s="27" t="s">
        <v>376</v>
      </c>
      <c r="S125" s="27" t="s">
        <v>255</v>
      </c>
      <c r="T125" s="27" t="s">
        <v>64</v>
      </c>
      <c r="U125" s="27">
        <v>10</v>
      </c>
      <c r="V125" s="27">
        <v>17</v>
      </c>
      <c r="W125" s="37">
        <v>-2.3699999999999999E-4</v>
      </c>
      <c r="X125" s="27">
        <v>3</v>
      </c>
      <c r="Y125" s="38">
        <v>-2.1000000000000001E-4</v>
      </c>
      <c r="Z125" s="27" t="s">
        <v>65</v>
      </c>
    </row>
    <row r="126" spans="2:26" x14ac:dyDescent="0.2">
      <c r="B126" s="27" t="s">
        <v>229</v>
      </c>
      <c r="C126" s="27">
        <v>68</v>
      </c>
      <c r="D126" s="27" t="s">
        <v>129</v>
      </c>
      <c r="E126" s="27" t="s">
        <v>106</v>
      </c>
      <c r="F126" s="27" t="s">
        <v>256</v>
      </c>
      <c r="G126" s="27" t="s">
        <v>63</v>
      </c>
      <c r="H126" s="27">
        <v>60</v>
      </c>
      <c r="I126" s="27">
        <v>20</v>
      </c>
      <c r="J126" s="37">
        <v>-2.14E-4</v>
      </c>
      <c r="K126" s="27">
        <v>7</v>
      </c>
      <c r="L126" s="38">
        <v>-2.14E-4</v>
      </c>
      <c r="M126" s="27" t="s">
        <v>65</v>
      </c>
      <c r="O126" s="27" t="s">
        <v>229</v>
      </c>
      <c r="P126" s="27">
        <v>68</v>
      </c>
      <c r="Q126" s="27" t="s">
        <v>129</v>
      </c>
      <c r="R126" s="27" t="s">
        <v>376</v>
      </c>
      <c r="S126" s="27" t="s">
        <v>256</v>
      </c>
      <c r="T126" s="27" t="s">
        <v>63</v>
      </c>
      <c r="U126" s="27">
        <v>10</v>
      </c>
      <c r="V126" s="27">
        <v>20</v>
      </c>
      <c r="W126" s="37">
        <v>-2.1499999999999999E-4</v>
      </c>
      <c r="X126" s="27">
        <v>7</v>
      </c>
      <c r="Y126" s="38">
        <v>-2.1499999999999999E-4</v>
      </c>
      <c r="Z126" s="27" t="s">
        <v>65</v>
      </c>
    </row>
    <row r="127" spans="2:26" x14ac:dyDescent="0.2">
      <c r="B127" s="27" t="s">
        <v>229</v>
      </c>
      <c r="C127" s="27">
        <v>68</v>
      </c>
      <c r="D127" s="27" t="s">
        <v>129</v>
      </c>
      <c r="E127" s="27" t="s">
        <v>106</v>
      </c>
      <c r="F127" s="27" t="s">
        <v>257</v>
      </c>
      <c r="G127" s="27" t="s">
        <v>64</v>
      </c>
      <c r="H127" s="27">
        <v>60</v>
      </c>
      <c r="I127" s="27">
        <v>16</v>
      </c>
      <c r="J127" s="37">
        <v>-2.33E-4</v>
      </c>
      <c r="K127" s="27">
        <v>6</v>
      </c>
      <c r="L127" s="38">
        <v>-2.34E-4</v>
      </c>
      <c r="M127" s="27" t="s">
        <v>65</v>
      </c>
      <c r="O127" s="27" t="s">
        <v>229</v>
      </c>
      <c r="P127" s="27">
        <v>68</v>
      </c>
      <c r="Q127" s="27" t="s">
        <v>129</v>
      </c>
      <c r="R127" s="27" t="s">
        <v>376</v>
      </c>
      <c r="S127" s="27" t="s">
        <v>257</v>
      </c>
      <c r="T127" s="27" t="s">
        <v>64</v>
      </c>
      <c r="U127" s="27">
        <v>10</v>
      </c>
      <c r="V127" s="27">
        <v>17</v>
      </c>
      <c r="W127" s="37">
        <v>-2.34E-4</v>
      </c>
      <c r="X127" s="27">
        <v>6</v>
      </c>
      <c r="Y127" s="38">
        <v>-2.3499999999999999E-4</v>
      </c>
      <c r="Z127" s="27" t="s">
        <v>65</v>
      </c>
    </row>
    <row r="128" spans="2:26" x14ac:dyDescent="0.2">
      <c r="B128" s="27" t="s">
        <v>229</v>
      </c>
      <c r="C128" s="27">
        <v>83</v>
      </c>
      <c r="D128" s="27" t="s">
        <v>128</v>
      </c>
      <c r="E128" s="27" t="s">
        <v>106</v>
      </c>
      <c r="F128" s="27" t="s">
        <v>258</v>
      </c>
      <c r="G128" s="27" t="s">
        <v>63</v>
      </c>
      <c r="H128" s="27">
        <v>60</v>
      </c>
      <c r="I128" s="27">
        <v>20</v>
      </c>
      <c r="J128" s="37">
        <v>-3.0600000000000001E-4</v>
      </c>
      <c r="K128" s="27">
        <v>1</v>
      </c>
      <c r="L128" s="38">
        <v>-2.72E-4</v>
      </c>
      <c r="M128" s="27" t="s">
        <v>65</v>
      </c>
      <c r="O128" s="27" t="s">
        <v>229</v>
      </c>
      <c r="P128" s="27">
        <v>83</v>
      </c>
      <c r="Q128" s="27" t="s">
        <v>128</v>
      </c>
      <c r="R128" s="27" t="s">
        <v>376</v>
      </c>
      <c r="S128" s="27" t="s">
        <v>258</v>
      </c>
      <c r="T128" s="27" t="s">
        <v>63</v>
      </c>
      <c r="U128" s="27">
        <v>10</v>
      </c>
      <c r="V128" s="27">
        <v>20</v>
      </c>
      <c r="W128" s="37">
        <v>-3.0600000000000001E-4</v>
      </c>
      <c r="X128" s="27">
        <v>4</v>
      </c>
      <c r="Y128" s="38">
        <v>-2.72E-4</v>
      </c>
      <c r="Z128" s="27" t="s">
        <v>65</v>
      </c>
    </row>
    <row r="129" spans="2:26" x14ac:dyDescent="0.2">
      <c r="B129" s="27" t="s">
        <v>229</v>
      </c>
      <c r="C129" s="27">
        <v>83</v>
      </c>
      <c r="D129" s="27" t="s">
        <v>128</v>
      </c>
      <c r="E129" s="27" t="s">
        <v>106</v>
      </c>
      <c r="F129" s="27" t="s">
        <v>259</v>
      </c>
      <c r="G129" s="27" t="s">
        <v>64</v>
      </c>
      <c r="H129" s="27">
        <v>60</v>
      </c>
      <c r="I129" s="27">
        <v>15</v>
      </c>
      <c r="J129" s="37">
        <v>-2.5999999999999998E-4</v>
      </c>
      <c r="K129" s="27">
        <v>3</v>
      </c>
      <c r="L129" s="38">
        <v>-2.3499999999999999E-4</v>
      </c>
      <c r="M129" s="27" t="s">
        <v>65</v>
      </c>
      <c r="O129" s="27" t="s">
        <v>229</v>
      </c>
      <c r="P129" s="27">
        <v>83</v>
      </c>
      <c r="Q129" s="27" t="s">
        <v>128</v>
      </c>
      <c r="R129" s="27" t="s">
        <v>376</v>
      </c>
      <c r="S129" s="27" t="s">
        <v>259</v>
      </c>
      <c r="T129" s="27" t="s">
        <v>64</v>
      </c>
      <c r="U129" s="27">
        <v>10</v>
      </c>
      <c r="V129" s="27">
        <v>17</v>
      </c>
      <c r="W129" s="37">
        <v>-2.61E-4</v>
      </c>
      <c r="X129" s="27">
        <v>3</v>
      </c>
      <c r="Y129" s="38">
        <v>-2.3499999999999999E-4</v>
      </c>
      <c r="Z129" s="27" t="s">
        <v>65</v>
      </c>
    </row>
    <row r="130" spans="2:26" x14ac:dyDescent="0.2">
      <c r="B130" s="27" t="s">
        <v>229</v>
      </c>
      <c r="C130" s="27">
        <v>84</v>
      </c>
      <c r="D130" s="27" t="s">
        <v>128</v>
      </c>
      <c r="E130" s="27" t="s">
        <v>106</v>
      </c>
      <c r="F130" s="27" t="s">
        <v>260</v>
      </c>
      <c r="G130" s="27" t="s">
        <v>63</v>
      </c>
      <c r="H130" s="27">
        <v>60</v>
      </c>
      <c r="I130" s="27">
        <v>22</v>
      </c>
      <c r="J130" s="37">
        <v>-3.0299999999999999E-4</v>
      </c>
      <c r="K130" s="27">
        <v>1</v>
      </c>
      <c r="L130" s="38">
        <v>-2.7E-4</v>
      </c>
      <c r="M130" s="27" t="s">
        <v>65</v>
      </c>
      <c r="O130" s="27" t="s">
        <v>229</v>
      </c>
      <c r="P130" s="27">
        <v>84</v>
      </c>
      <c r="Q130" s="27" t="s">
        <v>128</v>
      </c>
      <c r="R130" s="27" t="s">
        <v>376</v>
      </c>
      <c r="S130" s="27" t="s">
        <v>260</v>
      </c>
      <c r="T130" s="27" t="s">
        <v>63</v>
      </c>
      <c r="U130" s="27">
        <v>10</v>
      </c>
      <c r="V130" s="27">
        <v>20</v>
      </c>
      <c r="W130" s="37">
        <v>-3.0200000000000002E-4</v>
      </c>
      <c r="X130" s="27">
        <v>1</v>
      </c>
      <c r="Y130" s="38">
        <v>-2.7E-4</v>
      </c>
      <c r="Z130" s="27" t="s">
        <v>65</v>
      </c>
    </row>
    <row r="131" spans="2:26" x14ac:dyDescent="0.2">
      <c r="B131" s="27" t="s">
        <v>229</v>
      </c>
      <c r="C131" s="27">
        <v>84</v>
      </c>
      <c r="D131" s="27" t="s">
        <v>128</v>
      </c>
      <c r="E131" s="27" t="s">
        <v>106</v>
      </c>
      <c r="F131" s="27" t="s">
        <v>261</v>
      </c>
      <c r="G131" s="27" t="s">
        <v>64</v>
      </c>
      <c r="H131" s="27">
        <v>60</v>
      </c>
      <c r="I131" s="27">
        <v>15</v>
      </c>
      <c r="J131" s="37">
        <v>-2.5900000000000001E-4</v>
      </c>
      <c r="K131" s="27">
        <v>6</v>
      </c>
      <c r="L131" s="38">
        <v>-2.34E-4</v>
      </c>
      <c r="M131" s="27" t="s">
        <v>65</v>
      </c>
      <c r="O131" s="27" t="s">
        <v>229</v>
      </c>
      <c r="P131" s="27">
        <v>84</v>
      </c>
      <c r="Q131" s="27" t="s">
        <v>128</v>
      </c>
      <c r="R131" s="27" t="s">
        <v>376</v>
      </c>
      <c r="S131" s="27" t="s">
        <v>261</v>
      </c>
      <c r="T131" s="27" t="s">
        <v>64</v>
      </c>
      <c r="U131" s="27">
        <v>10</v>
      </c>
      <c r="V131" s="27">
        <v>16</v>
      </c>
      <c r="W131" s="37">
        <v>-2.5900000000000001E-4</v>
      </c>
      <c r="X131" s="27">
        <v>3</v>
      </c>
      <c r="Y131" s="38">
        <v>-2.34E-4</v>
      </c>
      <c r="Z131" s="27" t="s">
        <v>65</v>
      </c>
    </row>
    <row r="132" spans="2:26" x14ac:dyDescent="0.2">
      <c r="B132" s="27" t="s">
        <v>229</v>
      </c>
      <c r="C132" s="27">
        <v>70</v>
      </c>
      <c r="D132" s="27" t="s">
        <v>129</v>
      </c>
      <c r="E132" s="27" t="s">
        <v>106</v>
      </c>
      <c r="F132" s="27" t="s">
        <v>262</v>
      </c>
      <c r="G132" s="27" t="s">
        <v>63</v>
      </c>
      <c r="H132" s="27">
        <v>60</v>
      </c>
      <c r="I132" s="27">
        <v>22</v>
      </c>
      <c r="J132" s="37">
        <v>-2.1599999999999999E-4</v>
      </c>
      <c r="K132" s="27">
        <v>1</v>
      </c>
      <c r="L132" s="38">
        <v>-2.1599999999999999E-4</v>
      </c>
      <c r="M132" s="27" t="s">
        <v>65</v>
      </c>
      <c r="O132" s="27" t="s">
        <v>229</v>
      </c>
      <c r="P132" s="27">
        <v>70</v>
      </c>
      <c r="Q132" s="27" t="s">
        <v>129</v>
      </c>
      <c r="R132" s="27" t="s">
        <v>376</v>
      </c>
      <c r="S132" s="27" t="s">
        <v>262</v>
      </c>
      <c r="T132" s="27" t="s">
        <v>63</v>
      </c>
      <c r="U132" s="27">
        <v>10</v>
      </c>
      <c r="V132" s="27">
        <v>20</v>
      </c>
      <c r="W132" s="37">
        <v>-2.1499999999999999E-4</v>
      </c>
      <c r="X132" s="27">
        <v>7</v>
      </c>
      <c r="Y132" s="38">
        <v>-2.1599999999999999E-4</v>
      </c>
      <c r="Z132" s="27" t="s">
        <v>65</v>
      </c>
    </row>
    <row r="133" spans="2:26" x14ac:dyDescent="0.2">
      <c r="B133" s="27" t="s">
        <v>229</v>
      </c>
      <c r="C133" s="27">
        <v>70</v>
      </c>
      <c r="D133" s="27" t="s">
        <v>129</v>
      </c>
      <c r="E133" s="27" t="s">
        <v>106</v>
      </c>
      <c r="F133" s="27" t="s">
        <v>263</v>
      </c>
      <c r="G133" s="27" t="s">
        <v>64</v>
      </c>
      <c r="H133" s="27">
        <v>60</v>
      </c>
      <c r="I133" s="27">
        <v>15</v>
      </c>
      <c r="J133" s="37">
        <v>-2.3499999999999999E-4</v>
      </c>
      <c r="K133" s="27">
        <v>6</v>
      </c>
      <c r="L133" s="38">
        <v>-2.3499999999999999E-4</v>
      </c>
      <c r="M133" s="27" t="s">
        <v>65</v>
      </c>
      <c r="O133" s="27" t="s">
        <v>229</v>
      </c>
      <c r="P133" s="27">
        <v>70</v>
      </c>
      <c r="Q133" s="27" t="s">
        <v>129</v>
      </c>
      <c r="R133" s="27" t="s">
        <v>376</v>
      </c>
      <c r="S133" s="27" t="s">
        <v>263</v>
      </c>
      <c r="T133" s="27" t="s">
        <v>64</v>
      </c>
      <c r="U133" s="27">
        <v>10</v>
      </c>
      <c r="V133" s="27">
        <v>15</v>
      </c>
      <c r="W133" s="37">
        <v>-2.3499999999999999E-4</v>
      </c>
      <c r="X133" s="27">
        <v>6</v>
      </c>
      <c r="Y133" s="38">
        <v>-2.3599999999999999E-4</v>
      </c>
      <c r="Z133" s="27" t="s">
        <v>65</v>
      </c>
    </row>
    <row r="134" spans="2:26" x14ac:dyDescent="0.2">
      <c r="B134" s="27" t="s">
        <v>229</v>
      </c>
      <c r="C134" s="27">
        <v>79</v>
      </c>
      <c r="D134" s="27" t="s">
        <v>128</v>
      </c>
      <c r="E134" s="27" t="s">
        <v>106</v>
      </c>
      <c r="F134" s="27" t="s">
        <v>264</v>
      </c>
      <c r="G134" s="27" t="s">
        <v>63</v>
      </c>
      <c r="H134" s="27">
        <v>60</v>
      </c>
      <c r="I134" s="27">
        <v>20</v>
      </c>
      <c r="J134" s="37">
        <v>-9.5000000000000005E-5</v>
      </c>
      <c r="K134" s="27">
        <v>4</v>
      </c>
      <c r="L134" s="38">
        <v>-9.1000000000000003E-5</v>
      </c>
      <c r="M134" s="27" t="s">
        <v>65</v>
      </c>
      <c r="O134" s="27" t="s">
        <v>229</v>
      </c>
      <c r="P134" s="27">
        <v>79</v>
      </c>
      <c r="Q134" s="27" t="s">
        <v>128</v>
      </c>
      <c r="R134" s="27" t="s">
        <v>376</v>
      </c>
      <c r="S134" s="27" t="s">
        <v>264</v>
      </c>
      <c r="T134" s="27" t="s">
        <v>63</v>
      </c>
      <c r="U134" s="27">
        <v>10</v>
      </c>
      <c r="V134" s="27">
        <v>20</v>
      </c>
      <c r="W134" s="37">
        <v>-9.6000000000000002E-5</v>
      </c>
      <c r="X134" s="27">
        <v>4</v>
      </c>
      <c r="Y134" s="38">
        <v>-9.1000000000000003E-5</v>
      </c>
      <c r="Z134" s="27" t="s">
        <v>65</v>
      </c>
    </row>
    <row r="135" spans="2:26" x14ac:dyDescent="0.2">
      <c r="B135" s="27" t="s">
        <v>229</v>
      </c>
      <c r="C135" s="27">
        <v>79</v>
      </c>
      <c r="D135" s="27" t="s">
        <v>128</v>
      </c>
      <c r="E135" s="27" t="s">
        <v>106</v>
      </c>
      <c r="F135" s="27" t="s">
        <v>265</v>
      </c>
      <c r="G135" s="27" t="s">
        <v>64</v>
      </c>
      <c r="H135" s="27">
        <v>60</v>
      </c>
      <c r="I135" s="27">
        <v>17</v>
      </c>
      <c r="J135" s="37">
        <v>-1.02E-4</v>
      </c>
      <c r="K135" s="27">
        <v>3</v>
      </c>
      <c r="L135" s="38">
        <v>-9.6000000000000002E-5</v>
      </c>
      <c r="M135" s="27" t="s">
        <v>65</v>
      </c>
      <c r="O135" s="27" t="s">
        <v>229</v>
      </c>
      <c r="P135" s="27">
        <v>79</v>
      </c>
      <c r="Q135" s="27" t="s">
        <v>128</v>
      </c>
      <c r="R135" s="27" t="s">
        <v>376</v>
      </c>
      <c r="S135" s="27" t="s">
        <v>265</v>
      </c>
      <c r="T135" s="27" t="s">
        <v>64</v>
      </c>
      <c r="U135" s="27">
        <v>10</v>
      </c>
      <c r="V135" s="27">
        <v>17</v>
      </c>
      <c r="W135" s="37">
        <v>-1.03E-4</v>
      </c>
      <c r="X135" s="27">
        <v>3</v>
      </c>
      <c r="Y135" s="38">
        <v>-9.7E-5</v>
      </c>
      <c r="Z135" s="27" t="s">
        <v>65</v>
      </c>
    </row>
    <row r="136" spans="2:26" x14ac:dyDescent="0.2">
      <c r="B136" s="27" t="s">
        <v>229</v>
      </c>
      <c r="C136" s="27">
        <v>63</v>
      </c>
      <c r="D136" s="27" t="s">
        <v>127</v>
      </c>
      <c r="E136" s="27" t="s">
        <v>106</v>
      </c>
      <c r="F136" s="27" t="s">
        <v>266</v>
      </c>
      <c r="G136" s="27" t="s">
        <v>63</v>
      </c>
      <c r="H136" s="27">
        <v>60</v>
      </c>
      <c r="I136" s="27">
        <v>16</v>
      </c>
      <c r="J136" s="37">
        <v>-6.4300000000000002E-4</v>
      </c>
      <c r="K136" s="27">
        <v>1</v>
      </c>
      <c r="L136" s="38">
        <v>-5.4799999999999998E-4</v>
      </c>
      <c r="M136" s="27" t="s">
        <v>65</v>
      </c>
      <c r="O136" s="27" t="s">
        <v>229</v>
      </c>
      <c r="P136" s="27">
        <v>63</v>
      </c>
      <c r="Q136" s="27" t="s">
        <v>127</v>
      </c>
      <c r="R136" s="27" t="s">
        <v>376</v>
      </c>
      <c r="S136" s="27" t="s">
        <v>266</v>
      </c>
      <c r="T136" s="27" t="s">
        <v>63</v>
      </c>
      <c r="U136" s="27">
        <v>10</v>
      </c>
      <c r="V136" s="27">
        <v>16</v>
      </c>
      <c r="W136" s="37">
        <v>-6.4099999999999997E-4</v>
      </c>
      <c r="X136" s="27">
        <v>1</v>
      </c>
      <c r="Y136" s="38">
        <v>-5.4600000000000004E-4</v>
      </c>
      <c r="Z136" s="27" t="s">
        <v>65</v>
      </c>
    </row>
    <row r="137" spans="2:26" x14ac:dyDescent="0.2">
      <c r="B137" s="27" t="s">
        <v>229</v>
      </c>
      <c r="C137" s="27">
        <v>63</v>
      </c>
      <c r="D137" s="27" t="s">
        <v>127</v>
      </c>
      <c r="E137" s="27" t="s">
        <v>106</v>
      </c>
      <c r="F137" s="27" t="s">
        <v>267</v>
      </c>
      <c r="G137" s="27" t="s">
        <v>64</v>
      </c>
      <c r="H137" s="27">
        <v>60</v>
      </c>
      <c r="I137" s="27">
        <v>9</v>
      </c>
      <c r="J137" s="37">
        <v>-4.57E-4</v>
      </c>
      <c r="K137" s="27">
        <v>6</v>
      </c>
      <c r="L137" s="38">
        <v>-3.97E-4</v>
      </c>
      <c r="M137" s="27" t="s">
        <v>65</v>
      </c>
      <c r="O137" s="27" t="s">
        <v>229</v>
      </c>
      <c r="P137" s="27">
        <v>63</v>
      </c>
      <c r="Q137" s="27" t="s">
        <v>127</v>
      </c>
      <c r="R137" s="27" t="s">
        <v>376</v>
      </c>
      <c r="S137" s="27" t="s">
        <v>267</v>
      </c>
      <c r="T137" s="27" t="s">
        <v>64</v>
      </c>
      <c r="U137" s="27">
        <v>10</v>
      </c>
      <c r="V137" s="27">
        <v>9</v>
      </c>
      <c r="W137" s="37">
        <v>-4.5600000000000003E-4</v>
      </c>
      <c r="X137" s="27">
        <v>6</v>
      </c>
      <c r="Y137" s="38">
        <v>-3.97E-4</v>
      </c>
      <c r="Z137" s="27" t="s">
        <v>65</v>
      </c>
    </row>
    <row r="138" spans="2:26" x14ac:dyDescent="0.2">
      <c r="B138" s="27" t="s">
        <v>229</v>
      </c>
      <c r="C138" s="27">
        <v>75</v>
      </c>
      <c r="D138" s="27" t="s">
        <v>128</v>
      </c>
      <c r="E138" s="27" t="s">
        <v>106</v>
      </c>
      <c r="F138" s="27" t="s">
        <v>268</v>
      </c>
      <c r="G138" s="27" t="s">
        <v>63</v>
      </c>
      <c r="H138" s="27">
        <v>60</v>
      </c>
      <c r="I138" s="27">
        <v>22</v>
      </c>
      <c r="J138" s="37">
        <v>-2.7099999999999997E-4</v>
      </c>
      <c r="K138" s="27">
        <v>1</v>
      </c>
      <c r="L138" s="38">
        <v>-2.4800000000000001E-4</v>
      </c>
      <c r="M138" s="27" t="s">
        <v>65</v>
      </c>
      <c r="O138" s="27" t="s">
        <v>229</v>
      </c>
      <c r="P138" s="27">
        <v>75</v>
      </c>
      <c r="Q138" s="27" t="s">
        <v>128</v>
      </c>
      <c r="R138" s="27" t="s">
        <v>376</v>
      </c>
      <c r="S138" s="27" t="s">
        <v>268</v>
      </c>
      <c r="T138" s="27" t="s">
        <v>63</v>
      </c>
      <c r="U138" s="27">
        <v>10</v>
      </c>
      <c r="V138" s="27">
        <v>22</v>
      </c>
      <c r="W138" s="37">
        <v>-2.7099999999999997E-4</v>
      </c>
      <c r="X138" s="27">
        <v>1</v>
      </c>
      <c r="Y138" s="38">
        <v>-2.4800000000000001E-4</v>
      </c>
      <c r="Z138" s="27" t="s">
        <v>65</v>
      </c>
    </row>
    <row r="139" spans="2:26" x14ac:dyDescent="0.2">
      <c r="B139" s="27" t="s">
        <v>229</v>
      </c>
      <c r="C139" s="27">
        <v>75</v>
      </c>
      <c r="D139" s="27" t="s">
        <v>128</v>
      </c>
      <c r="E139" s="27" t="s">
        <v>106</v>
      </c>
      <c r="F139" s="27" t="s">
        <v>269</v>
      </c>
      <c r="G139" s="27" t="s">
        <v>64</v>
      </c>
      <c r="H139" s="27">
        <v>60</v>
      </c>
      <c r="I139" s="27">
        <v>15</v>
      </c>
      <c r="J139" s="37">
        <v>-2.2599999999999999E-4</v>
      </c>
      <c r="K139" s="27">
        <v>6</v>
      </c>
      <c r="L139" s="38">
        <v>-2.0699999999999999E-4</v>
      </c>
      <c r="M139" s="27" t="s">
        <v>65</v>
      </c>
      <c r="O139" s="27" t="s">
        <v>229</v>
      </c>
      <c r="P139" s="27">
        <v>75</v>
      </c>
      <c r="Q139" s="27" t="s">
        <v>128</v>
      </c>
      <c r="R139" s="27" t="s">
        <v>376</v>
      </c>
      <c r="S139" s="27" t="s">
        <v>269</v>
      </c>
      <c r="T139" s="27" t="s">
        <v>64</v>
      </c>
      <c r="U139" s="27">
        <v>10</v>
      </c>
      <c r="V139" s="27">
        <v>15</v>
      </c>
      <c r="W139" s="37">
        <v>-2.2599999999999999E-4</v>
      </c>
      <c r="X139" s="27">
        <v>6</v>
      </c>
      <c r="Y139" s="38">
        <v>-2.0699999999999999E-4</v>
      </c>
      <c r="Z139" s="27" t="s">
        <v>65</v>
      </c>
    </row>
    <row r="140" spans="2:26" x14ac:dyDescent="0.2">
      <c r="B140" s="27" t="s">
        <v>229</v>
      </c>
      <c r="C140" s="27">
        <v>71</v>
      </c>
      <c r="D140" s="27" t="s">
        <v>129</v>
      </c>
      <c r="E140" s="27" t="s">
        <v>106</v>
      </c>
      <c r="F140" s="27" t="s">
        <v>270</v>
      </c>
      <c r="G140" s="27" t="s">
        <v>63</v>
      </c>
      <c r="H140" s="27">
        <v>60</v>
      </c>
      <c r="I140" s="27">
        <v>22</v>
      </c>
      <c r="J140" s="37">
        <v>-2.7300000000000002E-4</v>
      </c>
      <c r="K140" s="27">
        <v>1</v>
      </c>
      <c r="L140" s="38">
        <v>-2.4899999999999998E-4</v>
      </c>
      <c r="M140" s="27" t="s">
        <v>65</v>
      </c>
      <c r="O140" s="27" t="s">
        <v>229</v>
      </c>
      <c r="P140" s="27">
        <v>71</v>
      </c>
      <c r="Q140" s="27" t="s">
        <v>129</v>
      </c>
      <c r="R140" s="27" t="s">
        <v>376</v>
      </c>
      <c r="S140" s="27" t="s">
        <v>270</v>
      </c>
      <c r="T140" s="27" t="s">
        <v>63</v>
      </c>
      <c r="U140" s="27">
        <v>10</v>
      </c>
      <c r="V140" s="27">
        <v>22</v>
      </c>
      <c r="W140" s="37">
        <v>-2.72E-4</v>
      </c>
      <c r="X140" s="27">
        <v>1</v>
      </c>
      <c r="Y140" s="38">
        <v>-2.4800000000000001E-4</v>
      </c>
      <c r="Z140" s="27" t="s">
        <v>65</v>
      </c>
    </row>
    <row r="141" spans="2:26" x14ac:dyDescent="0.2">
      <c r="B141" s="27" t="s">
        <v>229</v>
      </c>
      <c r="C141" s="27">
        <v>71</v>
      </c>
      <c r="D141" s="27" t="s">
        <v>129</v>
      </c>
      <c r="E141" s="27" t="s">
        <v>106</v>
      </c>
      <c r="F141" s="27" t="s">
        <v>271</v>
      </c>
      <c r="G141" s="27" t="s">
        <v>64</v>
      </c>
      <c r="H141" s="27">
        <v>60</v>
      </c>
      <c r="I141" s="27">
        <v>15</v>
      </c>
      <c r="J141" s="37">
        <v>-2.5999999999999998E-4</v>
      </c>
      <c r="K141" s="27">
        <v>12</v>
      </c>
      <c r="L141" s="38">
        <v>-2.4399999999999999E-4</v>
      </c>
      <c r="M141" s="27" t="s">
        <v>65</v>
      </c>
      <c r="O141" s="27" t="s">
        <v>229</v>
      </c>
      <c r="P141" s="27">
        <v>71</v>
      </c>
      <c r="Q141" s="27" t="s">
        <v>129</v>
      </c>
      <c r="R141" s="27" t="s">
        <v>376</v>
      </c>
      <c r="S141" s="27" t="s">
        <v>271</v>
      </c>
      <c r="T141" s="27" t="s">
        <v>64</v>
      </c>
      <c r="U141" s="27">
        <v>10</v>
      </c>
      <c r="V141" s="27">
        <v>15</v>
      </c>
      <c r="W141" s="37">
        <v>-2.5999999999999998E-4</v>
      </c>
      <c r="X141" s="27">
        <v>12</v>
      </c>
      <c r="Y141" s="38">
        <v>-2.43E-4</v>
      </c>
      <c r="Z141" s="27" t="s">
        <v>65</v>
      </c>
    </row>
    <row r="142" spans="2:26" x14ac:dyDescent="0.2">
      <c r="B142" s="27" t="s">
        <v>229</v>
      </c>
      <c r="C142" s="27">
        <v>72</v>
      </c>
      <c r="D142" s="27" t="s">
        <v>129</v>
      </c>
      <c r="E142" s="27" t="s">
        <v>106</v>
      </c>
      <c r="F142" s="27" t="s">
        <v>272</v>
      </c>
      <c r="G142" s="27" t="s">
        <v>63</v>
      </c>
      <c r="H142" s="27">
        <v>60</v>
      </c>
      <c r="I142" s="27">
        <v>22</v>
      </c>
      <c r="J142" s="37">
        <v>-2.72E-4</v>
      </c>
      <c r="K142" s="27">
        <v>1</v>
      </c>
      <c r="L142" s="38">
        <v>-2.4800000000000001E-4</v>
      </c>
      <c r="M142" s="27" t="s">
        <v>65</v>
      </c>
      <c r="O142" s="27" t="s">
        <v>229</v>
      </c>
      <c r="P142" s="27">
        <v>72</v>
      </c>
      <c r="Q142" s="27" t="s">
        <v>129</v>
      </c>
      <c r="R142" s="27" t="s">
        <v>376</v>
      </c>
      <c r="S142" s="27" t="s">
        <v>272</v>
      </c>
      <c r="T142" s="27" t="s">
        <v>63</v>
      </c>
      <c r="U142" s="27">
        <v>10</v>
      </c>
      <c r="V142" s="27">
        <v>22</v>
      </c>
      <c r="W142" s="37">
        <v>-2.7099999999999997E-4</v>
      </c>
      <c r="X142" s="27">
        <v>1</v>
      </c>
      <c r="Y142" s="38">
        <v>-2.4699999999999999E-4</v>
      </c>
      <c r="Z142" s="27" t="s">
        <v>65</v>
      </c>
    </row>
    <row r="143" spans="2:26" x14ac:dyDescent="0.2">
      <c r="B143" s="27" t="s">
        <v>229</v>
      </c>
      <c r="C143" s="27">
        <v>72</v>
      </c>
      <c r="D143" s="27" t="s">
        <v>129</v>
      </c>
      <c r="E143" s="27" t="s">
        <v>106</v>
      </c>
      <c r="F143" s="27" t="s">
        <v>273</v>
      </c>
      <c r="G143" s="27" t="s">
        <v>64</v>
      </c>
      <c r="H143" s="27">
        <v>60</v>
      </c>
      <c r="I143" s="27">
        <v>15</v>
      </c>
      <c r="J143" s="37">
        <v>-2.5900000000000001E-4</v>
      </c>
      <c r="K143" s="27">
        <v>12</v>
      </c>
      <c r="L143" s="38">
        <v>-2.43E-4</v>
      </c>
      <c r="M143" s="27" t="s">
        <v>65</v>
      </c>
      <c r="O143" s="27" t="s">
        <v>229</v>
      </c>
      <c r="P143" s="27">
        <v>72</v>
      </c>
      <c r="Q143" s="27" t="s">
        <v>129</v>
      </c>
      <c r="R143" s="27" t="s">
        <v>376</v>
      </c>
      <c r="S143" s="27" t="s">
        <v>273</v>
      </c>
      <c r="T143" s="27" t="s">
        <v>64</v>
      </c>
      <c r="U143" s="27">
        <v>10</v>
      </c>
      <c r="V143" s="27">
        <v>15</v>
      </c>
      <c r="W143" s="37">
        <v>-2.5900000000000001E-4</v>
      </c>
      <c r="X143" s="27">
        <v>12</v>
      </c>
      <c r="Y143" s="38">
        <v>-2.42E-4</v>
      </c>
      <c r="Z143" s="27" t="s">
        <v>65</v>
      </c>
    </row>
    <row r="144" spans="2:26" x14ac:dyDescent="0.2">
      <c r="B144" s="27" t="s">
        <v>229</v>
      </c>
      <c r="C144" s="27">
        <v>76</v>
      </c>
      <c r="D144" s="27" t="s">
        <v>128</v>
      </c>
      <c r="E144" s="27" t="s">
        <v>106</v>
      </c>
      <c r="F144" s="27" t="s">
        <v>274</v>
      </c>
      <c r="G144" s="27" t="s">
        <v>63</v>
      </c>
      <c r="H144" s="27">
        <v>60</v>
      </c>
      <c r="I144" s="27">
        <v>22</v>
      </c>
      <c r="J144" s="37">
        <v>-2.7799999999999998E-4</v>
      </c>
      <c r="K144" s="27">
        <v>1</v>
      </c>
      <c r="L144" s="38">
        <v>-2.5300000000000002E-4</v>
      </c>
      <c r="M144" s="27" t="s">
        <v>65</v>
      </c>
      <c r="O144" s="27" t="s">
        <v>229</v>
      </c>
      <c r="P144" s="27">
        <v>76</v>
      </c>
      <c r="Q144" s="27" t="s">
        <v>128</v>
      </c>
      <c r="R144" s="27" t="s">
        <v>376</v>
      </c>
      <c r="S144" s="27" t="s">
        <v>274</v>
      </c>
      <c r="T144" s="27" t="s">
        <v>63</v>
      </c>
      <c r="U144" s="27">
        <v>10</v>
      </c>
      <c r="V144" s="27">
        <v>22</v>
      </c>
      <c r="W144" s="37">
        <v>-2.7700000000000001E-4</v>
      </c>
      <c r="X144" s="27">
        <v>1</v>
      </c>
      <c r="Y144" s="38">
        <v>-2.52E-4</v>
      </c>
      <c r="Z144" s="27" t="s">
        <v>65</v>
      </c>
    </row>
    <row r="145" spans="2:26" x14ac:dyDescent="0.2">
      <c r="B145" s="27" t="s">
        <v>229</v>
      </c>
      <c r="C145" s="27">
        <v>76</v>
      </c>
      <c r="D145" s="27" t="s">
        <v>128</v>
      </c>
      <c r="E145" s="27" t="s">
        <v>106</v>
      </c>
      <c r="F145" s="27" t="s">
        <v>275</v>
      </c>
      <c r="G145" s="27" t="s">
        <v>64</v>
      </c>
      <c r="H145" s="27">
        <v>60</v>
      </c>
      <c r="I145" s="27">
        <v>15</v>
      </c>
      <c r="J145" s="37">
        <v>-2.3000000000000001E-4</v>
      </c>
      <c r="K145" s="27">
        <v>6</v>
      </c>
      <c r="L145" s="38">
        <v>-2.1000000000000001E-4</v>
      </c>
      <c r="M145" s="27" t="s">
        <v>65</v>
      </c>
      <c r="O145" s="27" t="s">
        <v>229</v>
      </c>
      <c r="P145" s="27">
        <v>76</v>
      </c>
      <c r="Q145" s="27" t="s">
        <v>128</v>
      </c>
      <c r="R145" s="27" t="s">
        <v>376</v>
      </c>
      <c r="S145" s="27" t="s">
        <v>275</v>
      </c>
      <c r="T145" s="27" t="s">
        <v>64</v>
      </c>
      <c r="U145" s="27">
        <v>10</v>
      </c>
      <c r="V145" s="27">
        <v>15</v>
      </c>
      <c r="W145" s="37">
        <v>-2.3000000000000001E-4</v>
      </c>
      <c r="X145" s="27">
        <v>6</v>
      </c>
      <c r="Y145" s="38">
        <v>-2.1000000000000001E-4</v>
      </c>
      <c r="Z145" s="27" t="s">
        <v>65</v>
      </c>
    </row>
    <row r="146" spans="2:26" x14ac:dyDescent="0.2">
      <c r="B146" s="27" t="s">
        <v>229</v>
      </c>
      <c r="C146" s="27">
        <v>64</v>
      </c>
      <c r="D146" s="27" t="s">
        <v>127</v>
      </c>
      <c r="E146" s="27" t="s">
        <v>106</v>
      </c>
      <c r="F146" s="27" t="s">
        <v>276</v>
      </c>
      <c r="G146" s="27" t="s">
        <v>63</v>
      </c>
      <c r="H146" s="27">
        <v>60</v>
      </c>
      <c r="I146" s="27">
        <v>16</v>
      </c>
      <c r="J146" s="37">
        <v>-2.9100000000000003E-4</v>
      </c>
      <c r="K146" s="27">
        <v>1</v>
      </c>
      <c r="L146" s="38">
        <v>-2.5500000000000002E-4</v>
      </c>
      <c r="M146" s="27" t="s">
        <v>65</v>
      </c>
      <c r="O146" s="27" t="s">
        <v>229</v>
      </c>
      <c r="P146" s="27">
        <v>64</v>
      </c>
      <c r="Q146" s="27" t="s">
        <v>127</v>
      </c>
      <c r="R146" s="27" t="s">
        <v>376</v>
      </c>
      <c r="S146" s="27" t="s">
        <v>276</v>
      </c>
      <c r="T146" s="27" t="s">
        <v>63</v>
      </c>
      <c r="U146" s="27">
        <v>10</v>
      </c>
      <c r="V146" s="27">
        <v>16</v>
      </c>
      <c r="W146" s="37">
        <v>-2.9E-4</v>
      </c>
      <c r="X146" s="27">
        <v>1</v>
      </c>
      <c r="Y146" s="38">
        <v>-2.5399999999999999E-4</v>
      </c>
      <c r="Z146" s="27" t="s">
        <v>65</v>
      </c>
    </row>
    <row r="147" spans="2:26" x14ac:dyDescent="0.2">
      <c r="B147" s="27" t="s">
        <v>229</v>
      </c>
      <c r="C147" s="27">
        <v>64</v>
      </c>
      <c r="D147" s="27" t="s">
        <v>127</v>
      </c>
      <c r="E147" s="27" t="s">
        <v>106</v>
      </c>
      <c r="F147" s="27" t="s">
        <v>277</v>
      </c>
      <c r="G147" s="27" t="s">
        <v>64</v>
      </c>
      <c r="H147" s="27">
        <v>60</v>
      </c>
      <c r="I147" s="27">
        <v>9</v>
      </c>
      <c r="J147" s="37">
        <v>-2.3699999999999999E-4</v>
      </c>
      <c r="K147" s="27">
        <v>6</v>
      </c>
      <c r="L147" s="38">
        <v>-2.1000000000000001E-4</v>
      </c>
      <c r="M147" s="27" t="s">
        <v>65</v>
      </c>
      <c r="O147" s="27" t="s">
        <v>229</v>
      </c>
      <c r="P147" s="27">
        <v>64</v>
      </c>
      <c r="Q147" s="27" t="s">
        <v>127</v>
      </c>
      <c r="R147" s="27" t="s">
        <v>376</v>
      </c>
      <c r="S147" s="27" t="s">
        <v>277</v>
      </c>
      <c r="T147" s="27" t="s">
        <v>64</v>
      </c>
      <c r="U147" s="27">
        <v>10</v>
      </c>
      <c r="V147" s="27">
        <v>9</v>
      </c>
      <c r="W147" s="37">
        <v>-2.3699999999999999E-4</v>
      </c>
      <c r="X147" s="27">
        <v>6</v>
      </c>
      <c r="Y147" s="38">
        <v>-2.1000000000000001E-4</v>
      </c>
      <c r="Z147" s="27" t="s">
        <v>65</v>
      </c>
    </row>
    <row r="148" spans="2:26" x14ac:dyDescent="0.2">
      <c r="B148" s="27" t="s">
        <v>278</v>
      </c>
      <c r="C148" s="27">
        <v>127</v>
      </c>
      <c r="D148" s="27" t="s">
        <v>127</v>
      </c>
      <c r="E148" s="27" t="s">
        <v>106</v>
      </c>
      <c r="F148" s="27" t="s">
        <v>279</v>
      </c>
      <c r="G148" s="27" t="s">
        <v>63</v>
      </c>
      <c r="H148" s="27">
        <v>60</v>
      </c>
      <c r="I148" s="27">
        <v>14</v>
      </c>
      <c r="J148" s="37">
        <v>-7.8799999999999996E-4</v>
      </c>
      <c r="K148" s="27">
        <v>4</v>
      </c>
      <c r="L148" s="38">
        <v>-6.7500000000000004E-4</v>
      </c>
      <c r="M148" s="27" t="s">
        <v>65</v>
      </c>
      <c r="O148" s="27" t="s">
        <v>278</v>
      </c>
      <c r="P148" s="27">
        <v>127</v>
      </c>
      <c r="Q148" s="27" t="s">
        <v>127</v>
      </c>
      <c r="R148" s="27" t="s">
        <v>376</v>
      </c>
      <c r="S148" s="27" t="s">
        <v>279</v>
      </c>
      <c r="T148" s="27" t="s">
        <v>63</v>
      </c>
      <c r="U148" s="27">
        <v>10</v>
      </c>
      <c r="V148" s="27">
        <v>14</v>
      </c>
      <c r="W148" s="37">
        <v>-7.9100000000000004E-4</v>
      </c>
      <c r="X148" s="27">
        <v>4</v>
      </c>
      <c r="Y148" s="38">
        <v>-6.7699999999999998E-4</v>
      </c>
      <c r="Z148" s="27" t="s">
        <v>65</v>
      </c>
    </row>
    <row r="149" spans="2:26" x14ac:dyDescent="0.2">
      <c r="B149" s="27" t="s">
        <v>278</v>
      </c>
      <c r="C149" s="27">
        <v>127</v>
      </c>
      <c r="D149" s="27" t="s">
        <v>127</v>
      </c>
      <c r="E149" s="27" t="s">
        <v>106</v>
      </c>
      <c r="F149" s="27" t="s">
        <v>280</v>
      </c>
      <c r="G149" s="27" t="s">
        <v>64</v>
      </c>
      <c r="H149" s="27">
        <v>60</v>
      </c>
      <c r="I149" s="27">
        <v>11</v>
      </c>
      <c r="J149" s="37">
        <v>-4.6299999999999998E-4</v>
      </c>
      <c r="K149" s="27">
        <v>3</v>
      </c>
      <c r="L149" s="38">
        <v>-4.1100000000000002E-4</v>
      </c>
      <c r="M149" s="27" t="s">
        <v>65</v>
      </c>
      <c r="O149" s="27" t="s">
        <v>278</v>
      </c>
      <c r="P149" s="27">
        <v>127</v>
      </c>
      <c r="Q149" s="27" t="s">
        <v>127</v>
      </c>
      <c r="R149" s="27" t="s">
        <v>376</v>
      </c>
      <c r="S149" s="27" t="s">
        <v>280</v>
      </c>
      <c r="T149" s="27" t="s">
        <v>64</v>
      </c>
      <c r="U149" s="27">
        <v>10</v>
      </c>
      <c r="V149" s="27">
        <v>11</v>
      </c>
      <c r="W149" s="37">
        <v>-4.64E-4</v>
      </c>
      <c r="X149" s="27">
        <v>3</v>
      </c>
      <c r="Y149" s="38">
        <v>-4.1199999999999999E-4</v>
      </c>
      <c r="Z149" s="27" t="s">
        <v>65</v>
      </c>
    </row>
    <row r="150" spans="2:26" x14ac:dyDescent="0.2">
      <c r="B150" s="27" t="s">
        <v>278</v>
      </c>
      <c r="C150" s="27">
        <v>139</v>
      </c>
      <c r="D150" s="27" t="s">
        <v>128</v>
      </c>
      <c r="E150" s="27" t="s">
        <v>106</v>
      </c>
      <c r="F150" s="27" t="s">
        <v>281</v>
      </c>
      <c r="G150" s="27" t="s">
        <v>63</v>
      </c>
      <c r="H150" s="27">
        <v>60</v>
      </c>
      <c r="I150" s="27">
        <v>20</v>
      </c>
      <c r="J150" s="37">
        <v>-3.6000000000000002E-4</v>
      </c>
      <c r="K150" s="27">
        <v>4</v>
      </c>
      <c r="L150" s="38">
        <v>-3.28E-4</v>
      </c>
      <c r="M150" s="27" t="s">
        <v>65</v>
      </c>
      <c r="O150" s="27" t="s">
        <v>278</v>
      </c>
      <c r="P150" s="27">
        <v>139</v>
      </c>
      <c r="Q150" s="27" t="s">
        <v>128</v>
      </c>
      <c r="R150" s="27" t="s">
        <v>376</v>
      </c>
      <c r="S150" s="27" t="s">
        <v>281</v>
      </c>
      <c r="T150" s="27" t="s">
        <v>63</v>
      </c>
      <c r="U150" s="27">
        <v>10</v>
      </c>
      <c r="V150" s="27">
        <v>20</v>
      </c>
      <c r="W150" s="37">
        <v>-3.6200000000000002E-4</v>
      </c>
      <c r="X150" s="27">
        <v>4</v>
      </c>
      <c r="Y150" s="38">
        <v>-3.3E-4</v>
      </c>
      <c r="Z150" s="27" t="s">
        <v>65</v>
      </c>
    </row>
    <row r="151" spans="2:26" x14ac:dyDescent="0.2">
      <c r="B151" s="27" t="s">
        <v>278</v>
      </c>
      <c r="C151" s="27">
        <v>139</v>
      </c>
      <c r="D151" s="27" t="s">
        <v>128</v>
      </c>
      <c r="E151" s="27" t="s">
        <v>106</v>
      </c>
      <c r="F151" s="27" t="s">
        <v>282</v>
      </c>
      <c r="G151" s="27" t="s">
        <v>64</v>
      </c>
      <c r="H151" s="27">
        <v>60</v>
      </c>
      <c r="I151" s="27">
        <v>17</v>
      </c>
      <c r="J151" s="37">
        <v>-2.22E-4</v>
      </c>
      <c r="K151" s="27">
        <v>3</v>
      </c>
      <c r="L151" s="38">
        <v>-2.0900000000000001E-4</v>
      </c>
      <c r="M151" s="27" t="s">
        <v>65</v>
      </c>
      <c r="O151" s="27" t="s">
        <v>278</v>
      </c>
      <c r="P151" s="27">
        <v>139</v>
      </c>
      <c r="Q151" s="27" t="s">
        <v>128</v>
      </c>
      <c r="R151" s="27" t="s">
        <v>376</v>
      </c>
      <c r="S151" s="27" t="s">
        <v>282</v>
      </c>
      <c r="T151" s="27" t="s">
        <v>64</v>
      </c>
      <c r="U151" s="27">
        <v>10</v>
      </c>
      <c r="V151" s="27">
        <v>17</v>
      </c>
      <c r="W151" s="37">
        <v>-2.22E-4</v>
      </c>
      <c r="X151" s="27">
        <v>3</v>
      </c>
      <c r="Y151" s="38">
        <v>-2.0900000000000001E-4</v>
      </c>
      <c r="Z151" s="27" t="s">
        <v>65</v>
      </c>
    </row>
    <row r="152" spans="2:26" x14ac:dyDescent="0.2">
      <c r="B152" s="27" t="s">
        <v>278</v>
      </c>
      <c r="C152" s="27">
        <v>135</v>
      </c>
      <c r="D152" s="27" t="s">
        <v>129</v>
      </c>
      <c r="E152" s="27" t="s">
        <v>106</v>
      </c>
      <c r="F152" s="27" t="s">
        <v>283</v>
      </c>
      <c r="G152" s="27" t="s">
        <v>63</v>
      </c>
      <c r="H152" s="27">
        <v>60</v>
      </c>
      <c r="I152" s="27">
        <v>20</v>
      </c>
      <c r="J152" s="37">
        <v>-4.8799999999999999E-4</v>
      </c>
      <c r="K152" s="27">
        <v>7</v>
      </c>
      <c r="L152" s="38">
        <v>-4.57E-4</v>
      </c>
      <c r="M152" s="27" t="s">
        <v>65</v>
      </c>
      <c r="O152" s="27" t="s">
        <v>278</v>
      </c>
      <c r="P152" s="27">
        <v>135</v>
      </c>
      <c r="Q152" s="27" t="s">
        <v>129</v>
      </c>
      <c r="R152" s="27" t="s">
        <v>376</v>
      </c>
      <c r="S152" s="27" t="s">
        <v>283</v>
      </c>
      <c r="T152" s="27" t="s">
        <v>63</v>
      </c>
      <c r="U152" s="27">
        <v>10</v>
      </c>
      <c r="V152" s="27">
        <v>20</v>
      </c>
      <c r="W152" s="37">
        <v>-4.8899999999999996E-4</v>
      </c>
      <c r="X152" s="27">
        <v>7</v>
      </c>
      <c r="Y152" s="38">
        <v>-4.5800000000000002E-4</v>
      </c>
      <c r="Z152" s="27" t="s">
        <v>65</v>
      </c>
    </row>
    <row r="153" spans="2:26" x14ac:dyDescent="0.2">
      <c r="B153" s="27" t="s">
        <v>278</v>
      </c>
      <c r="C153" s="27">
        <v>135</v>
      </c>
      <c r="D153" s="27" t="s">
        <v>129</v>
      </c>
      <c r="E153" s="27" t="s">
        <v>106</v>
      </c>
      <c r="F153" s="27" t="s">
        <v>284</v>
      </c>
      <c r="G153" s="27" t="s">
        <v>64</v>
      </c>
      <c r="H153" s="27">
        <v>60</v>
      </c>
      <c r="I153" s="27">
        <v>17</v>
      </c>
      <c r="J153" s="37">
        <v>-2.0699999999999999E-4</v>
      </c>
      <c r="K153" s="27">
        <v>6</v>
      </c>
      <c r="L153" s="38">
        <v>-1.9100000000000001E-4</v>
      </c>
      <c r="M153" s="27" t="s">
        <v>65</v>
      </c>
      <c r="O153" s="27" t="s">
        <v>278</v>
      </c>
      <c r="P153" s="27">
        <v>135</v>
      </c>
      <c r="Q153" s="27" t="s">
        <v>129</v>
      </c>
      <c r="R153" s="27" t="s">
        <v>376</v>
      </c>
      <c r="S153" s="27" t="s">
        <v>284</v>
      </c>
      <c r="T153" s="27" t="s">
        <v>64</v>
      </c>
      <c r="U153" s="27">
        <v>10</v>
      </c>
      <c r="V153" s="27">
        <v>17</v>
      </c>
      <c r="W153" s="37">
        <v>-2.0699999999999999E-4</v>
      </c>
      <c r="X153" s="27">
        <v>6</v>
      </c>
      <c r="Y153" s="38">
        <v>-1.9100000000000001E-4</v>
      </c>
      <c r="Z153" s="27" t="s">
        <v>65</v>
      </c>
    </row>
    <row r="154" spans="2:26" x14ac:dyDescent="0.2">
      <c r="B154" s="27" t="s">
        <v>278</v>
      </c>
      <c r="C154" s="27">
        <v>136</v>
      </c>
      <c r="D154" s="27" t="s">
        <v>129</v>
      </c>
      <c r="E154" s="27" t="s">
        <v>106</v>
      </c>
      <c r="F154" s="27" t="s">
        <v>285</v>
      </c>
      <c r="G154" s="27" t="s">
        <v>63</v>
      </c>
      <c r="H154" s="27">
        <v>60</v>
      </c>
      <c r="I154" s="27">
        <v>20</v>
      </c>
      <c r="J154" s="37">
        <v>-4.8700000000000002E-4</v>
      </c>
      <c r="K154" s="27">
        <v>7</v>
      </c>
      <c r="L154" s="38">
        <v>-4.5600000000000003E-4</v>
      </c>
      <c r="M154" s="27" t="s">
        <v>65</v>
      </c>
      <c r="O154" s="27" t="s">
        <v>278</v>
      </c>
      <c r="P154" s="27">
        <v>136</v>
      </c>
      <c r="Q154" s="27" t="s">
        <v>129</v>
      </c>
      <c r="R154" s="27" t="s">
        <v>376</v>
      </c>
      <c r="S154" s="27" t="s">
        <v>285</v>
      </c>
      <c r="T154" s="27" t="s">
        <v>63</v>
      </c>
      <c r="U154" s="27">
        <v>10</v>
      </c>
      <c r="V154" s="27">
        <v>20</v>
      </c>
      <c r="W154" s="37">
        <v>-4.8799999999999999E-4</v>
      </c>
      <c r="X154" s="27">
        <v>7</v>
      </c>
      <c r="Y154" s="38">
        <v>-4.57E-4</v>
      </c>
      <c r="Z154" s="27" t="s">
        <v>65</v>
      </c>
    </row>
    <row r="155" spans="2:26" x14ac:dyDescent="0.2">
      <c r="B155" s="27" t="s">
        <v>278</v>
      </c>
      <c r="C155" s="27">
        <v>136</v>
      </c>
      <c r="D155" s="27" t="s">
        <v>129</v>
      </c>
      <c r="E155" s="27" t="s">
        <v>106</v>
      </c>
      <c r="F155" s="27" t="s">
        <v>286</v>
      </c>
      <c r="G155" s="27" t="s">
        <v>64</v>
      </c>
      <c r="H155" s="27">
        <v>60</v>
      </c>
      <c r="I155" s="27">
        <v>17</v>
      </c>
      <c r="J155" s="37">
        <v>-2.05E-4</v>
      </c>
      <c r="K155" s="27">
        <v>6</v>
      </c>
      <c r="L155" s="38">
        <v>-1.8900000000000001E-4</v>
      </c>
      <c r="M155" s="27" t="s">
        <v>65</v>
      </c>
      <c r="O155" s="27" t="s">
        <v>278</v>
      </c>
      <c r="P155" s="27">
        <v>136</v>
      </c>
      <c r="Q155" s="27" t="s">
        <v>129</v>
      </c>
      <c r="R155" s="27" t="s">
        <v>376</v>
      </c>
      <c r="S155" s="27" t="s">
        <v>286</v>
      </c>
      <c r="T155" s="27" t="s">
        <v>64</v>
      </c>
      <c r="U155" s="27">
        <v>10</v>
      </c>
      <c r="V155" s="27">
        <v>17</v>
      </c>
      <c r="W155" s="37">
        <v>-2.0599999999999999E-4</v>
      </c>
      <c r="X155" s="27">
        <v>6</v>
      </c>
      <c r="Y155" s="38">
        <v>-1.9000000000000001E-4</v>
      </c>
      <c r="Z155" s="27" t="s">
        <v>65</v>
      </c>
    </row>
    <row r="156" spans="2:26" x14ac:dyDescent="0.2">
      <c r="B156" s="27" t="s">
        <v>278</v>
      </c>
      <c r="C156" s="27">
        <v>140</v>
      </c>
      <c r="D156" s="27" t="s">
        <v>128</v>
      </c>
      <c r="E156" s="27" t="s">
        <v>106</v>
      </c>
      <c r="F156" s="27" t="s">
        <v>287</v>
      </c>
      <c r="G156" s="27" t="s">
        <v>63</v>
      </c>
      <c r="H156" s="27">
        <v>60</v>
      </c>
      <c r="I156" s="27">
        <v>20</v>
      </c>
      <c r="J156" s="37">
        <v>-3.6699999999999998E-4</v>
      </c>
      <c r="K156" s="27">
        <v>4</v>
      </c>
      <c r="L156" s="38">
        <v>-3.3399999999999999E-4</v>
      </c>
      <c r="M156" s="27" t="s">
        <v>65</v>
      </c>
      <c r="O156" s="27" t="s">
        <v>278</v>
      </c>
      <c r="P156" s="27">
        <v>140</v>
      </c>
      <c r="Q156" s="27" t="s">
        <v>128</v>
      </c>
      <c r="R156" s="27" t="s">
        <v>376</v>
      </c>
      <c r="S156" s="27" t="s">
        <v>287</v>
      </c>
      <c r="T156" s="27" t="s">
        <v>63</v>
      </c>
      <c r="U156" s="27">
        <v>10</v>
      </c>
      <c r="V156" s="27">
        <v>20</v>
      </c>
      <c r="W156" s="37">
        <v>-3.6900000000000002E-4</v>
      </c>
      <c r="X156" s="27">
        <v>4</v>
      </c>
      <c r="Y156" s="38">
        <v>-3.3500000000000001E-4</v>
      </c>
      <c r="Z156" s="27" t="s">
        <v>65</v>
      </c>
    </row>
    <row r="157" spans="2:26" x14ac:dyDescent="0.2">
      <c r="B157" s="27" t="s">
        <v>278</v>
      </c>
      <c r="C157" s="27">
        <v>140</v>
      </c>
      <c r="D157" s="27" t="s">
        <v>128</v>
      </c>
      <c r="E157" s="27" t="s">
        <v>106</v>
      </c>
      <c r="F157" s="27" t="s">
        <v>288</v>
      </c>
      <c r="G157" s="27" t="s">
        <v>64</v>
      </c>
      <c r="H157" s="27">
        <v>60</v>
      </c>
      <c r="I157" s="27">
        <v>17</v>
      </c>
      <c r="J157" s="37">
        <v>-2.24E-4</v>
      </c>
      <c r="K157" s="27">
        <v>3</v>
      </c>
      <c r="L157" s="38">
        <v>-2.1000000000000001E-4</v>
      </c>
      <c r="M157" s="27" t="s">
        <v>65</v>
      </c>
      <c r="O157" s="27" t="s">
        <v>278</v>
      </c>
      <c r="P157" s="27">
        <v>140</v>
      </c>
      <c r="Q157" s="27" t="s">
        <v>128</v>
      </c>
      <c r="R157" s="27" t="s">
        <v>376</v>
      </c>
      <c r="S157" s="27" t="s">
        <v>288</v>
      </c>
      <c r="T157" s="27" t="s">
        <v>64</v>
      </c>
      <c r="U157" s="27">
        <v>10</v>
      </c>
      <c r="V157" s="27">
        <v>17</v>
      </c>
      <c r="W157" s="37">
        <v>-2.24E-4</v>
      </c>
      <c r="X157" s="27">
        <v>3</v>
      </c>
      <c r="Y157" s="38">
        <v>-2.1000000000000001E-4</v>
      </c>
      <c r="Z157" s="27" t="s">
        <v>65</v>
      </c>
    </row>
    <row r="158" spans="2:26" x14ac:dyDescent="0.2">
      <c r="B158" s="27" t="s">
        <v>278</v>
      </c>
      <c r="C158" s="27">
        <v>128</v>
      </c>
      <c r="D158" s="27" t="s">
        <v>127</v>
      </c>
      <c r="E158" s="27" t="s">
        <v>106</v>
      </c>
      <c r="F158" s="27" t="s">
        <v>289</v>
      </c>
      <c r="G158" s="27" t="s">
        <v>63</v>
      </c>
      <c r="H158" s="27">
        <v>60</v>
      </c>
      <c r="I158" s="27">
        <v>14</v>
      </c>
      <c r="J158" s="37">
        <v>-3.8099999999999999E-4</v>
      </c>
      <c r="K158" s="27">
        <v>4</v>
      </c>
      <c r="L158" s="38">
        <v>-3.3500000000000001E-4</v>
      </c>
      <c r="M158" s="27" t="s">
        <v>65</v>
      </c>
      <c r="O158" s="27" t="s">
        <v>278</v>
      </c>
      <c r="P158" s="27">
        <v>128</v>
      </c>
      <c r="Q158" s="27" t="s">
        <v>127</v>
      </c>
      <c r="R158" s="27" t="s">
        <v>376</v>
      </c>
      <c r="S158" s="27" t="s">
        <v>289</v>
      </c>
      <c r="T158" s="27" t="s">
        <v>63</v>
      </c>
      <c r="U158" s="27">
        <v>10</v>
      </c>
      <c r="V158" s="27">
        <v>14</v>
      </c>
      <c r="W158" s="37">
        <v>-3.8200000000000002E-4</v>
      </c>
      <c r="X158" s="27">
        <v>4</v>
      </c>
      <c r="Y158" s="38">
        <v>-3.3599999999999998E-4</v>
      </c>
      <c r="Z158" s="27" t="s">
        <v>65</v>
      </c>
    </row>
    <row r="159" spans="2:26" x14ac:dyDescent="0.2">
      <c r="B159" s="27" t="s">
        <v>278</v>
      </c>
      <c r="C159" s="27">
        <v>128</v>
      </c>
      <c r="D159" s="27" t="s">
        <v>127</v>
      </c>
      <c r="E159" s="27" t="s">
        <v>106</v>
      </c>
      <c r="F159" s="27" t="s">
        <v>290</v>
      </c>
      <c r="G159" s="27" t="s">
        <v>64</v>
      </c>
      <c r="H159" s="27">
        <v>60</v>
      </c>
      <c r="I159" s="27">
        <v>11</v>
      </c>
      <c r="J159" s="37">
        <v>-2.3900000000000001E-4</v>
      </c>
      <c r="K159" s="27">
        <v>3</v>
      </c>
      <c r="L159" s="38">
        <v>-2.1699999999999999E-4</v>
      </c>
      <c r="M159" s="27" t="s">
        <v>65</v>
      </c>
      <c r="O159" s="27" t="s">
        <v>278</v>
      </c>
      <c r="P159" s="27">
        <v>128</v>
      </c>
      <c r="Q159" s="27" t="s">
        <v>127</v>
      </c>
      <c r="R159" s="27" t="s">
        <v>376</v>
      </c>
      <c r="S159" s="27" t="s">
        <v>290</v>
      </c>
      <c r="T159" s="27" t="s">
        <v>64</v>
      </c>
      <c r="U159" s="27">
        <v>10</v>
      </c>
      <c r="V159" s="27">
        <v>11</v>
      </c>
      <c r="W159" s="37">
        <v>-2.4000000000000001E-4</v>
      </c>
      <c r="X159" s="27">
        <v>3</v>
      </c>
      <c r="Y159" s="38">
        <v>-2.1800000000000001E-4</v>
      </c>
      <c r="Z159" s="27" t="s">
        <v>65</v>
      </c>
    </row>
    <row r="160" spans="2:26" x14ac:dyDescent="0.2">
      <c r="B160" s="27" t="s">
        <v>278</v>
      </c>
      <c r="C160" s="27">
        <v>144</v>
      </c>
      <c r="D160" s="27" t="s">
        <v>128</v>
      </c>
      <c r="E160" s="27" t="s">
        <v>106</v>
      </c>
      <c r="F160" s="27" t="s">
        <v>291</v>
      </c>
      <c r="G160" s="27" t="s">
        <v>63</v>
      </c>
      <c r="H160" s="27">
        <v>60</v>
      </c>
      <c r="I160" s="27">
        <v>22</v>
      </c>
      <c r="J160" s="37">
        <v>-3.7500000000000001E-4</v>
      </c>
      <c r="K160" s="27">
        <v>1</v>
      </c>
      <c r="L160" s="38">
        <v>-3.3E-4</v>
      </c>
      <c r="M160" s="27" t="s">
        <v>65</v>
      </c>
      <c r="O160" s="27" t="s">
        <v>278</v>
      </c>
      <c r="P160" s="27">
        <v>144</v>
      </c>
      <c r="Q160" s="27" t="s">
        <v>128</v>
      </c>
      <c r="R160" s="27" t="s">
        <v>376</v>
      </c>
      <c r="S160" s="27" t="s">
        <v>291</v>
      </c>
      <c r="T160" s="27" t="s">
        <v>63</v>
      </c>
      <c r="U160" s="27">
        <v>10</v>
      </c>
      <c r="V160" s="27">
        <v>22</v>
      </c>
      <c r="W160" s="37">
        <v>-3.7300000000000001E-4</v>
      </c>
      <c r="X160" s="27">
        <v>1</v>
      </c>
      <c r="Y160" s="38">
        <v>-3.28E-4</v>
      </c>
      <c r="Z160" s="27" t="s">
        <v>65</v>
      </c>
    </row>
    <row r="161" spans="2:26" x14ac:dyDescent="0.2">
      <c r="B161" s="27" t="s">
        <v>278</v>
      </c>
      <c r="C161" s="27">
        <v>144</v>
      </c>
      <c r="D161" s="27" t="s">
        <v>128</v>
      </c>
      <c r="E161" s="27" t="s">
        <v>106</v>
      </c>
      <c r="F161" s="27" t="s">
        <v>292</v>
      </c>
      <c r="G161" s="27" t="s">
        <v>64</v>
      </c>
      <c r="H161" s="27">
        <v>60</v>
      </c>
      <c r="I161" s="27">
        <v>15</v>
      </c>
      <c r="J161" s="37">
        <v>-2.3900000000000001E-4</v>
      </c>
      <c r="K161" s="27">
        <v>6</v>
      </c>
      <c r="L161" s="38">
        <v>-2.1800000000000001E-4</v>
      </c>
      <c r="M161" s="27" t="s">
        <v>65</v>
      </c>
      <c r="O161" s="27" t="s">
        <v>278</v>
      </c>
      <c r="P161" s="27">
        <v>144</v>
      </c>
      <c r="Q161" s="27" t="s">
        <v>128</v>
      </c>
      <c r="R161" s="27" t="s">
        <v>376</v>
      </c>
      <c r="S161" s="27" t="s">
        <v>292</v>
      </c>
      <c r="T161" s="27" t="s">
        <v>64</v>
      </c>
      <c r="U161" s="27">
        <v>10</v>
      </c>
      <c r="V161" s="27">
        <v>15</v>
      </c>
      <c r="W161" s="37">
        <v>-2.3900000000000001E-4</v>
      </c>
      <c r="X161" s="27">
        <v>6</v>
      </c>
      <c r="Y161" s="38">
        <v>-2.1800000000000001E-4</v>
      </c>
      <c r="Z161" s="27" t="s">
        <v>65</v>
      </c>
    </row>
    <row r="162" spans="2:26" x14ac:dyDescent="0.2">
      <c r="B162" s="27" t="s">
        <v>278</v>
      </c>
      <c r="C162" s="27">
        <v>129</v>
      </c>
      <c r="D162" s="27" t="s">
        <v>129</v>
      </c>
      <c r="E162" s="27" t="s">
        <v>106</v>
      </c>
      <c r="F162" s="27" t="s">
        <v>293</v>
      </c>
      <c r="G162" s="27" t="s">
        <v>63</v>
      </c>
      <c r="H162" s="27">
        <v>60</v>
      </c>
      <c r="I162" s="27">
        <v>22</v>
      </c>
      <c r="J162" s="37">
        <v>-3.9199999999999999E-4</v>
      </c>
      <c r="K162" s="27">
        <v>1</v>
      </c>
      <c r="L162" s="38">
        <v>-3.9300000000000001E-4</v>
      </c>
      <c r="M162" s="27" t="s">
        <v>65</v>
      </c>
      <c r="O162" s="27" t="s">
        <v>278</v>
      </c>
      <c r="P162" s="27">
        <v>129</v>
      </c>
      <c r="Q162" s="27" t="s">
        <v>129</v>
      </c>
      <c r="R162" s="27" t="s">
        <v>376</v>
      </c>
      <c r="S162" s="27" t="s">
        <v>293</v>
      </c>
      <c r="T162" s="27" t="s">
        <v>63</v>
      </c>
      <c r="U162" s="27">
        <v>10</v>
      </c>
      <c r="V162" s="27">
        <v>22</v>
      </c>
      <c r="W162" s="37">
        <v>-3.9100000000000002E-4</v>
      </c>
      <c r="X162" s="27">
        <v>1</v>
      </c>
      <c r="Y162" s="38">
        <v>-3.9100000000000002E-4</v>
      </c>
      <c r="Z162" s="27" t="s">
        <v>65</v>
      </c>
    </row>
    <row r="163" spans="2:26" x14ac:dyDescent="0.2">
      <c r="B163" s="27" t="s">
        <v>278</v>
      </c>
      <c r="C163" s="27">
        <v>129</v>
      </c>
      <c r="D163" s="27" t="s">
        <v>129</v>
      </c>
      <c r="E163" s="27" t="s">
        <v>106</v>
      </c>
      <c r="F163" s="27" t="s">
        <v>294</v>
      </c>
      <c r="G163" s="27" t="s">
        <v>64</v>
      </c>
      <c r="H163" s="27">
        <v>60</v>
      </c>
      <c r="I163" s="27">
        <v>15</v>
      </c>
      <c r="J163" s="37">
        <v>-1.9900000000000001E-4</v>
      </c>
      <c r="K163" s="27">
        <v>12</v>
      </c>
      <c r="L163" s="38">
        <v>-1.9900000000000001E-4</v>
      </c>
      <c r="M163" s="27" t="s">
        <v>65</v>
      </c>
      <c r="O163" s="27" t="s">
        <v>278</v>
      </c>
      <c r="P163" s="27">
        <v>129</v>
      </c>
      <c r="Q163" s="27" t="s">
        <v>129</v>
      </c>
      <c r="R163" s="27" t="s">
        <v>376</v>
      </c>
      <c r="S163" s="27" t="s">
        <v>294</v>
      </c>
      <c r="T163" s="27" t="s">
        <v>64</v>
      </c>
      <c r="U163" s="27">
        <v>10</v>
      </c>
      <c r="V163" s="27">
        <v>15</v>
      </c>
      <c r="W163" s="37">
        <v>-1.9900000000000001E-4</v>
      </c>
      <c r="X163" s="27">
        <v>6</v>
      </c>
      <c r="Y163" s="38">
        <v>-1.9900000000000001E-4</v>
      </c>
      <c r="Z163" s="27" t="s">
        <v>65</v>
      </c>
    </row>
    <row r="164" spans="2:26" x14ac:dyDescent="0.2">
      <c r="B164" s="27" t="s">
        <v>278</v>
      </c>
      <c r="C164" s="27">
        <v>147</v>
      </c>
      <c r="D164" s="27" t="s">
        <v>128</v>
      </c>
      <c r="E164" s="27" t="s">
        <v>106</v>
      </c>
      <c r="F164" s="27" t="s">
        <v>295</v>
      </c>
      <c r="G164" s="27" t="s">
        <v>63</v>
      </c>
      <c r="H164" s="27">
        <v>60</v>
      </c>
      <c r="I164" s="27">
        <v>22</v>
      </c>
      <c r="J164" s="37">
        <v>-3.97E-4</v>
      </c>
      <c r="K164" s="27">
        <v>1</v>
      </c>
      <c r="L164" s="38">
        <v>-3.5399999999999999E-4</v>
      </c>
      <c r="M164" s="27" t="s">
        <v>65</v>
      </c>
      <c r="O164" s="27" t="s">
        <v>278</v>
      </c>
      <c r="P164" s="27">
        <v>147</v>
      </c>
      <c r="Q164" s="27" t="s">
        <v>128</v>
      </c>
      <c r="R164" s="27" t="s">
        <v>376</v>
      </c>
      <c r="S164" s="27" t="s">
        <v>295</v>
      </c>
      <c r="T164" s="27" t="s">
        <v>63</v>
      </c>
      <c r="U164" s="27">
        <v>10</v>
      </c>
      <c r="V164" s="27">
        <v>20</v>
      </c>
      <c r="W164" s="37">
        <v>-3.9599999999999998E-4</v>
      </c>
      <c r="X164" s="27">
        <v>4</v>
      </c>
      <c r="Y164" s="38">
        <v>-3.5399999999999999E-4</v>
      </c>
      <c r="Z164" s="27" t="s">
        <v>65</v>
      </c>
    </row>
    <row r="165" spans="2:26" x14ac:dyDescent="0.2">
      <c r="B165" s="27" t="s">
        <v>278</v>
      </c>
      <c r="C165" s="27">
        <v>147</v>
      </c>
      <c r="D165" s="27" t="s">
        <v>128</v>
      </c>
      <c r="E165" s="27" t="s">
        <v>106</v>
      </c>
      <c r="F165" s="27" t="s">
        <v>296</v>
      </c>
      <c r="G165" s="27" t="s">
        <v>64</v>
      </c>
      <c r="H165" s="27">
        <v>60</v>
      </c>
      <c r="I165" s="27">
        <v>15</v>
      </c>
      <c r="J165" s="37">
        <v>-2.7500000000000002E-4</v>
      </c>
      <c r="K165" s="27">
        <v>3</v>
      </c>
      <c r="L165" s="38">
        <v>-2.5500000000000002E-4</v>
      </c>
      <c r="M165" s="27" t="s">
        <v>65</v>
      </c>
      <c r="O165" s="27" t="s">
        <v>278</v>
      </c>
      <c r="P165" s="27">
        <v>147</v>
      </c>
      <c r="Q165" s="27" t="s">
        <v>128</v>
      </c>
      <c r="R165" s="27" t="s">
        <v>376</v>
      </c>
      <c r="S165" s="27" t="s">
        <v>296</v>
      </c>
      <c r="T165" s="27" t="s">
        <v>64</v>
      </c>
      <c r="U165" s="27">
        <v>10</v>
      </c>
      <c r="V165" s="27">
        <v>15</v>
      </c>
      <c r="W165" s="37">
        <v>-2.7500000000000002E-4</v>
      </c>
      <c r="X165" s="27">
        <v>3</v>
      </c>
      <c r="Y165" s="38">
        <v>-2.5500000000000002E-4</v>
      </c>
      <c r="Z165" s="27" t="s">
        <v>65</v>
      </c>
    </row>
    <row r="166" spans="2:26" x14ac:dyDescent="0.2">
      <c r="B166" s="27" t="s">
        <v>278</v>
      </c>
      <c r="C166" s="27">
        <v>148</v>
      </c>
      <c r="D166" s="27" t="s">
        <v>128</v>
      </c>
      <c r="E166" s="27" t="s">
        <v>106</v>
      </c>
      <c r="F166" s="27" t="s">
        <v>297</v>
      </c>
      <c r="G166" s="27" t="s">
        <v>63</v>
      </c>
      <c r="H166" s="27">
        <v>60</v>
      </c>
      <c r="I166" s="27">
        <v>21</v>
      </c>
      <c r="J166" s="37">
        <v>-3.9300000000000001E-4</v>
      </c>
      <c r="K166" s="27">
        <v>1</v>
      </c>
      <c r="L166" s="38">
        <v>-3.5199999999999999E-4</v>
      </c>
      <c r="M166" s="27" t="s">
        <v>65</v>
      </c>
      <c r="O166" s="27" t="s">
        <v>278</v>
      </c>
      <c r="P166" s="27">
        <v>148</v>
      </c>
      <c r="Q166" s="27" t="s">
        <v>128</v>
      </c>
      <c r="R166" s="27" t="s">
        <v>376</v>
      </c>
      <c r="S166" s="27" t="s">
        <v>297</v>
      </c>
      <c r="T166" s="27" t="s">
        <v>63</v>
      </c>
      <c r="U166" s="27">
        <v>10</v>
      </c>
      <c r="V166" s="27">
        <v>20</v>
      </c>
      <c r="W166" s="37">
        <v>-3.9399999999999998E-4</v>
      </c>
      <c r="X166" s="27">
        <v>4</v>
      </c>
      <c r="Y166" s="38">
        <v>-3.5300000000000002E-4</v>
      </c>
      <c r="Z166" s="27" t="s">
        <v>65</v>
      </c>
    </row>
    <row r="167" spans="2:26" x14ac:dyDescent="0.2">
      <c r="B167" s="27" t="s">
        <v>278</v>
      </c>
      <c r="C167" s="27">
        <v>148</v>
      </c>
      <c r="D167" s="27" t="s">
        <v>128</v>
      </c>
      <c r="E167" s="27" t="s">
        <v>106</v>
      </c>
      <c r="F167" s="27" t="s">
        <v>298</v>
      </c>
      <c r="G167" s="27" t="s">
        <v>64</v>
      </c>
      <c r="H167" s="27">
        <v>60</v>
      </c>
      <c r="I167" s="27">
        <v>17</v>
      </c>
      <c r="J167" s="37">
        <v>-2.7500000000000002E-4</v>
      </c>
      <c r="K167" s="27">
        <v>3</v>
      </c>
      <c r="L167" s="38">
        <v>-2.5500000000000002E-4</v>
      </c>
      <c r="M167" s="27" t="s">
        <v>65</v>
      </c>
      <c r="O167" s="27" t="s">
        <v>278</v>
      </c>
      <c r="P167" s="27">
        <v>148</v>
      </c>
      <c r="Q167" s="27" t="s">
        <v>128</v>
      </c>
      <c r="R167" s="27" t="s">
        <v>376</v>
      </c>
      <c r="S167" s="27" t="s">
        <v>298</v>
      </c>
      <c r="T167" s="27" t="s">
        <v>64</v>
      </c>
      <c r="U167" s="27">
        <v>10</v>
      </c>
      <c r="V167" s="27">
        <v>16</v>
      </c>
      <c r="W167" s="37">
        <v>-2.7500000000000002E-4</v>
      </c>
      <c r="X167" s="27">
        <v>3</v>
      </c>
      <c r="Y167" s="38">
        <v>-2.5500000000000002E-4</v>
      </c>
      <c r="Z167" s="27" t="s">
        <v>65</v>
      </c>
    </row>
    <row r="168" spans="2:26" x14ac:dyDescent="0.2">
      <c r="B168" s="27" t="s">
        <v>278</v>
      </c>
      <c r="C168" s="27">
        <v>131</v>
      </c>
      <c r="D168" s="27" t="s">
        <v>129</v>
      </c>
      <c r="E168" s="27" t="s">
        <v>106</v>
      </c>
      <c r="F168" s="27" t="s">
        <v>299</v>
      </c>
      <c r="G168" s="27" t="s">
        <v>63</v>
      </c>
      <c r="H168" s="27">
        <v>60</v>
      </c>
      <c r="I168" s="27">
        <v>22</v>
      </c>
      <c r="J168" s="37">
        <v>-3.97E-4</v>
      </c>
      <c r="K168" s="27">
        <v>1</v>
      </c>
      <c r="L168" s="38">
        <v>-3.97E-4</v>
      </c>
      <c r="M168" s="27" t="s">
        <v>65</v>
      </c>
      <c r="O168" s="27" t="s">
        <v>278</v>
      </c>
      <c r="P168" s="27">
        <v>131</v>
      </c>
      <c r="Q168" s="27" t="s">
        <v>129</v>
      </c>
      <c r="R168" s="27" t="s">
        <v>376</v>
      </c>
      <c r="S168" s="27" t="s">
        <v>299</v>
      </c>
      <c r="T168" s="27" t="s">
        <v>63</v>
      </c>
      <c r="U168" s="27">
        <v>10</v>
      </c>
      <c r="V168" s="27">
        <v>20</v>
      </c>
      <c r="W168" s="37">
        <v>-3.9599999999999998E-4</v>
      </c>
      <c r="X168" s="27">
        <v>1</v>
      </c>
      <c r="Y168" s="38">
        <v>-3.9599999999999998E-4</v>
      </c>
      <c r="Z168" s="27" t="s">
        <v>65</v>
      </c>
    </row>
    <row r="169" spans="2:26" x14ac:dyDescent="0.2">
      <c r="B169" s="27" t="s">
        <v>278</v>
      </c>
      <c r="C169" s="27">
        <v>131</v>
      </c>
      <c r="D169" s="27" t="s">
        <v>129</v>
      </c>
      <c r="E169" s="27" t="s">
        <v>106</v>
      </c>
      <c r="F169" s="27" t="s">
        <v>300</v>
      </c>
      <c r="G169" s="27" t="s">
        <v>64</v>
      </c>
      <c r="H169" s="27">
        <v>60</v>
      </c>
      <c r="I169" s="27">
        <v>15</v>
      </c>
      <c r="J169" s="37">
        <v>-2.0100000000000001E-4</v>
      </c>
      <c r="K169" s="27">
        <v>6</v>
      </c>
      <c r="L169" s="38">
        <v>-2.0100000000000001E-4</v>
      </c>
      <c r="M169" s="27" t="s">
        <v>65</v>
      </c>
      <c r="O169" s="27" t="s">
        <v>278</v>
      </c>
      <c r="P169" s="27">
        <v>131</v>
      </c>
      <c r="Q169" s="27" t="s">
        <v>129</v>
      </c>
      <c r="R169" s="27" t="s">
        <v>376</v>
      </c>
      <c r="S169" s="27" t="s">
        <v>300</v>
      </c>
      <c r="T169" s="27" t="s">
        <v>64</v>
      </c>
      <c r="U169" s="27">
        <v>10</v>
      </c>
      <c r="V169" s="27">
        <v>17</v>
      </c>
      <c r="W169" s="37">
        <v>-2.02E-4</v>
      </c>
      <c r="X169" s="27">
        <v>6</v>
      </c>
      <c r="Y169" s="38">
        <v>-2.02E-4</v>
      </c>
      <c r="Z169" s="27" t="s">
        <v>65</v>
      </c>
    </row>
    <row r="170" spans="2:26" x14ac:dyDescent="0.2">
      <c r="B170" s="27" t="s">
        <v>278</v>
      </c>
      <c r="C170" s="27">
        <v>142</v>
      </c>
      <c r="D170" s="27" t="s">
        <v>128</v>
      </c>
      <c r="E170" s="27" t="s">
        <v>106</v>
      </c>
      <c r="F170" s="27" t="s">
        <v>301</v>
      </c>
      <c r="G170" s="27" t="s">
        <v>63</v>
      </c>
      <c r="H170" s="27">
        <v>60</v>
      </c>
      <c r="I170" s="27">
        <v>22</v>
      </c>
      <c r="J170" s="37">
        <v>-1.5699999999999999E-4</v>
      </c>
      <c r="K170" s="27">
        <v>1</v>
      </c>
      <c r="L170" s="38">
        <v>-1.45E-4</v>
      </c>
      <c r="M170" s="27" t="s">
        <v>65</v>
      </c>
      <c r="O170" s="27" t="s">
        <v>278</v>
      </c>
      <c r="P170" s="27">
        <v>142</v>
      </c>
      <c r="Q170" s="27" t="s">
        <v>128</v>
      </c>
      <c r="R170" s="27" t="s">
        <v>376</v>
      </c>
      <c r="S170" s="27" t="s">
        <v>301</v>
      </c>
      <c r="T170" s="27" t="s">
        <v>63</v>
      </c>
      <c r="U170" s="27">
        <v>10</v>
      </c>
      <c r="V170" s="27">
        <v>22</v>
      </c>
      <c r="W170" s="37">
        <v>-1.55E-4</v>
      </c>
      <c r="X170" s="27">
        <v>1</v>
      </c>
      <c r="Y170" s="38">
        <v>-1.44E-4</v>
      </c>
      <c r="Z170" s="27" t="s">
        <v>65</v>
      </c>
    </row>
    <row r="171" spans="2:26" x14ac:dyDescent="0.2">
      <c r="B171" s="27" t="s">
        <v>278</v>
      </c>
      <c r="C171" s="27">
        <v>142</v>
      </c>
      <c r="D171" s="27" t="s">
        <v>128</v>
      </c>
      <c r="E171" s="27" t="s">
        <v>106</v>
      </c>
      <c r="F171" s="27" t="s">
        <v>302</v>
      </c>
      <c r="G171" s="27" t="s">
        <v>64</v>
      </c>
      <c r="H171" s="27">
        <v>60</v>
      </c>
      <c r="I171" s="27">
        <v>15</v>
      </c>
      <c r="J171" s="37">
        <v>-9.7E-5</v>
      </c>
      <c r="K171" s="27">
        <v>6</v>
      </c>
      <c r="L171" s="38">
        <v>-9.6000000000000002E-5</v>
      </c>
      <c r="M171" s="27" t="s">
        <v>65</v>
      </c>
      <c r="O171" s="27" t="s">
        <v>278</v>
      </c>
      <c r="P171" s="27">
        <v>142</v>
      </c>
      <c r="Q171" s="27" t="s">
        <v>128</v>
      </c>
      <c r="R171" s="27" t="s">
        <v>376</v>
      </c>
      <c r="S171" s="27" t="s">
        <v>302</v>
      </c>
      <c r="T171" s="27" t="s">
        <v>64</v>
      </c>
      <c r="U171" s="27">
        <v>10</v>
      </c>
      <c r="V171" s="27">
        <v>15</v>
      </c>
      <c r="W171" s="37">
        <v>-9.7E-5</v>
      </c>
      <c r="X171" s="27">
        <v>6</v>
      </c>
      <c r="Y171" s="38">
        <v>-9.6000000000000002E-5</v>
      </c>
      <c r="Z171" s="27" t="s">
        <v>65</v>
      </c>
    </row>
    <row r="172" spans="2:26" x14ac:dyDescent="0.2">
      <c r="B172" s="27" t="s">
        <v>278</v>
      </c>
      <c r="C172" s="27">
        <v>143</v>
      </c>
      <c r="D172" s="27" t="s">
        <v>128</v>
      </c>
      <c r="E172" s="27" t="s">
        <v>106</v>
      </c>
      <c r="F172" s="27" t="s">
        <v>303</v>
      </c>
      <c r="G172" s="27" t="s">
        <v>63</v>
      </c>
      <c r="H172" s="27">
        <v>60</v>
      </c>
      <c r="I172" s="27">
        <v>20</v>
      </c>
      <c r="J172" s="37">
        <v>-3.7500000000000001E-4</v>
      </c>
      <c r="K172" s="27">
        <v>4</v>
      </c>
      <c r="L172" s="38">
        <v>-3.3E-4</v>
      </c>
      <c r="M172" s="27" t="s">
        <v>65</v>
      </c>
      <c r="O172" s="27" t="s">
        <v>278</v>
      </c>
      <c r="P172" s="27">
        <v>143</v>
      </c>
      <c r="Q172" s="27" t="s">
        <v>128</v>
      </c>
      <c r="R172" s="27" t="s">
        <v>376</v>
      </c>
      <c r="S172" s="27" t="s">
        <v>303</v>
      </c>
      <c r="T172" s="27" t="s">
        <v>63</v>
      </c>
      <c r="U172" s="27">
        <v>10</v>
      </c>
      <c r="V172" s="27">
        <v>20</v>
      </c>
      <c r="W172" s="37">
        <v>-3.7599999999999998E-4</v>
      </c>
      <c r="X172" s="27">
        <v>4</v>
      </c>
      <c r="Y172" s="38">
        <v>-3.3199999999999999E-4</v>
      </c>
      <c r="Z172" s="27" t="s">
        <v>65</v>
      </c>
    </row>
    <row r="173" spans="2:26" x14ac:dyDescent="0.2">
      <c r="B173" s="27" t="s">
        <v>278</v>
      </c>
      <c r="C173" s="27">
        <v>143</v>
      </c>
      <c r="D173" s="27" t="s">
        <v>128</v>
      </c>
      <c r="E173" s="27" t="s">
        <v>106</v>
      </c>
      <c r="F173" s="27" t="s">
        <v>304</v>
      </c>
      <c r="G173" s="27" t="s">
        <v>64</v>
      </c>
      <c r="H173" s="27">
        <v>60</v>
      </c>
      <c r="I173" s="27">
        <v>17</v>
      </c>
      <c r="J173" s="37">
        <v>-2.3900000000000001E-4</v>
      </c>
      <c r="K173" s="27">
        <v>3</v>
      </c>
      <c r="L173" s="38">
        <v>-2.1800000000000001E-4</v>
      </c>
      <c r="M173" s="27" t="s">
        <v>65</v>
      </c>
      <c r="O173" s="27" t="s">
        <v>278</v>
      </c>
      <c r="P173" s="27">
        <v>143</v>
      </c>
      <c r="Q173" s="27" t="s">
        <v>128</v>
      </c>
      <c r="R173" s="27" t="s">
        <v>376</v>
      </c>
      <c r="S173" s="27" t="s">
        <v>304</v>
      </c>
      <c r="T173" s="27" t="s">
        <v>64</v>
      </c>
      <c r="U173" s="27">
        <v>10</v>
      </c>
      <c r="V173" s="27">
        <v>17</v>
      </c>
      <c r="W173" s="37">
        <v>-2.3900000000000001E-4</v>
      </c>
      <c r="X173" s="27">
        <v>3</v>
      </c>
      <c r="Y173" s="38">
        <v>-2.1800000000000001E-4</v>
      </c>
      <c r="Z173" s="27" t="s">
        <v>65</v>
      </c>
    </row>
    <row r="174" spans="2:26" x14ac:dyDescent="0.2">
      <c r="B174" s="27" t="s">
        <v>278</v>
      </c>
      <c r="C174" s="27">
        <v>130</v>
      </c>
      <c r="D174" s="27" t="s">
        <v>129</v>
      </c>
      <c r="E174" s="27" t="s">
        <v>106</v>
      </c>
      <c r="F174" s="27" t="s">
        <v>305</v>
      </c>
      <c r="G174" s="27" t="s">
        <v>63</v>
      </c>
      <c r="H174" s="27">
        <v>60</v>
      </c>
      <c r="I174" s="27">
        <v>20</v>
      </c>
      <c r="J174" s="37">
        <v>-3.9300000000000001E-4</v>
      </c>
      <c r="K174" s="27">
        <v>7</v>
      </c>
      <c r="L174" s="38">
        <v>-3.9300000000000001E-4</v>
      </c>
      <c r="M174" s="27" t="s">
        <v>65</v>
      </c>
      <c r="O174" s="27" t="s">
        <v>278</v>
      </c>
      <c r="P174" s="27">
        <v>130</v>
      </c>
      <c r="Q174" s="27" t="s">
        <v>129</v>
      </c>
      <c r="R174" s="27" t="s">
        <v>376</v>
      </c>
      <c r="S174" s="27" t="s">
        <v>305</v>
      </c>
      <c r="T174" s="27" t="s">
        <v>63</v>
      </c>
      <c r="U174" s="27">
        <v>10</v>
      </c>
      <c r="V174" s="27">
        <v>20</v>
      </c>
      <c r="W174" s="37">
        <v>-3.9399999999999998E-4</v>
      </c>
      <c r="X174" s="27">
        <v>7</v>
      </c>
      <c r="Y174" s="38">
        <v>-3.9399999999999998E-4</v>
      </c>
      <c r="Z174" s="27" t="s">
        <v>65</v>
      </c>
    </row>
    <row r="175" spans="2:26" x14ac:dyDescent="0.2">
      <c r="B175" s="27" t="s">
        <v>278</v>
      </c>
      <c r="C175" s="27">
        <v>130</v>
      </c>
      <c r="D175" s="27" t="s">
        <v>129</v>
      </c>
      <c r="E175" s="27" t="s">
        <v>106</v>
      </c>
      <c r="F175" s="27" t="s">
        <v>306</v>
      </c>
      <c r="G175" s="27" t="s">
        <v>64</v>
      </c>
      <c r="H175" s="27">
        <v>60</v>
      </c>
      <c r="I175" s="27">
        <v>17</v>
      </c>
      <c r="J175" s="37">
        <v>-1.9900000000000001E-4</v>
      </c>
      <c r="K175" s="27">
        <v>6</v>
      </c>
      <c r="L175" s="38">
        <v>-1.9900000000000001E-4</v>
      </c>
      <c r="M175" s="27" t="s">
        <v>65</v>
      </c>
      <c r="O175" s="27" t="s">
        <v>278</v>
      </c>
      <c r="P175" s="27">
        <v>130</v>
      </c>
      <c r="Q175" s="27" t="s">
        <v>129</v>
      </c>
      <c r="R175" s="27" t="s">
        <v>376</v>
      </c>
      <c r="S175" s="27" t="s">
        <v>306</v>
      </c>
      <c r="T175" s="27" t="s">
        <v>64</v>
      </c>
      <c r="U175" s="27">
        <v>10</v>
      </c>
      <c r="V175" s="27">
        <v>17</v>
      </c>
      <c r="W175" s="37">
        <v>-2.0000000000000001E-4</v>
      </c>
      <c r="X175" s="27">
        <v>6</v>
      </c>
      <c r="Y175" s="38">
        <v>-2.0000000000000001E-4</v>
      </c>
      <c r="Z175" s="27" t="s">
        <v>65</v>
      </c>
    </row>
    <row r="176" spans="2:26" x14ac:dyDescent="0.2">
      <c r="B176" s="27" t="s">
        <v>278</v>
      </c>
      <c r="C176" s="27">
        <v>145</v>
      </c>
      <c r="D176" s="27" t="s">
        <v>128</v>
      </c>
      <c r="E176" s="27" t="s">
        <v>106</v>
      </c>
      <c r="F176" s="27" t="s">
        <v>307</v>
      </c>
      <c r="G176" s="27" t="s">
        <v>63</v>
      </c>
      <c r="H176" s="27">
        <v>60</v>
      </c>
      <c r="I176" s="27">
        <v>20</v>
      </c>
      <c r="J176" s="37">
        <v>-3.97E-4</v>
      </c>
      <c r="K176" s="27">
        <v>4</v>
      </c>
      <c r="L176" s="38">
        <v>-3.5500000000000001E-4</v>
      </c>
      <c r="M176" s="27" t="s">
        <v>65</v>
      </c>
      <c r="O176" s="27" t="s">
        <v>278</v>
      </c>
      <c r="P176" s="27">
        <v>145</v>
      </c>
      <c r="Q176" s="27" t="s">
        <v>128</v>
      </c>
      <c r="R176" s="27" t="s">
        <v>376</v>
      </c>
      <c r="S176" s="27" t="s">
        <v>307</v>
      </c>
      <c r="T176" s="27" t="s">
        <v>63</v>
      </c>
      <c r="U176" s="27">
        <v>10</v>
      </c>
      <c r="V176" s="27">
        <v>20</v>
      </c>
      <c r="W176" s="37">
        <v>-3.9800000000000002E-4</v>
      </c>
      <c r="X176" s="27">
        <v>4</v>
      </c>
      <c r="Y176" s="38">
        <v>-3.5599999999999998E-4</v>
      </c>
      <c r="Z176" s="27" t="s">
        <v>65</v>
      </c>
    </row>
    <row r="177" spans="2:26" x14ac:dyDescent="0.2">
      <c r="B177" s="27" t="s">
        <v>278</v>
      </c>
      <c r="C177" s="27">
        <v>145</v>
      </c>
      <c r="D177" s="27" t="s">
        <v>128</v>
      </c>
      <c r="E177" s="27" t="s">
        <v>106</v>
      </c>
      <c r="F177" s="27" t="s">
        <v>308</v>
      </c>
      <c r="G177" s="27" t="s">
        <v>64</v>
      </c>
      <c r="H177" s="27">
        <v>60</v>
      </c>
      <c r="I177" s="27">
        <v>15</v>
      </c>
      <c r="J177" s="37">
        <v>-2.7500000000000002E-4</v>
      </c>
      <c r="K177" s="27">
        <v>3</v>
      </c>
      <c r="L177" s="38">
        <v>-2.5500000000000002E-4</v>
      </c>
      <c r="M177" s="27" t="s">
        <v>65</v>
      </c>
      <c r="O177" s="27" t="s">
        <v>278</v>
      </c>
      <c r="P177" s="27">
        <v>145</v>
      </c>
      <c r="Q177" s="27" t="s">
        <v>128</v>
      </c>
      <c r="R177" s="27" t="s">
        <v>376</v>
      </c>
      <c r="S177" s="27" t="s">
        <v>308</v>
      </c>
      <c r="T177" s="27" t="s">
        <v>64</v>
      </c>
      <c r="U177" s="27">
        <v>10</v>
      </c>
      <c r="V177" s="27">
        <v>15</v>
      </c>
      <c r="W177" s="37">
        <v>-2.7500000000000002E-4</v>
      </c>
      <c r="X177" s="27">
        <v>3</v>
      </c>
      <c r="Y177" s="38">
        <v>-2.5500000000000002E-4</v>
      </c>
      <c r="Z177" s="27" t="s">
        <v>65</v>
      </c>
    </row>
    <row r="178" spans="2:26" x14ac:dyDescent="0.2">
      <c r="B178" s="27" t="s">
        <v>278</v>
      </c>
      <c r="C178" s="27">
        <v>146</v>
      </c>
      <c r="D178" s="27" t="s">
        <v>128</v>
      </c>
      <c r="E178" s="27" t="s">
        <v>106</v>
      </c>
      <c r="F178" s="27" t="s">
        <v>309</v>
      </c>
      <c r="G178" s="27" t="s">
        <v>63</v>
      </c>
      <c r="H178" s="27">
        <v>60</v>
      </c>
      <c r="I178" s="27">
        <v>20</v>
      </c>
      <c r="J178" s="37">
        <v>-3.9300000000000001E-4</v>
      </c>
      <c r="K178" s="27">
        <v>4</v>
      </c>
      <c r="L178" s="38">
        <v>-3.5199999999999999E-4</v>
      </c>
      <c r="M178" s="27" t="s">
        <v>65</v>
      </c>
      <c r="O178" s="27" t="s">
        <v>278</v>
      </c>
      <c r="P178" s="27">
        <v>146</v>
      </c>
      <c r="Q178" s="27" t="s">
        <v>128</v>
      </c>
      <c r="R178" s="27" t="s">
        <v>376</v>
      </c>
      <c r="S178" s="27" t="s">
        <v>309</v>
      </c>
      <c r="T178" s="27" t="s">
        <v>63</v>
      </c>
      <c r="U178" s="27">
        <v>10</v>
      </c>
      <c r="V178" s="27">
        <v>20</v>
      </c>
      <c r="W178" s="37">
        <v>-3.9500000000000001E-4</v>
      </c>
      <c r="X178" s="27">
        <v>4</v>
      </c>
      <c r="Y178" s="38">
        <v>-3.5399999999999999E-4</v>
      </c>
      <c r="Z178" s="27" t="s">
        <v>65</v>
      </c>
    </row>
    <row r="179" spans="2:26" x14ac:dyDescent="0.2">
      <c r="B179" s="27" t="s">
        <v>278</v>
      </c>
      <c r="C179" s="27">
        <v>146</v>
      </c>
      <c r="D179" s="27" t="s">
        <v>128</v>
      </c>
      <c r="E179" s="27" t="s">
        <v>106</v>
      </c>
      <c r="F179" s="27" t="s">
        <v>310</v>
      </c>
      <c r="G179" s="27" t="s">
        <v>64</v>
      </c>
      <c r="H179" s="27">
        <v>60</v>
      </c>
      <c r="I179" s="27">
        <v>15</v>
      </c>
      <c r="J179" s="37">
        <v>-2.7500000000000002E-4</v>
      </c>
      <c r="K179" s="27">
        <v>3</v>
      </c>
      <c r="L179" s="38">
        <v>-2.5500000000000002E-4</v>
      </c>
      <c r="M179" s="27" t="s">
        <v>65</v>
      </c>
      <c r="O179" s="27" t="s">
        <v>278</v>
      </c>
      <c r="P179" s="27">
        <v>146</v>
      </c>
      <c r="Q179" s="27" t="s">
        <v>128</v>
      </c>
      <c r="R179" s="27" t="s">
        <v>376</v>
      </c>
      <c r="S179" s="27" t="s">
        <v>310</v>
      </c>
      <c r="T179" s="27" t="s">
        <v>64</v>
      </c>
      <c r="U179" s="27">
        <v>10</v>
      </c>
      <c r="V179" s="27">
        <v>15</v>
      </c>
      <c r="W179" s="37">
        <v>-2.7500000000000002E-4</v>
      </c>
      <c r="X179" s="27">
        <v>3</v>
      </c>
      <c r="Y179" s="38">
        <v>-2.5500000000000002E-4</v>
      </c>
      <c r="Z179" s="27" t="s">
        <v>65</v>
      </c>
    </row>
    <row r="180" spans="2:26" x14ac:dyDescent="0.2">
      <c r="B180" s="27" t="s">
        <v>278</v>
      </c>
      <c r="C180" s="27">
        <v>132</v>
      </c>
      <c r="D180" s="27" t="s">
        <v>129</v>
      </c>
      <c r="E180" s="27" t="s">
        <v>106</v>
      </c>
      <c r="F180" s="27" t="s">
        <v>311</v>
      </c>
      <c r="G180" s="27" t="s">
        <v>63</v>
      </c>
      <c r="H180" s="27">
        <v>60</v>
      </c>
      <c r="I180" s="27">
        <v>20</v>
      </c>
      <c r="J180" s="37">
        <v>-3.9599999999999998E-4</v>
      </c>
      <c r="K180" s="27">
        <v>7</v>
      </c>
      <c r="L180" s="38">
        <v>-3.97E-4</v>
      </c>
      <c r="M180" s="27" t="s">
        <v>65</v>
      </c>
      <c r="O180" s="27" t="s">
        <v>278</v>
      </c>
      <c r="P180" s="27">
        <v>132</v>
      </c>
      <c r="Q180" s="27" t="s">
        <v>129</v>
      </c>
      <c r="R180" s="27" t="s">
        <v>376</v>
      </c>
      <c r="S180" s="27" t="s">
        <v>311</v>
      </c>
      <c r="T180" s="27" t="s">
        <v>63</v>
      </c>
      <c r="U180" s="27">
        <v>10</v>
      </c>
      <c r="V180" s="27">
        <v>20</v>
      </c>
      <c r="W180" s="37">
        <v>-3.9800000000000002E-4</v>
      </c>
      <c r="X180" s="27">
        <v>7</v>
      </c>
      <c r="Y180" s="38">
        <v>-3.9800000000000002E-4</v>
      </c>
      <c r="Z180" s="27" t="s">
        <v>65</v>
      </c>
    </row>
    <row r="181" spans="2:26" x14ac:dyDescent="0.2">
      <c r="B181" s="27" t="s">
        <v>278</v>
      </c>
      <c r="C181" s="27">
        <v>132</v>
      </c>
      <c r="D181" s="27" t="s">
        <v>129</v>
      </c>
      <c r="E181" s="27" t="s">
        <v>106</v>
      </c>
      <c r="F181" s="27" t="s">
        <v>312</v>
      </c>
      <c r="G181" s="27" t="s">
        <v>64</v>
      </c>
      <c r="H181" s="27">
        <v>60</v>
      </c>
      <c r="I181" s="27">
        <v>15</v>
      </c>
      <c r="J181" s="37">
        <v>-2.0100000000000001E-4</v>
      </c>
      <c r="K181" s="27">
        <v>6</v>
      </c>
      <c r="L181" s="38">
        <v>-2.0100000000000001E-4</v>
      </c>
      <c r="M181" s="27" t="s">
        <v>65</v>
      </c>
      <c r="O181" s="27" t="s">
        <v>278</v>
      </c>
      <c r="P181" s="27">
        <v>132</v>
      </c>
      <c r="Q181" s="27" t="s">
        <v>129</v>
      </c>
      <c r="R181" s="27" t="s">
        <v>376</v>
      </c>
      <c r="S181" s="27" t="s">
        <v>312</v>
      </c>
      <c r="T181" s="27" t="s">
        <v>64</v>
      </c>
      <c r="U181" s="27">
        <v>10</v>
      </c>
      <c r="V181" s="27">
        <v>15</v>
      </c>
      <c r="W181" s="37">
        <v>-2.0100000000000001E-4</v>
      </c>
      <c r="X181" s="27">
        <v>6</v>
      </c>
      <c r="Y181" s="38">
        <v>-2.0100000000000001E-4</v>
      </c>
      <c r="Z181" s="27" t="s">
        <v>65</v>
      </c>
    </row>
    <row r="182" spans="2:26" x14ac:dyDescent="0.2">
      <c r="B182" s="27" t="s">
        <v>278</v>
      </c>
      <c r="C182" s="27">
        <v>141</v>
      </c>
      <c r="D182" s="27" t="s">
        <v>128</v>
      </c>
      <c r="E182" s="27" t="s">
        <v>106</v>
      </c>
      <c r="F182" s="27" t="s">
        <v>313</v>
      </c>
      <c r="G182" s="27" t="s">
        <v>63</v>
      </c>
      <c r="H182" s="27">
        <v>60</v>
      </c>
      <c r="I182" s="27">
        <v>20</v>
      </c>
      <c r="J182" s="37">
        <v>-1.56E-4</v>
      </c>
      <c r="K182" s="27">
        <v>4</v>
      </c>
      <c r="L182" s="38">
        <v>-1.45E-4</v>
      </c>
      <c r="M182" s="27" t="s">
        <v>65</v>
      </c>
      <c r="O182" s="27" t="s">
        <v>278</v>
      </c>
      <c r="P182" s="27">
        <v>141</v>
      </c>
      <c r="Q182" s="27" t="s">
        <v>128</v>
      </c>
      <c r="R182" s="27" t="s">
        <v>376</v>
      </c>
      <c r="S182" s="27" t="s">
        <v>313</v>
      </c>
      <c r="T182" s="27" t="s">
        <v>63</v>
      </c>
      <c r="U182" s="27">
        <v>10</v>
      </c>
      <c r="V182" s="27">
        <v>20</v>
      </c>
      <c r="W182" s="37">
        <v>-1.5799999999999999E-4</v>
      </c>
      <c r="X182" s="27">
        <v>4</v>
      </c>
      <c r="Y182" s="38">
        <v>-1.46E-4</v>
      </c>
      <c r="Z182" s="27" t="s">
        <v>65</v>
      </c>
    </row>
    <row r="183" spans="2:26" x14ac:dyDescent="0.2">
      <c r="B183" s="27" t="s">
        <v>278</v>
      </c>
      <c r="C183" s="27">
        <v>141</v>
      </c>
      <c r="D183" s="27" t="s">
        <v>128</v>
      </c>
      <c r="E183" s="27" t="s">
        <v>106</v>
      </c>
      <c r="F183" s="27" t="s">
        <v>314</v>
      </c>
      <c r="G183" s="27" t="s">
        <v>64</v>
      </c>
      <c r="H183" s="27">
        <v>60</v>
      </c>
      <c r="I183" s="27">
        <v>17</v>
      </c>
      <c r="J183" s="37">
        <v>-9.7E-5</v>
      </c>
      <c r="K183" s="27">
        <v>3</v>
      </c>
      <c r="L183" s="38">
        <v>-9.6000000000000002E-5</v>
      </c>
      <c r="M183" s="27" t="s">
        <v>65</v>
      </c>
      <c r="O183" s="27" t="s">
        <v>278</v>
      </c>
      <c r="P183" s="27">
        <v>141</v>
      </c>
      <c r="Q183" s="27" t="s">
        <v>128</v>
      </c>
      <c r="R183" s="27" t="s">
        <v>376</v>
      </c>
      <c r="S183" s="27" t="s">
        <v>314</v>
      </c>
      <c r="T183" s="27" t="s">
        <v>64</v>
      </c>
      <c r="U183" s="27">
        <v>10</v>
      </c>
      <c r="V183" s="27">
        <v>17</v>
      </c>
      <c r="W183" s="37">
        <v>-9.7E-5</v>
      </c>
      <c r="X183" s="27">
        <v>3</v>
      </c>
      <c r="Y183" s="38">
        <v>-9.6000000000000002E-5</v>
      </c>
      <c r="Z183" s="27" t="s">
        <v>65</v>
      </c>
    </row>
    <row r="184" spans="2:26" x14ac:dyDescent="0.2">
      <c r="B184" s="27" t="s">
        <v>278</v>
      </c>
      <c r="C184" s="27">
        <v>125</v>
      </c>
      <c r="D184" s="27" t="s">
        <v>127</v>
      </c>
      <c r="E184" s="27" t="s">
        <v>106</v>
      </c>
      <c r="F184" s="27" t="s">
        <v>315</v>
      </c>
      <c r="G184" s="27" t="s">
        <v>63</v>
      </c>
      <c r="H184" s="27">
        <v>60</v>
      </c>
      <c r="I184" s="27">
        <v>16</v>
      </c>
      <c r="J184" s="37">
        <v>-7.8899999999999999E-4</v>
      </c>
      <c r="K184" s="27">
        <v>1</v>
      </c>
      <c r="L184" s="38">
        <v>-6.7599999999999995E-4</v>
      </c>
      <c r="M184" s="27" t="s">
        <v>65</v>
      </c>
      <c r="O184" s="27" t="s">
        <v>278</v>
      </c>
      <c r="P184" s="27">
        <v>125</v>
      </c>
      <c r="Q184" s="27" t="s">
        <v>127</v>
      </c>
      <c r="R184" s="27" t="s">
        <v>376</v>
      </c>
      <c r="S184" s="27" t="s">
        <v>315</v>
      </c>
      <c r="T184" s="27" t="s">
        <v>63</v>
      </c>
      <c r="U184" s="27">
        <v>10</v>
      </c>
      <c r="V184" s="27">
        <v>16</v>
      </c>
      <c r="W184" s="37">
        <v>-7.8600000000000002E-4</v>
      </c>
      <c r="X184" s="27">
        <v>1</v>
      </c>
      <c r="Y184" s="38">
        <v>-6.7299999999999999E-4</v>
      </c>
      <c r="Z184" s="27" t="s">
        <v>65</v>
      </c>
    </row>
    <row r="185" spans="2:26" x14ac:dyDescent="0.2">
      <c r="B185" s="27" t="s">
        <v>278</v>
      </c>
      <c r="C185" s="27">
        <v>125</v>
      </c>
      <c r="D185" s="27" t="s">
        <v>127</v>
      </c>
      <c r="E185" s="27" t="s">
        <v>106</v>
      </c>
      <c r="F185" s="27" t="s">
        <v>316</v>
      </c>
      <c r="G185" s="27" t="s">
        <v>64</v>
      </c>
      <c r="H185" s="27">
        <v>60</v>
      </c>
      <c r="I185" s="27">
        <v>9</v>
      </c>
      <c r="J185" s="37">
        <v>-4.6299999999999998E-4</v>
      </c>
      <c r="K185" s="27">
        <v>6</v>
      </c>
      <c r="L185" s="38">
        <v>-4.1100000000000002E-4</v>
      </c>
      <c r="M185" s="27" t="s">
        <v>65</v>
      </c>
      <c r="O185" s="27" t="s">
        <v>278</v>
      </c>
      <c r="P185" s="27">
        <v>125</v>
      </c>
      <c r="Q185" s="27" t="s">
        <v>127</v>
      </c>
      <c r="R185" s="27" t="s">
        <v>376</v>
      </c>
      <c r="S185" s="27" t="s">
        <v>316</v>
      </c>
      <c r="T185" s="27" t="s">
        <v>64</v>
      </c>
      <c r="U185" s="27">
        <v>10</v>
      </c>
      <c r="V185" s="27">
        <v>9</v>
      </c>
      <c r="W185" s="37">
        <v>-4.6299999999999998E-4</v>
      </c>
      <c r="X185" s="27">
        <v>6</v>
      </c>
      <c r="Y185" s="38">
        <v>-4.1100000000000002E-4</v>
      </c>
      <c r="Z185" s="27" t="s">
        <v>65</v>
      </c>
    </row>
    <row r="186" spans="2:26" x14ac:dyDescent="0.2">
      <c r="B186" s="27" t="s">
        <v>278</v>
      </c>
      <c r="C186" s="27">
        <v>137</v>
      </c>
      <c r="D186" s="27" t="s">
        <v>128</v>
      </c>
      <c r="E186" s="27" t="s">
        <v>106</v>
      </c>
      <c r="F186" s="27" t="s">
        <v>317</v>
      </c>
      <c r="G186" s="27" t="s">
        <v>63</v>
      </c>
      <c r="H186" s="27">
        <v>60</v>
      </c>
      <c r="I186" s="27">
        <v>22</v>
      </c>
      <c r="J186" s="37">
        <v>-3.6000000000000002E-4</v>
      </c>
      <c r="K186" s="27">
        <v>1</v>
      </c>
      <c r="L186" s="38">
        <v>-3.2899999999999997E-4</v>
      </c>
      <c r="M186" s="27" t="s">
        <v>65</v>
      </c>
      <c r="O186" s="27" t="s">
        <v>278</v>
      </c>
      <c r="P186" s="27">
        <v>137</v>
      </c>
      <c r="Q186" s="27" t="s">
        <v>128</v>
      </c>
      <c r="R186" s="27" t="s">
        <v>376</v>
      </c>
      <c r="S186" s="27" t="s">
        <v>317</v>
      </c>
      <c r="T186" s="27" t="s">
        <v>63</v>
      </c>
      <c r="U186" s="27">
        <v>10</v>
      </c>
      <c r="V186" s="27">
        <v>22</v>
      </c>
      <c r="W186" s="37">
        <v>-3.59E-4</v>
      </c>
      <c r="X186" s="27">
        <v>1</v>
      </c>
      <c r="Y186" s="38">
        <v>-3.2699999999999998E-4</v>
      </c>
      <c r="Z186" s="27" t="s">
        <v>65</v>
      </c>
    </row>
    <row r="187" spans="2:26" x14ac:dyDescent="0.2">
      <c r="B187" s="27" t="s">
        <v>278</v>
      </c>
      <c r="C187" s="27">
        <v>137</v>
      </c>
      <c r="D187" s="27" t="s">
        <v>128</v>
      </c>
      <c r="E187" s="27" t="s">
        <v>106</v>
      </c>
      <c r="F187" s="27" t="s">
        <v>318</v>
      </c>
      <c r="G187" s="27" t="s">
        <v>64</v>
      </c>
      <c r="H187" s="27">
        <v>60</v>
      </c>
      <c r="I187" s="27">
        <v>15</v>
      </c>
      <c r="J187" s="37">
        <v>-2.22E-4</v>
      </c>
      <c r="K187" s="27">
        <v>6</v>
      </c>
      <c r="L187" s="38">
        <v>-2.0900000000000001E-4</v>
      </c>
      <c r="M187" s="27" t="s">
        <v>65</v>
      </c>
      <c r="O187" s="27" t="s">
        <v>278</v>
      </c>
      <c r="P187" s="27">
        <v>137</v>
      </c>
      <c r="Q187" s="27" t="s">
        <v>128</v>
      </c>
      <c r="R187" s="27" t="s">
        <v>376</v>
      </c>
      <c r="S187" s="27" t="s">
        <v>318</v>
      </c>
      <c r="T187" s="27" t="s">
        <v>64</v>
      </c>
      <c r="U187" s="27">
        <v>10</v>
      </c>
      <c r="V187" s="27">
        <v>15</v>
      </c>
      <c r="W187" s="37">
        <v>-2.22E-4</v>
      </c>
      <c r="X187" s="27">
        <v>6</v>
      </c>
      <c r="Y187" s="38">
        <v>-2.0900000000000001E-4</v>
      </c>
      <c r="Z187" s="27" t="s">
        <v>65</v>
      </c>
    </row>
    <row r="188" spans="2:26" x14ac:dyDescent="0.2">
      <c r="B188" s="27" t="s">
        <v>278</v>
      </c>
      <c r="C188" s="27">
        <v>133</v>
      </c>
      <c r="D188" s="27" t="s">
        <v>129</v>
      </c>
      <c r="E188" s="27" t="s">
        <v>106</v>
      </c>
      <c r="F188" s="27" t="s">
        <v>319</v>
      </c>
      <c r="G188" s="27" t="s">
        <v>63</v>
      </c>
      <c r="H188" s="27">
        <v>60</v>
      </c>
      <c r="I188" s="27">
        <v>22</v>
      </c>
      <c r="J188" s="37">
        <v>-4.8799999999999999E-4</v>
      </c>
      <c r="K188" s="27">
        <v>1</v>
      </c>
      <c r="L188" s="38">
        <v>-4.5800000000000002E-4</v>
      </c>
      <c r="M188" s="27" t="s">
        <v>65</v>
      </c>
      <c r="O188" s="27" t="s">
        <v>278</v>
      </c>
      <c r="P188" s="27">
        <v>133</v>
      </c>
      <c r="Q188" s="27" t="s">
        <v>129</v>
      </c>
      <c r="R188" s="27" t="s">
        <v>376</v>
      </c>
      <c r="S188" s="27" t="s">
        <v>319</v>
      </c>
      <c r="T188" s="27" t="s">
        <v>63</v>
      </c>
      <c r="U188" s="27">
        <v>10</v>
      </c>
      <c r="V188" s="27">
        <v>22</v>
      </c>
      <c r="W188" s="37">
        <v>-4.8700000000000002E-4</v>
      </c>
      <c r="X188" s="27">
        <v>1</v>
      </c>
      <c r="Y188" s="38">
        <v>-4.57E-4</v>
      </c>
      <c r="Z188" s="27" t="s">
        <v>65</v>
      </c>
    </row>
    <row r="189" spans="2:26" x14ac:dyDescent="0.2">
      <c r="B189" s="27" t="s">
        <v>278</v>
      </c>
      <c r="C189" s="27">
        <v>133</v>
      </c>
      <c r="D189" s="27" t="s">
        <v>129</v>
      </c>
      <c r="E189" s="27" t="s">
        <v>106</v>
      </c>
      <c r="F189" s="27" t="s">
        <v>320</v>
      </c>
      <c r="G189" s="27" t="s">
        <v>64</v>
      </c>
      <c r="H189" s="27">
        <v>60</v>
      </c>
      <c r="I189" s="27">
        <v>15</v>
      </c>
      <c r="J189" s="37">
        <v>-2.0699999999999999E-4</v>
      </c>
      <c r="K189" s="27">
        <v>12</v>
      </c>
      <c r="L189" s="38">
        <v>-1.9100000000000001E-4</v>
      </c>
      <c r="M189" s="27" t="s">
        <v>65</v>
      </c>
      <c r="O189" s="27" t="s">
        <v>278</v>
      </c>
      <c r="P189" s="27">
        <v>133</v>
      </c>
      <c r="Q189" s="27" t="s">
        <v>129</v>
      </c>
      <c r="R189" s="27" t="s">
        <v>376</v>
      </c>
      <c r="S189" s="27" t="s">
        <v>320</v>
      </c>
      <c r="T189" s="27" t="s">
        <v>64</v>
      </c>
      <c r="U189" s="27">
        <v>10</v>
      </c>
      <c r="V189" s="27">
        <v>15</v>
      </c>
      <c r="W189" s="37">
        <v>-2.0699999999999999E-4</v>
      </c>
      <c r="X189" s="27">
        <v>12</v>
      </c>
      <c r="Y189" s="38">
        <v>-1.9100000000000001E-4</v>
      </c>
      <c r="Z189" s="27" t="s">
        <v>65</v>
      </c>
    </row>
    <row r="190" spans="2:26" x14ac:dyDescent="0.2">
      <c r="B190" s="27" t="s">
        <v>278</v>
      </c>
      <c r="C190" s="27">
        <v>134</v>
      </c>
      <c r="D190" s="27" t="s">
        <v>129</v>
      </c>
      <c r="E190" s="27" t="s">
        <v>106</v>
      </c>
      <c r="F190" s="27" t="s">
        <v>321</v>
      </c>
      <c r="G190" s="27" t="s">
        <v>63</v>
      </c>
      <c r="H190" s="27">
        <v>60</v>
      </c>
      <c r="I190" s="27">
        <v>22</v>
      </c>
      <c r="J190" s="37">
        <v>-4.8799999999999999E-4</v>
      </c>
      <c r="K190" s="27">
        <v>1</v>
      </c>
      <c r="L190" s="38">
        <v>-4.57E-4</v>
      </c>
      <c r="M190" s="27" t="s">
        <v>65</v>
      </c>
      <c r="O190" s="27" t="s">
        <v>278</v>
      </c>
      <c r="P190" s="27">
        <v>134</v>
      </c>
      <c r="Q190" s="27" t="s">
        <v>129</v>
      </c>
      <c r="R190" s="27" t="s">
        <v>376</v>
      </c>
      <c r="S190" s="27" t="s">
        <v>321</v>
      </c>
      <c r="T190" s="27" t="s">
        <v>63</v>
      </c>
      <c r="U190" s="27">
        <v>10</v>
      </c>
      <c r="V190" s="27">
        <v>22</v>
      </c>
      <c r="W190" s="37">
        <v>-4.86E-4</v>
      </c>
      <c r="X190" s="27">
        <v>1</v>
      </c>
      <c r="Y190" s="38">
        <v>-4.5600000000000003E-4</v>
      </c>
      <c r="Z190" s="27" t="s">
        <v>65</v>
      </c>
    </row>
    <row r="191" spans="2:26" x14ac:dyDescent="0.2">
      <c r="B191" s="27" t="s">
        <v>278</v>
      </c>
      <c r="C191" s="27">
        <v>134</v>
      </c>
      <c r="D191" s="27" t="s">
        <v>129</v>
      </c>
      <c r="E191" s="27" t="s">
        <v>106</v>
      </c>
      <c r="F191" s="27" t="s">
        <v>322</v>
      </c>
      <c r="G191" s="27" t="s">
        <v>64</v>
      </c>
      <c r="H191" s="27">
        <v>60</v>
      </c>
      <c r="I191" s="27">
        <v>15</v>
      </c>
      <c r="J191" s="37">
        <v>-2.05E-4</v>
      </c>
      <c r="K191" s="27">
        <v>12</v>
      </c>
      <c r="L191" s="38">
        <v>-1.8900000000000001E-4</v>
      </c>
      <c r="M191" s="27" t="s">
        <v>65</v>
      </c>
      <c r="O191" s="27" t="s">
        <v>278</v>
      </c>
      <c r="P191" s="27">
        <v>134</v>
      </c>
      <c r="Q191" s="27" t="s">
        <v>129</v>
      </c>
      <c r="R191" s="27" t="s">
        <v>376</v>
      </c>
      <c r="S191" s="27" t="s">
        <v>322</v>
      </c>
      <c r="T191" s="27" t="s">
        <v>64</v>
      </c>
      <c r="U191" s="27">
        <v>10</v>
      </c>
      <c r="V191" s="27">
        <v>15</v>
      </c>
      <c r="W191" s="37">
        <v>-2.05E-4</v>
      </c>
      <c r="X191" s="27">
        <v>12</v>
      </c>
      <c r="Y191" s="38">
        <v>-1.8900000000000001E-4</v>
      </c>
      <c r="Z191" s="27" t="s">
        <v>65</v>
      </c>
    </row>
    <row r="192" spans="2:26" x14ac:dyDescent="0.2">
      <c r="B192" s="27" t="s">
        <v>278</v>
      </c>
      <c r="C192" s="27">
        <v>138</v>
      </c>
      <c r="D192" s="27" t="s">
        <v>128</v>
      </c>
      <c r="E192" s="27" t="s">
        <v>106</v>
      </c>
      <c r="F192" s="27" t="s">
        <v>323</v>
      </c>
      <c r="G192" s="27" t="s">
        <v>63</v>
      </c>
      <c r="H192" s="27">
        <v>60</v>
      </c>
      <c r="I192" s="27">
        <v>22</v>
      </c>
      <c r="J192" s="37">
        <v>-3.68E-4</v>
      </c>
      <c r="K192" s="27">
        <v>1</v>
      </c>
      <c r="L192" s="38">
        <v>-3.3500000000000001E-4</v>
      </c>
      <c r="M192" s="27" t="s">
        <v>65</v>
      </c>
      <c r="O192" s="27" t="s">
        <v>278</v>
      </c>
      <c r="P192" s="27">
        <v>138</v>
      </c>
      <c r="Q192" s="27" t="s">
        <v>128</v>
      </c>
      <c r="R192" s="27" t="s">
        <v>376</v>
      </c>
      <c r="S192" s="27" t="s">
        <v>323</v>
      </c>
      <c r="T192" s="27" t="s">
        <v>63</v>
      </c>
      <c r="U192" s="27">
        <v>10</v>
      </c>
      <c r="V192" s="27">
        <v>22</v>
      </c>
      <c r="W192" s="37">
        <v>-3.6699999999999998E-4</v>
      </c>
      <c r="X192" s="27">
        <v>1</v>
      </c>
      <c r="Y192" s="38">
        <v>-3.3300000000000002E-4</v>
      </c>
      <c r="Z192" s="27" t="s">
        <v>65</v>
      </c>
    </row>
    <row r="193" spans="2:26" x14ac:dyDescent="0.2">
      <c r="B193" s="27" t="s">
        <v>278</v>
      </c>
      <c r="C193" s="27">
        <v>138</v>
      </c>
      <c r="D193" s="27" t="s">
        <v>128</v>
      </c>
      <c r="E193" s="27" t="s">
        <v>106</v>
      </c>
      <c r="F193" s="27" t="s">
        <v>324</v>
      </c>
      <c r="G193" s="27" t="s">
        <v>64</v>
      </c>
      <c r="H193" s="27">
        <v>60</v>
      </c>
      <c r="I193" s="27">
        <v>15</v>
      </c>
      <c r="J193" s="37">
        <v>-2.24E-4</v>
      </c>
      <c r="K193" s="27">
        <v>6</v>
      </c>
      <c r="L193" s="38">
        <v>-2.1000000000000001E-4</v>
      </c>
      <c r="M193" s="27" t="s">
        <v>65</v>
      </c>
      <c r="O193" s="27" t="s">
        <v>278</v>
      </c>
      <c r="P193" s="27">
        <v>138</v>
      </c>
      <c r="Q193" s="27" t="s">
        <v>128</v>
      </c>
      <c r="R193" s="27" t="s">
        <v>376</v>
      </c>
      <c r="S193" s="27" t="s">
        <v>324</v>
      </c>
      <c r="T193" s="27" t="s">
        <v>64</v>
      </c>
      <c r="U193" s="27">
        <v>10</v>
      </c>
      <c r="V193" s="27">
        <v>15</v>
      </c>
      <c r="W193" s="37">
        <v>-2.24E-4</v>
      </c>
      <c r="X193" s="27">
        <v>6</v>
      </c>
      <c r="Y193" s="38">
        <v>-2.1000000000000001E-4</v>
      </c>
      <c r="Z193" s="27" t="s">
        <v>65</v>
      </c>
    </row>
    <row r="194" spans="2:26" x14ac:dyDescent="0.2">
      <c r="B194" s="27" t="s">
        <v>278</v>
      </c>
      <c r="C194" s="27">
        <v>126</v>
      </c>
      <c r="D194" s="27" t="s">
        <v>127</v>
      </c>
      <c r="E194" s="27" t="s">
        <v>106</v>
      </c>
      <c r="F194" s="27" t="s">
        <v>325</v>
      </c>
      <c r="G194" s="27" t="s">
        <v>63</v>
      </c>
      <c r="H194" s="27">
        <v>60</v>
      </c>
      <c r="I194" s="27">
        <v>16</v>
      </c>
      <c r="J194" s="37">
        <v>-3.8200000000000002E-4</v>
      </c>
      <c r="K194" s="27">
        <v>1</v>
      </c>
      <c r="L194" s="38">
        <v>-3.3599999999999998E-4</v>
      </c>
      <c r="M194" s="27" t="s">
        <v>65</v>
      </c>
      <c r="O194" s="27" t="s">
        <v>278</v>
      </c>
      <c r="P194" s="27">
        <v>126</v>
      </c>
      <c r="Q194" s="27" t="s">
        <v>127</v>
      </c>
      <c r="R194" s="27" t="s">
        <v>376</v>
      </c>
      <c r="S194" s="27" t="s">
        <v>325</v>
      </c>
      <c r="T194" s="27" t="s">
        <v>63</v>
      </c>
      <c r="U194" s="27">
        <v>10</v>
      </c>
      <c r="V194" s="27">
        <v>16</v>
      </c>
      <c r="W194" s="37">
        <v>-3.8099999999999999E-4</v>
      </c>
      <c r="X194" s="27">
        <v>1</v>
      </c>
      <c r="Y194" s="38">
        <v>-3.3500000000000001E-4</v>
      </c>
      <c r="Z194" s="27" t="s">
        <v>65</v>
      </c>
    </row>
    <row r="195" spans="2:26" x14ac:dyDescent="0.2">
      <c r="B195" s="27" t="s">
        <v>278</v>
      </c>
      <c r="C195" s="27">
        <v>126</v>
      </c>
      <c r="D195" s="27" t="s">
        <v>127</v>
      </c>
      <c r="E195" s="27" t="s">
        <v>106</v>
      </c>
      <c r="F195" s="27" t="s">
        <v>326</v>
      </c>
      <c r="G195" s="27" t="s">
        <v>64</v>
      </c>
      <c r="H195" s="27">
        <v>60</v>
      </c>
      <c r="I195" s="27">
        <v>9</v>
      </c>
      <c r="J195" s="37">
        <v>-2.3900000000000001E-4</v>
      </c>
      <c r="K195" s="27">
        <v>6</v>
      </c>
      <c r="L195" s="38">
        <v>-2.1699999999999999E-4</v>
      </c>
      <c r="M195" s="27" t="s">
        <v>65</v>
      </c>
      <c r="O195" s="27" t="s">
        <v>278</v>
      </c>
      <c r="P195" s="27">
        <v>126</v>
      </c>
      <c r="Q195" s="27" t="s">
        <v>127</v>
      </c>
      <c r="R195" s="27" t="s">
        <v>376</v>
      </c>
      <c r="S195" s="27" t="s">
        <v>326</v>
      </c>
      <c r="T195" s="27" t="s">
        <v>64</v>
      </c>
      <c r="U195" s="27">
        <v>10</v>
      </c>
      <c r="V195" s="27">
        <v>9</v>
      </c>
      <c r="W195" s="37">
        <v>-2.3900000000000001E-4</v>
      </c>
      <c r="X195" s="27">
        <v>6</v>
      </c>
      <c r="Y195" s="38">
        <v>-2.1699999999999999E-4</v>
      </c>
      <c r="Z195" s="27" t="s">
        <v>65</v>
      </c>
    </row>
    <row r="196" spans="2:26" x14ac:dyDescent="0.2">
      <c r="B196" s="27" t="s">
        <v>327</v>
      </c>
      <c r="C196" s="27">
        <v>3</v>
      </c>
      <c r="D196" s="27" t="s">
        <v>127</v>
      </c>
      <c r="E196" s="27" t="s">
        <v>106</v>
      </c>
      <c r="F196" s="27" t="s">
        <v>328</v>
      </c>
      <c r="G196" s="27" t="s">
        <v>63</v>
      </c>
      <c r="H196" s="27">
        <v>60</v>
      </c>
      <c r="I196" s="27">
        <v>14</v>
      </c>
      <c r="J196" s="37">
        <v>-5.8399999999999999E-4</v>
      </c>
      <c r="K196" s="27">
        <v>4</v>
      </c>
      <c r="L196" s="38">
        <v>-5.1900000000000004E-4</v>
      </c>
      <c r="M196" s="27" t="s">
        <v>65</v>
      </c>
      <c r="O196" s="27" t="s">
        <v>327</v>
      </c>
      <c r="P196" s="27">
        <v>3</v>
      </c>
      <c r="Q196" s="27" t="s">
        <v>127</v>
      </c>
      <c r="R196" s="27" t="s">
        <v>376</v>
      </c>
      <c r="S196" s="27" t="s">
        <v>328</v>
      </c>
      <c r="T196" s="27" t="s">
        <v>63</v>
      </c>
      <c r="U196" s="27">
        <v>10</v>
      </c>
      <c r="V196" s="27">
        <v>14</v>
      </c>
      <c r="W196" s="37">
        <v>-5.8699999999999996E-4</v>
      </c>
      <c r="X196" s="27">
        <v>4</v>
      </c>
      <c r="Y196" s="38">
        <v>-5.2099999999999998E-4</v>
      </c>
      <c r="Z196" s="27" t="s">
        <v>65</v>
      </c>
    </row>
    <row r="197" spans="2:26" x14ac:dyDescent="0.2">
      <c r="B197" s="27" t="s">
        <v>327</v>
      </c>
      <c r="C197" s="27">
        <v>3</v>
      </c>
      <c r="D197" s="27" t="s">
        <v>127</v>
      </c>
      <c r="E197" s="27" t="s">
        <v>106</v>
      </c>
      <c r="F197" s="27" t="s">
        <v>329</v>
      </c>
      <c r="G197" s="27" t="s">
        <v>64</v>
      </c>
      <c r="H197" s="27">
        <v>60</v>
      </c>
      <c r="I197" s="27">
        <v>11</v>
      </c>
      <c r="J197" s="37">
        <v>-3.9599999999999998E-4</v>
      </c>
      <c r="K197" s="27">
        <v>3</v>
      </c>
      <c r="L197" s="38">
        <v>-3.6299999999999999E-4</v>
      </c>
      <c r="M197" s="27" t="s">
        <v>65</v>
      </c>
      <c r="O197" s="27" t="s">
        <v>327</v>
      </c>
      <c r="P197" s="27">
        <v>3</v>
      </c>
      <c r="Q197" s="27" t="s">
        <v>127</v>
      </c>
      <c r="R197" s="27" t="s">
        <v>376</v>
      </c>
      <c r="S197" s="27" t="s">
        <v>329</v>
      </c>
      <c r="T197" s="27" t="s">
        <v>64</v>
      </c>
      <c r="U197" s="27">
        <v>10</v>
      </c>
      <c r="V197" s="27">
        <v>11</v>
      </c>
      <c r="W197" s="37">
        <v>-3.9599999999999998E-4</v>
      </c>
      <c r="X197" s="27">
        <v>3</v>
      </c>
      <c r="Y197" s="38">
        <v>-3.6299999999999999E-4</v>
      </c>
      <c r="Z197" s="27" t="s">
        <v>65</v>
      </c>
    </row>
    <row r="198" spans="2:26" x14ac:dyDescent="0.2">
      <c r="B198" s="27" t="s">
        <v>327</v>
      </c>
      <c r="C198" s="27">
        <v>15</v>
      </c>
      <c r="D198" s="27" t="s">
        <v>128</v>
      </c>
      <c r="E198" s="27" t="s">
        <v>106</v>
      </c>
      <c r="F198" s="27" t="s">
        <v>330</v>
      </c>
      <c r="G198" s="27" t="s">
        <v>63</v>
      </c>
      <c r="H198" s="27">
        <v>60</v>
      </c>
      <c r="I198" s="27">
        <v>20</v>
      </c>
      <c r="J198" s="37">
        <v>-4.0400000000000001E-4</v>
      </c>
      <c r="K198" s="27">
        <v>4</v>
      </c>
      <c r="L198" s="38">
        <v>-3.59E-4</v>
      </c>
      <c r="M198" s="27" t="s">
        <v>65</v>
      </c>
      <c r="O198" s="27" t="s">
        <v>327</v>
      </c>
      <c r="P198" s="27">
        <v>15</v>
      </c>
      <c r="Q198" s="27" t="s">
        <v>128</v>
      </c>
      <c r="R198" s="27" t="s">
        <v>376</v>
      </c>
      <c r="S198" s="27" t="s">
        <v>330</v>
      </c>
      <c r="T198" s="27" t="s">
        <v>63</v>
      </c>
      <c r="U198" s="27">
        <v>10</v>
      </c>
      <c r="V198" s="27">
        <v>20</v>
      </c>
      <c r="W198" s="37">
        <v>-4.08E-4</v>
      </c>
      <c r="X198" s="27">
        <v>4</v>
      </c>
      <c r="Y198" s="38">
        <v>-3.6299999999999999E-4</v>
      </c>
      <c r="Z198" s="27" t="s">
        <v>65</v>
      </c>
    </row>
    <row r="199" spans="2:26" x14ac:dyDescent="0.2">
      <c r="B199" s="27" t="s">
        <v>327</v>
      </c>
      <c r="C199" s="27">
        <v>15</v>
      </c>
      <c r="D199" s="27" t="s">
        <v>128</v>
      </c>
      <c r="E199" s="27" t="s">
        <v>106</v>
      </c>
      <c r="F199" s="27" t="s">
        <v>331</v>
      </c>
      <c r="G199" s="27" t="s">
        <v>64</v>
      </c>
      <c r="H199" s="27">
        <v>60</v>
      </c>
      <c r="I199" s="27">
        <v>22</v>
      </c>
      <c r="J199" s="37">
        <v>-1.9900000000000001E-4</v>
      </c>
      <c r="K199" s="27">
        <v>1</v>
      </c>
      <c r="L199" s="38">
        <v>-1.95E-4</v>
      </c>
      <c r="M199" s="27" t="s">
        <v>65</v>
      </c>
      <c r="O199" s="27" t="s">
        <v>327</v>
      </c>
      <c r="P199" s="27">
        <v>15</v>
      </c>
      <c r="Q199" s="27" t="s">
        <v>128</v>
      </c>
      <c r="R199" s="27" t="s">
        <v>376</v>
      </c>
      <c r="S199" s="27" t="s">
        <v>331</v>
      </c>
      <c r="T199" s="27" t="s">
        <v>64</v>
      </c>
      <c r="U199" s="27">
        <v>10</v>
      </c>
      <c r="V199" s="27">
        <v>22</v>
      </c>
      <c r="W199" s="37">
        <v>-1.9699999999999999E-4</v>
      </c>
      <c r="X199" s="27">
        <v>1</v>
      </c>
      <c r="Y199" s="38">
        <v>-1.94E-4</v>
      </c>
      <c r="Z199" s="27" t="s">
        <v>65</v>
      </c>
    </row>
    <row r="200" spans="2:26" x14ac:dyDescent="0.2">
      <c r="B200" s="27" t="s">
        <v>327</v>
      </c>
      <c r="C200" s="27">
        <v>11</v>
      </c>
      <c r="D200" s="27" t="s">
        <v>129</v>
      </c>
      <c r="E200" s="27" t="s">
        <v>106</v>
      </c>
      <c r="F200" s="27" t="s">
        <v>332</v>
      </c>
      <c r="G200" s="27" t="s">
        <v>63</v>
      </c>
      <c r="H200" s="27">
        <v>60</v>
      </c>
      <c r="I200" s="27">
        <v>20</v>
      </c>
      <c r="J200" s="37">
        <v>-7.18E-4</v>
      </c>
      <c r="K200" s="27">
        <v>7</v>
      </c>
      <c r="L200" s="38">
        <v>-7.0899999999999999E-4</v>
      </c>
      <c r="M200" s="27" t="s">
        <v>65</v>
      </c>
      <c r="O200" s="27" t="s">
        <v>327</v>
      </c>
      <c r="P200" s="27">
        <v>11</v>
      </c>
      <c r="Q200" s="27" t="s">
        <v>129</v>
      </c>
      <c r="R200" s="27" t="s">
        <v>376</v>
      </c>
      <c r="S200" s="27" t="s">
        <v>332</v>
      </c>
      <c r="T200" s="27" t="s">
        <v>63</v>
      </c>
      <c r="U200" s="27">
        <v>10</v>
      </c>
      <c r="V200" s="27">
        <v>20</v>
      </c>
      <c r="W200" s="37">
        <v>-7.2099999999999996E-4</v>
      </c>
      <c r="X200" s="27">
        <v>7</v>
      </c>
      <c r="Y200" s="38">
        <v>-7.1199999999999996E-4</v>
      </c>
      <c r="Z200" s="27" t="s">
        <v>65</v>
      </c>
    </row>
    <row r="201" spans="2:26" x14ac:dyDescent="0.2">
      <c r="B201" s="27" t="s">
        <v>327</v>
      </c>
      <c r="C201" s="27">
        <v>11</v>
      </c>
      <c r="D201" s="27" t="s">
        <v>129</v>
      </c>
      <c r="E201" s="27" t="s">
        <v>106</v>
      </c>
      <c r="F201" s="27" t="s">
        <v>333</v>
      </c>
      <c r="G201" s="27" t="s">
        <v>64</v>
      </c>
      <c r="H201" s="27">
        <v>60</v>
      </c>
      <c r="I201" s="27">
        <v>22</v>
      </c>
      <c r="J201" s="37">
        <v>-3.6400000000000001E-4</v>
      </c>
      <c r="K201" s="27">
        <v>1</v>
      </c>
      <c r="L201" s="38">
        <v>-3.4900000000000003E-4</v>
      </c>
      <c r="M201" s="27" t="s">
        <v>65</v>
      </c>
      <c r="O201" s="27" t="s">
        <v>327</v>
      </c>
      <c r="P201" s="27">
        <v>11</v>
      </c>
      <c r="Q201" s="27" t="s">
        <v>129</v>
      </c>
      <c r="R201" s="27" t="s">
        <v>376</v>
      </c>
      <c r="S201" s="27" t="s">
        <v>333</v>
      </c>
      <c r="T201" s="27" t="s">
        <v>64</v>
      </c>
      <c r="U201" s="27">
        <v>10</v>
      </c>
      <c r="V201" s="27">
        <v>22</v>
      </c>
      <c r="W201" s="37">
        <v>-3.6400000000000001E-4</v>
      </c>
      <c r="X201" s="27">
        <v>1</v>
      </c>
      <c r="Y201" s="38">
        <v>-3.4900000000000003E-4</v>
      </c>
      <c r="Z201" s="27" t="s">
        <v>65</v>
      </c>
    </row>
    <row r="202" spans="2:26" x14ac:dyDescent="0.2">
      <c r="B202" s="27" t="s">
        <v>327</v>
      </c>
      <c r="C202" s="27">
        <v>12</v>
      </c>
      <c r="D202" s="27" t="s">
        <v>129</v>
      </c>
      <c r="E202" s="27" t="s">
        <v>106</v>
      </c>
      <c r="F202" s="27" t="s">
        <v>334</v>
      </c>
      <c r="G202" s="27" t="s">
        <v>63</v>
      </c>
      <c r="H202" s="27">
        <v>60</v>
      </c>
      <c r="I202" s="27">
        <v>20</v>
      </c>
      <c r="J202" s="37">
        <v>-7.1699999999999997E-4</v>
      </c>
      <c r="K202" s="27">
        <v>7</v>
      </c>
      <c r="L202" s="38">
        <v>-7.0799999999999997E-4</v>
      </c>
      <c r="M202" s="27" t="s">
        <v>65</v>
      </c>
      <c r="O202" s="27" t="s">
        <v>327</v>
      </c>
      <c r="P202" s="27">
        <v>12</v>
      </c>
      <c r="Q202" s="27" t="s">
        <v>129</v>
      </c>
      <c r="R202" s="27" t="s">
        <v>376</v>
      </c>
      <c r="S202" s="27" t="s">
        <v>334</v>
      </c>
      <c r="T202" s="27" t="s">
        <v>63</v>
      </c>
      <c r="U202" s="27">
        <v>10</v>
      </c>
      <c r="V202" s="27">
        <v>20</v>
      </c>
      <c r="W202" s="37">
        <v>-7.2000000000000005E-4</v>
      </c>
      <c r="X202" s="27">
        <v>7</v>
      </c>
      <c r="Y202" s="38">
        <v>-7.1000000000000002E-4</v>
      </c>
      <c r="Z202" s="27" t="s">
        <v>65</v>
      </c>
    </row>
    <row r="203" spans="2:26" x14ac:dyDescent="0.2">
      <c r="B203" s="27" t="s">
        <v>327</v>
      </c>
      <c r="C203" s="27">
        <v>12</v>
      </c>
      <c r="D203" s="27" t="s">
        <v>129</v>
      </c>
      <c r="E203" s="27" t="s">
        <v>106</v>
      </c>
      <c r="F203" s="27" t="s">
        <v>335</v>
      </c>
      <c r="G203" s="27" t="s">
        <v>64</v>
      </c>
      <c r="H203" s="27">
        <v>60</v>
      </c>
      <c r="I203" s="27">
        <v>22</v>
      </c>
      <c r="J203" s="37">
        <v>-3.6299999999999999E-4</v>
      </c>
      <c r="K203" s="27">
        <v>1</v>
      </c>
      <c r="L203" s="38">
        <v>-3.48E-4</v>
      </c>
      <c r="M203" s="27" t="s">
        <v>65</v>
      </c>
      <c r="O203" s="27" t="s">
        <v>327</v>
      </c>
      <c r="P203" s="27">
        <v>12</v>
      </c>
      <c r="Q203" s="27" t="s">
        <v>129</v>
      </c>
      <c r="R203" s="27" t="s">
        <v>376</v>
      </c>
      <c r="S203" s="27" t="s">
        <v>335</v>
      </c>
      <c r="T203" s="27" t="s">
        <v>64</v>
      </c>
      <c r="U203" s="27">
        <v>10</v>
      </c>
      <c r="V203" s="27">
        <v>22</v>
      </c>
      <c r="W203" s="37">
        <v>-3.6299999999999999E-4</v>
      </c>
      <c r="X203" s="27">
        <v>1</v>
      </c>
      <c r="Y203" s="38">
        <v>-3.4699999999999998E-4</v>
      </c>
      <c r="Z203" s="27" t="s">
        <v>65</v>
      </c>
    </row>
    <row r="204" spans="2:26" x14ac:dyDescent="0.2">
      <c r="B204" s="27" t="s">
        <v>327</v>
      </c>
      <c r="C204" s="27">
        <v>16</v>
      </c>
      <c r="D204" s="27" t="s">
        <v>128</v>
      </c>
      <c r="E204" s="27" t="s">
        <v>106</v>
      </c>
      <c r="F204" s="27" t="s">
        <v>336</v>
      </c>
      <c r="G204" s="27" t="s">
        <v>63</v>
      </c>
      <c r="H204" s="27">
        <v>60</v>
      </c>
      <c r="I204" s="27">
        <v>20</v>
      </c>
      <c r="J204" s="37">
        <v>-4.0299999999999998E-4</v>
      </c>
      <c r="K204" s="27">
        <v>4</v>
      </c>
      <c r="L204" s="38">
        <v>-3.5799999999999997E-4</v>
      </c>
      <c r="M204" s="27" t="s">
        <v>65</v>
      </c>
      <c r="O204" s="27" t="s">
        <v>327</v>
      </c>
      <c r="P204" s="27">
        <v>16</v>
      </c>
      <c r="Q204" s="27" t="s">
        <v>128</v>
      </c>
      <c r="R204" s="27" t="s">
        <v>376</v>
      </c>
      <c r="S204" s="27" t="s">
        <v>336</v>
      </c>
      <c r="T204" s="27" t="s">
        <v>63</v>
      </c>
      <c r="U204" s="27">
        <v>10</v>
      </c>
      <c r="V204" s="27">
        <v>20</v>
      </c>
      <c r="W204" s="37">
        <v>-4.0700000000000003E-4</v>
      </c>
      <c r="X204" s="27">
        <v>4</v>
      </c>
      <c r="Y204" s="38">
        <v>-3.6099999999999999E-4</v>
      </c>
      <c r="Z204" s="27" t="s">
        <v>65</v>
      </c>
    </row>
    <row r="205" spans="2:26" x14ac:dyDescent="0.2">
      <c r="B205" s="27" t="s">
        <v>327</v>
      </c>
      <c r="C205" s="27">
        <v>16</v>
      </c>
      <c r="D205" s="27" t="s">
        <v>128</v>
      </c>
      <c r="E205" s="27" t="s">
        <v>106</v>
      </c>
      <c r="F205" s="27" t="s">
        <v>337</v>
      </c>
      <c r="G205" s="27" t="s">
        <v>64</v>
      </c>
      <c r="H205" s="27">
        <v>60</v>
      </c>
      <c r="I205" s="27">
        <v>22</v>
      </c>
      <c r="J205" s="37">
        <v>-1.8900000000000001E-4</v>
      </c>
      <c r="K205" s="27">
        <v>1</v>
      </c>
      <c r="L205" s="38">
        <v>-1.8699999999999999E-4</v>
      </c>
      <c r="M205" s="27" t="s">
        <v>65</v>
      </c>
      <c r="O205" s="27" t="s">
        <v>327</v>
      </c>
      <c r="P205" s="27">
        <v>16</v>
      </c>
      <c r="Q205" s="27" t="s">
        <v>128</v>
      </c>
      <c r="R205" s="27" t="s">
        <v>376</v>
      </c>
      <c r="S205" s="27" t="s">
        <v>337</v>
      </c>
      <c r="T205" s="27" t="s">
        <v>64</v>
      </c>
      <c r="U205" s="27">
        <v>10</v>
      </c>
      <c r="V205" s="27">
        <v>22</v>
      </c>
      <c r="W205" s="37">
        <v>-1.8699999999999999E-4</v>
      </c>
      <c r="X205" s="27">
        <v>1</v>
      </c>
      <c r="Y205" s="38">
        <v>-1.85E-4</v>
      </c>
      <c r="Z205" s="27" t="s">
        <v>65</v>
      </c>
    </row>
    <row r="206" spans="2:26" x14ac:dyDescent="0.2">
      <c r="B206" s="27" t="s">
        <v>327</v>
      </c>
      <c r="C206" s="27">
        <v>4</v>
      </c>
      <c r="D206" s="27" t="s">
        <v>127</v>
      </c>
      <c r="E206" s="27" t="s">
        <v>106</v>
      </c>
      <c r="F206" s="27" t="s">
        <v>338</v>
      </c>
      <c r="G206" s="27" t="s">
        <v>63</v>
      </c>
      <c r="H206" s="27">
        <v>60</v>
      </c>
      <c r="I206" s="27">
        <v>14</v>
      </c>
      <c r="J206" s="37">
        <v>-4.1800000000000002E-4</v>
      </c>
      <c r="K206" s="27">
        <v>4</v>
      </c>
      <c r="L206" s="38">
        <v>-3.7100000000000002E-4</v>
      </c>
      <c r="M206" s="27" t="s">
        <v>65</v>
      </c>
      <c r="O206" s="27" t="s">
        <v>327</v>
      </c>
      <c r="P206" s="27">
        <v>4</v>
      </c>
      <c r="Q206" s="27" t="s">
        <v>127</v>
      </c>
      <c r="R206" s="27" t="s">
        <v>376</v>
      </c>
      <c r="S206" s="27" t="s">
        <v>338</v>
      </c>
      <c r="T206" s="27" t="s">
        <v>63</v>
      </c>
      <c r="U206" s="27">
        <v>10</v>
      </c>
      <c r="V206" s="27">
        <v>14</v>
      </c>
      <c r="W206" s="37">
        <v>-4.2099999999999999E-4</v>
      </c>
      <c r="X206" s="27">
        <v>4</v>
      </c>
      <c r="Y206" s="38">
        <v>-3.7300000000000001E-4</v>
      </c>
      <c r="Z206" s="27" t="s">
        <v>65</v>
      </c>
    </row>
    <row r="207" spans="2:26" x14ac:dyDescent="0.2">
      <c r="B207" s="27" t="s">
        <v>327</v>
      </c>
      <c r="C207" s="27">
        <v>4</v>
      </c>
      <c r="D207" s="27" t="s">
        <v>127</v>
      </c>
      <c r="E207" s="27" t="s">
        <v>106</v>
      </c>
      <c r="F207" s="27" t="s">
        <v>339</v>
      </c>
      <c r="G207" s="27" t="s">
        <v>64</v>
      </c>
      <c r="H207" s="27">
        <v>60</v>
      </c>
      <c r="I207" s="27">
        <v>16</v>
      </c>
      <c r="J207" s="37">
        <v>-3.2600000000000001E-4</v>
      </c>
      <c r="K207" s="27">
        <v>1</v>
      </c>
      <c r="L207" s="38">
        <v>-2.9399999999999999E-4</v>
      </c>
      <c r="M207" s="27" t="s">
        <v>65</v>
      </c>
      <c r="O207" s="27" t="s">
        <v>327</v>
      </c>
      <c r="P207" s="27">
        <v>4</v>
      </c>
      <c r="Q207" s="27" t="s">
        <v>127</v>
      </c>
      <c r="R207" s="27" t="s">
        <v>376</v>
      </c>
      <c r="S207" s="27" t="s">
        <v>339</v>
      </c>
      <c r="T207" s="27" t="s">
        <v>64</v>
      </c>
      <c r="U207" s="27">
        <v>10</v>
      </c>
      <c r="V207" s="27">
        <v>16</v>
      </c>
      <c r="W207" s="37">
        <v>-3.2499999999999999E-4</v>
      </c>
      <c r="X207" s="27">
        <v>1</v>
      </c>
      <c r="Y207" s="38">
        <v>-2.9399999999999999E-4</v>
      </c>
      <c r="Z207" s="27" t="s">
        <v>65</v>
      </c>
    </row>
    <row r="208" spans="2:26" x14ac:dyDescent="0.2">
      <c r="B208" s="27" t="s">
        <v>327</v>
      </c>
      <c r="C208" s="27">
        <v>20</v>
      </c>
      <c r="D208" s="27" t="s">
        <v>128</v>
      </c>
      <c r="E208" s="27" t="s">
        <v>106</v>
      </c>
      <c r="F208" s="27" t="s">
        <v>340</v>
      </c>
      <c r="G208" s="27" t="s">
        <v>63</v>
      </c>
      <c r="H208" s="27">
        <v>60</v>
      </c>
      <c r="I208" s="27">
        <v>21</v>
      </c>
      <c r="J208" s="37">
        <v>-4.3300000000000001E-4</v>
      </c>
      <c r="K208" s="27">
        <v>1</v>
      </c>
      <c r="L208" s="38">
        <v>-3.8299999999999999E-4</v>
      </c>
      <c r="M208" s="27" t="s">
        <v>65</v>
      </c>
      <c r="O208" s="27" t="s">
        <v>327</v>
      </c>
      <c r="P208" s="27">
        <v>20</v>
      </c>
      <c r="Q208" s="27" t="s">
        <v>128</v>
      </c>
      <c r="R208" s="27" t="s">
        <v>376</v>
      </c>
      <c r="S208" s="27" t="s">
        <v>340</v>
      </c>
      <c r="T208" s="27" t="s">
        <v>63</v>
      </c>
      <c r="U208" s="27">
        <v>10</v>
      </c>
      <c r="V208" s="27">
        <v>20</v>
      </c>
      <c r="W208" s="37">
        <v>-4.35E-4</v>
      </c>
      <c r="X208" s="27">
        <v>4</v>
      </c>
      <c r="Y208" s="38">
        <v>-3.86E-4</v>
      </c>
      <c r="Z208" s="27" t="s">
        <v>65</v>
      </c>
    </row>
    <row r="209" spans="2:26" x14ac:dyDescent="0.2">
      <c r="B209" s="27" t="s">
        <v>327</v>
      </c>
      <c r="C209" s="27">
        <v>20</v>
      </c>
      <c r="D209" s="27" t="s">
        <v>128</v>
      </c>
      <c r="E209" s="27" t="s">
        <v>106</v>
      </c>
      <c r="F209" s="27" t="s">
        <v>341</v>
      </c>
      <c r="G209" s="27" t="s">
        <v>64</v>
      </c>
      <c r="H209" s="27">
        <v>60</v>
      </c>
      <c r="I209" s="27">
        <v>15</v>
      </c>
      <c r="J209" s="37">
        <v>-1.8599999999999999E-4</v>
      </c>
      <c r="K209" s="27">
        <v>6</v>
      </c>
      <c r="L209" s="38">
        <v>-1.8200000000000001E-4</v>
      </c>
      <c r="M209" s="27" t="s">
        <v>65</v>
      </c>
      <c r="O209" s="27" t="s">
        <v>327</v>
      </c>
      <c r="P209" s="27">
        <v>20</v>
      </c>
      <c r="Q209" s="27" t="s">
        <v>128</v>
      </c>
      <c r="R209" s="27" t="s">
        <v>376</v>
      </c>
      <c r="S209" s="27" t="s">
        <v>341</v>
      </c>
      <c r="T209" s="27" t="s">
        <v>64</v>
      </c>
      <c r="U209" s="27">
        <v>10</v>
      </c>
      <c r="V209" s="27">
        <v>15</v>
      </c>
      <c r="W209" s="37">
        <v>-1.8799999999999999E-4</v>
      </c>
      <c r="X209" s="27">
        <v>6</v>
      </c>
      <c r="Y209" s="38">
        <v>-1.83E-4</v>
      </c>
      <c r="Z209" s="27" t="s">
        <v>65</v>
      </c>
    </row>
    <row r="210" spans="2:26" x14ac:dyDescent="0.2">
      <c r="B210" s="27" t="s">
        <v>327</v>
      </c>
      <c r="C210" s="27">
        <v>5</v>
      </c>
      <c r="D210" s="27" t="s">
        <v>129</v>
      </c>
      <c r="E210" s="27" t="s">
        <v>106</v>
      </c>
      <c r="F210" s="27" t="s">
        <v>342</v>
      </c>
      <c r="G210" s="27" t="s">
        <v>63</v>
      </c>
      <c r="H210" s="27">
        <v>60</v>
      </c>
      <c r="I210" s="27">
        <v>21</v>
      </c>
      <c r="J210" s="37">
        <v>-7.3300000000000004E-4</v>
      </c>
      <c r="K210" s="27">
        <v>1</v>
      </c>
      <c r="L210" s="38">
        <v>-7.36E-4</v>
      </c>
      <c r="M210" s="27" t="s">
        <v>65</v>
      </c>
      <c r="O210" s="27" t="s">
        <v>327</v>
      </c>
      <c r="P210" s="27">
        <v>5</v>
      </c>
      <c r="Q210" s="27" t="s">
        <v>129</v>
      </c>
      <c r="R210" s="27" t="s">
        <v>376</v>
      </c>
      <c r="S210" s="27" t="s">
        <v>342</v>
      </c>
      <c r="T210" s="27" t="s">
        <v>63</v>
      </c>
      <c r="U210" s="27">
        <v>10</v>
      </c>
      <c r="V210" s="27">
        <v>20</v>
      </c>
      <c r="W210" s="37">
        <v>-7.3499999999999998E-4</v>
      </c>
      <c r="X210" s="27">
        <v>7</v>
      </c>
      <c r="Y210" s="38">
        <v>-7.3700000000000002E-4</v>
      </c>
      <c r="Z210" s="27" t="s">
        <v>65</v>
      </c>
    </row>
    <row r="211" spans="2:26" x14ac:dyDescent="0.2">
      <c r="B211" s="27" t="s">
        <v>327</v>
      </c>
      <c r="C211" s="27">
        <v>5</v>
      </c>
      <c r="D211" s="27" t="s">
        <v>129</v>
      </c>
      <c r="E211" s="27" t="s">
        <v>106</v>
      </c>
      <c r="F211" s="27" t="s">
        <v>343</v>
      </c>
      <c r="G211" s="27" t="s">
        <v>64</v>
      </c>
      <c r="H211" s="27">
        <v>60</v>
      </c>
      <c r="I211" s="27">
        <v>20</v>
      </c>
      <c r="J211" s="37">
        <v>-3.5799999999999997E-4</v>
      </c>
      <c r="K211" s="27">
        <v>7</v>
      </c>
      <c r="L211" s="38">
        <v>-3.5799999999999997E-4</v>
      </c>
      <c r="M211" s="27" t="s">
        <v>65</v>
      </c>
      <c r="O211" s="27" t="s">
        <v>327</v>
      </c>
      <c r="P211" s="27">
        <v>5</v>
      </c>
      <c r="Q211" s="27" t="s">
        <v>129</v>
      </c>
      <c r="R211" s="27" t="s">
        <v>376</v>
      </c>
      <c r="S211" s="27" t="s">
        <v>343</v>
      </c>
      <c r="T211" s="27" t="s">
        <v>64</v>
      </c>
      <c r="U211" s="27">
        <v>10</v>
      </c>
      <c r="V211" s="27">
        <v>20</v>
      </c>
      <c r="W211" s="37">
        <v>-3.5799999999999997E-4</v>
      </c>
      <c r="X211" s="27">
        <v>7</v>
      </c>
      <c r="Y211" s="38">
        <v>-3.5799999999999997E-4</v>
      </c>
      <c r="Z211" s="27" t="s">
        <v>65</v>
      </c>
    </row>
    <row r="212" spans="2:26" x14ac:dyDescent="0.2">
      <c r="B212" s="27" t="s">
        <v>327</v>
      </c>
      <c r="C212" s="27">
        <v>23</v>
      </c>
      <c r="D212" s="27" t="s">
        <v>128</v>
      </c>
      <c r="E212" s="27" t="s">
        <v>106</v>
      </c>
      <c r="F212" s="27" t="s">
        <v>344</v>
      </c>
      <c r="G212" s="27" t="s">
        <v>63</v>
      </c>
      <c r="H212" s="27">
        <v>60</v>
      </c>
      <c r="I212" s="27">
        <v>21</v>
      </c>
      <c r="J212" s="37">
        <v>-4.75E-4</v>
      </c>
      <c r="K212" s="27">
        <v>1</v>
      </c>
      <c r="L212" s="38">
        <v>-4.2700000000000002E-4</v>
      </c>
      <c r="M212" s="27" t="s">
        <v>65</v>
      </c>
      <c r="O212" s="27" t="s">
        <v>327</v>
      </c>
      <c r="P212" s="27">
        <v>23</v>
      </c>
      <c r="Q212" s="27" t="s">
        <v>128</v>
      </c>
      <c r="R212" s="27" t="s">
        <v>376</v>
      </c>
      <c r="S212" s="27" t="s">
        <v>344</v>
      </c>
      <c r="T212" s="27" t="s">
        <v>63</v>
      </c>
      <c r="U212" s="27">
        <v>10</v>
      </c>
      <c r="V212" s="27">
        <v>20</v>
      </c>
      <c r="W212" s="37">
        <v>-4.7800000000000002E-4</v>
      </c>
      <c r="X212" s="27">
        <v>4</v>
      </c>
      <c r="Y212" s="38">
        <v>-4.2900000000000002E-4</v>
      </c>
      <c r="Z212" s="27" t="s">
        <v>65</v>
      </c>
    </row>
    <row r="213" spans="2:26" x14ac:dyDescent="0.2">
      <c r="B213" s="27" t="s">
        <v>327</v>
      </c>
      <c r="C213" s="27">
        <v>23</v>
      </c>
      <c r="D213" s="27" t="s">
        <v>128</v>
      </c>
      <c r="E213" s="27" t="s">
        <v>106</v>
      </c>
      <c r="F213" s="27" t="s">
        <v>345</v>
      </c>
      <c r="G213" s="27" t="s">
        <v>64</v>
      </c>
      <c r="H213" s="27">
        <v>60</v>
      </c>
      <c r="I213" s="27">
        <v>15</v>
      </c>
      <c r="J213" s="37">
        <v>-2.2000000000000001E-4</v>
      </c>
      <c r="K213" s="27">
        <v>6</v>
      </c>
      <c r="L213" s="38">
        <v>-2.1900000000000001E-4</v>
      </c>
      <c r="M213" s="27" t="s">
        <v>65</v>
      </c>
      <c r="O213" s="27" t="s">
        <v>327</v>
      </c>
      <c r="P213" s="27">
        <v>23</v>
      </c>
      <c r="Q213" s="27" t="s">
        <v>128</v>
      </c>
      <c r="R213" s="27" t="s">
        <v>376</v>
      </c>
      <c r="S213" s="27" t="s">
        <v>345</v>
      </c>
      <c r="T213" s="27" t="s">
        <v>64</v>
      </c>
      <c r="U213" s="27">
        <v>10</v>
      </c>
      <c r="V213" s="27">
        <v>15</v>
      </c>
      <c r="W213" s="37">
        <v>-2.22E-4</v>
      </c>
      <c r="X213" s="27">
        <v>6</v>
      </c>
      <c r="Y213" s="38">
        <v>-2.2000000000000001E-4</v>
      </c>
      <c r="Z213" s="27" t="s">
        <v>65</v>
      </c>
    </row>
    <row r="214" spans="2:26" x14ac:dyDescent="0.2">
      <c r="B214" s="27" t="s">
        <v>327</v>
      </c>
      <c r="C214" s="27">
        <v>24</v>
      </c>
      <c r="D214" s="27" t="s">
        <v>128</v>
      </c>
      <c r="E214" s="27" t="s">
        <v>106</v>
      </c>
      <c r="F214" s="27" t="s">
        <v>346</v>
      </c>
      <c r="G214" s="27" t="s">
        <v>63</v>
      </c>
      <c r="H214" s="27">
        <v>60</v>
      </c>
      <c r="I214" s="27">
        <v>21</v>
      </c>
      <c r="J214" s="37">
        <v>-4.7699999999999999E-4</v>
      </c>
      <c r="K214" s="27">
        <v>1</v>
      </c>
      <c r="L214" s="38">
        <v>-4.2900000000000002E-4</v>
      </c>
      <c r="M214" s="27" t="s">
        <v>65</v>
      </c>
      <c r="O214" s="27" t="s">
        <v>327</v>
      </c>
      <c r="P214" s="27">
        <v>24</v>
      </c>
      <c r="Q214" s="27" t="s">
        <v>128</v>
      </c>
      <c r="R214" s="27" t="s">
        <v>376</v>
      </c>
      <c r="S214" s="27" t="s">
        <v>346</v>
      </c>
      <c r="T214" s="27" t="s">
        <v>63</v>
      </c>
      <c r="U214" s="27">
        <v>10</v>
      </c>
      <c r="V214" s="27">
        <v>20</v>
      </c>
      <c r="W214" s="37">
        <v>-4.8000000000000001E-4</v>
      </c>
      <c r="X214" s="27">
        <v>4</v>
      </c>
      <c r="Y214" s="38">
        <v>-4.3199999999999998E-4</v>
      </c>
      <c r="Z214" s="27" t="s">
        <v>65</v>
      </c>
    </row>
    <row r="215" spans="2:26" x14ac:dyDescent="0.2">
      <c r="B215" s="27" t="s">
        <v>327</v>
      </c>
      <c r="C215" s="27">
        <v>24</v>
      </c>
      <c r="D215" s="27" t="s">
        <v>128</v>
      </c>
      <c r="E215" s="27" t="s">
        <v>106</v>
      </c>
      <c r="F215" s="27" t="s">
        <v>347</v>
      </c>
      <c r="G215" s="27" t="s">
        <v>64</v>
      </c>
      <c r="H215" s="27">
        <v>60</v>
      </c>
      <c r="I215" s="27">
        <v>15</v>
      </c>
      <c r="J215" s="37">
        <v>-2.2100000000000001E-4</v>
      </c>
      <c r="K215" s="27">
        <v>6</v>
      </c>
      <c r="L215" s="38">
        <v>-2.2000000000000001E-4</v>
      </c>
      <c r="M215" s="27" t="s">
        <v>65</v>
      </c>
      <c r="O215" s="27" t="s">
        <v>327</v>
      </c>
      <c r="P215" s="27">
        <v>24</v>
      </c>
      <c r="Q215" s="27" t="s">
        <v>128</v>
      </c>
      <c r="R215" s="27" t="s">
        <v>376</v>
      </c>
      <c r="S215" s="27" t="s">
        <v>347</v>
      </c>
      <c r="T215" s="27" t="s">
        <v>64</v>
      </c>
      <c r="U215" s="27">
        <v>10</v>
      </c>
      <c r="V215" s="27">
        <v>15</v>
      </c>
      <c r="W215" s="37">
        <v>-2.22E-4</v>
      </c>
      <c r="X215" s="27">
        <v>6</v>
      </c>
      <c r="Y215" s="38">
        <v>-2.2100000000000001E-4</v>
      </c>
      <c r="Z215" s="27" t="s">
        <v>65</v>
      </c>
    </row>
    <row r="216" spans="2:26" x14ac:dyDescent="0.2">
      <c r="B216" s="27" t="s">
        <v>327</v>
      </c>
      <c r="C216" s="27">
        <v>7</v>
      </c>
      <c r="D216" s="27" t="s">
        <v>129</v>
      </c>
      <c r="E216" s="27" t="s">
        <v>106</v>
      </c>
      <c r="F216" s="27" t="s">
        <v>348</v>
      </c>
      <c r="G216" s="27" t="s">
        <v>63</v>
      </c>
      <c r="H216" s="27">
        <v>60</v>
      </c>
      <c r="I216" s="27">
        <v>22</v>
      </c>
      <c r="J216" s="37">
        <v>-7.3700000000000002E-4</v>
      </c>
      <c r="K216" s="27">
        <v>1</v>
      </c>
      <c r="L216" s="38">
        <v>-7.3899999999999997E-4</v>
      </c>
      <c r="M216" s="27" t="s">
        <v>65</v>
      </c>
      <c r="O216" s="27" t="s">
        <v>327</v>
      </c>
      <c r="P216" s="27">
        <v>7</v>
      </c>
      <c r="Q216" s="27" t="s">
        <v>129</v>
      </c>
      <c r="R216" s="27" t="s">
        <v>376</v>
      </c>
      <c r="S216" s="27" t="s">
        <v>348</v>
      </c>
      <c r="T216" s="27" t="s">
        <v>63</v>
      </c>
      <c r="U216" s="27">
        <v>10</v>
      </c>
      <c r="V216" s="27">
        <v>20</v>
      </c>
      <c r="W216" s="37">
        <v>-7.3800000000000005E-4</v>
      </c>
      <c r="X216" s="27">
        <v>7</v>
      </c>
      <c r="Y216" s="38">
        <v>-7.3999999999999999E-4</v>
      </c>
      <c r="Z216" s="27" t="s">
        <v>65</v>
      </c>
    </row>
    <row r="217" spans="2:26" x14ac:dyDescent="0.2">
      <c r="B217" s="27" t="s">
        <v>327</v>
      </c>
      <c r="C217" s="27">
        <v>7</v>
      </c>
      <c r="D217" s="27" t="s">
        <v>129</v>
      </c>
      <c r="E217" s="27" t="s">
        <v>106</v>
      </c>
      <c r="F217" s="27" t="s">
        <v>349</v>
      </c>
      <c r="G217" s="27" t="s">
        <v>64</v>
      </c>
      <c r="H217" s="27">
        <v>60</v>
      </c>
      <c r="I217" s="27">
        <v>20</v>
      </c>
      <c r="J217" s="37">
        <v>-3.5599999999999998E-4</v>
      </c>
      <c r="K217" s="27">
        <v>7</v>
      </c>
      <c r="L217" s="38">
        <v>-3.57E-4</v>
      </c>
      <c r="M217" s="27" t="s">
        <v>65</v>
      </c>
      <c r="O217" s="27" t="s">
        <v>327</v>
      </c>
      <c r="P217" s="27">
        <v>7</v>
      </c>
      <c r="Q217" s="27" t="s">
        <v>129</v>
      </c>
      <c r="R217" s="27" t="s">
        <v>376</v>
      </c>
      <c r="S217" s="27" t="s">
        <v>349</v>
      </c>
      <c r="T217" s="27" t="s">
        <v>64</v>
      </c>
      <c r="U217" s="27">
        <v>10</v>
      </c>
      <c r="V217" s="27">
        <v>20</v>
      </c>
      <c r="W217" s="37">
        <v>-3.5599999999999998E-4</v>
      </c>
      <c r="X217" s="27">
        <v>7</v>
      </c>
      <c r="Y217" s="38">
        <v>-3.57E-4</v>
      </c>
      <c r="Z217" s="27" t="s">
        <v>65</v>
      </c>
    </row>
    <row r="218" spans="2:26" x14ac:dyDescent="0.2">
      <c r="B218" s="27" t="s">
        <v>327</v>
      </c>
      <c r="C218" s="27">
        <v>18</v>
      </c>
      <c r="D218" s="27" t="s">
        <v>128</v>
      </c>
      <c r="E218" s="27" t="s">
        <v>106</v>
      </c>
      <c r="F218" s="27" t="s">
        <v>350</v>
      </c>
      <c r="G218" s="27" t="s">
        <v>63</v>
      </c>
      <c r="H218" s="27">
        <v>60</v>
      </c>
      <c r="I218" s="27">
        <v>22</v>
      </c>
      <c r="J218" s="37">
        <v>-3.2899999999999997E-4</v>
      </c>
      <c r="K218" s="27">
        <v>1</v>
      </c>
      <c r="L218" s="38">
        <v>-2.9E-4</v>
      </c>
      <c r="M218" s="27" t="s">
        <v>65</v>
      </c>
      <c r="O218" s="27" t="s">
        <v>327</v>
      </c>
      <c r="P218" s="27">
        <v>18</v>
      </c>
      <c r="Q218" s="27" t="s">
        <v>128</v>
      </c>
      <c r="R218" s="27" t="s">
        <v>376</v>
      </c>
      <c r="S218" s="27" t="s">
        <v>350</v>
      </c>
      <c r="T218" s="27" t="s">
        <v>63</v>
      </c>
      <c r="U218" s="27">
        <v>10</v>
      </c>
      <c r="V218" s="27">
        <v>20</v>
      </c>
      <c r="W218" s="37">
        <v>-3.2899999999999997E-4</v>
      </c>
      <c r="X218" s="27">
        <v>4</v>
      </c>
      <c r="Y218" s="38">
        <v>-2.9E-4</v>
      </c>
      <c r="Z218" s="27" t="s">
        <v>65</v>
      </c>
    </row>
    <row r="219" spans="2:26" x14ac:dyDescent="0.2">
      <c r="B219" s="27" t="s">
        <v>327</v>
      </c>
      <c r="C219" s="27">
        <v>18</v>
      </c>
      <c r="D219" s="27" t="s">
        <v>128</v>
      </c>
      <c r="E219" s="27" t="s">
        <v>106</v>
      </c>
      <c r="F219" s="27" t="s">
        <v>351</v>
      </c>
      <c r="G219" s="27" t="s">
        <v>64</v>
      </c>
      <c r="H219" s="27">
        <v>60</v>
      </c>
      <c r="I219" s="27">
        <v>20</v>
      </c>
      <c r="J219" s="37">
        <v>-1.9599999999999999E-4</v>
      </c>
      <c r="K219" s="27">
        <v>4</v>
      </c>
      <c r="L219" s="38">
        <v>-1.8100000000000001E-4</v>
      </c>
      <c r="M219" s="27" t="s">
        <v>65</v>
      </c>
      <c r="O219" s="27" t="s">
        <v>327</v>
      </c>
      <c r="P219" s="27">
        <v>18</v>
      </c>
      <c r="Q219" s="27" t="s">
        <v>128</v>
      </c>
      <c r="R219" s="27" t="s">
        <v>376</v>
      </c>
      <c r="S219" s="27" t="s">
        <v>351</v>
      </c>
      <c r="T219" s="27" t="s">
        <v>64</v>
      </c>
      <c r="U219" s="27">
        <v>10</v>
      </c>
      <c r="V219" s="27">
        <v>20</v>
      </c>
      <c r="W219" s="37">
        <v>-1.9699999999999999E-4</v>
      </c>
      <c r="X219" s="27">
        <v>4</v>
      </c>
      <c r="Y219" s="38">
        <v>-1.8200000000000001E-4</v>
      </c>
      <c r="Z219" s="27" t="s">
        <v>65</v>
      </c>
    </row>
    <row r="220" spans="2:26" x14ac:dyDescent="0.2">
      <c r="B220" s="27" t="s">
        <v>327</v>
      </c>
      <c r="C220" s="27">
        <v>19</v>
      </c>
      <c r="D220" s="27" t="s">
        <v>128</v>
      </c>
      <c r="E220" s="27" t="s">
        <v>106</v>
      </c>
      <c r="F220" s="27" t="s">
        <v>352</v>
      </c>
      <c r="G220" s="27" t="s">
        <v>63</v>
      </c>
      <c r="H220" s="27">
        <v>60</v>
      </c>
      <c r="I220" s="27">
        <v>20</v>
      </c>
      <c r="J220" s="37">
        <v>-4.3399999999999998E-4</v>
      </c>
      <c r="K220" s="27">
        <v>4</v>
      </c>
      <c r="L220" s="38">
        <v>-3.8499999999999998E-4</v>
      </c>
      <c r="M220" s="27" t="s">
        <v>65</v>
      </c>
      <c r="O220" s="27" t="s">
        <v>327</v>
      </c>
      <c r="P220" s="27">
        <v>19</v>
      </c>
      <c r="Q220" s="27" t="s">
        <v>128</v>
      </c>
      <c r="R220" s="27" t="s">
        <v>376</v>
      </c>
      <c r="S220" s="27" t="s">
        <v>352</v>
      </c>
      <c r="T220" s="27" t="s">
        <v>63</v>
      </c>
      <c r="U220" s="27">
        <v>10</v>
      </c>
      <c r="V220" s="27">
        <v>20</v>
      </c>
      <c r="W220" s="37">
        <v>-4.37E-4</v>
      </c>
      <c r="X220" s="27">
        <v>4</v>
      </c>
      <c r="Y220" s="38">
        <v>-3.88E-4</v>
      </c>
      <c r="Z220" s="27" t="s">
        <v>65</v>
      </c>
    </row>
    <row r="221" spans="2:26" x14ac:dyDescent="0.2">
      <c r="B221" s="27" t="s">
        <v>327</v>
      </c>
      <c r="C221" s="27">
        <v>19</v>
      </c>
      <c r="D221" s="27" t="s">
        <v>128</v>
      </c>
      <c r="E221" s="27" t="s">
        <v>106</v>
      </c>
      <c r="F221" s="27" t="s">
        <v>353</v>
      </c>
      <c r="G221" s="27" t="s">
        <v>64</v>
      </c>
      <c r="H221" s="27">
        <v>60</v>
      </c>
      <c r="I221" s="27">
        <v>17</v>
      </c>
      <c r="J221" s="37">
        <v>-1.8599999999999999E-4</v>
      </c>
      <c r="K221" s="27">
        <v>3</v>
      </c>
      <c r="L221" s="38">
        <v>-1.8200000000000001E-4</v>
      </c>
      <c r="M221" s="27" t="s">
        <v>65</v>
      </c>
      <c r="O221" s="27" t="s">
        <v>327</v>
      </c>
      <c r="P221" s="27">
        <v>19</v>
      </c>
      <c r="Q221" s="27" t="s">
        <v>128</v>
      </c>
      <c r="R221" s="27" t="s">
        <v>376</v>
      </c>
      <c r="S221" s="27" t="s">
        <v>353</v>
      </c>
      <c r="T221" s="27" t="s">
        <v>64</v>
      </c>
      <c r="U221" s="27">
        <v>10</v>
      </c>
      <c r="V221" s="27">
        <v>16</v>
      </c>
      <c r="W221" s="37">
        <v>-1.85E-4</v>
      </c>
      <c r="X221" s="27">
        <v>3</v>
      </c>
      <c r="Y221" s="38">
        <v>-1.8100000000000001E-4</v>
      </c>
      <c r="Z221" s="27" t="s">
        <v>65</v>
      </c>
    </row>
    <row r="222" spans="2:26" x14ac:dyDescent="0.2">
      <c r="B222" s="27" t="s">
        <v>327</v>
      </c>
      <c r="C222" s="27">
        <v>6</v>
      </c>
      <c r="D222" s="27" t="s">
        <v>129</v>
      </c>
      <c r="E222" s="27" t="s">
        <v>106</v>
      </c>
      <c r="F222" s="27" t="s">
        <v>354</v>
      </c>
      <c r="G222" s="27" t="s">
        <v>63</v>
      </c>
      <c r="H222" s="27">
        <v>60</v>
      </c>
      <c r="I222" s="27">
        <v>20</v>
      </c>
      <c r="J222" s="37">
        <v>-7.3399999999999995E-4</v>
      </c>
      <c r="K222" s="27">
        <v>7</v>
      </c>
      <c r="L222" s="38">
        <v>-7.36E-4</v>
      </c>
      <c r="M222" s="27" t="s">
        <v>65</v>
      </c>
      <c r="O222" s="27" t="s">
        <v>327</v>
      </c>
      <c r="P222" s="27">
        <v>6</v>
      </c>
      <c r="Q222" s="27" t="s">
        <v>129</v>
      </c>
      <c r="R222" s="27" t="s">
        <v>376</v>
      </c>
      <c r="S222" s="27" t="s">
        <v>354</v>
      </c>
      <c r="T222" s="27" t="s">
        <v>63</v>
      </c>
      <c r="U222" s="27">
        <v>10</v>
      </c>
      <c r="V222" s="27">
        <v>20</v>
      </c>
      <c r="W222" s="37">
        <v>-7.3800000000000005E-4</v>
      </c>
      <c r="X222" s="27">
        <v>7</v>
      </c>
      <c r="Y222" s="38">
        <v>-7.3899999999999997E-4</v>
      </c>
      <c r="Z222" s="27" t="s">
        <v>65</v>
      </c>
    </row>
    <row r="223" spans="2:26" x14ac:dyDescent="0.2">
      <c r="B223" s="27" t="s">
        <v>327</v>
      </c>
      <c r="C223" s="27">
        <v>6</v>
      </c>
      <c r="D223" s="27" t="s">
        <v>129</v>
      </c>
      <c r="E223" s="27" t="s">
        <v>106</v>
      </c>
      <c r="F223" s="27" t="s">
        <v>355</v>
      </c>
      <c r="G223" s="27" t="s">
        <v>64</v>
      </c>
      <c r="H223" s="27">
        <v>60</v>
      </c>
      <c r="I223" s="27">
        <v>22</v>
      </c>
      <c r="J223" s="37">
        <v>-3.5799999999999997E-4</v>
      </c>
      <c r="K223" s="27">
        <v>1</v>
      </c>
      <c r="L223" s="38">
        <v>-3.5799999999999997E-4</v>
      </c>
      <c r="M223" s="27" t="s">
        <v>65</v>
      </c>
      <c r="O223" s="27" t="s">
        <v>327</v>
      </c>
      <c r="P223" s="27">
        <v>6</v>
      </c>
      <c r="Q223" s="27" t="s">
        <v>129</v>
      </c>
      <c r="R223" s="27" t="s">
        <v>376</v>
      </c>
      <c r="S223" s="27" t="s">
        <v>355</v>
      </c>
      <c r="T223" s="27" t="s">
        <v>64</v>
      </c>
      <c r="U223" s="27">
        <v>10</v>
      </c>
      <c r="V223" s="27">
        <v>22</v>
      </c>
      <c r="W223" s="37">
        <v>-3.5799999999999997E-4</v>
      </c>
      <c r="X223" s="27">
        <v>1</v>
      </c>
      <c r="Y223" s="38">
        <v>-3.5799999999999997E-4</v>
      </c>
      <c r="Z223" s="27" t="s">
        <v>65</v>
      </c>
    </row>
    <row r="224" spans="2:26" x14ac:dyDescent="0.2">
      <c r="B224" s="27" t="s">
        <v>327</v>
      </c>
      <c r="C224" s="27">
        <v>21</v>
      </c>
      <c r="D224" s="27" t="s">
        <v>128</v>
      </c>
      <c r="E224" s="27" t="s">
        <v>106</v>
      </c>
      <c r="F224" s="27" t="s">
        <v>356</v>
      </c>
      <c r="G224" s="27" t="s">
        <v>63</v>
      </c>
      <c r="H224" s="27">
        <v>60</v>
      </c>
      <c r="I224" s="27">
        <v>20</v>
      </c>
      <c r="J224" s="37">
        <v>-4.75E-4</v>
      </c>
      <c r="K224" s="27">
        <v>4</v>
      </c>
      <c r="L224" s="38">
        <v>-4.2700000000000002E-4</v>
      </c>
      <c r="M224" s="27" t="s">
        <v>65</v>
      </c>
      <c r="O224" s="27" t="s">
        <v>327</v>
      </c>
      <c r="P224" s="27">
        <v>21</v>
      </c>
      <c r="Q224" s="27" t="s">
        <v>128</v>
      </c>
      <c r="R224" s="27" t="s">
        <v>376</v>
      </c>
      <c r="S224" s="27" t="s">
        <v>356</v>
      </c>
      <c r="T224" s="27" t="s">
        <v>63</v>
      </c>
      <c r="U224" s="27">
        <v>10</v>
      </c>
      <c r="V224" s="27">
        <v>20</v>
      </c>
      <c r="W224" s="37">
        <v>-4.7899999999999999E-4</v>
      </c>
      <c r="X224" s="27">
        <v>4</v>
      </c>
      <c r="Y224" s="38">
        <v>-4.2999999999999999E-4</v>
      </c>
      <c r="Z224" s="27" t="s">
        <v>65</v>
      </c>
    </row>
    <row r="225" spans="2:26" x14ac:dyDescent="0.2">
      <c r="B225" s="27" t="s">
        <v>327</v>
      </c>
      <c r="C225" s="27">
        <v>21</v>
      </c>
      <c r="D225" s="27" t="s">
        <v>128</v>
      </c>
      <c r="E225" s="27" t="s">
        <v>106</v>
      </c>
      <c r="F225" s="27" t="s">
        <v>357</v>
      </c>
      <c r="G225" s="27" t="s">
        <v>64</v>
      </c>
      <c r="H225" s="27">
        <v>60</v>
      </c>
      <c r="I225" s="27">
        <v>16</v>
      </c>
      <c r="J225" s="37">
        <v>-2.2000000000000001E-4</v>
      </c>
      <c r="K225" s="27">
        <v>3</v>
      </c>
      <c r="L225" s="38">
        <v>-2.1900000000000001E-4</v>
      </c>
      <c r="M225" s="27" t="s">
        <v>65</v>
      </c>
      <c r="O225" s="27" t="s">
        <v>327</v>
      </c>
      <c r="P225" s="27">
        <v>21</v>
      </c>
      <c r="Q225" s="27" t="s">
        <v>128</v>
      </c>
      <c r="R225" s="27" t="s">
        <v>376</v>
      </c>
      <c r="S225" s="27" t="s">
        <v>357</v>
      </c>
      <c r="T225" s="27" t="s">
        <v>64</v>
      </c>
      <c r="U225" s="27">
        <v>10</v>
      </c>
      <c r="V225" s="27">
        <v>15</v>
      </c>
      <c r="W225" s="37">
        <v>-2.2000000000000001E-4</v>
      </c>
      <c r="X225" s="27">
        <v>3</v>
      </c>
      <c r="Y225" s="38">
        <v>-2.1800000000000001E-4</v>
      </c>
      <c r="Z225" s="27" t="s">
        <v>65</v>
      </c>
    </row>
    <row r="226" spans="2:26" x14ac:dyDescent="0.2">
      <c r="B226" s="27" t="s">
        <v>327</v>
      </c>
      <c r="C226" s="27">
        <v>22</v>
      </c>
      <c r="D226" s="27" t="s">
        <v>128</v>
      </c>
      <c r="E226" s="27" t="s">
        <v>106</v>
      </c>
      <c r="F226" s="27" t="s">
        <v>358</v>
      </c>
      <c r="G226" s="27" t="s">
        <v>63</v>
      </c>
      <c r="H226" s="27">
        <v>60</v>
      </c>
      <c r="I226" s="27">
        <v>20</v>
      </c>
      <c r="J226" s="37">
        <v>-4.7699999999999999E-4</v>
      </c>
      <c r="K226" s="27">
        <v>1</v>
      </c>
      <c r="L226" s="38">
        <v>-4.2900000000000002E-4</v>
      </c>
      <c r="M226" s="27" t="s">
        <v>65</v>
      </c>
      <c r="O226" s="27" t="s">
        <v>327</v>
      </c>
      <c r="P226" s="27">
        <v>22</v>
      </c>
      <c r="Q226" s="27" t="s">
        <v>128</v>
      </c>
      <c r="R226" s="27" t="s">
        <v>376</v>
      </c>
      <c r="S226" s="27" t="s">
        <v>358</v>
      </c>
      <c r="T226" s="27" t="s">
        <v>63</v>
      </c>
      <c r="U226" s="27">
        <v>10</v>
      </c>
      <c r="V226" s="27">
        <v>20</v>
      </c>
      <c r="W226" s="37">
        <v>-4.8099999999999998E-4</v>
      </c>
      <c r="X226" s="27">
        <v>4</v>
      </c>
      <c r="Y226" s="38">
        <v>-4.3199999999999998E-4</v>
      </c>
      <c r="Z226" s="27" t="s">
        <v>65</v>
      </c>
    </row>
    <row r="227" spans="2:26" x14ac:dyDescent="0.2">
      <c r="B227" s="27" t="s">
        <v>327</v>
      </c>
      <c r="C227" s="27">
        <v>22</v>
      </c>
      <c r="D227" s="27" t="s">
        <v>128</v>
      </c>
      <c r="E227" s="27" t="s">
        <v>106</v>
      </c>
      <c r="F227" s="27" t="s">
        <v>359</v>
      </c>
      <c r="G227" s="27" t="s">
        <v>64</v>
      </c>
      <c r="H227" s="27">
        <v>60</v>
      </c>
      <c r="I227" s="27">
        <v>17</v>
      </c>
      <c r="J227" s="37">
        <v>-2.2100000000000001E-4</v>
      </c>
      <c r="K227" s="27">
        <v>3</v>
      </c>
      <c r="L227" s="38">
        <v>-2.2000000000000001E-4</v>
      </c>
      <c r="M227" s="27" t="s">
        <v>65</v>
      </c>
      <c r="O227" s="27" t="s">
        <v>327</v>
      </c>
      <c r="P227" s="27">
        <v>22</v>
      </c>
      <c r="Q227" s="27" t="s">
        <v>128</v>
      </c>
      <c r="R227" s="27" t="s">
        <v>376</v>
      </c>
      <c r="S227" s="27" t="s">
        <v>359</v>
      </c>
      <c r="T227" s="27" t="s">
        <v>64</v>
      </c>
      <c r="U227" s="27">
        <v>10</v>
      </c>
      <c r="V227" s="27">
        <v>15</v>
      </c>
      <c r="W227" s="37">
        <v>-2.2100000000000001E-4</v>
      </c>
      <c r="X227" s="27">
        <v>6</v>
      </c>
      <c r="Y227" s="38">
        <v>-2.2000000000000001E-4</v>
      </c>
      <c r="Z227" s="27" t="s">
        <v>65</v>
      </c>
    </row>
    <row r="228" spans="2:26" x14ac:dyDescent="0.2">
      <c r="B228" s="27" t="s">
        <v>327</v>
      </c>
      <c r="C228" s="27">
        <v>8</v>
      </c>
      <c r="D228" s="27" t="s">
        <v>129</v>
      </c>
      <c r="E228" s="27" t="s">
        <v>106</v>
      </c>
      <c r="F228" s="27" t="s">
        <v>360</v>
      </c>
      <c r="G228" s="27" t="s">
        <v>63</v>
      </c>
      <c r="H228" s="27">
        <v>60</v>
      </c>
      <c r="I228" s="27">
        <v>20</v>
      </c>
      <c r="J228" s="37">
        <v>-7.3700000000000002E-4</v>
      </c>
      <c r="K228" s="27">
        <v>1</v>
      </c>
      <c r="L228" s="38">
        <v>-7.3899999999999997E-4</v>
      </c>
      <c r="M228" s="27" t="s">
        <v>65</v>
      </c>
      <c r="O228" s="27" t="s">
        <v>327</v>
      </c>
      <c r="P228" s="27">
        <v>8</v>
      </c>
      <c r="Q228" s="27" t="s">
        <v>129</v>
      </c>
      <c r="R228" s="27" t="s">
        <v>376</v>
      </c>
      <c r="S228" s="27" t="s">
        <v>360</v>
      </c>
      <c r="T228" s="27" t="s">
        <v>63</v>
      </c>
      <c r="U228" s="27">
        <v>10</v>
      </c>
      <c r="V228" s="27">
        <v>20</v>
      </c>
      <c r="W228" s="37">
        <v>-7.3999999999999999E-4</v>
      </c>
      <c r="X228" s="27">
        <v>7</v>
      </c>
      <c r="Y228" s="38">
        <v>-7.4200000000000004E-4</v>
      </c>
      <c r="Z228" s="27" t="s">
        <v>65</v>
      </c>
    </row>
    <row r="229" spans="2:26" x14ac:dyDescent="0.2">
      <c r="B229" s="27" t="s">
        <v>327</v>
      </c>
      <c r="C229" s="27">
        <v>8</v>
      </c>
      <c r="D229" s="27" t="s">
        <v>129</v>
      </c>
      <c r="E229" s="27" t="s">
        <v>106</v>
      </c>
      <c r="F229" s="27" t="s">
        <v>361</v>
      </c>
      <c r="G229" s="27" t="s">
        <v>64</v>
      </c>
      <c r="H229" s="27">
        <v>60</v>
      </c>
      <c r="I229" s="27">
        <v>21</v>
      </c>
      <c r="J229" s="37">
        <v>-3.5599999999999998E-4</v>
      </c>
      <c r="K229" s="27">
        <v>1</v>
      </c>
      <c r="L229" s="38">
        <v>-3.57E-4</v>
      </c>
      <c r="M229" s="27" t="s">
        <v>65</v>
      </c>
      <c r="O229" s="27" t="s">
        <v>327</v>
      </c>
      <c r="P229" s="27">
        <v>8</v>
      </c>
      <c r="Q229" s="27" t="s">
        <v>129</v>
      </c>
      <c r="R229" s="27" t="s">
        <v>376</v>
      </c>
      <c r="S229" s="27" t="s">
        <v>361</v>
      </c>
      <c r="T229" s="27" t="s">
        <v>64</v>
      </c>
      <c r="U229" s="27">
        <v>10</v>
      </c>
      <c r="V229" s="27">
        <v>22</v>
      </c>
      <c r="W229" s="37">
        <v>-3.5599999999999998E-4</v>
      </c>
      <c r="X229" s="27">
        <v>1</v>
      </c>
      <c r="Y229" s="38">
        <v>-3.57E-4</v>
      </c>
      <c r="Z229" s="27" t="s">
        <v>65</v>
      </c>
    </row>
    <row r="230" spans="2:26" x14ac:dyDescent="0.2">
      <c r="B230" s="27" t="s">
        <v>327</v>
      </c>
      <c r="C230" s="27">
        <v>17</v>
      </c>
      <c r="D230" s="27" t="s">
        <v>128</v>
      </c>
      <c r="E230" s="27" t="s">
        <v>106</v>
      </c>
      <c r="F230" s="27" t="s">
        <v>362</v>
      </c>
      <c r="G230" s="27" t="s">
        <v>63</v>
      </c>
      <c r="H230" s="27">
        <v>60</v>
      </c>
      <c r="I230" s="27">
        <v>20</v>
      </c>
      <c r="J230" s="37">
        <v>-3.28E-4</v>
      </c>
      <c r="K230" s="27">
        <v>1</v>
      </c>
      <c r="L230" s="38">
        <v>-2.8899999999999998E-4</v>
      </c>
      <c r="M230" s="27" t="s">
        <v>65</v>
      </c>
      <c r="O230" s="27" t="s">
        <v>327</v>
      </c>
      <c r="P230" s="27">
        <v>17</v>
      </c>
      <c r="Q230" s="27" t="s">
        <v>128</v>
      </c>
      <c r="R230" s="27" t="s">
        <v>376</v>
      </c>
      <c r="S230" s="27" t="s">
        <v>362</v>
      </c>
      <c r="T230" s="27" t="s">
        <v>63</v>
      </c>
      <c r="U230" s="27">
        <v>10</v>
      </c>
      <c r="V230" s="27">
        <v>20</v>
      </c>
      <c r="W230" s="37">
        <v>-3.3100000000000002E-4</v>
      </c>
      <c r="X230" s="27">
        <v>4</v>
      </c>
      <c r="Y230" s="38">
        <v>-2.92E-4</v>
      </c>
      <c r="Z230" s="27" t="s">
        <v>65</v>
      </c>
    </row>
    <row r="231" spans="2:26" x14ac:dyDescent="0.2">
      <c r="B231" s="27" t="s">
        <v>327</v>
      </c>
      <c r="C231" s="27">
        <v>17</v>
      </c>
      <c r="D231" s="27" t="s">
        <v>128</v>
      </c>
      <c r="E231" s="27" t="s">
        <v>106</v>
      </c>
      <c r="F231" s="27" t="s">
        <v>363</v>
      </c>
      <c r="G231" s="27" t="s">
        <v>64</v>
      </c>
      <c r="H231" s="27">
        <v>60</v>
      </c>
      <c r="I231" s="27">
        <v>22</v>
      </c>
      <c r="J231" s="37">
        <v>-1.9599999999999999E-4</v>
      </c>
      <c r="K231" s="27">
        <v>1</v>
      </c>
      <c r="L231" s="38">
        <v>-1.8200000000000001E-4</v>
      </c>
      <c r="M231" s="27" t="s">
        <v>65</v>
      </c>
      <c r="O231" s="27" t="s">
        <v>327</v>
      </c>
      <c r="P231" s="27">
        <v>17</v>
      </c>
      <c r="Q231" s="27" t="s">
        <v>128</v>
      </c>
      <c r="R231" s="27" t="s">
        <v>376</v>
      </c>
      <c r="S231" s="27" t="s">
        <v>363</v>
      </c>
      <c r="T231" s="27" t="s">
        <v>64</v>
      </c>
      <c r="U231" s="27">
        <v>10</v>
      </c>
      <c r="V231" s="27">
        <v>22</v>
      </c>
      <c r="W231" s="37">
        <v>-1.95E-4</v>
      </c>
      <c r="X231" s="27">
        <v>1</v>
      </c>
      <c r="Y231" s="38">
        <v>-1.8100000000000001E-4</v>
      </c>
      <c r="Z231" s="27" t="s">
        <v>65</v>
      </c>
    </row>
    <row r="232" spans="2:26" x14ac:dyDescent="0.2">
      <c r="B232" s="27" t="s">
        <v>327</v>
      </c>
      <c r="C232" s="27">
        <v>1</v>
      </c>
      <c r="D232" s="27" t="s">
        <v>127</v>
      </c>
      <c r="E232" s="27" t="s">
        <v>106</v>
      </c>
      <c r="F232" s="27" t="s">
        <v>364</v>
      </c>
      <c r="G232" s="27" t="s">
        <v>63</v>
      </c>
      <c r="H232" s="27">
        <v>60</v>
      </c>
      <c r="I232" s="27">
        <v>16</v>
      </c>
      <c r="J232" s="37">
        <v>-5.8399999999999999E-4</v>
      </c>
      <c r="K232" s="27">
        <v>1</v>
      </c>
      <c r="L232" s="38">
        <v>-5.1999999999999995E-4</v>
      </c>
      <c r="M232" s="27" t="s">
        <v>65</v>
      </c>
      <c r="O232" s="27" t="s">
        <v>327</v>
      </c>
      <c r="P232" s="27">
        <v>1</v>
      </c>
      <c r="Q232" s="27" t="s">
        <v>127</v>
      </c>
      <c r="R232" s="27" t="s">
        <v>376</v>
      </c>
      <c r="S232" s="27" t="s">
        <v>364</v>
      </c>
      <c r="T232" s="27" t="s">
        <v>63</v>
      </c>
      <c r="U232" s="27">
        <v>10</v>
      </c>
      <c r="V232" s="27">
        <v>16</v>
      </c>
      <c r="W232" s="37">
        <v>-5.8299999999999997E-4</v>
      </c>
      <c r="X232" s="27">
        <v>1</v>
      </c>
      <c r="Y232" s="38">
        <v>-5.1900000000000004E-4</v>
      </c>
      <c r="Z232" s="27" t="s">
        <v>65</v>
      </c>
    </row>
    <row r="233" spans="2:26" x14ac:dyDescent="0.2">
      <c r="B233" s="27" t="s">
        <v>327</v>
      </c>
      <c r="C233" s="27">
        <v>1</v>
      </c>
      <c r="D233" s="27" t="s">
        <v>127</v>
      </c>
      <c r="E233" s="27" t="s">
        <v>106</v>
      </c>
      <c r="F233" s="27" t="s">
        <v>365</v>
      </c>
      <c r="G233" s="27" t="s">
        <v>64</v>
      </c>
      <c r="H233" s="27">
        <v>60</v>
      </c>
      <c r="I233" s="27">
        <v>9</v>
      </c>
      <c r="J233" s="37">
        <v>-3.9599999999999998E-4</v>
      </c>
      <c r="K233" s="27">
        <v>6</v>
      </c>
      <c r="L233" s="38">
        <v>-3.6299999999999999E-4</v>
      </c>
      <c r="M233" s="27" t="s">
        <v>65</v>
      </c>
      <c r="O233" s="27" t="s">
        <v>327</v>
      </c>
      <c r="P233" s="27">
        <v>1</v>
      </c>
      <c r="Q233" s="27" t="s">
        <v>127</v>
      </c>
      <c r="R233" s="27" t="s">
        <v>376</v>
      </c>
      <c r="S233" s="27" t="s">
        <v>365</v>
      </c>
      <c r="T233" s="27" t="s">
        <v>64</v>
      </c>
      <c r="U233" s="27">
        <v>10</v>
      </c>
      <c r="V233" s="27">
        <v>9</v>
      </c>
      <c r="W233" s="37">
        <v>-3.9599999999999998E-4</v>
      </c>
      <c r="X233" s="27">
        <v>6</v>
      </c>
      <c r="Y233" s="38">
        <v>-3.6299999999999999E-4</v>
      </c>
      <c r="Z233" s="27" t="s">
        <v>65</v>
      </c>
    </row>
    <row r="234" spans="2:26" x14ac:dyDescent="0.2">
      <c r="B234" s="27" t="s">
        <v>327</v>
      </c>
      <c r="C234" s="27">
        <v>13</v>
      </c>
      <c r="D234" s="27" t="s">
        <v>128</v>
      </c>
      <c r="E234" s="27" t="s">
        <v>106</v>
      </c>
      <c r="F234" s="27" t="s">
        <v>366</v>
      </c>
      <c r="G234" s="27" t="s">
        <v>63</v>
      </c>
      <c r="H234" s="27">
        <v>60</v>
      </c>
      <c r="I234" s="27">
        <v>22</v>
      </c>
      <c r="J234" s="37">
        <v>-4.0400000000000001E-4</v>
      </c>
      <c r="K234" s="27">
        <v>1</v>
      </c>
      <c r="L234" s="38">
        <v>-3.59E-4</v>
      </c>
      <c r="M234" s="27" t="s">
        <v>65</v>
      </c>
      <c r="O234" s="27" t="s">
        <v>327</v>
      </c>
      <c r="P234" s="27">
        <v>13</v>
      </c>
      <c r="Q234" s="27" t="s">
        <v>128</v>
      </c>
      <c r="R234" s="27" t="s">
        <v>376</v>
      </c>
      <c r="S234" s="27" t="s">
        <v>366</v>
      </c>
      <c r="T234" s="27" t="s">
        <v>63</v>
      </c>
      <c r="U234" s="27">
        <v>10</v>
      </c>
      <c r="V234" s="27">
        <v>22</v>
      </c>
      <c r="W234" s="37">
        <v>-4.0200000000000001E-4</v>
      </c>
      <c r="X234" s="27">
        <v>1</v>
      </c>
      <c r="Y234" s="38">
        <v>-3.5599999999999998E-4</v>
      </c>
      <c r="Z234" s="27" t="s">
        <v>65</v>
      </c>
    </row>
    <row r="235" spans="2:26" x14ac:dyDescent="0.2">
      <c r="B235" s="27" t="s">
        <v>327</v>
      </c>
      <c r="C235" s="27">
        <v>13</v>
      </c>
      <c r="D235" s="27" t="s">
        <v>128</v>
      </c>
      <c r="E235" s="27" t="s">
        <v>106</v>
      </c>
      <c r="F235" s="27" t="s">
        <v>367</v>
      </c>
      <c r="G235" s="27" t="s">
        <v>64</v>
      </c>
      <c r="H235" s="27">
        <v>60</v>
      </c>
      <c r="I235" s="27">
        <v>20</v>
      </c>
      <c r="J235" s="37">
        <v>-1.9900000000000001E-4</v>
      </c>
      <c r="K235" s="27">
        <v>4</v>
      </c>
      <c r="L235" s="38">
        <v>-1.9599999999999999E-4</v>
      </c>
      <c r="M235" s="27" t="s">
        <v>65</v>
      </c>
      <c r="O235" s="27" t="s">
        <v>327</v>
      </c>
      <c r="P235" s="27">
        <v>13</v>
      </c>
      <c r="Q235" s="27" t="s">
        <v>128</v>
      </c>
      <c r="R235" s="27" t="s">
        <v>376</v>
      </c>
      <c r="S235" s="27" t="s">
        <v>367</v>
      </c>
      <c r="T235" s="27" t="s">
        <v>64</v>
      </c>
      <c r="U235" s="27">
        <v>10</v>
      </c>
      <c r="V235" s="27">
        <v>20</v>
      </c>
      <c r="W235" s="37">
        <v>-2.0000000000000001E-4</v>
      </c>
      <c r="X235" s="27">
        <v>4</v>
      </c>
      <c r="Y235" s="38">
        <v>-1.9699999999999999E-4</v>
      </c>
      <c r="Z235" s="27" t="s">
        <v>65</v>
      </c>
    </row>
    <row r="236" spans="2:26" x14ac:dyDescent="0.2">
      <c r="B236" s="27" t="s">
        <v>327</v>
      </c>
      <c r="C236" s="27">
        <v>9</v>
      </c>
      <c r="D236" s="27" t="s">
        <v>129</v>
      </c>
      <c r="E236" s="27" t="s">
        <v>106</v>
      </c>
      <c r="F236" s="27" t="s">
        <v>368</v>
      </c>
      <c r="G236" s="27" t="s">
        <v>63</v>
      </c>
      <c r="H236" s="27">
        <v>60</v>
      </c>
      <c r="I236" s="27">
        <v>22</v>
      </c>
      <c r="J236" s="37">
        <v>-7.2000000000000005E-4</v>
      </c>
      <c r="K236" s="27">
        <v>1</v>
      </c>
      <c r="L236" s="38">
        <v>-7.1100000000000004E-4</v>
      </c>
      <c r="M236" s="27" t="s">
        <v>65</v>
      </c>
      <c r="O236" s="27" t="s">
        <v>327</v>
      </c>
      <c r="P236" s="27">
        <v>9</v>
      </c>
      <c r="Q236" s="27" t="s">
        <v>129</v>
      </c>
      <c r="R236" s="27" t="s">
        <v>376</v>
      </c>
      <c r="S236" s="27" t="s">
        <v>368</v>
      </c>
      <c r="T236" s="27" t="s">
        <v>63</v>
      </c>
      <c r="U236" s="27">
        <v>10</v>
      </c>
      <c r="V236" s="27">
        <v>22</v>
      </c>
      <c r="W236" s="37">
        <v>-7.1900000000000002E-4</v>
      </c>
      <c r="X236" s="27">
        <v>1</v>
      </c>
      <c r="Y236" s="38">
        <v>-7.1000000000000002E-4</v>
      </c>
      <c r="Z236" s="27" t="s">
        <v>65</v>
      </c>
    </row>
    <row r="237" spans="2:26" x14ac:dyDescent="0.2">
      <c r="B237" s="27" t="s">
        <v>327</v>
      </c>
      <c r="C237" s="27">
        <v>9</v>
      </c>
      <c r="D237" s="27" t="s">
        <v>129</v>
      </c>
      <c r="E237" s="27" t="s">
        <v>106</v>
      </c>
      <c r="F237" s="27" t="s">
        <v>369</v>
      </c>
      <c r="G237" s="27" t="s">
        <v>64</v>
      </c>
      <c r="H237" s="27">
        <v>60</v>
      </c>
      <c r="I237" s="27">
        <v>20</v>
      </c>
      <c r="J237" s="37">
        <v>-3.6499999999999998E-4</v>
      </c>
      <c r="K237" s="27">
        <v>7</v>
      </c>
      <c r="L237" s="38">
        <v>-3.4900000000000003E-4</v>
      </c>
      <c r="M237" s="27" t="s">
        <v>65</v>
      </c>
      <c r="O237" s="27" t="s">
        <v>327</v>
      </c>
      <c r="P237" s="27">
        <v>9</v>
      </c>
      <c r="Q237" s="27" t="s">
        <v>129</v>
      </c>
      <c r="R237" s="27" t="s">
        <v>376</v>
      </c>
      <c r="S237" s="27" t="s">
        <v>369</v>
      </c>
      <c r="T237" s="27" t="s">
        <v>64</v>
      </c>
      <c r="U237" s="27">
        <v>10</v>
      </c>
      <c r="V237" s="27">
        <v>20</v>
      </c>
      <c r="W237" s="37">
        <v>-3.6499999999999998E-4</v>
      </c>
      <c r="X237" s="27">
        <v>7</v>
      </c>
      <c r="Y237" s="38">
        <v>-3.4900000000000003E-4</v>
      </c>
      <c r="Z237" s="27" t="s">
        <v>65</v>
      </c>
    </row>
    <row r="238" spans="2:26" x14ac:dyDescent="0.2">
      <c r="B238" s="27" t="s">
        <v>327</v>
      </c>
      <c r="C238" s="27">
        <v>10</v>
      </c>
      <c r="D238" s="27" t="s">
        <v>129</v>
      </c>
      <c r="E238" s="27" t="s">
        <v>106</v>
      </c>
      <c r="F238" s="27" t="s">
        <v>370</v>
      </c>
      <c r="G238" s="27" t="s">
        <v>63</v>
      </c>
      <c r="H238" s="27">
        <v>60</v>
      </c>
      <c r="I238" s="27">
        <v>22</v>
      </c>
      <c r="J238" s="37">
        <v>-7.18E-4</v>
      </c>
      <c r="K238" s="27">
        <v>1</v>
      </c>
      <c r="L238" s="38">
        <v>-7.0899999999999999E-4</v>
      </c>
      <c r="M238" s="27" t="s">
        <v>65</v>
      </c>
      <c r="O238" s="27" t="s">
        <v>327</v>
      </c>
      <c r="P238" s="27">
        <v>10</v>
      </c>
      <c r="Q238" s="27" t="s">
        <v>129</v>
      </c>
      <c r="R238" s="27" t="s">
        <v>376</v>
      </c>
      <c r="S238" s="27" t="s">
        <v>370</v>
      </c>
      <c r="T238" s="27" t="s">
        <v>63</v>
      </c>
      <c r="U238" s="27">
        <v>10</v>
      </c>
      <c r="V238" s="27">
        <v>22</v>
      </c>
      <c r="W238" s="37">
        <v>-7.18E-4</v>
      </c>
      <c r="X238" s="27">
        <v>1</v>
      </c>
      <c r="Y238" s="38">
        <v>-7.0899999999999999E-4</v>
      </c>
      <c r="Z238" s="27" t="s">
        <v>65</v>
      </c>
    </row>
    <row r="239" spans="2:26" x14ac:dyDescent="0.2">
      <c r="B239" s="27" t="s">
        <v>327</v>
      </c>
      <c r="C239" s="27">
        <v>10</v>
      </c>
      <c r="D239" s="27" t="s">
        <v>129</v>
      </c>
      <c r="E239" s="27" t="s">
        <v>106</v>
      </c>
      <c r="F239" s="27" t="s">
        <v>371</v>
      </c>
      <c r="G239" s="27" t="s">
        <v>64</v>
      </c>
      <c r="H239" s="27">
        <v>60</v>
      </c>
      <c r="I239" s="27">
        <v>20</v>
      </c>
      <c r="J239" s="37">
        <v>-3.6299999999999999E-4</v>
      </c>
      <c r="K239" s="27">
        <v>7</v>
      </c>
      <c r="L239" s="38">
        <v>-3.48E-4</v>
      </c>
      <c r="M239" s="27" t="s">
        <v>65</v>
      </c>
      <c r="O239" s="27" t="s">
        <v>327</v>
      </c>
      <c r="P239" s="27">
        <v>10</v>
      </c>
      <c r="Q239" s="27" t="s">
        <v>129</v>
      </c>
      <c r="R239" s="27" t="s">
        <v>376</v>
      </c>
      <c r="S239" s="27" t="s">
        <v>371</v>
      </c>
      <c r="T239" s="27" t="s">
        <v>64</v>
      </c>
      <c r="U239" s="27">
        <v>10</v>
      </c>
      <c r="V239" s="27">
        <v>20</v>
      </c>
      <c r="W239" s="37">
        <v>-3.6299999999999999E-4</v>
      </c>
      <c r="X239" s="27">
        <v>7</v>
      </c>
      <c r="Y239" s="38">
        <v>-3.48E-4</v>
      </c>
      <c r="Z239" s="27" t="s">
        <v>65</v>
      </c>
    </row>
    <row r="240" spans="2:26" x14ac:dyDescent="0.2">
      <c r="B240" s="27" t="s">
        <v>327</v>
      </c>
      <c r="C240" s="27">
        <v>14</v>
      </c>
      <c r="D240" s="27" t="s">
        <v>128</v>
      </c>
      <c r="E240" s="27" t="s">
        <v>106</v>
      </c>
      <c r="F240" s="27" t="s">
        <v>372</v>
      </c>
      <c r="G240" s="27" t="s">
        <v>63</v>
      </c>
      <c r="H240" s="27">
        <v>60</v>
      </c>
      <c r="I240" s="27">
        <v>22</v>
      </c>
      <c r="J240" s="37">
        <v>-4.0499999999999998E-4</v>
      </c>
      <c r="K240" s="27">
        <v>1</v>
      </c>
      <c r="L240" s="38">
        <v>-3.59E-4</v>
      </c>
      <c r="M240" s="27" t="s">
        <v>65</v>
      </c>
      <c r="O240" s="27" t="s">
        <v>327</v>
      </c>
      <c r="P240" s="27">
        <v>14</v>
      </c>
      <c r="Q240" s="27" t="s">
        <v>128</v>
      </c>
      <c r="R240" s="27" t="s">
        <v>376</v>
      </c>
      <c r="S240" s="27" t="s">
        <v>372</v>
      </c>
      <c r="T240" s="27" t="s">
        <v>63</v>
      </c>
      <c r="U240" s="27">
        <v>10</v>
      </c>
      <c r="V240" s="27">
        <v>22</v>
      </c>
      <c r="W240" s="37">
        <v>-4.0299999999999998E-4</v>
      </c>
      <c r="X240" s="27">
        <v>1</v>
      </c>
      <c r="Y240" s="38">
        <v>-3.57E-4</v>
      </c>
      <c r="Z240" s="27" t="s">
        <v>65</v>
      </c>
    </row>
    <row r="241" spans="2:26" x14ac:dyDescent="0.2">
      <c r="B241" s="27" t="s">
        <v>327</v>
      </c>
      <c r="C241" s="27">
        <v>14</v>
      </c>
      <c r="D241" s="27" t="s">
        <v>128</v>
      </c>
      <c r="E241" s="27" t="s">
        <v>106</v>
      </c>
      <c r="F241" s="27" t="s">
        <v>373</v>
      </c>
      <c r="G241" s="27" t="s">
        <v>64</v>
      </c>
      <c r="H241" s="27">
        <v>60</v>
      </c>
      <c r="I241" s="27">
        <v>20</v>
      </c>
      <c r="J241" s="37">
        <v>-1.8799999999999999E-4</v>
      </c>
      <c r="K241" s="27">
        <v>4</v>
      </c>
      <c r="L241" s="38">
        <v>-1.8599999999999999E-4</v>
      </c>
      <c r="M241" s="27" t="s">
        <v>65</v>
      </c>
      <c r="O241" s="27" t="s">
        <v>327</v>
      </c>
      <c r="P241" s="27">
        <v>14</v>
      </c>
      <c r="Q241" s="27" t="s">
        <v>128</v>
      </c>
      <c r="R241" s="27" t="s">
        <v>376</v>
      </c>
      <c r="S241" s="27" t="s">
        <v>373</v>
      </c>
      <c r="T241" s="27" t="s">
        <v>64</v>
      </c>
      <c r="U241" s="27">
        <v>10</v>
      </c>
      <c r="V241" s="27">
        <v>20</v>
      </c>
      <c r="W241" s="37">
        <v>-1.8900000000000001E-4</v>
      </c>
      <c r="X241" s="27">
        <v>4</v>
      </c>
      <c r="Y241" s="38">
        <v>-1.8699999999999999E-4</v>
      </c>
      <c r="Z241" s="27" t="s">
        <v>65</v>
      </c>
    </row>
    <row r="242" spans="2:26" x14ac:dyDescent="0.2">
      <c r="B242" s="27" t="s">
        <v>327</v>
      </c>
      <c r="C242" s="27">
        <v>2</v>
      </c>
      <c r="D242" s="27" t="s">
        <v>127</v>
      </c>
      <c r="E242" s="27" t="s">
        <v>106</v>
      </c>
      <c r="F242" s="27" t="s">
        <v>374</v>
      </c>
      <c r="G242" s="27" t="s">
        <v>63</v>
      </c>
      <c r="H242" s="27">
        <v>60</v>
      </c>
      <c r="I242" s="27">
        <v>16</v>
      </c>
      <c r="J242" s="37">
        <v>-4.2000000000000002E-4</v>
      </c>
      <c r="K242" s="27">
        <v>1</v>
      </c>
      <c r="L242" s="38">
        <v>-3.7300000000000001E-4</v>
      </c>
      <c r="M242" s="27" t="s">
        <v>65</v>
      </c>
      <c r="O242" s="27" t="s">
        <v>327</v>
      </c>
      <c r="P242" s="27">
        <v>2</v>
      </c>
      <c r="Q242" s="27" t="s">
        <v>127</v>
      </c>
      <c r="R242" s="27" t="s">
        <v>376</v>
      </c>
      <c r="S242" s="27" t="s">
        <v>374</v>
      </c>
      <c r="T242" s="27" t="s">
        <v>63</v>
      </c>
      <c r="U242" s="27">
        <v>10</v>
      </c>
      <c r="V242" s="27">
        <v>16</v>
      </c>
      <c r="W242" s="37">
        <v>-4.1800000000000002E-4</v>
      </c>
      <c r="X242" s="27">
        <v>1</v>
      </c>
      <c r="Y242" s="38">
        <v>-3.7100000000000002E-4</v>
      </c>
      <c r="Z242" s="27" t="s">
        <v>65</v>
      </c>
    </row>
    <row r="243" spans="2:26" x14ac:dyDescent="0.2">
      <c r="B243" s="27" t="s">
        <v>327</v>
      </c>
      <c r="C243" s="27">
        <v>2</v>
      </c>
      <c r="D243" s="27" t="s">
        <v>127</v>
      </c>
      <c r="E243" s="27" t="s">
        <v>106</v>
      </c>
      <c r="F243" s="27" t="s">
        <v>375</v>
      </c>
      <c r="G243" s="27" t="s">
        <v>64</v>
      </c>
      <c r="H243" s="27">
        <v>60</v>
      </c>
      <c r="I243" s="27">
        <v>14</v>
      </c>
      <c r="J243" s="37">
        <v>-3.2600000000000001E-4</v>
      </c>
      <c r="K243" s="27">
        <v>4</v>
      </c>
      <c r="L243" s="38">
        <v>-2.9399999999999999E-4</v>
      </c>
      <c r="M243" s="27" t="s">
        <v>65</v>
      </c>
      <c r="O243" s="27" t="s">
        <v>327</v>
      </c>
      <c r="P243" s="27">
        <v>2</v>
      </c>
      <c r="Q243" s="27" t="s">
        <v>127</v>
      </c>
      <c r="R243" s="27" t="s">
        <v>376</v>
      </c>
      <c r="S243" s="27" t="s">
        <v>375</v>
      </c>
      <c r="T243" s="27" t="s">
        <v>64</v>
      </c>
      <c r="U243" s="27">
        <v>10</v>
      </c>
      <c r="V243" s="27">
        <v>14</v>
      </c>
      <c r="W243" s="37">
        <v>-3.2499999999999999E-4</v>
      </c>
      <c r="X243" s="27">
        <v>4</v>
      </c>
      <c r="Y243" s="38">
        <v>-2.9399999999999999E-4</v>
      </c>
      <c r="Z243" s="27" t="s">
        <v>65</v>
      </c>
    </row>
    <row r="244" spans="2:26" x14ac:dyDescent="0.2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2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2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2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2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2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2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2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2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2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2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2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2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2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2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2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2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2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2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2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2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2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2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2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2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2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2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2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2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2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2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2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2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2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2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2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2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2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2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2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2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2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2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2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2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2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2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2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2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2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2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2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2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2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2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2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2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2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2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2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2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2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2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2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2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2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2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2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2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2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2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2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2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2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2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2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2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2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2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2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2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2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2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2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2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2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2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2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2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2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2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2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2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2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2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2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2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2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2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2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2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2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2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2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2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2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2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2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2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2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2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2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2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2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2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2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2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2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2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2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2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2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2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2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2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2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2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2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2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2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2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2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2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2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2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2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2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2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2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2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2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2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2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2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2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2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2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2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2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2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2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2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2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2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2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2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2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2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2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2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2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2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2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2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2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2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2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2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2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2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2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2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2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2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2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2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2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2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2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2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2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2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2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2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2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2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2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2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2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2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2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2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2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2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2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2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2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2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2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2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2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2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2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2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2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2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2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2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2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2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2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2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2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2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2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2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2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2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2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2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2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2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2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2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2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2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2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2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2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2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2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2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2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2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2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2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2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2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2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2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  <mergeCell ref="H2:H3"/>
    <mergeCell ref="C2:C3"/>
    <mergeCell ref="D2:D3"/>
    <mergeCell ref="E2:E3"/>
    <mergeCell ref="F2:F3"/>
    <mergeCell ref="G2:G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1.4257812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55" t="s">
        <v>89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5" t="s">
        <v>103</v>
      </c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</row>
    <row r="2" spans="2:26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5" t="s">
        <v>37</v>
      </c>
      <c r="P2" s="55" t="s">
        <v>39</v>
      </c>
      <c r="Q2" s="55" t="s">
        <v>38</v>
      </c>
      <c r="R2" s="55" t="s">
        <v>60</v>
      </c>
      <c r="S2" s="55" t="s">
        <v>46</v>
      </c>
      <c r="T2" s="55" t="s">
        <v>45</v>
      </c>
      <c r="U2" s="55" t="s">
        <v>61</v>
      </c>
      <c r="V2" s="55" t="s">
        <v>42</v>
      </c>
      <c r="W2" s="55"/>
      <c r="X2" s="55" t="s">
        <v>43</v>
      </c>
      <c r="Y2" s="55"/>
      <c r="Z2" s="55" t="s">
        <v>47</v>
      </c>
    </row>
    <row r="3" spans="2:26" ht="26.45" customHeight="1" x14ac:dyDescent="0.2">
      <c r="B3" s="55"/>
      <c r="C3" s="55"/>
      <c r="D3" s="55"/>
      <c r="E3" s="55"/>
      <c r="F3" s="55"/>
      <c r="G3" s="55"/>
      <c r="H3" s="55"/>
      <c r="I3" s="22" t="s">
        <v>40</v>
      </c>
      <c r="J3" s="22" t="s">
        <v>945</v>
      </c>
      <c r="K3" s="22" t="s">
        <v>40</v>
      </c>
      <c r="L3" s="22" t="s">
        <v>946</v>
      </c>
      <c r="M3" s="55"/>
      <c r="O3" s="55"/>
      <c r="P3" s="55"/>
      <c r="Q3" s="55"/>
      <c r="R3" s="55"/>
      <c r="S3" s="55"/>
      <c r="T3" s="55"/>
      <c r="U3" s="55"/>
      <c r="V3" s="22" t="s">
        <v>40</v>
      </c>
      <c r="W3" s="22" t="s">
        <v>945</v>
      </c>
      <c r="X3" s="22" t="s">
        <v>40</v>
      </c>
      <c r="Y3" s="22" t="s">
        <v>946</v>
      </c>
      <c r="Z3" s="55"/>
    </row>
    <row r="4" spans="2:26" x14ac:dyDescent="0.2">
      <c r="B4" s="27" t="s">
        <v>131</v>
      </c>
      <c r="C4" s="27">
        <v>189</v>
      </c>
      <c r="D4" s="27" t="s">
        <v>127</v>
      </c>
      <c r="E4" s="27" t="s">
        <v>107</v>
      </c>
      <c r="F4" s="27" t="s">
        <v>132</v>
      </c>
      <c r="G4" s="27" t="s">
        <v>63</v>
      </c>
      <c r="H4" s="27">
        <v>60</v>
      </c>
      <c r="I4" s="27">
        <v>14</v>
      </c>
      <c r="J4" s="37">
        <v>-5.7799999999999995E-4</v>
      </c>
      <c r="K4" s="27">
        <v>3</v>
      </c>
      <c r="L4" s="38">
        <v>6.8099999999999996E-4</v>
      </c>
      <c r="M4" s="27" t="s">
        <v>65</v>
      </c>
      <c r="O4" s="27" t="s">
        <v>131</v>
      </c>
      <c r="P4" s="27">
        <v>189</v>
      </c>
      <c r="Q4" s="27" t="s">
        <v>127</v>
      </c>
      <c r="R4" s="27" t="s">
        <v>377</v>
      </c>
      <c r="S4" s="27" t="s">
        <v>132</v>
      </c>
      <c r="T4" s="27" t="s">
        <v>63</v>
      </c>
      <c r="U4" s="27">
        <v>10</v>
      </c>
      <c r="V4" s="27">
        <v>14</v>
      </c>
      <c r="W4" s="37">
        <v>-5.7799999999999995E-4</v>
      </c>
      <c r="X4" s="27">
        <v>3</v>
      </c>
      <c r="Y4" s="38">
        <v>6.8000000000000005E-4</v>
      </c>
      <c r="Z4" s="27" t="s">
        <v>65</v>
      </c>
    </row>
    <row r="5" spans="2:26" x14ac:dyDescent="0.2">
      <c r="B5" s="27" t="s">
        <v>131</v>
      </c>
      <c r="C5" s="27">
        <v>189</v>
      </c>
      <c r="D5" s="27" t="s">
        <v>127</v>
      </c>
      <c r="E5" s="27" t="s">
        <v>107</v>
      </c>
      <c r="F5" s="27" t="s">
        <v>133</v>
      </c>
      <c r="G5" s="27" t="s">
        <v>64</v>
      </c>
      <c r="H5" s="27">
        <v>60</v>
      </c>
      <c r="I5" s="27">
        <v>11</v>
      </c>
      <c r="J5" s="37">
        <v>-5.2400000000000005E-4</v>
      </c>
      <c r="K5" s="27">
        <v>4</v>
      </c>
      <c r="L5" s="38">
        <v>5.9500000000000004E-4</v>
      </c>
      <c r="M5" s="27" t="s">
        <v>65</v>
      </c>
      <c r="O5" s="27" t="s">
        <v>131</v>
      </c>
      <c r="P5" s="27">
        <v>189</v>
      </c>
      <c r="Q5" s="27" t="s">
        <v>127</v>
      </c>
      <c r="R5" s="27" t="s">
        <v>377</v>
      </c>
      <c r="S5" s="27" t="s">
        <v>133</v>
      </c>
      <c r="T5" s="27" t="s">
        <v>64</v>
      </c>
      <c r="U5" s="27">
        <v>10</v>
      </c>
      <c r="V5" s="27">
        <v>11</v>
      </c>
      <c r="W5" s="37">
        <v>-5.2499999999999997E-4</v>
      </c>
      <c r="X5" s="27">
        <v>4</v>
      </c>
      <c r="Y5" s="38">
        <v>5.9500000000000004E-4</v>
      </c>
      <c r="Z5" s="27" t="s">
        <v>65</v>
      </c>
    </row>
    <row r="6" spans="2:26" x14ac:dyDescent="0.2">
      <c r="B6" s="27" t="s">
        <v>131</v>
      </c>
      <c r="C6" s="27">
        <v>201</v>
      </c>
      <c r="D6" s="27" t="s">
        <v>128</v>
      </c>
      <c r="E6" s="27" t="s">
        <v>107</v>
      </c>
      <c r="F6" s="27" t="s">
        <v>134</v>
      </c>
      <c r="G6" s="27" t="s">
        <v>63</v>
      </c>
      <c r="H6" s="27">
        <v>60</v>
      </c>
      <c r="I6" s="27">
        <v>15</v>
      </c>
      <c r="J6" s="37">
        <v>-6.3999999999999997E-5</v>
      </c>
      <c r="K6" s="27">
        <v>6</v>
      </c>
      <c r="L6" s="38">
        <v>-6.3E-5</v>
      </c>
      <c r="M6" s="27" t="s">
        <v>65</v>
      </c>
      <c r="O6" s="27" t="s">
        <v>131</v>
      </c>
      <c r="P6" s="27">
        <v>201</v>
      </c>
      <c r="Q6" s="27" t="s">
        <v>128</v>
      </c>
      <c r="R6" s="27" t="s">
        <v>377</v>
      </c>
      <c r="S6" s="27" t="s">
        <v>134</v>
      </c>
      <c r="T6" s="27" t="s">
        <v>63</v>
      </c>
      <c r="U6" s="27">
        <v>10</v>
      </c>
      <c r="V6" s="27">
        <v>15</v>
      </c>
      <c r="W6" s="37">
        <v>-6.3999999999999997E-5</v>
      </c>
      <c r="X6" s="27">
        <v>6</v>
      </c>
      <c r="Y6" s="38">
        <v>-6.3E-5</v>
      </c>
      <c r="Z6" s="27" t="s">
        <v>65</v>
      </c>
    </row>
    <row r="7" spans="2:26" x14ac:dyDescent="0.2">
      <c r="B7" s="27" t="s">
        <v>131</v>
      </c>
      <c r="C7" s="27">
        <v>201</v>
      </c>
      <c r="D7" s="27" t="s">
        <v>128</v>
      </c>
      <c r="E7" s="27" t="s">
        <v>107</v>
      </c>
      <c r="F7" s="27" t="s">
        <v>135</v>
      </c>
      <c r="G7" s="27" t="s">
        <v>64</v>
      </c>
      <c r="H7" s="27">
        <v>60</v>
      </c>
      <c r="I7" s="27">
        <v>22</v>
      </c>
      <c r="J7" s="37">
        <v>-1.7000000000000001E-4</v>
      </c>
      <c r="K7" s="27">
        <v>1</v>
      </c>
      <c r="L7" s="38">
        <v>-1.6899999999999999E-4</v>
      </c>
      <c r="M7" s="27" t="s">
        <v>65</v>
      </c>
      <c r="O7" s="27" t="s">
        <v>131</v>
      </c>
      <c r="P7" s="27">
        <v>201</v>
      </c>
      <c r="Q7" s="27" t="s">
        <v>128</v>
      </c>
      <c r="R7" s="27" t="s">
        <v>377</v>
      </c>
      <c r="S7" s="27" t="s">
        <v>135</v>
      </c>
      <c r="T7" s="27" t="s">
        <v>64</v>
      </c>
      <c r="U7" s="27">
        <v>10</v>
      </c>
      <c r="V7" s="27">
        <v>22</v>
      </c>
      <c r="W7" s="37">
        <v>-1.7000000000000001E-4</v>
      </c>
      <c r="X7" s="27">
        <v>1</v>
      </c>
      <c r="Y7" s="38">
        <v>-1.6899999999999999E-4</v>
      </c>
      <c r="Z7" s="27" t="s">
        <v>65</v>
      </c>
    </row>
    <row r="8" spans="2:26" x14ac:dyDescent="0.2">
      <c r="B8" s="27" t="s">
        <v>131</v>
      </c>
      <c r="C8" s="27">
        <v>197</v>
      </c>
      <c r="D8" s="27" t="s">
        <v>129</v>
      </c>
      <c r="E8" s="27" t="s">
        <v>107</v>
      </c>
      <c r="F8" s="27" t="s">
        <v>136</v>
      </c>
      <c r="G8" s="27" t="s">
        <v>63</v>
      </c>
      <c r="H8" s="27">
        <v>60</v>
      </c>
      <c r="I8" s="27">
        <v>20</v>
      </c>
      <c r="J8" s="37">
        <v>-2.13E-4</v>
      </c>
      <c r="K8" s="27">
        <v>7</v>
      </c>
      <c r="L8" s="38">
        <v>-1.76E-4</v>
      </c>
      <c r="M8" s="27" t="s">
        <v>65</v>
      </c>
      <c r="O8" s="27" t="s">
        <v>131</v>
      </c>
      <c r="P8" s="27">
        <v>197</v>
      </c>
      <c r="Q8" s="27" t="s">
        <v>129</v>
      </c>
      <c r="R8" s="27" t="s">
        <v>377</v>
      </c>
      <c r="S8" s="27" t="s">
        <v>136</v>
      </c>
      <c r="T8" s="27" t="s">
        <v>63</v>
      </c>
      <c r="U8" s="27">
        <v>10</v>
      </c>
      <c r="V8" s="27">
        <v>15</v>
      </c>
      <c r="W8" s="37">
        <v>-2.12E-4</v>
      </c>
      <c r="X8" s="27">
        <v>7</v>
      </c>
      <c r="Y8" s="38">
        <v>-1.76E-4</v>
      </c>
      <c r="Z8" s="27" t="s">
        <v>65</v>
      </c>
    </row>
    <row r="9" spans="2:26" x14ac:dyDescent="0.2">
      <c r="B9" s="27" t="s">
        <v>131</v>
      </c>
      <c r="C9" s="27">
        <v>197</v>
      </c>
      <c r="D9" s="27" t="s">
        <v>129</v>
      </c>
      <c r="E9" s="27" t="s">
        <v>107</v>
      </c>
      <c r="F9" s="27" t="s">
        <v>137</v>
      </c>
      <c r="G9" s="27" t="s">
        <v>64</v>
      </c>
      <c r="H9" s="27">
        <v>60</v>
      </c>
      <c r="I9" s="27">
        <v>17</v>
      </c>
      <c r="J9" s="37">
        <v>-2.7300000000000002E-4</v>
      </c>
      <c r="K9" s="27">
        <v>7</v>
      </c>
      <c r="L9" s="38">
        <v>2.6800000000000001E-4</v>
      </c>
      <c r="M9" s="27" t="s">
        <v>65</v>
      </c>
      <c r="O9" s="27" t="s">
        <v>131</v>
      </c>
      <c r="P9" s="27">
        <v>197</v>
      </c>
      <c r="Q9" s="27" t="s">
        <v>129</v>
      </c>
      <c r="R9" s="27" t="s">
        <v>377</v>
      </c>
      <c r="S9" s="27" t="s">
        <v>137</v>
      </c>
      <c r="T9" s="27" t="s">
        <v>64</v>
      </c>
      <c r="U9" s="27">
        <v>10</v>
      </c>
      <c r="V9" s="27">
        <v>17</v>
      </c>
      <c r="W9" s="37">
        <v>-2.7300000000000002E-4</v>
      </c>
      <c r="X9" s="27">
        <v>7</v>
      </c>
      <c r="Y9" s="38">
        <v>2.6800000000000001E-4</v>
      </c>
      <c r="Z9" s="27" t="s">
        <v>65</v>
      </c>
    </row>
    <row r="10" spans="2:26" x14ac:dyDescent="0.2">
      <c r="B10" s="27" t="s">
        <v>131</v>
      </c>
      <c r="C10" s="27">
        <v>198</v>
      </c>
      <c r="D10" s="27" t="s">
        <v>129</v>
      </c>
      <c r="E10" s="27" t="s">
        <v>107</v>
      </c>
      <c r="F10" s="27" t="s">
        <v>138</v>
      </c>
      <c r="G10" s="27" t="s">
        <v>63</v>
      </c>
      <c r="H10" s="27">
        <v>60</v>
      </c>
      <c r="I10" s="27">
        <v>15</v>
      </c>
      <c r="J10" s="37">
        <v>-2.13E-4</v>
      </c>
      <c r="K10" s="27">
        <v>10</v>
      </c>
      <c r="L10" s="38">
        <v>-1.76E-4</v>
      </c>
      <c r="M10" s="27" t="s">
        <v>65</v>
      </c>
      <c r="O10" s="27" t="s">
        <v>131</v>
      </c>
      <c r="P10" s="27">
        <v>198</v>
      </c>
      <c r="Q10" s="27" t="s">
        <v>129</v>
      </c>
      <c r="R10" s="27" t="s">
        <v>377</v>
      </c>
      <c r="S10" s="27" t="s">
        <v>138</v>
      </c>
      <c r="T10" s="27" t="s">
        <v>63</v>
      </c>
      <c r="U10" s="27">
        <v>10</v>
      </c>
      <c r="V10" s="27">
        <v>15</v>
      </c>
      <c r="W10" s="37">
        <v>-2.13E-4</v>
      </c>
      <c r="X10" s="27">
        <v>10</v>
      </c>
      <c r="Y10" s="38">
        <v>-1.76E-4</v>
      </c>
      <c r="Z10" s="27" t="s">
        <v>65</v>
      </c>
    </row>
    <row r="11" spans="2:26" x14ac:dyDescent="0.2">
      <c r="B11" s="27" t="s">
        <v>131</v>
      </c>
      <c r="C11" s="27">
        <v>198</v>
      </c>
      <c r="D11" s="27" t="s">
        <v>129</v>
      </c>
      <c r="E11" s="27" t="s">
        <v>107</v>
      </c>
      <c r="F11" s="27" t="s">
        <v>139</v>
      </c>
      <c r="G11" s="27" t="s">
        <v>64</v>
      </c>
      <c r="H11" s="27">
        <v>60</v>
      </c>
      <c r="I11" s="27">
        <v>22</v>
      </c>
      <c r="J11" s="37">
        <v>-2.7300000000000002E-4</v>
      </c>
      <c r="K11" s="27">
        <v>11</v>
      </c>
      <c r="L11" s="38">
        <v>2.6600000000000001E-4</v>
      </c>
      <c r="M11" s="27" t="s">
        <v>65</v>
      </c>
      <c r="O11" s="27" t="s">
        <v>131</v>
      </c>
      <c r="P11" s="27">
        <v>198</v>
      </c>
      <c r="Q11" s="27" t="s">
        <v>129</v>
      </c>
      <c r="R11" s="27" t="s">
        <v>377</v>
      </c>
      <c r="S11" s="27" t="s">
        <v>139</v>
      </c>
      <c r="T11" s="27" t="s">
        <v>64</v>
      </c>
      <c r="U11" s="27">
        <v>10</v>
      </c>
      <c r="V11" s="27">
        <v>22</v>
      </c>
      <c r="W11" s="37">
        <v>-2.72E-4</v>
      </c>
      <c r="X11" s="27">
        <v>11</v>
      </c>
      <c r="Y11" s="38">
        <v>2.6600000000000001E-4</v>
      </c>
      <c r="Z11" s="27" t="s">
        <v>65</v>
      </c>
    </row>
    <row r="12" spans="2:26" x14ac:dyDescent="0.2">
      <c r="B12" s="27" t="s">
        <v>131</v>
      </c>
      <c r="C12" s="27">
        <v>202</v>
      </c>
      <c r="D12" s="27" t="s">
        <v>128</v>
      </c>
      <c r="E12" s="27" t="s">
        <v>107</v>
      </c>
      <c r="F12" s="27" t="s">
        <v>140</v>
      </c>
      <c r="G12" s="27" t="s">
        <v>63</v>
      </c>
      <c r="H12" s="27">
        <v>60</v>
      </c>
      <c r="I12" s="27">
        <v>20</v>
      </c>
      <c r="J12" s="37">
        <v>-6.6000000000000005E-5</v>
      </c>
      <c r="K12" s="27">
        <v>4</v>
      </c>
      <c r="L12" s="38">
        <v>-6.4999999999999994E-5</v>
      </c>
      <c r="M12" s="27" t="s">
        <v>65</v>
      </c>
      <c r="O12" s="27" t="s">
        <v>131</v>
      </c>
      <c r="P12" s="27">
        <v>202</v>
      </c>
      <c r="Q12" s="27" t="s">
        <v>128</v>
      </c>
      <c r="R12" s="27" t="s">
        <v>377</v>
      </c>
      <c r="S12" s="27" t="s">
        <v>140</v>
      </c>
      <c r="T12" s="27" t="s">
        <v>63</v>
      </c>
      <c r="U12" s="27">
        <v>10</v>
      </c>
      <c r="V12" s="27">
        <v>20</v>
      </c>
      <c r="W12" s="37">
        <v>-6.6000000000000005E-5</v>
      </c>
      <c r="X12" s="27">
        <v>4</v>
      </c>
      <c r="Y12" s="38">
        <v>-6.4999999999999994E-5</v>
      </c>
      <c r="Z12" s="27" t="s">
        <v>65</v>
      </c>
    </row>
    <row r="13" spans="2:26" x14ac:dyDescent="0.2">
      <c r="B13" s="27" t="s">
        <v>131</v>
      </c>
      <c r="C13" s="27">
        <v>202</v>
      </c>
      <c r="D13" s="27" t="s">
        <v>128</v>
      </c>
      <c r="E13" s="27" t="s">
        <v>107</v>
      </c>
      <c r="F13" s="27" t="s">
        <v>141</v>
      </c>
      <c r="G13" s="27" t="s">
        <v>64</v>
      </c>
      <c r="H13" s="27">
        <v>60</v>
      </c>
      <c r="I13" s="27">
        <v>17</v>
      </c>
      <c r="J13" s="37">
        <v>-1.5799999999999999E-4</v>
      </c>
      <c r="K13" s="27">
        <v>3</v>
      </c>
      <c r="L13" s="38">
        <v>-1.5899999999999999E-4</v>
      </c>
      <c r="M13" s="27" t="s">
        <v>65</v>
      </c>
      <c r="O13" s="27" t="s">
        <v>131</v>
      </c>
      <c r="P13" s="27">
        <v>202</v>
      </c>
      <c r="Q13" s="27" t="s">
        <v>128</v>
      </c>
      <c r="R13" s="27" t="s">
        <v>377</v>
      </c>
      <c r="S13" s="27" t="s">
        <v>141</v>
      </c>
      <c r="T13" s="27" t="s">
        <v>64</v>
      </c>
      <c r="U13" s="27">
        <v>10</v>
      </c>
      <c r="V13" s="27">
        <v>17</v>
      </c>
      <c r="W13" s="37">
        <v>-1.5899999999999999E-4</v>
      </c>
      <c r="X13" s="27">
        <v>3</v>
      </c>
      <c r="Y13" s="38">
        <v>-1.5899999999999999E-4</v>
      </c>
      <c r="Z13" s="27" t="s">
        <v>65</v>
      </c>
    </row>
    <row r="14" spans="2:26" x14ac:dyDescent="0.2">
      <c r="B14" s="27" t="s">
        <v>131</v>
      </c>
      <c r="C14" s="27">
        <v>190</v>
      </c>
      <c r="D14" s="27" t="s">
        <v>127</v>
      </c>
      <c r="E14" s="27" t="s">
        <v>107</v>
      </c>
      <c r="F14" s="27" t="s">
        <v>142</v>
      </c>
      <c r="G14" s="27" t="s">
        <v>63</v>
      </c>
      <c r="H14" s="27">
        <v>60</v>
      </c>
      <c r="I14" s="27">
        <v>9</v>
      </c>
      <c r="J14" s="37">
        <v>-5.9900000000000003E-4</v>
      </c>
      <c r="K14" s="27">
        <v>1</v>
      </c>
      <c r="L14" s="38">
        <v>7.3300000000000004E-4</v>
      </c>
      <c r="M14" s="27" t="s">
        <v>65</v>
      </c>
      <c r="O14" s="27" t="s">
        <v>131</v>
      </c>
      <c r="P14" s="27">
        <v>190</v>
      </c>
      <c r="Q14" s="27" t="s">
        <v>127</v>
      </c>
      <c r="R14" s="27" t="s">
        <v>377</v>
      </c>
      <c r="S14" s="27" t="s">
        <v>142</v>
      </c>
      <c r="T14" s="27" t="s">
        <v>63</v>
      </c>
      <c r="U14" s="27">
        <v>10</v>
      </c>
      <c r="V14" s="27">
        <v>9</v>
      </c>
      <c r="W14" s="37">
        <v>-5.9800000000000001E-4</v>
      </c>
      <c r="X14" s="27">
        <v>1</v>
      </c>
      <c r="Y14" s="38">
        <v>7.3200000000000001E-4</v>
      </c>
      <c r="Z14" s="27" t="s">
        <v>65</v>
      </c>
    </row>
    <row r="15" spans="2:26" x14ac:dyDescent="0.2">
      <c r="B15" s="27" t="s">
        <v>131</v>
      </c>
      <c r="C15" s="27">
        <v>190</v>
      </c>
      <c r="D15" s="27" t="s">
        <v>127</v>
      </c>
      <c r="E15" s="27" t="s">
        <v>107</v>
      </c>
      <c r="F15" s="27" t="s">
        <v>143</v>
      </c>
      <c r="G15" s="27" t="s">
        <v>64</v>
      </c>
      <c r="H15" s="27">
        <v>60</v>
      </c>
      <c r="I15" s="27">
        <v>16</v>
      </c>
      <c r="J15" s="37">
        <v>-4.7199999999999998E-4</v>
      </c>
      <c r="K15" s="27">
        <v>6</v>
      </c>
      <c r="L15" s="38">
        <v>5.0600000000000005E-4</v>
      </c>
      <c r="M15" s="27" t="s">
        <v>65</v>
      </c>
      <c r="O15" s="27" t="s">
        <v>131</v>
      </c>
      <c r="P15" s="27">
        <v>190</v>
      </c>
      <c r="Q15" s="27" t="s">
        <v>127</v>
      </c>
      <c r="R15" s="27" t="s">
        <v>377</v>
      </c>
      <c r="S15" s="27" t="s">
        <v>143</v>
      </c>
      <c r="T15" s="27" t="s">
        <v>64</v>
      </c>
      <c r="U15" s="27">
        <v>10</v>
      </c>
      <c r="V15" s="27">
        <v>16</v>
      </c>
      <c r="W15" s="37">
        <v>-4.7199999999999998E-4</v>
      </c>
      <c r="X15" s="27">
        <v>6</v>
      </c>
      <c r="Y15" s="38">
        <v>5.0600000000000005E-4</v>
      </c>
      <c r="Z15" s="27" t="s">
        <v>65</v>
      </c>
    </row>
    <row r="16" spans="2:26" x14ac:dyDescent="0.2">
      <c r="B16" s="27" t="s">
        <v>131</v>
      </c>
      <c r="C16" s="27">
        <v>206</v>
      </c>
      <c r="D16" s="27" t="s">
        <v>128</v>
      </c>
      <c r="E16" s="27" t="s">
        <v>107</v>
      </c>
      <c r="F16" s="27" t="s">
        <v>144</v>
      </c>
      <c r="G16" s="27" t="s">
        <v>63</v>
      </c>
      <c r="H16" s="27">
        <v>60</v>
      </c>
      <c r="I16" s="27">
        <v>22</v>
      </c>
      <c r="J16" s="37">
        <v>-1.5200000000000001E-4</v>
      </c>
      <c r="K16" s="27">
        <v>1</v>
      </c>
      <c r="L16" s="38">
        <v>-1.35E-4</v>
      </c>
      <c r="M16" s="27" t="s">
        <v>65</v>
      </c>
      <c r="O16" s="27" t="s">
        <v>131</v>
      </c>
      <c r="P16" s="27">
        <v>206</v>
      </c>
      <c r="Q16" s="27" t="s">
        <v>128</v>
      </c>
      <c r="R16" s="27" t="s">
        <v>377</v>
      </c>
      <c r="S16" s="27" t="s">
        <v>144</v>
      </c>
      <c r="T16" s="27" t="s">
        <v>63</v>
      </c>
      <c r="U16" s="27">
        <v>10</v>
      </c>
      <c r="V16" s="27">
        <v>22</v>
      </c>
      <c r="W16" s="37">
        <v>-1.5300000000000001E-4</v>
      </c>
      <c r="X16" s="27">
        <v>1</v>
      </c>
      <c r="Y16" s="38">
        <v>-1.35E-4</v>
      </c>
      <c r="Z16" s="27" t="s">
        <v>65</v>
      </c>
    </row>
    <row r="17" spans="2:26" x14ac:dyDescent="0.2">
      <c r="B17" s="27" t="s">
        <v>131</v>
      </c>
      <c r="C17" s="27">
        <v>206</v>
      </c>
      <c r="D17" s="27" t="s">
        <v>128</v>
      </c>
      <c r="E17" s="27" t="s">
        <v>107</v>
      </c>
      <c r="F17" s="27" t="s">
        <v>145</v>
      </c>
      <c r="G17" s="27" t="s">
        <v>64</v>
      </c>
      <c r="H17" s="27">
        <v>60</v>
      </c>
      <c r="I17" s="27">
        <v>17</v>
      </c>
      <c r="J17" s="37">
        <v>-1.76E-4</v>
      </c>
      <c r="K17" s="27">
        <v>3</v>
      </c>
      <c r="L17" s="38">
        <v>-1.5799999999999999E-4</v>
      </c>
      <c r="M17" s="27" t="s">
        <v>65</v>
      </c>
      <c r="O17" s="27" t="s">
        <v>131</v>
      </c>
      <c r="P17" s="27">
        <v>206</v>
      </c>
      <c r="Q17" s="27" t="s">
        <v>128</v>
      </c>
      <c r="R17" s="27" t="s">
        <v>377</v>
      </c>
      <c r="S17" s="27" t="s">
        <v>145</v>
      </c>
      <c r="T17" s="27" t="s">
        <v>64</v>
      </c>
      <c r="U17" s="27">
        <v>10</v>
      </c>
      <c r="V17" s="27">
        <v>17</v>
      </c>
      <c r="W17" s="37">
        <v>-1.76E-4</v>
      </c>
      <c r="X17" s="27">
        <v>3</v>
      </c>
      <c r="Y17" s="38">
        <v>-1.5799999999999999E-4</v>
      </c>
      <c r="Z17" s="27" t="s">
        <v>65</v>
      </c>
    </row>
    <row r="18" spans="2:26" x14ac:dyDescent="0.2">
      <c r="B18" s="27" t="s">
        <v>131</v>
      </c>
      <c r="C18" s="27">
        <v>191</v>
      </c>
      <c r="D18" s="27" t="s">
        <v>129</v>
      </c>
      <c r="E18" s="27" t="s">
        <v>107</v>
      </c>
      <c r="F18" s="27" t="s">
        <v>146</v>
      </c>
      <c r="G18" s="27" t="s">
        <v>63</v>
      </c>
      <c r="H18" s="27">
        <v>60</v>
      </c>
      <c r="I18" s="27">
        <v>15</v>
      </c>
      <c r="J18" s="37">
        <v>-1.2300000000000001E-4</v>
      </c>
      <c r="K18" s="27">
        <v>8</v>
      </c>
      <c r="L18" s="38">
        <v>-1.07E-4</v>
      </c>
      <c r="M18" s="27" t="s">
        <v>65</v>
      </c>
      <c r="O18" s="27" t="s">
        <v>131</v>
      </c>
      <c r="P18" s="27">
        <v>191</v>
      </c>
      <c r="Q18" s="27" t="s">
        <v>129</v>
      </c>
      <c r="R18" s="27" t="s">
        <v>377</v>
      </c>
      <c r="S18" s="27" t="s">
        <v>146</v>
      </c>
      <c r="T18" s="27" t="s">
        <v>63</v>
      </c>
      <c r="U18" s="27">
        <v>10</v>
      </c>
      <c r="V18" s="27">
        <v>15</v>
      </c>
      <c r="W18" s="37">
        <v>-1.2300000000000001E-4</v>
      </c>
      <c r="X18" s="27">
        <v>9</v>
      </c>
      <c r="Y18" s="38">
        <v>-1.07E-4</v>
      </c>
      <c r="Z18" s="27" t="s">
        <v>65</v>
      </c>
    </row>
    <row r="19" spans="2:26" x14ac:dyDescent="0.2">
      <c r="B19" s="27" t="s">
        <v>131</v>
      </c>
      <c r="C19" s="27">
        <v>191</v>
      </c>
      <c r="D19" s="27" t="s">
        <v>129</v>
      </c>
      <c r="E19" s="27" t="s">
        <v>107</v>
      </c>
      <c r="F19" s="27" t="s">
        <v>147</v>
      </c>
      <c r="G19" s="27" t="s">
        <v>64</v>
      </c>
      <c r="H19" s="27">
        <v>60</v>
      </c>
      <c r="I19" s="27">
        <v>22</v>
      </c>
      <c r="J19" s="37">
        <v>-1.37E-4</v>
      </c>
      <c r="K19" s="27">
        <v>1</v>
      </c>
      <c r="L19" s="38">
        <v>-1.18E-4</v>
      </c>
      <c r="M19" s="27" t="s">
        <v>65</v>
      </c>
      <c r="O19" s="27" t="s">
        <v>131</v>
      </c>
      <c r="P19" s="27">
        <v>191</v>
      </c>
      <c r="Q19" s="27" t="s">
        <v>129</v>
      </c>
      <c r="R19" s="27" t="s">
        <v>377</v>
      </c>
      <c r="S19" s="27" t="s">
        <v>147</v>
      </c>
      <c r="T19" s="27" t="s">
        <v>64</v>
      </c>
      <c r="U19" s="27">
        <v>10</v>
      </c>
      <c r="V19" s="27">
        <v>22</v>
      </c>
      <c r="W19" s="37">
        <v>-1.36E-4</v>
      </c>
      <c r="X19" s="27">
        <v>1</v>
      </c>
      <c r="Y19" s="38">
        <v>-1.18E-4</v>
      </c>
      <c r="Z19" s="27" t="s">
        <v>65</v>
      </c>
    </row>
    <row r="20" spans="2:26" x14ac:dyDescent="0.2">
      <c r="B20" s="27" t="s">
        <v>131</v>
      </c>
      <c r="C20" s="27">
        <v>209</v>
      </c>
      <c r="D20" s="27" t="s">
        <v>128</v>
      </c>
      <c r="E20" s="27" t="s">
        <v>107</v>
      </c>
      <c r="F20" s="27" t="s">
        <v>148</v>
      </c>
      <c r="G20" s="27" t="s">
        <v>63</v>
      </c>
      <c r="H20" s="27">
        <v>60</v>
      </c>
      <c r="I20" s="27">
        <v>22</v>
      </c>
      <c r="J20" s="37">
        <v>-5.5000000000000002E-5</v>
      </c>
      <c r="K20" s="27">
        <v>1</v>
      </c>
      <c r="L20" s="38">
        <v>-5.5000000000000002E-5</v>
      </c>
      <c r="M20" s="27" t="s">
        <v>65</v>
      </c>
      <c r="O20" s="27" t="s">
        <v>131</v>
      </c>
      <c r="P20" s="27">
        <v>209</v>
      </c>
      <c r="Q20" s="27" t="s">
        <v>128</v>
      </c>
      <c r="R20" s="27" t="s">
        <v>377</v>
      </c>
      <c r="S20" s="27" t="s">
        <v>148</v>
      </c>
      <c r="T20" s="27" t="s">
        <v>63</v>
      </c>
      <c r="U20" s="27">
        <v>10</v>
      </c>
      <c r="V20" s="27">
        <v>22</v>
      </c>
      <c r="W20" s="37">
        <v>-5.5000000000000002E-5</v>
      </c>
      <c r="X20" s="27">
        <v>1</v>
      </c>
      <c r="Y20" s="38">
        <v>-5.5000000000000002E-5</v>
      </c>
      <c r="Z20" s="27" t="s">
        <v>65</v>
      </c>
    </row>
    <row r="21" spans="2:26" x14ac:dyDescent="0.2">
      <c r="B21" s="27" t="s">
        <v>131</v>
      </c>
      <c r="C21" s="27">
        <v>209</v>
      </c>
      <c r="D21" s="27" t="s">
        <v>128</v>
      </c>
      <c r="E21" s="27" t="s">
        <v>107</v>
      </c>
      <c r="F21" s="27" t="s">
        <v>149</v>
      </c>
      <c r="G21" s="27" t="s">
        <v>64</v>
      </c>
      <c r="H21" s="27">
        <v>60</v>
      </c>
      <c r="I21" s="27">
        <v>17</v>
      </c>
      <c r="J21" s="37">
        <v>-1.1E-4</v>
      </c>
      <c r="K21" s="27">
        <v>3</v>
      </c>
      <c r="L21" s="38">
        <v>-1.1E-4</v>
      </c>
      <c r="M21" s="27" t="s">
        <v>65</v>
      </c>
      <c r="O21" s="27" t="s">
        <v>131</v>
      </c>
      <c r="P21" s="27">
        <v>209</v>
      </c>
      <c r="Q21" s="27" t="s">
        <v>128</v>
      </c>
      <c r="R21" s="27" t="s">
        <v>377</v>
      </c>
      <c r="S21" s="27" t="s">
        <v>149</v>
      </c>
      <c r="T21" s="27" t="s">
        <v>64</v>
      </c>
      <c r="U21" s="27">
        <v>10</v>
      </c>
      <c r="V21" s="27">
        <v>17</v>
      </c>
      <c r="W21" s="37">
        <v>-1.1E-4</v>
      </c>
      <c r="X21" s="27">
        <v>3</v>
      </c>
      <c r="Y21" s="38">
        <v>-1.1E-4</v>
      </c>
      <c r="Z21" s="27" t="s">
        <v>65</v>
      </c>
    </row>
    <row r="22" spans="2:26" x14ac:dyDescent="0.2">
      <c r="B22" s="27" t="s">
        <v>131</v>
      </c>
      <c r="C22" s="27">
        <v>210</v>
      </c>
      <c r="D22" s="27" t="s">
        <v>128</v>
      </c>
      <c r="E22" s="27" t="s">
        <v>107</v>
      </c>
      <c r="F22" s="27" t="s">
        <v>150</v>
      </c>
      <c r="G22" s="27" t="s">
        <v>63</v>
      </c>
      <c r="H22" s="27">
        <v>60</v>
      </c>
      <c r="I22" s="27">
        <v>17</v>
      </c>
      <c r="J22" s="37">
        <v>-5.5000000000000002E-5</v>
      </c>
      <c r="K22" s="27">
        <v>3</v>
      </c>
      <c r="L22" s="38">
        <v>-5.5000000000000002E-5</v>
      </c>
      <c r="M22" s="27" t="s">
        <v>65</v>
      </c>
      <c r="O22" s="27" t="s">
        <v>131</v>
      </c>
      <c r="P22" s="27">
        <v>210</v>
      </c>
      <c r="Q22" s="27" t="s">
        <v>128</v>
      </c>
      <c r="R22" s="27" t="s">
        <v>377</v>
      </c>
      <c r="S22" s="27" t="s">
        <v>150</v>
      </c>
      <c r="T22" s="27" t="s">
        <v>63</v>
      </c>
      <c r="U22" s="27">
        <v>10</v>
      </c>
      <c r="V22" s="27">
        <v>17</v>
      </c>
      <c r="W22" s="37">
        <v>-5.5000000000000002E-5</v>
      </c>
      <c r="X22" s="27">
        <v>3</v>
      </c>
      <c r="Y22" s="38">
        <v>-5.5000000000000002E-5</v>
      </c>
      <c r="Z22" s="27" t="s">
        <v>65</v>
      </c>
    </row>
    <row r="23" spans="2:26" x14ac:dyDescent="0.2">
      <c r="B23" s="27" t="s">
        <v>131</v>
      </c>
      <c r="C23" s="27">
        <v>210</v>
      </c>
      <c r="D23" s="27" t="s">
        <v>128</v>
      </c>
      <c r="E23" s="27" t="s">
        <v>107</v>
      </c>
      <c r="F23" s="27" t="s">
        <v>151</v>
      </c>
      <c r="G23" s="27" t="s">
        <v>64</v>
      </c>
      <c r="H23" s="27">
        <v>60</v>
      </c>
      <c r="I23" s="27">
        <v>22</v>
      </c>
      <c r="J23" s="37">
        <v>-1.1E-4</v>
      </c>
      <c r="K23" s="27">
        <v>1</v>
      </c>
      <c r="L23" s="38">
        <v>-1.1E-4</v>
      </c>
      <c r="M23" s="27" t="s">
        <v>65</v>
      </c>
      <c r="O23" s="27" t="s">
        <v>131</v>
      </c>
      <c r="P23" s="27">
        <v>210</v>
      </c>
      <c r="Q23" s="27" t="s">
        <v>128</v>
      </c>
      <c r="R23" s="27" t="s">
        <v>377</v>
      </c>
      <c r="S23" s="27" t="s">
        <v>151</v>
      </c>
      <c r="T23" s="27" t="s">
        <v>64</v>
      </c>
      <c r="U23" s="27">
        <v>10</v>
      </c>
      <c r="V23" s="27">
        <v>22</v>
      </c>
      <c r="W23" s="37">
        <v>-1.1E-4</v>
      </c>
      <c r="X23" s="27">
        <v>1</v>
      </c>
      <c r="Y23" s="38">
        <v>-1.1E-4</v>
      </c>
      <c r="Z23" s="27" t="s">
        <v>65</v>
      </c>
    </row>
    <row r="24" spans="2:26" x14ac:dyDescent="0.2">
      <c r="B24" s="27" t="s">
        <v>131</v>
      </c>
      <c r="C24" s="27">
        <v>193</v>
      </c>
      <c r="D24" s="27" t="s">
        <v>129</v>
      </c>
      <c r="E24" s="27" t="s">
        <v>107</v>
      </c>
      <c r="F24" s="27" t="s">
        <v>152</v>
      </c>
      <c r="G24" s="27" t="s">
        <v>63</v>
      </c>
      <c r="H24" s="27">
        <v>60</v>
      </c>
      <c r="I24" s="27">
        <v>20</v>
      </c>
      <c r="J24" s="37">
        <v>-1.21E-4</v>
      </c>
      <c r="K24" s="27">
        <v>7</v>
      </c>
      <c r="L24" s="38">
        <v>-1.05E-4</v>
      </c>
      <c r="M24" s="27" t="s">
        <v>65</v>
      </c>
      <c r="O24" s="27" t="s">
        <v>131</v>
      </c>
      <c r="P24" s="27">
        <v>193</v>
      </c>
      <c r="Q24" s="27" t="s">
        <v>129</v>
      </c>
      <c r="R24" s="27" t="s">
        <v>377</v>
      </c>
      <c r="S24" s="27" t="s">
        <v>152</v>
      </c>
      <c r="T24" s="27" t="s">
        <v>63</v>
      </c>
      <c r="U24" s="27">
        <v>10</v>
      </c>
      <c r="V24" s="27">
        <v>20</v>
      </c>
      <c r="W24" s="37">
        <v>-1.21E-4</v>
      </c>
      <c r="X24" s="27">
        <v>7</v>
      </c>
      <c r="Y24" s="38">
        <v>-1.05E-4</v>
      </c>
      <c r="Z24" s="27" t="s">
        <v>65</v>
      </c>
    </row>
    <row r="25" spans="2:26" x14ac:dyDescent="0.2">
      <c r="B25" s="27" t="s">
        <v>131</v>
      </c>
      <c r="C25" s="27">
        <v>193</v>
      </c>
      <c r="D25" s="27" t="s">
        <v>129</v>
      </c>
      <c r="E25" s="27" t="s">
        <v>107</v>
      </c>
      <c r="F25" s="27" t="s">
        <v>153</v>
      </c>
      <c r="G25" s="27" t="s">
        <v>64</v>
      </c>
      <c r="H25" s="27">
        <v>60</v>
      </c>
      <c r="I25" s="27">
        <v>22</v>
      </c>
      <c r="J25" s="37">
        <v>-1.3999999999999999E-4</v>
      </c>
      <c r="K25" s="27">
        <v>1</v>
      </c>
      <c r="L25" s="38">
        <v>-1.2E-4</v>
      </c>
      <c r="M25" s="27" t="s">
        <v>65</v>
      </c>
      <c r="O25" s="27" t="s">
        <v>131</v>
      </c>
      <c r="P25" s="27">
        <v>193</v>
      </c>
      <c r="Q25" s="27" t="s">
        <v>129</v>
      </c>
      <c r="R25" s="27" t="s">
        <v>377</v>
      </c>
      <c r="S25" s="27" t="s">
        <v>153</v>
      </c>
      <c r="T25" s="27" t="s">
        <v>64</v>
      </c>
      <c r="U25" s="27">
        <v>10</v>
      </c>
      <c r="V25" s="27">
        <v>22</v>
      </c>
      <c r="W25" s="37">
        <v>-1.3999999999999999E-4</v>
      </c>
      <c r="X25" s="27">
        <v>1</v>
      </c>
      <c r="Y25" s="38">
        <v>-1.2E-4</v>
      </c>
      <c r="Z25" s="27" t="s">
        <v>65</v>
      </c>
    </row>
    <row r="26" spans="2:26" x14ac:dyDescent="0.2">
      <c r="B26" s="27" t="s">
        <v>131</v>
      </c>
      <c r="C26" s="27">
        <v>204</v>
      </c>
      <c r="D26" s="27" t="s">
        <v>128</v>
      </c>
      <c r="E26" s="27" t="s">
        <v>107</v>
      </c>
      <c r="F26" s="27" t="s">
        <v>154</v>
      </c>
      <c r="G26" s="27" t="s">
        <v>63</v>
      </c>
      <c r="H26" s="27">
        <v>60</v>
      </c>
      <c r="I26" s="27">
        <v>17</v>
      </c>
      <c r="J26" s="37">
        <v>-1.55E-4</v>
      </c>
      <c r="K26" s="27">
        <v>3</v>
      </c>
      <c r="L26" s="38">
        <v>-1.37E-4</v>
      </c>
      <c r="M26" s="27" t="s">
        <v>65</v>
      </c>
      <c r="O26" s="27" t="s">
        <v>131</v>
      </c>
      <c r="P26" s="27">
        <v>204</v>
      </c>
      <c r="Q26" s="27" t="s">
        <v>128</v>
      </c>
      <c r="R26" s="27" t="s">
        <v>377</v>
      </c>
      <c r="S26" s="27" t="s">
        <v>154</v>
      </c>
      <c r="T26" s="27" t="s">
        <v>63</v>
      </c>
      <c r="U26" s="27">
        <v>10</v>
      </c>
      <c r="V26" s="27">
        <v>17</v>
      </c>
      <c r="W26" s="37">
        <v>-1.55E-4</v>
      </c>
      <c r="X26" s="27">
        <v>3</v>
      </c>
      <c r="Y26" s="38">
        <v>-1.37E-4</v>
      </c>
      <c r="Z26" s="27" t="s">
        <v>65</v>
      </c>
    </row>
    <row r="27" spans="2:26" x14ac:dyDescent="0.2">
      <c r="B27" s="27" t="s">
        <v>131</v>
      </c>
      <c r="C27" s="27">
        <v>204</v>
      </c>
      <c r="D27" s="27" t="s">
        <v>128</v>
      </c>
      <c r="E27" s="27" t="s">
        <v>107</v>
      </c>
      <c r="F27" s="27" t="s">
        <v>155</v>
      </c>
      <c r="G27" s="27" t="s">
        <v>64</v>
      </c>
      <c r="H27" s="27">
        <v>60</v>
      </c>
      <c r="I27" s="27">
        <v>22</v>
      </c>
      <c r="J27" s="37">
        <v>-1.75E-4</v>
      </c>
      <c r="K27" s="27">
        <v>1</v>
      </c>
      <c r="L27" s="38">
        <v>-1.5799999999999999E-4</v>
      </c>
      <c r="M27" s="27" t="s">
        <v>65</v>
      </c>
      <c r="O27" s="27" t="s">
        <v>131</v>
      </c>
      <c r="P27" s="27">
        <v>204</v>
      </c>
      <c r="Q27" s="27" t="s">
        <v>128</v>
      </c>
      <c r="R27" s="27" t="s">
        <v>377</v>
      </c>
      <c r="S27" s="27" t="s">
        <v>155</v>
      </c>
      <c r="T27" s="27" t="s">
        <v>64</v>
      </c>
      <c r="U27" s="27">
        <v>10</v>
      </c>
      <c r="V27" s="27">
        <v>22</v>
      </c>
      <c r="W27" s="37">
        <v>-1.75E-4</v>
      </c>
      <c r="X27" s="27">
        <v>1</v>
      </c>
      <c r="Y27" s="38">
        <v>-1.5799999999999999E-4</v>
      </c>
      <c r="Z27" s="27" t="s">
        <v>65</v>
      </c>
    </row>
    <row r="28" spans="2:26" x14ac:dyDescent="0.2">
      <c r="B28" s="27" t="s">
        <v>131</v>
      </c>
      <c r="C28" s="27">
        <v>205</v>
      </c>
      <c r="D28" s="27" t="s">
        <v>128</v>
      </c>
      <c r="E28" s="27" t="s">
        <v>107</v>
      </c>
      <c r="F28" s="27" t="s">
        <v>156</v>
      </c>
      <c r="G28" s="27" t="s">
        <v>63</v>
      </c>
      <c r="H28" s="27">
        <v>60</v>
      </c>
      <c r="I28" s="27">
        <v>22</v>
      </c>
      <c r="J28" s="37">
        <v>-1.47E-4</v>
      </c>
      <c r="K28" s="27">
        <v>1</v>
      </c>
      <c r="L28" s="38">
        <v>-1.2999999999999999E-4</v>
      </c>
      <c r="M28" s="27" t="s">
        <v>65</v>
      </c>
      <c r="O28" s="27" t="s">
        <v>131</v>
      </c>
      <c r="P28" s="27">
        <v>205</v>
      </c>
      <c r="Q28" s="27" t="s">
        <v>128</v>
      </c>
      <c r="R28" s="27" t="s">
        <v>377</v>
      </c>
      <c r="S28" s="27" t="s">
        <v>156</v>
      </c>
      <c r="T28" s="27" t="s">
        <v>63</v>
      </c>
      <c r="U28" s="27">
        <v>10</v>
      </c>
      <c r="V28" s="27">
        <v>22</v>
      </c>
      <c r="W28" s="37">
        <v>-1.4799999999999999E-4</v>
      </c>
      <c r="X28" s="27">
        <v>1</v>
      </c>
      <c r="Y28" s="38">
        <v>-1.2999999999999999E-4</v>
      </c>
      <c r="Z28" s="27" t="s">
        <v>65</v>
      </c>
    </row>
    <row r="29" spans="2:26" x14ac:dyDescent="0.2">
      <c r="B29" s="27" t="s">
        <v>131</v>
      </c>
      <c r="C29" s="27">
        <v>205</v>
      </c>
      <c r="D29" s="27" t="s">
        <v>128</v>
      </c>
      <c r="E29" s="27" t="s">
        <v>107</v>
      </c>
      <c r="F29" s="27" t="s">
        <v>157</v>
      </c>
      <c r="G29" s="27" t="s">
        <v>64</v>
      </c>
      <c r="H29" s="27">
        <v>60</v>
      </c>
      <c r="I29" s="27">
        <v>17</v>
      </c>
      <c r="J29" s="37">
        <v>-1.85E-4</v>
      </c>
      <c r="K29" s="27">
        <v>3</v>
      </c>
      <c r="L29" s="38">
        <v>-1.6699999999999999E-4</v>
      </c>
      <c r="M29" s="27" t="s">
        <v>65</v>
      </c>
      <c r="O29" s="27" t="s">
        <v>131</v>
      </c>
      <c r="P29" s="27">
        <v>205</v>
      </c>
      <c r="Q29" s="27" t="s">
        <v>128</v>
      </c>
      <c r="R29" s="27" t="s">
        <v>377</v>
      </c>
      <c r="S29" s="27" t="s">
        <v>157</v>
      </c>
      <c r="T29" s="27" t="s">
        <v>64</v>
      </c>
      <c r="U29" s="27">
        <v>10</v>
      </c>
      <c r="V29" s="27">
        <v>17</v>
      </c>
      <c r="W29" s="37">
        <v>-1.8599999999999999E-4</v>
      </c>
      <c r="X29" s="27">
        <v>3</v>
      </c>
      <c r="Y29" s="38">
        <v>-1.6699999999999999E-4</v>
      </c>
      <c r="Z29" s="27" t="s">
        <v>65</v>
      </c>
    </row>
    <row r="30" spans="2:26" x14ac:dyDescent="0.2">
      <c r="B30" s="27" t="s">
        <v>131</v>
      </c>
      <c r="C30" s="27">
        <v>192</v>
      </c>
      <c r="D30" s="27" t="s">
        <v>129</v>
      </c>
      <c r="E30" s="27" t="s">
        <v>107</v>
      </c>
      <c r="F30" s="27" t="s">
        <v>158</v>
      </c>
      <c r="G30" s="27" t="s">
        <v>63</v>
      </c>
      <c r="H30" s="27">
        <v>60</v>
      </c>
      <c r="I30" s="27">
        <v>15</v>
      </c>
      <c r="J30" s="37">
        <v>-1.2300000000000001E-4</v>
      </c>
      <c r="K30" s="27">
        <v>7</v>
      </c>
      <c r="L30" s="38">
        <v>-1.07E-4</v>
      </c>
      <c r="M30" s="27" t="s">
        <v>65</v>
      </c>
      <c r="O30" s="27" t="s">
        <v>131</v>
      </c>
      <c r="P30" s="27">
        <v>192</v>
      </c>
      <c r="Q30" s="27" t="s">
        <v>129</v>
      </c>
      <c r="R30" s="27" t="s">
        <v>377</v>
      </c>
      <c r="S30" s="27" t="s">
        <v>158</v>
      </c>
      <c r="T30" s="27" t="s">
        <v>63</v>
      </c>
      <c r="U30" s="27">
        <v>10</v>
      </c>
      <c r="V30" s="27">
        <v>15</v>
      </c>
      <c r="W30" s="37">
        <v>-1.2300000000000001E-4</v>
      </c>
      <c r="X30" s="27">
        <v>7</v>
      </c>
      <c r="Y30" s="38">
        <v>-1.07E-4</v>
      </c>
      <c r="Z30" s="27" t="s">
        <v>65</v>
      </c>
    </row>
    <row r="31" spans="2:26" x14ac:dyDescent="0.2">
      <c r="B31" s="27" t="s">
        <v>131</v>
      </c>
      <c r="C31" s="27">
        <v>192</v>
      </c>
      <c r="D31" s="27" t="s">
        <v>129</v>
      </c>
      <c r="E31" s="27" t="s">
        <v>107</v>
      </c>
      <c r="F31" s="27" t="s">
        <v>159</v>
      </c>
      <c r="G31" s="27" t="s">
        <v>64</v>
      </c>
      <c r="H31" s="27">
        <v>60</v>
      </c>
      <c r="I31" s="27">
        <v>22</v>
      </c>
      <c r="J31" s="37">
        <v>-1.3999999999999999E-4</v>
      </c>
      <c r="K31" s="27">
        <v>1</v>
      </c>
      <c r="L31" s="38">
        <v>-1.2E-4</v>
      </c>
      <c r="M31" s="27" t="s">
        <v>65</v>
      </c>
      <c r="O31" s="27" t="s">
        <v>131</v>
      </c>
      <c r="P31" s="27">
        <v>192</v>
      </c>
      <c r="Q31" s="27" t="s">
        <v>129</v>
      </c>
      <c r="R31" s="27" t="s">
        <v>377</v>
      </c>
      <c r="S31" s="27" t="s">
        <v>159</v>
      </c>
      <c r="T31" s="27" t="s">
        <v>64</v>
      </c>
      <c r="U31" s="27">
        <v>10</v>
      </c>
      <c r="V31" s="27">
        <v>22</v>
      </c>
      <c r="W31" s="37">
        <v>-1.3999999999999999E-4</v>
      </c>
      <c r="X31" s="27">
        <v>1</v>
      </c>
      <c r="Y31" s="38">
        <v>-1.2E-4</v>
      </c>
      <c r="Z31" s="27" t="s">
        <v>65</v>
      </c>
    </row>
    <row r="32" spans="2:26" x14ac:dyDescent="0.2">
      <c r="B32" s="27" t="s">
        <v>131</v>
      </c>
      <c r="C32" s="27">
        <v>207</v>
      </c>
      <c r="D32" s="27" t="s">
        <v>128</v>
      </c>
      <c r="E32" s="27" t="s">
        <v>107</v>
      </c>
      <c r="F32" s="27" t="s">
        <v>160</v>
      </c>
      <c r="G32" s="27" t="s">
        <v>63</v>
      </c>
      <c r="H32" s="27">
        <v>60</v>
      </c>
      <c r="I32" s="27">
        <v>22</v>
      </c>
      <c r="J32" s="37">
        <v>-5.3999999999999998E-5</v>
      </c>
      <c r="K32" s="27">
        <v>1</v>
      </c>
      <c r="L32" s="38">
        <v>-5.3000000000000001E-5</v>
      </c>
      <c r="M32" s="27" t="s">
        <v>65</v>
      </c>
      <c r="O32" s="27" t="s">
        <v>131</v>
      </c>
      <c r="P32" s="27">
        <v>207</v>
      </c>
      <c r="Q32" s="27" t="s">
        <v>128</v>
      </c>
      <c r="R32" s="27" t="s">
        <v>377</v>
      </c>
      <c r="S32" s="27" t="s">
        <v>160</v>
      </c>
      <c r="T32" s="27" t="s">
        <v>63</v>
      </c>
      <c r="U32" s="27">
        <v>10</v>
      </c>
      <c r="V32" s="27">
        <v>22</v>
      </c>
      <c r="W32" s="37">
        <v>-5.3999999999999998E-5</v>
      </c>
      <c r="X32" s="27">
        <v>1</v>
      </c>
      <c r="Y32" s="38">
        <v>-5.3000000000000001E-5</v>
      </c>
      <c r="Z32" s="27" t="s">
        <v>65</v>
      </c>
    </row>
    <row r="33" spans="2:26" x14ac:dyDescent="0.2">
      <c r="B33" s="27" t="s">
        <v>131</v>
      </c>
      <c r="C33" s="27">
        <v>207</v>
      </c>
      <c r="D33" s="27" t="s">
        <v>128</v>
      </c>
      <c r="E33" s="27" t="s">
        <v>107</v>
      </c>
      <c r="F33" s="27" t="s">
        <v>161</v>
      </c>
      <c r="G33" s="27" t="s">
        <v>64</v>
      </c>
      <c r="H33" s="27">
        <v>60</v>
      </c>
      <c r="I33" s="27">
        <v>17</v>
      </c>
      <c r="J33" s="37">
        <v>-1.17E-4</v>
      </c>
      <c r="K33" s="27">
        <v>2</v>
      </c>
      <c r="L33" s="38">
        <v>-1.17E-4</v>
      </c>
      <c r="M33" s="27" t="s">
        <v>65</v>
      </c>
      <c r="O33" s="27" t="s">
        <v>131</v>
      </c>
      <c r="P33" s="27">
        <v>207</v>
      </c>
      <c r="Q33" s="27" t="s">
        <v>128</v>
      </c>
      <c r="R33" s="27" t="s">
        <v>377</v>
      </c>
      <c r="S33" s="27" t="s">
        <v>161</v>
      </c>
      <c r="T33" s="27" t="s">
        <v>64</v>
      </c>
      <c r="U33" s="27">
        <v>10</v>
      </c>
      <c r="V33" s="27">
        <v>17</v>
      </c>
      <c r="W33" s="37">
        <v>-1.17E-4</v>
      </c>
      <c r="X33" s="27">
        <v>2</v>
      </c>
      <c r="Y33" s="38">
        <v>-1.17E-4</v>
      </c>
      <c r="Z33" s="27" t="s">
        <v>65</v>
      </c>
    </row>
    <row r="34" spans="2:26" x14ac:dyDescent="0.2">
      <c r="B34" s="27" t="s">
        <v>131</v>
      </c>
      <c r="C34" s="27">
        <v>208</v>
      </c>
      <c r="D34" s="27" t="s">
        <v>128</v>
      </c>
      <c r="E34" s="27" t="s">
        <v>107</v>
      </c>
      <c r="F34" s="27" t="s">
        <v>162</v>
      </c>
      <c r="G34" s="27" t="s">
        <v>63</v>
      </c>
      <c r="H34" s="27">
        <v>60</v>
      </c>
      <c r="I34" s="27">
        <v>17</v>
      </c>
      <c r="J34" s="37">
        <v>-5.3000000000000001E-5</v>
      </c>
      <c r="K34" s="27">
        <v>3</v>
      </c>
      <c r="L34" s="38">
        <v>-5.3000000000000001E-5</v>
      </c>
      <c r="M34" s="27" t="s">
        <v>65</v>
      </c>
      <c r="O34" s="27" t="s">
        <v>131</v>
      </c>
      <c r="P34" s="27">
        <v>208</v>
      </c>
      <c r="Q34" s="27" t="s">
        <v>128</v>
      </c>
      <c r="R34" s="27" t="s">
        <v>377</v>
      </c>
      <c r="S34" s="27" t="s">
        <v>162</v>
      </c>
      <c r="T34" s="27" t="s">
        <v>63</v>
      </c>
      <c r="U34" s="27">
        <v>10</v>
      </c>
      <c r="V34" s="27">
        <v>17</v>
      </c>
      <c r="W34" s="37">
        <v>-5.3000000000000001E-5</v>
      </c>
      <c r="X34" s="27">
        <v>3</v>
      </c>
      <c r="Y34" s="38">
        <v>-5.3000000000000001E-5</v>
      </c>
      <c r="Z34" s="27" t="s">
        <v>65</v>
      </c>
    </row>
    <row r="35" spans="2:26" x14ac:dyDescent="0.2">
      <c r="B35" s="27" t="s">
        <v>131</v>
      </c>
      <c r="C35" s="27">
        <v>208</v>
      </c>
      <c r="D35" s="27" t="s">
        <v>128</v>
      </c>
      <c r="E35" s="27" t="s">
        <v>107</v>
      </c>
      <c r="F35" s="27" t="s">
        <v>163</v>
      </c>
      <c r="G35" s="27" t="s">
        <v>64</v>
      </c>
      <c r="H35" s="27">
        <v>60</v>
      </c>
      <c r="I35" s="27">
        <v>17</v>
      </c>
      <c r="J35" s="37">
        <v>-1.16E-4</v>
      </c>
      <c r="K35" s="27">
        <v>3</v>
      </c>
      <c r="L35" s="38">
        <v>-1.17E-4</v>
      </c>
      <c r="M35" s="27" t="s">
        <v>65</v>
      </c>
      <c r="O35" s="27" t="s">
        <v>131</v>
      </c>
      <c r="P35" s="27">
        <v>208</v>
      </c>
      <c r="Q35" s="27" t="s">
        <v>128</v>
      </c>
      <c r="R35" s="27" t="s">
        <v>377</v>
      </c>
      <c r="S35" s="27" t="s">
        <v>163</v>
      </c>
      <c r="T35" s="27" t="s">
        <v>64</v>
      </c>
      <c r="U35" s="27">
        <v>10</v>
      </c>
      <c r="V35" s="27">
        <v>17</v>
      </c>
      <c r="W35" s="37">
        <v>-1.16E-4</v>
      </c>
      <c r="X35" s="27">
        <v>3</v>
      </c>
      <c r="Y35" s="38">
        <v>-1.17E-4</v>
      </c>
      <c r="Z35" s="27" t="s">
        <v>65</v>
      </c>
    </row>
    <row r="36" spans="2:26" x14ac:dyDescent="0.2">
      <c r="B36" s="27" t="s">
        <v>131</v>
      </c>
      <c r="C36" s="27">
        <v>194</v>
      </c>
      <c r="D36" s="27" t="s">
        <v>129</v>
      </c>
      <c r="E36" s="27" t="s">
        <v>107</v>
      </c>
      <c r="F36" s="27" t="s">
        <v>164</v>
      </c>
      <c r="G36" s="27" t="s">
        <v>63</v>
      </c>
      <c r="H36" s="27">
        <v>60</v>
      </c>
      <c r="I36" s="27">
        <v>18</v>
      </c>
      <c r="J36" s="37">
        <v>-1.2300000000000001E-4</v>
      </c>
      <c r="K36" s="27">
        <v>7</v>
      </c>
      <c r="L36" s="38">
        <v>-1.07E-4</v>
      </c>
      <c r="M36" s="27" t="s">
        <v>65</v>
      </c>
      <c r="O36" s="27" t="s">
        <v>131</v>
      </c>
      <c r="P36" s="27">
        <v>194</v>
      </c>
      <c r="Q36" s="27" t="s">
        <v>129</v>
      </c>
      <c r="R36" s="27" t="s">
        <v>377</v>
      </c>
      <c r="S36" s="27" t="s">
        <v>164</v>
      </c>
      <c r="T36" s="27" t="s">
        <v>63</v>
      </c>
      <c r="U36" s="27">
        <v>10</v>
      </c>
      <c r="V36" s="27">
        <v>18</v>
      </c>
      <c r="W36" s="37">
        <v>-1.2300000000000001E-4</v>
      </c>
      <c r="X36" s="27">
        <v>7</v>
      </c>
      <c r="Y36" s="38">
        <v>-1.07E-4</v>
      </c>
      <c r="Z36" s="27" t="s">
        <v>65</v>
      </c>
    </row>
    <row r="37" spans="2:26" x14ac:dyDescent="0.2">
      <c r="B37" s="27" t="s">
        <v>131</v>
      </c>
      <c r="C37" s="27">
        <v>194</v>
      </c>
      <c r="D37" s="27" t="s">
        <v>129</v>
      </c>
      <c r="E37" s="27" t="s">
        <v>107</v>
      </c>
      <c r="F37" s="27" t="s">
        <v>165</v>
      </c>
      <c r="G37" s="27" t="s">
        <v>64</v>
      </c>
      <c r="H37" s="27">
        <v>60</v>
      </c>
      <c r="I37" s="27">
        <v>17</v>
      </c>
      <c r="J37" s="37">
        <v>-1.3899999999999999E-4</v>
      </c>
      <c r="K37" s="27">
        <v>6</v>
      </c>
      <c r="L37" s="38">
        <v>-1.2E-4</v>
      </c>
      <c r="M37" s="27" t="s">
        <v>65</v>
      </c>
      <c r="O37" s="27" t="s">
        <v>131</v>
      </c>
      <c r="P37" s="27">
        <v>194</v>
      </c>
      <c r="Q37" s="27" t="s">
        <v>129</v>
      </c>
      <c r="R37" s="27" t="s">
        <v>377</v>
      </c>
      <c r="S37" s="27" t="s">
        <v>165</v>
      </c>
      <c r="T37" s="27" t="s">
        <v>64</v>
      </c>
      <c r="U37" s="27">
        <v>10</v>
      </c>
      <c r="V37" s="27">
        <v>17</v>
      </c>
      <c r="W37" s="37">
        <v>-1.3899999999999999E-4</v>
      </c>
      <c r="X37" s="27">
        <v>6</v>
      </c>
      <c r="Y37" s="38">
        <v>-1.2E-4</v>
      </c>
      <c r="Z37" s="27" t="s">
        <v>65</v>
      </c>
    </row>
    <row r="38" spans="2:26" x14ac:dyDescent="0.2">
      <c r="B38" s="27" t="s">
        <v>131</v>
      </c>
      <c r="C38" s="27">
        <v>203</v>
      </c>
      <c r="D38" s="27" t="s">
        <v>128</v>
      </c>
      <c r="E38" s="27" t="s">
        <v>107</v>
      </c>
      <c r="F38" s="27" t="s">
        <v>166</v>
      </c>
      <c r="G38" s="27" t="s">
        <v>63</v>
      </c>
      <c r="H38" s="27">
        <v>60</v>
      </c>
      <c r="I38" s="27">
        <v>17</v>
      </c>
      <c r="J38" s="37">
        <v>-1.47E-4</v>
      </c>
      <c r="K38" s="27">
        <v>3</v>
      </c>
      <c r="L38" s="38">
        <v>-1.2999999999999999E-4</v>
      </c>
      <c r="M38" s="27" t="s">
        <v>65</v>
      </c>
      <c r="O38" s="27" t="s">
        <v>131</v>
      </c>
      <c r="P38" s="27">
        <v>203</v>
      </c>
      <c r="Q38" s="27" t="s">
        <v>128</v>
      </c>
      <c r="R38" s="27" t="s">
        <v>377</v>
      </c>
      <c r="S38" s="27" t="s">
        <v>166</v>
      </c>
      <c r="T38" s="27" t="s">
        <v>63</v>
      </c>
      <c r="U38" s="27">
        <v>10</v>
      </c>
      <c r="V38" s="27">
        <v>17</v>
      </c>
      <c r="W38" s="37">
        <v>-1.47E-4</v>
      </c>
      <c r="X38" s="27">
        <v>3</v>
      </c>
      <c r="Y38" s="38">
        <v>-1.2999999999999999E-4</v>
      </c>
      <c r="Z38" s="27" t="s">
        <v>65</v>
      </c>
    </row>
    <row r="39" spans="2:26" x14ac:dyDescent="0.2">
      <c r="B39" s="27" t="s">
        <v>131</v>
      </c>
      <c r="C39" s="27">
        <v>203</v>
      </c>
      <c r="D39" s="27" t="s">
        <v>128</v>
      </c>
      <c r="E39" s="27" t="s">
        <v>107</v>
      </c>
      <c r="F39" s="27" t="s">
        <v>167</v>
      </c>
      <c r="G39" s="27" t="s">
        <v>64</v>
      </c>
      <c r="H39" s="27">
        <v>60</v>
      </c>
      <c r="I39" s="27">
        <v>22</v>
      </c>
      <c r="J39" s="37">
        <v>-1.84E-4</v>
      </c>
      <c r="K39" s="27">
        <v>1</v>
      </c>
      <c r="L39" s="38">
        <v>-1.66E-4</v>
      </c>
      <c r="M39" s="27" t="s">
        <v>65</v>
      </c>
      <c r="O39" s="27" t="s">
        <v>131</v>
      </c>
      <c r="P39" s="27">
        <v>203</v>
      </c>
      <c r="Q39" s="27" t="s">
        <v>128</v>
      </c>
      <c r="R39" s="27" t="s">
        <v>377</v>
      </c>
      <c r="S39" s="27" t="s">
        <v>167</v>
      </c>
      <c r="T39" s="27" t="s">
        <v>64</v>
      </c>
      <c r="U39" s="27">
        <v>10</v>
      </c>
      <c r="V39" s="27">
        <v>22</v>
      </c>
      <c r="W39" s="37">
        <v>-1.84E-4</v>
      </c>
      <c r="X39" s="27">
        <v>1</v>
      </c>
      <c r="Y39" s="38">
        <v>-1.66E-4</v>
      </c>
      <c r="Z39" s="27" t="s">
        <v>65</v>
      </c>
    </row>
    <row r="40" spans="2:26" x14ac:dyDescent="0.2">
      <c r="B40" s="27" t="s">
        <v>131</v>
      </c>
      <c r="C40" s="27">
        <v>187</v>
      </c>
      <c r="D40" s="27" t="s">
        <v>127</v>
      </c>
      <c r="E40" s="27" t="s">
        <v>107</v>
      </c>
      <c r="F40" s="27" t="s">
        <v>168</v>
      </c>
      <c r="G40" s="27" t="s">
        <v>63</v>
      </c>
      <c r="H40" s="27">
        <v>60</v>
      </c>
      <c r="I40" s="27">
        <v>16</v>
      </c>
      <c r="J40" s="37">
        <v>-3.3799999999999998E-4</v>
      </c>
      <c r="K40" s="27">
        <v>6</v>
      </c>
      <c r="L40" s="38">
        <v>3.0400000000000002E-4</v>
      </c>
      <c r="M40" s="27" t="s">
        <v>65</v>
      </c>
      <c r="O40" s="27" t="s">
        <v>131</v>
      </c>
      <c r="P40" s="27">
        <v>187</v>
      </c>
      <c r="Q40" s="27" t="s">
        <v>127</v>
      </c>
      <c r="R40" s="27" t="s">
        <v>377</v>
      </c>
      <c r="S40" s="27" t="s">
        <v>168</v>
      </c>
      <c r="T40" s="27" t="s">
        <v>63</v>
      </c>
      <c r="U40" s="27">
        <v>10</v>
      </c>
      <c r="V40" s="27">
        <v>16</v>
      </c>
      <c r="W40" s="37">
        <v>-3.3799999999999998E-4</v>
      </c>
      <c r="X40" s="27">
        <v>6</v>
      </c>
      <c r="Y40" s="38">
        <v>3.0400000000000002E-4</v>
      </c>
      <c r="Z40" s="27" t="s">
        <v>65</v>
      </c>
    </row>
    <row r="41" spans="2:26" x14ac:dyDescent="0.2">
      <c r="B41" s="27" t="s">
        <v>131</v>
      </c>
      <c r="C41" s="27">
        <v>187</v>
      </c>
      <c r="D41" s="27" t="s">
        <v>127</v>
      </c>
      <c r="E41" s="27" t="s">
        <v>107</v>
      </c>
      <c r="F41" s="27" t="s">
        <v>169</v>
      </c>
      <c r="G41" s="27" t="s">
        <v>64</v>
      </c>
      <c r="H41" s="27">
        <v>60</v>
      </c>
      <c r="I41" s="27">
        <v>9</v>
      </c>
      <c r="J41" s="37">
        <v>-2.13E-4</v>
      </c>
      <c r="K41" s="27">
        <v>6</v>
      </c>
      <c r="L41" s="38">
        <v>-1.7799999999999999E-4</v>
      </c>
      <c r="M41" s="27" t="s">
        <v>65</v>
      </c>
      <c r="O41" s="27" t="s">
        <v>131</v>
      </c>
      <c r="P41" s="27">
        <v>187</v>
      </c>
      <c r="Q41" s="27" t="s">
        <v>127</v>
      </c>
      <c r="R41" s="27" t="s">
        <v>377</v>
      </c>
      <c r="S41" s="27" t="s">
        <v>169</v>
      </c>
      <c r="T41" s="27" t="s">
        <v>64</v>
      </c>
      <c r="U41" s="27">
        <v>10</v>
      </c>
      <c r="V41" s="27">
        <v>9</v>
      </c>
      <c r="W41" s="37">
        <v>-2.13E-4</v>
      </c>
      <c r="X41" s="27">
        <v>6</v>
      </c>
      <c r="Y41" s="38">
        <v>-1.7799999999999999E-4</v>
      </c>
      <c r="Z41" s="27" t="s">
        <v>65</v>
      </c>
    </row>
    <row r="42" spans="2:26" x14ac:dyDescent="0.2">
      <c r="B42" s="27" t="s">
        <v>131</v>
      </c>
      <c r="C42" s="27">
        <v>199</v>
      </c>
      <c r="D42" s="27" t="s">
        <v>128</v>
      </c>
      <c r="E42" s="27" t="s">
        <v>107</v>
      </c>
      <c r="F42" s="27" t="s">
        <v>170</v>
      </c>
      <c r="G42" s="27" t="s">
        <v>63</v>
      </c>
      <c r="H42" s="27">
        <v>60</v>
      </c>
      <c r="I42" s="27">
        <v>17</v>
      </c>
      <c r="J42" s="37">
        <v>-1.5100000000000001E-4</v>
      </c>
      <c r="K42" s="27">
        <v>3</v>
      </c>
      <c r="L42" s="38">
        <v>-1.4999999999999999E-4</v>
      </c>
      <c r="M42" s="27" t="s">
        <v>65</v>
      </c>
      <c r="O42" s="27" t="s">
        <v>131</v>
      </c>
      <c r="P42" s="27">
        <v>199</v>
      </c>
      <c r="Q42" s="27" t="s">
        <v>128</v>
      </c>
      <c r="R42" s="27" t="s">
        <v>377</v>
      </c>
      <c r="S42" s="27" t="s">
        <v>170</v>
      </c>
      <c r="T42" s="27" t="s">
        <v>63</v>
      </c>
      <c r="U42" s="27">
        <v>10</v>
      </c>
      <c r="V42" s="27">
        <v>17</v>
      </c>
      <c r="W42" s="37">
        <v>-1.5100000000000001E-4</v>
      </c>
      <c r="X42" s="27">
        <v>3</v>
      </c>
      <c r="Y42" s="38">
        <v>-1.4999999999999999E-4</v>
      </c>
      <c r="Z42" s="27" t="s">
        <v>65</v>
      </c>
    </row>
    <row r="43" spans="2:26" x14ac:dyDescent="0.2">
      <c r="B43" s="27" t="s">
        <v>131</v>
      </c>
      <c r="C43" s="27">
        <v>199</v>
      </c>
      <c r="D43" s="27" t="s">
        <v>128</v>
      </c>
      <c r="E43" s="27" t="s">
        <v>107</v>
      </c>
      <c r="F43" s="27" t="s">
        <v>171</v>
      </c>
      <c r="G43" s="27" t="s">
        <v>64</v>
      </c>
      <c r="H43" s="27">
        <v>60</v>
      </c>
      <c r="I43" s="27">
        <v>20</v>
      </c>
      <c r="J43" s="37">
        <v>-6.4999999999999994E-5</v>
      </c>
      <c r="K43" s="27">
        <v>4</v>
      </c>
      <c r="L43" s="38">
        <v>-6.3999999999999997E-5</v>
      </c>
      <c r="M43" s="27" t="s">
        <v>65</v>
      </c>
      <c r="O43" s="27" t="s">
        <v>131</v>
      </c>
      <c r="P43" s="27">
        <v>199</v>
      </c>
      <c r="Q43" s="27" t="s">
        <v>128</v>
      </c>
      <c r="R43" s="27" t="s">
        <v>377</v>
      </c>
      <c r="S43" s="27" t="s">
        <v>171</v>
      </c>
      <c r="T43" s="27" t="s">
        <v>64</v>
      </c>
      <c r="U43" s="27">
        <v>10</v>
      </c>
      <c r="V43" s="27">
        <v>20</v>
      </c>
      <c r="W43" s="37">
        <v>-6.4999999999999994E-5</v>
      </c>
      <c r="X43" s="27">
        <v>4</v>
      </c>
      <c r="Y43" s="38">
        <v>-6.3999999999999997E-5</v>
      </c>
      <c r="Z43" s="27" t="s">
        <v>65</v>
      </c>
    </row>
    <row r="44" spans="2:26" x14ac:dyDescent="0.2">
      <c r="B44" s="27" t="s">
        <v>131</v>
      </c>
      <c r="C44" s="27">
        <v>195</v>
      </c>
      <c r="D44" s="27" t="s">
        <v>129</v>
      </c>
      <c r="E44" s="27" t="s">
        <v>107</v>
      </c>
      <c r="F44" s="27" t="s">
        <v>172</v>
      </c>
      <c r="G44" s="27" t="s">
        <v>63</v>
      </c>
      <c r="H44" s="27">
        <v>60</v>
      </c>
      <c r="I44" s="27">
        <v>19</v>
      </c>
      <c r="J44" s="37">
        <v>-1.3999999999999999E-4</v>
      </c>
      <c r="K44" s="27">
        <v>1</v>
      </c>
      <c r="L44" s="38">
        <v>-1.17E-4</v>
      </c>
      <c r="M44" s="27" t="s">
        <v>65</v>
      </c>
      <c r="O44" s="27" t="s">
        <v>131</v>
      </c>
      <c r="P44" s="27">
        <v>195</v>
      </c>
      <c r="Q44" s="27" t="s">
        <v>129</v>
      </c>
      <c r="R44" s="27" t="s">
        <v>377</v>
      </c>
      <c r="S44" s="27" t="s">
        <v>172</v>
      </c>
      <c r="T44" s="27" t="s">
        <v>63</v>
      </c>
      <c r="U44" s="27">
        <v>10</v>
      </c>
      <c r="V44" s="27">
        <v>19</v>
      </c>
      <c r="W44" s="37">
        <v>-1.3999999999999999E-4</v>
      </c>
      <c r="X44" s="27">
        <v>1</v>
      </c>
      <c r="Y44" s="38">
        <v>-1.17E-4</v>
      </c>
      <c r="Z44" s="27" t="s">
        <v>65</v>
      </c>
    </row>
    <row r="45" spans="2:26" x14ac:dyDescent="0.2">
      <c r="B45" s="27" t="s">
        <v>131</v>
      </c>
      <c r="C45" s="27">
        <v>195</v>
      </c>
      <c r="D45" s="27" t="s">
        <v>129</v>
      </c>
      <c r="E45" s="27" t="s">
        <v>107</v>
      </c>
      <c r="F45" s="27" t="s">
        <v>173</v>
      </c>
      <c r="G45" s="27" t="s">
        <v>64</v>
      </c>
      <c r="H45" s="27">
        <v>60</v>
      </c>
      <c r="I45" s="27">
        <v>15</v>
      </c>
      <c r="J45" s="37">
        <v>-1E-4</v>
      </c>
      <c r="K45" s="27">
        <v>12</v>
      </c>
      <c r="L45" s="38">
        <v>-8.5000000000000006E-5</v>
      </c>
      <c r="M45" s="27" t="s">
        <v>65</v>
      </c>
      <c r="O45" s="27" t="s">
        <v>131</v>
      </c>
      <c r="P45" s="27">
        <v>195</v>
      </c>
      <c r="Q45" s="27" t="s">
        <v>129</v>
      </c>
      <c r="R45" s="27" t="s">
        <v>377</v>
      </c>
      <c r="S45" s="27" t="s">
        <v>173</v>
      </c>
      <c r="T45" s="27" t="s">
        <v>64</v>
      </c>
      <c r="U45" s="27">
        <v>10</v>
      </c>
      <c r="V45" s="27">
        <v>15</v>
      </c>
      <c r="W45" s="37">
        <v>-1E-4</v>
      </c>
      <c r="X45" s="27">
        <v>11</v>
      </c>
      <c r="Y45" s="38">
        <v>-8.5000000000000006E-5</v>
      </c>
      <c r="Z45" s="27" t="s">
        <v>65</v>
      </c>
    </row>
    <row r="46" spans="2:26" x14ac:dyDescent="0.2">
      <c r="B46" s="27" t="s">
        <v>131</v>
      </c>
      <c r="C46" s="27">
        <v>196</v>
      </c>
      <c r="D46" s="27" t="s">
        <v>129</v>
      </c>
      <c r="E46" s="27" t="s">
        <v>107</v>
      </c>
      <c r="F46" s="27" t="s">
        <v>174</v>
      </c>
      <c r="G46" s="27" t="s">
        <v>63</v>
      </c>
      <c r="H46" s="27">
        <v>60</v>
      </c>
      <c r="I46" s="27">
        <v>17</v>
      </c>
      <c r="J46" s="37">
        <v>-1.3999999999999999E-4</v>
      </c>
      <c r="K46" s="27">
        <v>1</v>
      </c>
      <c r="L46" s="38">
        <v>-1.17E-4</v>
      </c>
      <c r="M46" s="27" t="s">
        <v>65</v>
      </c>
      <c r="O46" s="27" t="s">
        <v>131</v>
      </c>
      <c r="P46" s="27">
        <v>196</v>
      </c>
      <c r="Q46" s="27" t="s">
        <v>129</v>
      </c>
      <c r="R46" s="27" t="s">
        <v>377</v>
      </c>
      <c r="S46" s="27" t="s">
        <v>174</v>
      </c>
      <c r="T46" s="27" t="s">
        <v>63</v>
      </c>
      <c r="U46" s="27">
        <v>10</v>
      </c>
      <c r="V46" s="27">
        <v>17</v>
      </c>
      <c r="W46" s="37">
        <v>-1.3999999999999999E-4</v>
      </c>
      <c r="X46" s="27">
        <v>1</v>
      </c>
      <c r="Y46" s="38">
        <v>-1.17E-4</v>
      </c>
      <c r="Z46" s="27" t="s">
        <v>65</v>
      </c>
    </row>
    <row r="47" spans="2:26" x14ac:dyDescent="0.2">
      <c r="B47" s="27" t="s">
        <v>131</v>
      </c>
      <c r="C47" s="27">
        <v>196</v>
      </c>
      <c r="D47" s="27" t="s">
        <v>129</v>
      </c>
      <c r="E47" s="27" t="s">
        <v>107</v>
      </c>
      <c r="F47" s="27" t="s">
        <v>175</v>
      </c>
      <c r="G47" s="27" t="s">
        <v>64</v>
      </c>
      <c r="H47" s="27">
        <v>60</v>
      </c>
      <c r="I47" s="27">
        <v>15</v>
      </c>
      <c r="J47" s="37">
        <v>-1E-4</v>
      </c>
      <c r="K47" s="27">
        <v>7</v>
      </c>
      <c r="L47" s="38">
        <v>-8.3999999999999995E-5</v>
      </c>
      <c r="M47" s="27" t="s">
        <v>65</v>
      </c>
      <c r="O47" s="27" t="s">
        <v>131</v>
      </c>
      <c r="P47" s="27">
        <v>196</v>
      </c>
      <c r="Q47" s="27" t="s">
        <v>129</v>
      </c>
      <c r="R47" s="27" t="s">
        <v>377</v>
      </c>
      <c r="S47" s="27" t="s">
        <v>175</v>
      </c>
      <c r="T47" s="27" t="s">
        <v>64</v>
      </c>
      <c r="U47" s="27">
        <v>10</v>
      </c>
      <c r="V47" s="27">
        <v>15</v>
      </c>
      <c r="W47" s="37">
        <v>-1E-4</v>
      </c>
      <c r="X47" s="27">
        <v>12</v>
      </c>
      <c r="Y47" s="38">
        <v>-8.5000000000000006E-5</v>
      </c>
      <c r="Z47" s="27" t="s">
        <v>65</v>
      </c>
    </row>
    <row r="48" spans="2:26" x14ac:dyDescent="0.2">
      <c r="B48" s="27" t="s">
        <v>131</v>
      </c>
      <c r="C48" s="27">
        <v>200</v>
      </c>
      <c r="D48" s="27" t="s">
        <v>128</v>
      </c>
      <c r="E48" s="27" t="s">
        <v>107</v>
      </c>
      <c r="F48" s="27" t="s">
        <v>176</v>
      </c>
      <c r="G48" s="27" t="s">
        <v>63</v>
      </c>
      <c r="H48" s="27">
        <v>60</v>
      </c>
      <c r="I48" s="27">
        <v>22</v>
      </c>
      <c r="J48" s="37">
        <v>-1.5100000000000001E-4</v>
      </c>
      <c r="K48" s="27">
        <v>1</v>
      </c>
      <c r="L48" s="38">
        <v>-1.5100000000000001E-4</v>
      </c>
      <c r="M48" s="27" t="s">
        <v>65</v>
      </c>
      <c r="O48" s="27" t="s">
        <v>131</v>
      </c>
      <c r="P48" s="27">
        <v>200</v>
      </c>
      <c r="Q48" s="27" t="s">
        <v>128</v>
      </c>
      <c r="R48" s="27" t="s">
        <v>377</v>
      </c>
      <c r="S48" s="27" t="s">
        <v>176</v>
      </c>
      <c r="T48" s="27" t="s">
        <v>63</v>
      </c>
      <c r="U48" s="27">
        <v>10</v>
      </c>
      <c r="V48" s="27">
        <v>22</v>
      </c>
      <c r="W48" s="37">
        <v>-1.5100000000000001E-4</v>
      </c>
      <c r="X48" s="27">
        <v>1</v>
      </c>
      <c r="Y48" s="38">
        <v>-1.5100000000000001E-4</v>
      </c>
      <c r="Z48" s="27" t="s">
        <v>65</v>
      </c>
    </row>
    <row r="49" spans="2:26" x14ac:dyDescent="0.2">
      <c r="B49" s="27" t="s">
        <v>131</v>
      </c>
      <c r="C49" s="27">
        <v>200</v>
      </c>
      <c r="D49" s="27" t="s">
        <v>128</v>
      </c>
      <c r="E49" s="27" t="s">
        <v>107</v>
      </c>
      <c r="F49" s="27" t="s">
        <v>177</v>
      </c>
      <c r="G49" s="27" t="s">
        <v>64</v>
      </c>
      <c r="H49" s="27">
        <v>60</v>
      </c>
      <c r="I49" s="27">
        <v>15</v>
      </c>
      <c r="J49" s="37">
        <v>-6.6000000000000005E-5</v>
      </c>
      <c r="K49" s="27">
        <v>6</v>
      </c>
      <c r="L49" s="38">
        <v>-6.4999999999999994E-5</v>
      </c>
      <c r="M49" s="27" t="s">
        <v>65</v>
      </c>
      <c r="O49" s="27" t="s">
        <v>131</v>
      </c>
      <c r="P49" s="27">
        <v>200</v>
      </c>
      <c r="Q49" s="27" t="s">
        <v>128</v>
      </c>
      <c r="R49" s="27" t="s">
        <v>377</v>
      </c>
      <c r="S49" s="27" t="s">
        <v>177</v>
      </c>
      <c r="T49" s="27" t="s">
        <v>64</v>
      </c>
      <c r="U49" s="27">
        <v>10</v>
      </c>
      <c r="V49" s="27">
        <v>15</v>
      </c>
      <c r="W49" s="37">
        <v>-6.6000000000000005E-5</v>
      </c>
      <c r="X49" s="27">
        <v>6</v>
      </c>
      <c r="Y49" s="38">
        <v>-6.4999999999999994E-5</v>
      </c>
      <c r="Z49" s="27" t="s">
        <v>65</v>
      </c>
    </row>
    <row r="50" spans="2:26" x14ac:dyDescent="0.2">
      <c r="B50" s="27" t="s">
        <v>131</v>
      </c>
      <c r="C50" s="27">
        <v>188</v>
      </c>
      <c r="D50" s="27" t="s">
        <v>127</v>
      </c>
      <c r="E50" s="27" t="s">
        <v>107</v>
      </c>
      <c r="F50" s="27" t="s">
        <v>178</v>
      </c>
      <c r="G50" s="27" t="s">
        <v>63</v>
      </c>
      <c r="H50" s="27">
        <v>60</v>
      </c>
      <c r="I50" s="27">
        <v>11</v>
      </c>
      <c r="J50" s="37">
        <v>-3.3799999999999998E-4</v>
      </c>
      <c r="K50" s="27">
        <v>4</v>
      </c>
      <c r="L50" s="38">
        <v>3.0299999999999999E-4</v>
      </c>
      <c r="M50" s="27" t="s">
        <v>65</v>
      </c>
      <c r="O50" s="27" t="s">
        <v>131</v>
      </c>
      <c r="P50" s="27">
        <v>188</v>
      </c>
      <c r="Q50" s="27" t="s">
        <v>127</v>
      </c>
      <c r="R50" s="27" t="s">
        <v>377</v>
      </c>
      <c r="S50" s="27" t="s">
        <v>178</v>
      </c>
      <c r="T50" s="27" t="s">
        <v>63</v>
      </c>
      <c r="U50" s="27">
        <v>10</v>
      </c>
      <c r="V50" s="27">
        <v>11</v>
      </c>
      <c r="W50" s="37">
        <v>-3.3799999999999998E-4</v>
      </c>
      <c r="X50" s="27">
        <v>4</v>
      </c>
      <c r="Y50" s="38">
        <v>3.0299999999999999E-4</v>
      </c>
      <c r="Z50" s="27" t="s">
        <v>65</v>
      </c>
    </row>
    <row r="51" spans="2:26" x14ac:dyDescent="0.2">
      <c r="B51" s="27" t="s">
        <v>131</v>
      </c>
      <c r="C51" s="27">
        <v>188</v>
      </c>
      <c r="D51" s="27" t="s">
        <v>127</v>
      </c>
      <c r="E51" s="27" t="s">
        <v>107</v>
      </c>
      <c r="F51" s="27" t="s">
        <v>179</v>
      </c>
      <c r="G51" s="27" t="s">
        <v>64</v>
      </c>
      <c r="H51" s="27">
        <v>60</v>
      </c>
      <c r="I51" s="27">
        <v>14</v>
      </c>
      <c r="J51" s="37">
        <v>-2.12E-4</v>
      </c>
      <c r="K51" s="27">
        <v>4</v>
      </c>
      <c r="L51" s="38">
        <v>-1.7699999999999999E-4</v>
      </c>
      <c r="M51" s="27" t="s">
        <v>65</v>
      </c>
      <c r="O51" s="27" t="s">
        <v>131</v>
      </c>
      <c r="P51" s="27">
        <v>188</v>
      </c>
      <c r="Q51" s="27" t="s">
        <v>127</v>
      </c>
      <c r="R51" s="27" t="s">
        <v>377</v>
      </c>
      <c r="S51" s="27" t="s">
        <v>179</v>
      </c>
      <c r="T51" s="27" t="s">
        <v>64</v>
      </c>
      <c r="U51" s="27">
        <v>10</v>
      </c>
      <c r="V51" s="27">
        <v>14</v>
      </c>
      <c r="W51" s="37">
        <v>-2.12E-4</v>
      </c>
      <c r="X51" s="27">
        <v>4</v>
      </c>
      <c r="Y51" s="38">
        <v>-1.7699999999999999E-4</v>
      </c>
      <c r="Z51" s="27" t="s">
        <v>65</v>
      </c>
    </row>
    <row r="52" spans="2:26" x14ac:dyDescent="0.2">
      <c r="B52" s="27" t="s">
        <v>180</v>
      </c>
      <c r="C52" s="27">
        <v>251</v>
      </c>
      <c r="D52" s="27" t="s">
        <v>127</v>
      </c>
      <c r="E52" s="27" t="s">
        <v>107</v>
      </c>
      <c r="F52" s="27" t="s">
        <v>181</v>
      </c>
      <c r="G52" s="27" t="s">
        <v>63</v>
      </c>
      <c r="H52" s="27">
        <v>60</v>
      </c>
      <c r="I52" s="27">
        <v>14</v>
      </c>
      <c r="J52" s="37">
        <v>-5.5099999999999995E-4</v>
      </c>
      <c r="K52" s="27">
        <v>4</v>
      </c>
      <c r="L52" s="38">
        <v>-4.5800000000000002E-4</v>
      </c>
      <c r="M52" s="27" t="s">
        <v>65</v>
      </c>
      <c r="O52" s="27" t="s">
        <v>180</v>
      </c>
      <c r="P52" s="27">
        <v>251</v>
      </c>
      <c r="Q52" s="27" t="s">
        <v>127</v>
      </c>
      <c r="R52" s="27" t="s">
        <v>377</v>
      </c>
      <c r="S52" s="27" t="s">
        <v>181</v>
      </c>
      <c r="T52" s="27" t="s">
        <v>63</v>
      </c>
      <c r="U52" s="27">
        <v>10</v>
      </c>
      <c r="V52" s="27">
        <v>14</v>
      </c>
      <c r="W52" s="37">
        <v>-5.5099999999999995E-4</v>
      </c>
      <c r="X52" s="27">
        <v>4</v>
      </c>
      <c r="Y52" s="38">
        <v>-4.5800000000000002E-4</v>
      </c>
      <c r="Z52" s="27" t="s">
        <v>65</v>
      </c>
    </row>
    <row r="53" spans="2:26" x14ac:dyDescent="0.2">
      <c r="B53" s="27" t="s">
        <v>180</v>
      </c>
      <c r="C53" s="27">
        <v>251</v>
      </c>
      <c r="D53" s="27" t="s">
        <v>127</v>
      </c>
      <c r="E53" s="27" t="s">
        <v>107</v>
      </c>
      <c r="F53" s="27" t="s">
        <v>182</v>
      </c>
      <c r="G53" s="27" t="s">
        <v>64</v>
      </c>
      <c r="H53" s="27">
        <v>60</v>
      </c>
      <c r="I53" s="27">
        <v>11</v>
      </c>
      <c r="J53" s="37">
        <v>-3.9199999999999999E-4</v>
      </c>
      <c r="K53" s="27">
        <v>3</v>
      </c>
      <c r="L53" s="38">
        <v>-3.3399999999999999E-4</v>
      </c>
      <c r="M53" s="27" t="s">
        <v>65</v>
      </c>
      <c r="O53" s="27" t="s">
        <v>180</v>
      </c>
      <c r="P53" s="27">
        <v>251</v>
      </c>
      <c r="Q53" s="27" t="s">
        <v>127</v>
      </c>
      <c r="R53" s="27" t="s">
        <v>377</v>
      </c>
      <c r="S53" s="27" t="s">
        <v>182</v>
      </c>
      <c r="T53" s="27" t="s">
        <v>64</v>
      </c>
      <c r="U53" s="27">
        <v>10</v>
      </c>
      <c r="V53" s="27">
        <v>11</v>
      </c>
      <c r="W53" s="37">
        <v>-3.9199999999999999E-4</v>
      </c>
      <c r="X53" s="27">
        <v>3</v>
      </c>
      <c r="Y53" s="38">
        <v>-3.3399999999999999E-4</v>
      </c>
      <c r="Z53" s="27" t="s">
        <v>65</v>
      </c>
    </row>
    <row r="54" spans="2:26" x14ac:dyDescent="0.2">
      <c r="B54" s="27" t="s">
        <v>180</v>
      </c>
      <c r="C54" s="27">
        <v>263</v>
      </c>
      <c r="D54" s="27" t="s">
        <v>128</v>
      </c>
      <c r="E54" s="27" t="s">
        <v>107</v>
      </c>
      <c r="F54" s="27" t="s">
        <v>183</v>
      </c>
      <c r="G54" s="27" t="s">
        <v>63</v>
      </c>
      <c r="H54" s="27">
        <v>60</v>
      </c>
      <c r="I54" s="27">
        <v>15</v>
      </c>
      <c r="J54" s="37">
        <v>-1.17E-4</v>
      </c>
      <c r="K54" s="27">
        <v>6</v>
      </c>
      <c r="L54" s="38">
        <v>-1.16E-4</v>
      </c>
      <c r="M54" s="27" t="s">
        <v>65</v>
      </c>
      <c r="O54" s="27" t="s">
        <v>180</v>
      </c>
      <c r="P54" s="27">
        <v>263</v>
      </c>
      <c r="Q54" s="27" t="s">
        <v>128</v>
      </c>
      <c r="R54" s="27" t="s">
        <v>377</v>
      </c>
      <c r="S54" s="27" t="s">
        <v>183</v>
      </c>
      <c r="T54" s="27" t="s">
        <v>63</v>
      </c>
      <c r="U54" s="27">
        <v>10</v>
      </c>
      <c r="V54" s="27">
        <v>15</v>
      </c>
      <c r="W54" s="37">
        <v>-1.17E-4</v>
      </c>
      <c r="X54" s="27">
        <v>6</v>
      </c>
      <c r="Y54" s="38">
        <v>-1.16E-4</v>
      </c>
      <c r="Z54" s="27" t="s">
        <v>65</v>
      </c>
    </row>
    <row r="55" spans="2:26" x14ac:dyDescent="0.2">
      <c r="B55" s="27" t="s">
        <v>180</v>
      </c>
      <c r="C55" s="27">
        <v>263</v>
      </c>
      <c r="D55" s="27" t="s">
        <v>128</v>
      </c>
      <c r="E55" s="27" t="s">
        <v>107</v>
      </c>
      <c r="F55" s="27" t="s">
        <v>184</v>
      </c>
      <c r="G55" s="27" t="s">
        <v>64</v>
      </c>
      <c r="H55" s="27">
        <v>60</v>
      </c>
      <c r="I55" s="27">
        <v>22</v>
      </c>
      <c r="J55" s="37">
        <v>-1.8599999999999999E-4</v>
      </c>
      <c r="K55" s="27">
        <v>1</v>
      </c>
      <c r="L55" s="38">
        <v>-1.8599999999999999E-4</v>
      </c>
      <c r="M55" s="27" t="s">
        <v>65</v>
      </c>
      <c r="O55" s="27" t="s">
        <v>180</v>
      </c>
      <c r="P55" s="27">
        <v>263</v>
      </c>
      <c r="Q55" s="27" t="s">
        <v>128</v>
      </c>
      <c r="R55" s="27" t="s">
        <v>377</v>
      </c>
      <c r="S55" s="27" t="s">
        <v>184</v>
      </c>
      <c r="T55" s="27" t="s">
        <v>64</v>
      </c>
      <c r="U55" s="27">
        <v>10</v>
      </c>
      <c r="V55" s="27">
        <v>22</v>
      </c>
      <c r="W55" s="37">
        <v>-1.8599999999999999E-4</v>
      </c>
      <c r="X55" s="27">
        <v>1</v>
      </c>
      <c r="Y55" s="38">
        <v>-1.8599999999999999E-4</v>
      </c>
      <c r="Z55" s="27" t="s">
        <v>65</v>
      </c>
    </row>
    <row r="56" spans="2:26" x14ac:dyDescent="0.2">
      <c r="B56" s="27" t="s">
        <v>180</v>
      </c>
      <c r="C56" s="27">
        <v>259</v>
      </c>
      <c r="D56" s="27" t="s">
        <v>129</v>
      </c>
      <c r="E56" s="27" t="s">
        <v>107</v>
      </c>
      <c r="F56" s="27" t="s">
        <v>185</v>
      </c>
      <c r="G56" s="27" t="s">
        <v>63</v>
      </c>
      <c r="H56" s="27">
        <v>60</v>
      </c>
      <c r="I56" s="27">
        <v>15</v>
      </c>
      <c r="J56" s="37">
        <v>-2.3599999999999999E-4</v>
      </c>
      <c r="K56" s="27">
        <v>7</v>
      </c>
      <c r="L56" s="38">
        <v>-2.02E-4</v>
      </c>
      <c r="M56" s="27" t="s">
        <v>65</v>
      </c>
      <c r="O56" s="27" t="s">
        <v>180</v>
      </c>
      <c r="P56" s="27">
        <v>259</v>
      </c>
      <c r="Q56" s="27" t="s">
        <v>129</v>
      </c>
      <c r="R56" s="27" t="s">
        <v>377</v>
      </c>
      <c r="S56" s="27" t="s">
        <v>185</v>
      </c>
      <c r="T56" s="27" t="s">
        <v>63</v>
      </c>
      <c r="U56" s="27">
        <v>10</v>
      </c>
      <c r="V56" s="27">
        <v>15</v>
      </c>
      <c r="W56" s="37">
        <v>-2.3599999999999999E-4</v>
      </c>
      <c r="X56" s="27">
        <v>7</v>
      </c>
      <c r="Y56" s="38">
        <v>-2.02E-4</v>
      </c>
      <c r="Z56" s="27" t="s">
        <v>65</v>
      </c>
    </row>
    <row r="57" spans="2:26" x14ac:dyDescent="0.2">
      <c r="B57" s="27" t="s">
        <v>180</v>
      </c>
      <c r="C57" s="27">
        <v>259</v>
      </c>
      <c r="D57" s="27" t="s">
        <v>129</v>
      </c>
      <c r="E57" s="27" t="s">
        <v>107</v>
      </c>
      <c r="F57" s="27" t="s">
        <v>186</v>
      </c>
      <c r="G57" s="27" t="s">
        <v>64</v>
      </c>
      <c r="H57" s="27">
        <v>60</v>
      </c>
      <c r="I57" s="27">
        <v>17</v>
      </c>
      <c r="J57" s="37">
        <v>-2.0000000000000001E-4</v>
      </c>
      <c r="K57" s="27">
        <v>1</v>
      </c>
      <c r="L57" s="38">
        <v>-1.7200000000000001E-4</v>
      </c>
      <c r="M57" s="27" t="s">
        <v>65</v>
      </c>
      <c r="O57" s="27" t="s">
        <v>180</v>
      </c>
      <c r="P57" s="27">
        <v>259</v>
      </c>
      <c r="Q57" s="27" t="s">
        <v>129</v>
      </c>
      <c r="R57" s="27" t="s">
        <v>377</v>
      </c>
      <c r="S57" s="27" t="s">
        <v>186</v>
      </c>
      <c r="T57" s="27" t="s">
        <v>64</v>
      </c>
      <c r="U57" s="27">
        <v>10</v>
      </c>
      <c r="V57" s="27">
        <v>17</v>
      </c>
      <c r="W57" s="37">
        <v>-2.0000000000000001E-4</v>
      </c>
      <c r="X57" s="27">
        <v>2</v>
      </c>
      <c r="Y57" s="38">
        <v>-1.7200000000000001E-4</v>
      </c>
      <c r="Z57" s="27" t="s">
        <v>65</v>
      </c>
    </row>
    <row r="58" spans="2:26" x14ac:dyDescent="0.2">
      <c r="B58" s="27" t="s">
        <v>180</v>
      </c>
      <c r="C58" s="27">
        <v>260</v>
      </c>
      <c r="D58" s="27" t="s">
        <v>129</v>
      </c>
      <c r="E58" s="27" t="s">
        <v>107</v>
      </c>
      <c r="F58" s="27" t="s">
        <v>187</v>
      </c>
      <c r="G58" s="27" t="s">
        <v>63</v>
      </c>
      <c r="H58" s="27">
        <v>60</v>
      </c>
      <c r="I58" s="27">
        <v>15</v>
      </c>
      <c r="J58" s="37">
        <v>-2.3699999999999999E-4</v>
      </c>
      <c r="K58" s="27">
        <v>10</v>
      </c>
      <c r="L58" s="38">
        <v>-2.02E-4</v>
      </c>
      <c r="M58" s="27" t="s">
        <v>65</v>
      </c>
      <c r="O58" s="27" t="s">
        <v>180</v>
      </c>
      <c r="P58" s="27">
        <v>260</v>
      </c>
      <c r="Q58" s="27" t="s">
        <v>129</v>
      </c>
      <c r="R58" s="27" t="s">
        <v>377</v>
      </c>
      <c r="S58" s="27" t="s">
        <v>187</v>
      </c>
      <c r="T58" s="27" t="s">
        <v>63</v>
      </c>
      <c r="U58" s="27">
        <v>10</v>
      </c>
      <c r="V58" s="27">
        <v>15</v>
      </c>
      <c r="W58" s="37">
        <v>-2.3599999999999999E-4</v>
      </c>
      <c r="X58" s="27">
        <v>11</v>
      </c>
      <c r="Y58" s="38">
        <v>-2.02E-4</v>
      </c>
      <c r="Z58" s="27" t="s">
        <v>65</v>
      </c>
    </row>
    <row r="59" spans="2:26" x14ac:dyDescent="0.2">
      <c r="B59" s="27" t="s">
        <v>180</v>
      </c>
      <c r="C59" s="27">
        <v>260</v>
      </c>
      <c r="D59" s="27" t="s">
        <v>129</v>
      </c>
      <c r="E59" s="27" t="s">
        <v>107</v>
      </c>
      <c r="F59" s="27" t="s">
        <v>188</v>
      </c>
      <c r="G59" s="27" t="s">
        <v>64</v>
      </c>
      <c r="H59" s="27">
        <v>60</v>
      </c>
      <c r="I59" s="27">
        <v>19</v>
      </c>
      <c r="J59" s="37">
        <v>-2.0000000000000001E-4</v>
      </c>
      <c r="K59" s="27">
        <v>1</v>
      </c>
      <c r="L59" s="38">
        <v>-1.7200000000000001E-4</v>
      </c>
      <c r="M59" s="27" t="s">
        <v>65</v>
      </c>
      <c r="O59" s="27" t="s">
        <v>180</v>
      </c>
      <c r="P59" s="27">
        <v>260</v>
      </c>
      <c r="Q59" s="27" t="s">
        <v>129</v>
      </c>
      <c r="R59" s="27" t="s">
        <v>377</v>
      </c>
      <c r="S59" s="27" t="s">
        <v>188</v>
      </c>
      <c r="T59" s="27" t="s">
        <v>64</v>
      </c>
      <c r="U59" s="27">
        <v>10</v>
      </c>
      <c r="V59" s="27">
        <v>17</v>
      </c>
      <c r="W59" s="37">
        <v>-2.0000000000000001E-4</v>
      </c>
      <c r="X59" s="27">
        <v>1</v>
      </c>
      <c r="Y59" s="38">
        <v>-1.7200000000000001E-4</v>
      </c>
      <c r="Z59" s="27" t="s">
        <v>65</v>
      </c>
    </row>
    <row r="60" spans="2:26" x14ac:dyDescent="0.2">
      <c r="B60" s="27" t="s">
        <v>180</v>
      </c>
      <c r="C60" s="27">
        <v>264</v>
      </c>
      <c r="D60" s="27" t="s">
        <v>128</v>
      </c>
      <c r="E60" s="27" t="s">
        <v>107</v>
      </c>
      <c r="F60" s="27" t="s">
        <v>189</v>
      </c>
      <c r="G60" s="27" t="s">
        <v>63</v>
      </c>
      <c r="H60" s="27">
        <v>60</v>
      </c>
      <c r="I60" s="27">
        <v>20</v>
      </c>
      <c r="J60" s="37">
        <v>-1.18E-4</v>
      </c>
      <c r="K60" s="27">
        <v>4</v>
      </c>
      <c r="L60" s="38">
        <v>-1.17E-4</v>
      </c>
      <c r="M60" s="27" t="s">
        <v>65</v>
      </c>
      <c r="O60" s="27" t="s">
        <v>180</v>
      </c>
      <c r="P60" s="27">
        <v>264</v>
      </c>
      <c r="Q60" s="27" t="s">
        <v>128</v>
      </c>
      <c r="R60" s="27" t="s">
        <v>377</v>
      </c>
      <c r="S60" s="27" t="s">
        <v>189</v>
      </c>
      <c r="T60" s="27" t="s">
        <v>63</v>
      </c>
      <c r="U60" s="27">
        <v>10</v>
      </c>
      <c r="V60" s="27">
        <v>20</v>
      </c>
      <c r="W60" s="37">
        <v>-1.18E-4</v>
      </c>
      <c r="X60" s="27">
        <v>4</v>
      </c>
      <c r="Y60" s="38">
        <v>-1.17E-4</v>
      </c>
      <c r="Z60" s="27" t="s">
        <v>65</v>
      </c>
    </row>
    <row r="61" spans="2:26" x14ac:dyDescent="0.2">
      <c r="B61" s="27" t="s">
        <v>180</v>
      </c>
      <c r="C61" s="27">
        <v>264</v>
      </c>
      <c r="D61" s="27" t="s">
        <v>128</v>
      </c>
      <c r="E61" s="27" t="s">
        <v>107</v>
      </c>
      <c r="F61" s="27" t="s">
        <v>190</v>
      </c>
      <c r="G61" s="27" t="s">
        <v>64</v>
      </c>
      <c r="H61" s="27">
        <v>60</v>
      </c>
      <c r="I61" s="27">
        <v>17</v>
      </c>
      <c r="J61" s="37">
        <v>-1.93E-4</v>
      </c>
      <c r="K61" s="27">
        <v>3</v>
      </c>
      <c r="L61" s="38">
        <v>-1.92E-4</v>
      </c>
      <c r="M61" s="27" t="s">
        <v>65</v>
      </c>
      <c r="O61" s="27" t="s">
        <v>180</v>
      </c>
      <c r="P61" s="27">
        <v>264</v>
      </c>
      <c r="Q61" s="27" t="s">
        <v>128</v>
      </c>
      <c r="R61" s="27" t="s">
        <v>377</v>
      </c>
      <c r="S61" s="27" t="s">
        <v>190</v>
      </c>
      <c r="T61" s="27" t="s">
        <v>64</v>
      </c>
      <c r="U61" s="27">
        <v>10</v>
      </c>
      <c r="V61" s="27">
        <v>17</v>
      </c>
      <c r="W61" s="37">
        <v>-1.93E-4</v>
      </c>
      <c r="X61" s="27">
        <v>3</v>
      </c>
      <c r="Y61" s="38">
        <v>-1.92E-4</v>
      </c>
      <c r="Z61" s="27" t="s">
        <v>65</v>
      </c>
    </row>
    <row r="62" spans="2:26" x14ac:dyDescent="0.2">
      <c r="B62" s="27" t="s">
        <v>180</v>
      </c>
      <c r="C62" s="27">
        <v>252</v>
      </c>
      <c r="D62" s="27" t="s">
        <v>127</v>
      </c>
      <c r="E62" s="27" t="s">
        <v>107</v>
      </c>
      <c r="F62" s="27" t="s">
        <v>191</v>
      </c>
      <c r="G62" s="27" t="s">
        <v>63</v>
      </c>
      <c r="H62" s="27">
        <v>60</v>
      </c>
      <c r="I62" s="27">
        <v>9</v>
      </c>
      <c r="J62" s="37">
        <v>-5.6400000000000005E-4</v>
      </c>
      <c r="K62" s="27">
        <v>6</v>
      </c>
      <c r="L62" s="38">
        <v>-4.6799999999999999E-4</v>
      </c>
      <c r="M62" s="27" t="s">
        <v>65</v>
      </c>
      <c r="O62" s="27" t="s">
        <v>180</v>
      </c>
      <c r="P62" s="27">
        <v>252</v>
      </c>
      <c r="Q62" s="27" t="s">
        <v>127</v>
      </c>
      <c r="R62" s="27" t="s">
        <v>377</v>
      </c>
      <c r="S62" s="27" t="s">
        <v>191</v>
      </c>
      <c r="T62" s="27" t="s">
        <v>63</v>
      </c>
      <c r="U62" s="27">
        <v>10</v>
      </c>
      <c r="V62" s="27">
        <v>9</v>
      </c>
      <c r="W62" s="37">
        <v>-5.6300000000000002E-4</v>
      </c>
      <c r="X62" s="27">
        <v>6</v>
      </c>
      <c r="Y62" s="38">
        <v>-4.6700000000000002E-4</v>
      </c>
      <c r="Z62" s="27" t="s">
        <v>65</v>
      </c>
    </row>
    <row r="63" spans="2:26" x14ac:dyDescent="0.2">
      <c r="B63" s="27" t="s">
        <v>180</v>
      </c>
      <c r="C63" s="27">
        <v>252</v>
      </c>
      <c r="D63" s="27" t="s">
        <v>127</v>
      </c>
      <c r="E63" s="27" t="s">
        <v>107</v>
      </c>
      <c r="F63" s="27" t="s">
        <v>192</v>
      </c>
      <c r="G63" s="27" t="s">
        <v>64</v>
      </c>
      <c r="H63" s="27">
        <v>60</v>
      </c>
      <c r="I63" s="27">
        <v>16</v>
      </c>
      <c r="J63" s="37">
        <v>-4.2099999999999999E-4</v>
      </c>
      <c r="K63" s="27">
        <v>1</v>
      </c>
      <c r="L63" s="38">
        <v>-3.57E-4</v>
      </c>
      <c r="M63" s="27" t="s">
        <v>65</v>
      </c>
      <c r="O63" s="27" t="s">
        <v>180</v>
      </c>
      <c r="P63" s="27">
        <v>252</v>
      </c>
      <c r="Q63" s="27" t="s">
        <v>127</v>
      </c>
      <c r="R63" s="27" t="s">
        <v>377</v>
      </c>
      <c r="S63" s="27" t="s">
        <v>192</v>
      </c>
      <c r="T63" s="27" t="s">
        <v>64</v>
      </c>
      <c r="U63" s="27">
        <v>10</v>
      </c>
      <c r="V63" s="27">
        <v>16</v>
      </c>
      <c r="W63" s="37">
        <v>-4.2099999999999999E-4</v>
      </c>
      <c r="X63" s="27">
        <v>1</v>
      </c>
      <c r="Y63" s="38">
        <v>-3.57E-4</v>
      </c>
      <c r="Z63" s="27" t="s">
        <v>65</v>
      </c>
    </row>
    <row r="64" spans="2:26" x14ac:dyDescent="0.2">
      <c r="B64" s="27" t="s">
        <v>180</v>
      </c>
      <c r="C64" s="27">
        <v>268</v>
      </c>
      <c r="D64" s="27" t="s">
        <v>128</v>
      </c>
      <c r="E64" s="27" t="s">
        <v>107</v>
      </c>
      <c r="F64" s="27" t="s">
        <v>193</v>
      </c>
      <c r="G64" s="27" t="s">
        <v>63</v>
      </c>
      <c r="H64" s="27">
        <v>60</v>
      </c>
      <c r="I64" s="27">
        <v>20</v>
      </c>
      <c r="J64" s="37">
        <v>-1.3100000000000001E-4</v>
      </c>
      <c r="K64" s="27">
        <v>4</v>
      </c>
      <c r="L64" s="38">
        <v>-1.16E-4</v>
      </c>
      <c r="M64" s="27" t="s">
        <v>65</v>
      </c>
      <c r="O64" s="27" t="s">
        <v>180</v>
      </c>
      <c r="P64" s="27">
        <v>268</v>
      </c>
      <c r="Q64" s="27" t="s">
        <v>128</v>
      </c>
      <c r="R64" s="27" t="s">
        <v>377</v>
      </c>
      <c r="S64" s="27" t="s">
        <v>193</v>
      </c>
      <c r="T64" s="27" t="s">
        <v>63</v>
      </c>
      <c r="U64" s="27">
        <v>10</v>
      </c>
      <c r="V64" s="27">
        <v>20</v>
      </c>
      <c r="W64" s="37">
        <v>-1.2999999999999999E-4</v>
      </c>
      <c r="X64" s="27">
        <v>4</v>
      </c>
      <c r="Y64" s="38">
        <v>-1.16E-4</v>
      </c>
      <c r="Z64" s="27" t="s">
        <v>65</v>
      </c>
    </row>
    <row r="65" spans="2:26" x14ac:dyDescent="0.2">
      <c r="B65" s="27" t="s">
        <v>180</v>
      </c>
      <c r="C65" s="27">
        <v>268</v>
      </c>
      <c r="D65" s="27" t="s">
        <v>128</v>
      </c>
      <c r="E65" s="27" t="s">
        <v>107</v>
      </c>
      <c r="F65" s="27" t="s">
        <v>194</v>
      </c>
      <c r="G65" s="27" t="s">
        <v>64</v>
      </c>
      <c r="H65" s="27">
        <v>60</v>
      </c>
      <c r="I65" s="27">
        <v>17</v>
      </c>
      <c r="J65" s="37">
        <v>-1.95E-4</v>
      </c>
      <c r="K65" s="27">
        <v>3</v>
      </c>
      <c r="L65" s="38">
        <v>-1.8699999999999999E-4</v>
      </c>
      <c r="M65" s="27" t="s">
        <v>65</v>
      </c>
      <c r="O65" s="27" t="s">
        <v>180</v>
      </c>
      <c r="P65" s="27">
        <v>268</v>
      </c>
      <c r="Q65" s="27" t="s">
        <v>128</v>
      </c>
      <c r="R65" s="27" t="s">
        <v>377</v>
      </c>
      <c r="S65" s="27" t="s">
        <v>194</v>
      </c>
      <c r="T65" s="27" t="s">
        <v>64</v>
      </c>
      <c r="U65" s="27">
        <v>10</v>
      </c>
      <c r="V65" s="27">
        <v>17</v>
      </c>
      <c r="W65" s="37">
        <v>-1.95E-4</v>
      </c>
      <c r="X65" s="27">
        <v>3</v>
      </c>
      <c r="Y65" s="38">
        <v>-1.8699999999999999E-4</v>
      </c>
      <c r="Z65" s="27" t="s">
        <v>65</v>
      </c>
    </row>
    <row r="66" spans="2:26" x14ac:dyDescent="0.2">
      <c r="B66" s="27" t="s">
        <v>180</v>
      </c>
      <c r="C66" s="27">
        <v>253</v>
      </c>
      <c r="D66" s="27" t="s">
        <v>129</v>
      </c>
      <c r="E66" s="27" t="s">
        <v>107</v>
      </c>
      <c r="F66" s="27" t="s">
        <v>195</v>
      </c>
      <c r="G66" s="27" t="s">
        <v>63</v>
      </c>
      <c r="H66" s="27">
        <v>60</v>
      </c>
      <c r="I66" s="27">
        <v>15</v>
      </c>
      <c r="J66" s="37">
        <v>-1.9900000000000001E-4</v>
      </c>
      <c r="K66" s="27">
        <v>11</v>
      </c>
      <c r="L66" s="38">
        <v>-1.7699999999999999E-4</v>
      </c>
      <c r="M66" s="27" t="s">
        <v>65</v>
      </c>
      <c r="O66" s="27" t="s">
        <v>180</v>
      </c>
      <c r="P66" s="27">
        <v>253</v>
      </c>
      <c r="Q66" s="27" t="s">
        <v>129</v>
      </c>
      <c r="R66" s="27" t="s">
        <v>377</v>
      </c>
      <c r="S66" s="27" t="s">
        <v>195</v>
      </c>
      <c r="T66" s="27" t="s">
        <v>63</v>
      </c>
      <c r="U66" s="27">
        <v>10</v>
      </c>
      <c r="V66" s="27">
        <v>15</v>
      </c>
      <c r="W66" s="37">
        <v>-1.9900000000000001E-4</v>
      </c>
      <c r="X66" s="27">
        <v>11</v>
      </c>
      <c r="Y66" s="38">
        <v>-1.7699999999999999E-4</v>
      </c>
      <c r="Z66" s="27" t="s">
        <v>65</v>
      </c>
    </row>
    <row r="67" spans="2:26" x14ac:dyDescent="0.2">
      <c r="B67" s="27" t="s">
        <v>180</v>
      </c>
      <c r="C67" s="27">
        <v>253</v>
      </c>
      <c r="D67" s="27" t="s">
        <v>129</v>
      </c>
      <c r="E67" s="27" t="s">
        <v>107</v>
      </c>
      <c r="F67" s="27" t="s">
        <v>196</v>
      </c>
      <c r="G67" s="27" t="s">
        <v>64</v>
      </c>
      <c r="H67" s="27">
        <v>60</v>
      </c>
      <c r="I67" s="27">
        <v>17</v>
      </c>
      <c r="J67" s="37">
        <v>-1.9100000000000001E-4</v>
      </c>
      <c r="K67" s="27">
        <v>6</v>
      </c>
      <c r="L67" s="38">
        <v>-1.7000000000000001E-4</v>
      </c>
      <c r="M67" s="27" t="s">
        <v>65</v>
      </c>
      <c r="O67" s="27" t="s">
        <v>180</v>
      </c>
      <c r="P67" s="27">
        <v>253</v>
      </c>
      <c r="Q67" s="27" t="s">
        <v>129</v>
      </c>
      <c r="R67" s="27" t="s">
        <v>377</v>
      </c>
      <c r="S67" s="27" t="s">
        <v>196</v>
      </c>
      <c r="T67" s="27" t="s">
        <v>64</v>
      </c>
      <c r="U67" s="27">
        <v>10</v>
      </c>
      <c r="V67" s="27">
        <v>17</v>
      </c>
      <c r="W67" s="37">
        <v>-1.9100000000000001E-4</v>
      </c>
      <c r="X67" s="27">
        <v>5</v>
      </c>
      <c r="Y67" s="38">
        <v>-1.7000000000000001E-4</v>
      </c>
      <c r="Z67" s="27" t="s">
        <v>65</v>
      </c>
    </row>
    <row r="68" spans="2:26" x14ac:dyDescent="0.2">
      <c r="B68" s="27" t="s">
        <v>180</v>
      </c>
      <c r="C68" s="27">
        <v>271</v>
      </c>
      <c r="D68" s="27" t="s">
        <v>128</v>
      </c>
      <c r="E68" s="27" t="s">
        <v>107</v>
      </c>
      <c r="F68" s="27" t="s">
        <v>197</v>
      </c>
      <c r="G68" s="27" t="s">
        <v>63</v>
      </c>
      <c r="H68" s="27">
        <v>60</v>
      </c>
      <c r="I68" s="27">
        <v>20</v>
      </c>
      <c r="J68" s="37">
        <v>-1.08E-4</v>
      </c>
      <c r="K68" s="27">
        <v>4</v>
      </c>
      <c r="L68" s="38">
        <v>-1.08E-4</v>
      </c>
      <c r="M68" s="27" t="s">
        <v>65</v>
      </c>
      <c r="O68" s="27" t="s">
        <v>180</v>
      </c>
      <c r="P68" s="27">
        <v>271</v>
      </c>
      <c r="Q68" s="27" t="s">
        <v>128</v>
      </c>
      <c r="R68" s="27" t="s">
        <v>377</v>
      </c>
      <c r="S68" s="27" t="s">
        <v>197</v>
      </c>
      <c r="T68" s="27" t="s">
        <v>63</v>
      </c>
      <c r="U68" s="27">
        <v>10</v>
      </c>
      <c r="V68" s="27">
        <v>20</v>
      </c>
      <c r="W68" s="37">
        <v>-1.08E-4</v>
      </c>
      <c r="X68" s="27">
        <v>4</v>
      </c>
      <c r="Y68" s="38">
        <v>-1.08E-4</v>
      </c>
      <c r="Z68" s="27" t="s">
        <v>65</v>
      </c>
    </row>
    <row r="69" spans="2:26" x14ac:dyDescent="0.2">
      <c r="B69" s="27" t="s">
        <v>180</v>
      </c>
      <c r="C69" s="27">
        <v>271</v>
      </c>
      <c r="D69" s="27" t="s">
        <v>128</v>
      </c>
      <c r="E69" s="27" t="s">
        <v>107</v>
      </c>
      <c r="F69" s="27" t="s">
        <v>198</v>
      </c>
      <c r="G69" s="27" t="s">
        <v>64</v>
      </c>
      <c r="H69" s="27">
        <v>60</v>
      </c>
      <c r="I69" s="27">
        <v>17</v>
      </c>
      <c r="J69" s="37">
        <v>-1.9599999999999999E-4</v>
      </c>
      <c r="K69" s="27">
        <v>3</v>
      </c>
      <c r="L69" s="38">
        <v>-1.9599999999999999E-4</v>
      </c>
      <c r="M69" s="27" t="s">
        <v>65</v>
      </c>
      <c r="O69" s="27" t="s">
        <v>180</v>
      </c>
      <c r="P69" s="27">
        <v>271</v>
      </c>
      <c r="Q69" s="27" t="s">
        <v>128</v>
      </c>
      <c r="R69" s="27" t="s">
        <v>377</v>
      </c>
      <c r="S69" s="27" t="s">
        <v>198</v>
      </c>
      <c r="T69" s="27" t="s">
        <v>64</v>
      </c>
      <c r="U69" s="27">
        <v>10</v>
      </c>
      <c r="V69" s="27">
        <v>17</v>
      </c>
      <c r="W69" s="37">
        <v>-1.9599999999999999E-4</v>
      </c>
      <c r="X69" s="27">
        <v>3</v>
      </c>
      <c r="Y69" s="38">
        <v>-1.9599999999999999E-4</v>
      </c>
      <c r="Z69" s="27" t="s">
        <v>65</v>
      </c>
    </row>
    <row r="70" spans="2:26" x14ac:dyDescent="0.2">
      <c r="B70" s="27" t="s">
        <v>180</v>
      </c>
      <c r="C70" s="27">
        <v>272</v>
      </c>
      <c r="D70" s="27" t="s">
        <v>128</v>
      </c>
      <c r="E70" s="27" t="s">
        <v>107</v>
      </c>
      <c r="F70" s="27" t="s">
        <v>199</v>
      </c>
      <c r="G70" s="27" t="s">
        <v>63</v>
      </c>
      <c r="H70" s="27">
        <v>60</v>
      </c>
      <c r="I70" s="27">
        <v>15</v>
      </c>
      <c r="J70" s="37">
        <v>-1.08E-4</v>
      </c>
      <c r="K70" s="27">
        <v>6</v>
      </c>
      <c r="L70" s="38">
        <v>-1.08E-4</v>
      </c>
      <c r="M70" s="27" t="s">
        <v>65</v>
      </c>
      <c r="O70" s="27" t="s">
        <v>180</v>
      </c>
      <c r="P70" s="27">
        <v>272</v>
      </c>
      <c r="Q70" s="27" t="s">
        <v>128</v>
      </c>
      <c r="R70" s="27" t="s">
        <v>377</v>
      </c>
      <c r="S70" s="27" t="s">
        <v>199</v>
      </c>
      <c r="T70" s="27" t="s">
        <v>63</v>
      </c>
      <c r="U70" s="27">
        <v>10</v>
      </c>
      <c r="V70" s="27">
        <v>15</v>
      </c>
      <c r="W70" s="37">
        <v>-1.08E-4</v>
      </c>
      <c r="X70" s="27">
        <v>6</v>
      </c>
      <c r="Y70" s="38">
        <v>-1.07E-4</v>
      </c>
      <c r="Z70" s="27" t="s">
        <v>65</v>
      </c>
    </row>
    <row r="71" spans="2:26" x14ac:dyDescent="0.2">
      <c r="B71" s="27" t="s">
        <v>180</v>
      </c>
      <c r="C71" s="27">
        <v>272</v>
      </c>
      <c r="D71" s="27" t="s">
        <v>128</v>
      </c>
      <c r="E71" s="27" t="s">
        <v>107</v>
      </c>
      <c r="F71" s="27" t="s">
        <v>200</v>
      </c>
      <c r="G71" s="27" t="s">
        <v>64</v>
      </c>
      <c r="H71" s="27">
        <v>60</v>
      </c>
      <c r="I71" s="27">
        <v>22</v>
      </c>
      <c r="J71" s="37">
        <v>-1.95E-4</v>
      </c>
      <c r="K71" s="27">
        <v>1</v>
      </c>
      <c r="L71" s="38">
        <v>-1.9599999999999999E-4</v>
      </c>
      <c r="M71" s="27" t="s">
        <v>65</v>
      </c>
      <c r="O71" s="27" t="s">
        <v>180</v>
      </c>
      <c r="P71" s="27">
        <v>272</v>
      </c>
      <c r="Q71" s="27" t="s">
        <v>128</v>
      </c>
      <c r="R71" s="27" t="s">
        <v>377</v>
      </c>
      <c r="S71" s="27" t="s">
        <v>200</v>
      </c>
      <c r="T71" s="27" t="s">
        <v>64</v>
      </c>
      <c r="U71" s="27">
        <v>10</v>
      </c>
      <c r="V71" s="27">
        <v>22</v>
      </c>
      <c r="W71" s="37">
        <v>-1.95E-4</v>
      </c>
      <c r="X71" s="27">
        <v>1</v>
      </c>
      <c r="Y71" s="38">
        <v>-1.95E-4</v>
      </c>
      <c r="Z71" s="27" t="s">
        <v>65</v>
      </c>
    </row>
    <row r="72" spans="2:26" x14ac:dyDescent="0.2">
      <c r="B72" s="27" t="s">
        <v>180</v>
      </c>
      <c r="C72" s="27">
        <v>255</v>
      </c>
      <c r="D72" s="27" t="s">
        <v>129</v>
      </c>
      <c r="E72" s="27" t="s">
        <v>107</v>
      </c>
      <c r="F72" s="27" t="s">
        <v>201</v>
      </c>
      <c r="G72" s="27" t="s">
        <v>63</v>
      </c>
      <c r="H72" s="27">
        <v>60</v>
      </c>
      <c r="I72" s="27">
        <v>20</v>
      </c>
      <c r="J72" s="37">
        <v>-1.9799999999999999E-4</v>
      </c>
      <c r="K72" s="27">
        <v>7</v>
      </c>
      <c r="L72" s="38">
        <v>-1.76E-4</v>
      </c>
      <c r="M72" s="27" t="s">
        <v>65</v>
      </c>
      <c r="O72" s="27" t="s">
        <v>180</v>
      </c>
      <c r="P72" s="27">
        <v>255</v>
      </c>
      <c r="Q72" s="27" t="s">
        <v>129</v>
      </c>
      <c r="R72" s="27" t="s">
        <v>377</v>
      </c>
      <c r="S72" s="27" t="s">
        <v>201</v>
      </c>
      <c r="T72" s="27" t="s">
        <v>63</v>
      </c>
      <c r="U72" s="27">
        <v>10</v>
      </c>
      <c r="V72" s="27">
        <v>20</v>
      </c>
      <c r="W72" s="37">
        <v>-1.9699999999999999E-4</v>
      </c>
      <c r="X72" s="27">
        <v>7</v>
      </c>
      <c r="Y72" s="38">
        <v>-1.76E-4</v>
      </c>
      <c r="Z72" s="27" t="s">
        <v>65</v>
      </c>
    </row>
    <row r="73" spans="2:26" x14ac:dyDescent="0.2">
      <c r="B73" s="27" t="s">
        <v>180</v>
      </c>
      <c r="C73" s="27">
        <v>255</v>
      </c>
      <c r="D73" s="27" t="s">
        <v>129</v>
      </c>
      <c r="E73" s="27" t="s">
        <v>107</v>
      </c>
      <c r="F73" s="27" t="s">
        <v>202</v>
      </c>
      <c r="G73" s="27" t="s">
        <v>64</v>
      </c>
      <c r="H73" s="27">
        <v>60</v>
      </c>
      <c r="I73" s="27">
        <v>17</v>
      </c>
      <c r="J73" s="37">
        <v>-1.8799999999999999E-4</v>
      </c>
      <c r="K73" s="27">
        <v>5</v>
      </c>
      <c r="L73" s="38">
        <v>-1.6699999999999999E-4</v>
      </c>
      <c r="M73" s="27" t="s">
        <v>65</v>
      </c>
      <c r="O73" s="27" t="s">
        <v>180</v>
      </c>
      <c r="P73" s="27">
        <v>255</v>
      </c>
      <c r="Q73" s="27" t="s">
        <v>129</v>
      </c>
      <c r="R73" s="27" t="s">
        <v>377</v>
      </c>
      <c r="S73" s="27" t="s">
        <v>202</v>
      </c>
      <c r="T73" s="27" t="s">
        <v>64</v>
      </c>
      <c r="U73" s="27">
        <v>10</v>
      </c>
      <c r="V73" s="27">
        <v>17</v>
      </c>
      <c r="W73" s="37">
        <v>-1.8799999999999999E-4</v>
      </c>
      <c r="X73" s="27">
        <v>6</v>
      </c>
      <c r="Y73" s="38">
        <v>-1.6799999999999999E-4</v>
      </c>
      <c r="Z73" s="27" t="s">
        <v>65</v>
      </c>
    </row>
    <row r="74" spans="2:26" x14ac:dyDescent="0.2">
      <c r="B74" s="27" t="s">
        <v>180</v>
      </c>
      <c r="C74" s="27">
        <v>266</v>
      </c>
      <c r="D74" s="27" t="s">
        <v>128</v>
      </c>
      <c r="E74" s="27" t="s">
        <v>107</v>
      </c>
      <c r="F74" s="27" t="s">
        <v>203</v>
      </c>
      <c r="G74" s="27" t="s">
        <v>63</v>
      </c>
      <c r="H74" s="27">
        <v>60</v>
      </c>
      <c r="I74" s="27">
        <v>15</v>
      </c>
      <c r="J74" s="37">
        <v>-1.3100000000000001E-4</v>
      </c>
      <c r="K74" s="27">
        <v>6</v>
      </c>
      <c r="L74" s="38">
        <v>-1.16E-4</v>
      </c>
      <c r="M74" s="27" t="s">
        <v>65</v>
      </c>
      <c r="O74" s="27" t="s">
        <v>180</v>
      </c>
      <c r="P74" s="27">
        <v>266</v>
      </c>
      <c r="Q74" s="27" t="s">
        <v>128</v>
      </c>
      <c r="R74" s="27" t="s">
        <v>377</v>
      </c>
      <c r="S74" s="27" t="s">
        <v>203</v>
      </c>
      <c r="T74" s="27" t="s">
        <v>63</v>
      </c>
      <c r="U74" s="27">
        <v>10</v>
      </c>
      <c r="V74" s="27">
        <v>15</v>
      </c>
      <c r="W74" s="37">
        <v>-1.3100000000000001E-4</v>
      </c>
      <c r="X74" s="27">
        <v>6</v>
      </c>
      <c r="Y74" s="38">
        <v>-1.16E-4</v>
      </c>
      <c r="Z74" s="27" t="s">
        <v>65</v>
      </c>
    </row>
    <row r="75" spans="2:26" x14ac:dyDescent="0.2">
      <c r="B75" s="27" t="s">
        <v>180</v>
      </c>
      <c r="C75" s="27">
        <v>266</v>
      </c>
      <c r="D75" s="27" t="s">
        <v>128</v>
      </c>
      <c r="E75" s="27" t="s">
        <v>107</v>
      </c>
      <c r="F75" s="27" t="s">
        <v>204</v>
      </c>
      <c r="G75" s="27" t="s">
        <v>64</v>
      </c>
      <c r="H75" s="27">
        <v>60</v>
      </c>
      <c r="I75" s="27">
        <v>22</v>
      </c>
      <c r="J75" s="37">
        <v>-1.95E-4</v>
      </c>
      <c r="K75" s="27">
        <v>1</v>
      </c>
      <c r="L75" s="38">
        <v>-1.8699999999999999E-4</v>
      </c>
      <c r="M75" s="27" t="s">
        <v>65</v>
      </c>
      <c r="O75" s="27" t="s">
        <v>180</v>
      </c>
      <c r="P75" s="27">
        <v>266</v>
      </c>
      <c r="Q75" s="27" t="s">
        <v>128</v>
      </c>
      <c r="R75" s="27" t="s">
        <v>377</v>
      </c>
      <c r="S75" s="27" t="s">
        <v>204</v>
      </c>
      <c r="T75" s="27" t="s">
        <v>64</v>
      </c>
      <c r="U75" s="27">
        <v>10</v>
      </c>
      <c r="V75" s="27">
        <v>22</v>
      </c>
      <c r="W75" s="37">
        <v>-1.95E-4</v>
      </c>
      <c r="X75" s="27">
        <v>1</v>
      </c>
      <c r="Y75" s="38">
        <v>-1.8699999999999999E-4</v>
      </c>
      <c r="Z75" s="27" t="s">
        <v>65</v>
      </c>
    </row>
    <row r="76" spans="2:26" x14ac:dyDescent="0.2">
      <c r="B76" s="27" t="s">
        <v>180</v>
      </c>
      <c r="C76" s="27">
        <v>267</v>
      </c>
      <c r="D76" s="27" t="s">
        <v>128</v>
      </c>
      <c r="E76" s="27" t="s">
        <v>107</v>
      </c>
      <c r="F76" s="27" t="s">
        <v>205</v>
      </c>
      <c r="G76" s="27" t="s">
        <v>63</v>
      </c>
      <c r="H76" s="27">
        <v>60</v>
      </c>
      <c r="I76" s="27">
        <v>20</v>
      </c>
      <c r="J76" s="37">
        <v>-1.35E-4</v>
      </c>
      <c r="K76" s="27">
        <v>4</v>
      </c>
      <c r="L76" s="38">
        <v>-1.2E-4</v>
      </c>
      <c r="M76" s="27" t="s">
        <v>65</v>
      </c>
      <c r="O76" s="27" t="s">
        <v>180</v>
      </c>
      <c r="P76" s="27">
        <v>267</v>
      </c>
      <c r="Q76" s="27" t="s">
        <v>128</v>
      </c>
      <c r="R76" s="27" t="s">
        <v>377</v>
      </c>
      <c r="S76" s="27" t="s">
        <v>205</v>
      </c>
      <c r="T76" s="27" t="s">
        <v>63</v>
      </c>
      <c r="U76" s="27">
        <v>10</v>
      </c>
      <c r="V76" s="27">
        <v>20</v>
      </c>
      <c r="W76" s="37">
        <v>-1.35E-4</v>
      </c>
      <c r="X76" s="27">
        <v>4</v>
      </c>
      <c r="Y76" s="38">
        <v>-1.2E-4</v>
      </c>
      <c r="Z76" s="27" t="s">
        <v>65</v>
      </c>
    </row>
    <row r="77" spans="2:26" x14ac:dyDescent="0.2">
      <c r="B77" s="27" t="s">
        <v>180</v>
      </c>
      <c r="C77" s="27">
        <v>267</v>
      </c>
      <c r="D77" s="27" t="s">
        <v>128</v>
      </c>
      <c r="E77" s="27" t="s">
        <v>107</v>
      </c>
      <c r="F77" s="27" t="s">
        <v>206</v>
      </c>
      <c r="G77" s="27" t="s">
        <v>64</v>
      </c>
      <c r="H77" s="27">
        <v>60</v>
      </c>
      <c r="I77" s="27">
        <v>17</v>
      </c>
      <c r="J77" s="37">
        <v>-1.9599999999999999E-4</v>
      </c>
      <c r="K77" s="27">
        <v>3</v>
      </c>
      <c r="L77" s="38">
        <v>-1.8799999999999999E-4</v>
      </c>
      <c r="M77" s="27" t="s">
        <v>65</v>
      </c>
      <c r="O77" s="27" t="s">
        <v>180</v>
      </c>
      <c r="P77" s="27">
        <v>267</v>
      </c>
      <c r="Q77" s="27" t="s">
        <v>128</v>
      </c>
      <c r="R77" s="27" t="s">
        <v>377</v>
      </c>
      <c r="S77" s="27" t="s">
        <v>206</v>
      </c>
      <c r="T77" s="27" t="s">
        <v>64</v>
      </c>
      <c r="U77" s="27">
        <v>10</v>
      </c>
      <c r="V77" s="27">
        <v>17</v>
      </c>
      <c r="W77" s="37">
        <v>-1.9599999999999999E-4</v>
      </c>
      <c r="X77" s="27">
        <v>3</v>
      </c>
      <c r="Y77" s="38">
        <v>-1.8900000000000001E-4</v>
      </c>
      <c r="Z77" s="27" t="s">
        <v>65</v>
      </c>
    </row>
    <row r="78" spans="2:26" x14ac:dyDescent="0.2">
      <c r="B78" s="27" t="s">
        <v>180</v>
      </c>
      <c r="C78" s="27">
        <v>254</v>
      </c>
      <c r="D78" s="27" t="s">
        <v>129</v>
      </c>
      <c r="E78" s="27" t="s">
        <v>107</v>
      </c>
      <c r="F78" s="27" t="s">
        <v>207</v>
      </c>
      <c r="G78" s="27" t="s">
        <v>63</v>
      </c>
      <c r="H78" s="27">
        <v>60</v>
      </c>
      <c r="I78" s="27">
        <v>15</v>
      </c>
      <c r="J78" s="37">
        <v>-1.9900000000000001E-4</v>
      </c>
      <c r="K78" s="27">
        <v>12</v>
      </c>
      <c r="L78" s="38">
        <v>-1.7699999999999999E-4</v>
      </c>
      <c r="M78" s="27" t="s">
        <v>65</v>
      </c>
      <c r="O78" s="27" t="s">
        <v>180</v>
      </c>
      <c r="P78" s="27">
        <v>254</v>
      </c>
      <c r="Q78" s="27" t="s">
        <v>129</v>
      </c>
      <c r="R78" s="27" t="s">
        <v>377</v>
      </c>
      <c r="S78" s="27" t="s">
        <v>207</v>
      </c>
      <c r="T78" s="27" t="s">
        <v>63</v>
      </c>
      <c r="U78" s="27">
        <v>10</v>
      </c>
      <c r="V78" s="27">
        <v>15</v>
      </c>
      <c r="W78" s="37">
        <v>-1.9900000000000001E-4</v>
      </c>
      <c r="X78" s="27">
        <v>12</v>
      </c>
      <c r="Y78" s="38">
        <v>-1.7699999999999999E-4</v>
      </c>
      <c r="Z78" s="27" t="s">
        <v>65</v>
      </c>
    </row>
    <row r="79" spans="2:26" x14ac:dyDescent="0.2">
      <c r="B79" s="27" t="s">
        <v>180</v>
      </c>
      <c r="C79" s="27">
        <v>254</v>
      </c>
      <c r="D79" s="27" t="s">
        <v>129</v>
      </c>
      <c r="E79" s="27" t="s">
        <v>107</v>
      </c>
      <c r="F79" s="27" t="s">
        <v>208</v>
      </c>
      <c r="G79" s="27" t="s">
        <v>64</v>
      </c>
      <c r="H79" s="27">
        <v>60</v>
      </c>
      <c r="I79" s="27">
        <v>17</v>
      </c>
      <c r="J79" s="37">
        <v>-1.8900000000000001E-4</v>
      </c>
      <c r="K79" s="27">
        <v>5</v>
      </c>
      <c r="L79" s="38">
        <v>-1.6899999999999999E-4</v>
      </c>
      <c r="M79" s="27" t="s">
        <v>65</v>
      </c>
      <c r="O79" s="27" t="s">
        <v>180</v>
      </c>
      <c r="P79" s="27">
        <v>254</v>
      </c>
      <c r="Q79" s="27" t="s">
        <v>129</v>
      </c>
      <c r="R79" s="27" t="s">
        <v>377</v>
      </c>
      <c r="S79" s="27" t="s">
        <v>208</v>
      </c>
      <c r="T79" s="27" t="s">
        <v>64</v>
      </c>
      <c r="U79" s="27">
        <v>10</v>
      </c>
      <c r="V79" s="27">
        <v>17</v>
      </c>
      <c r="W79" s="37">
        <v>-1.9000000000000001E-4</v>
      </c>
      <c r="X79" s="27">
        <v>5</v>
      </c>
      <c r="Y79" s="38">
        <v>-1.6899999999999999E-4</v>
      </c>
      <c r="Z79" s="27" t="s">
        <v>65</v>
      </c>
    </row>
    <row r="80" spans="2:26" x14ac:dyDescent="0.2">
      <c r="B80" s="27" t="s">
        <v>180</v>
      </c>
      <c r="C80" s="27">
        <v>269</v>
      </c>
      <c r="D80" s="27" t="s">
        <v>128</v>
      </c>
      <c r="E80" s="27" t="s">
        <v>107</v>
      </c>
      <c r="F80" s="27" t="s">
        <v>209</v>
      </c>
      <c r="G80" s="27" t="s">
        <v>63</v>
      </c>
      <c r="H80" s="27">
        <v>60</v>
      </c>
      <c r="I80" s="27">
        <v>20</v>
      </c>
      <c r="J80" s="37">
        <v>-1.06E-4</v>
      </c>
      <c r="K80" s="27">
        <v>4</v>
      </c>
      <c r="L80" s="38">
        <v>-1.06E-4</v>
      </c>
      <c r="M80" s="27" t="s">
        <v>65</v>
      </c>
      <c r="O80" s="27" t="s">
        <v>180</v>
      </c>
      <c r="P80" s="27">
        <v>269</v>
      </c>
      <c r="Q80" s="27" t="s">
        <v>128</v>
      </c>
      <c r="R80" s="27" t="s">
        <v>377</v>
      </c>
      <c r="S80" s="27" t="s">
        <v>209</v>
      </c>
      <c r="T80" s="27" t="s">
        <v>63</v>
      </c>
      <c r="U80" s="27">
        <v>10</v>
      </c>
      <c r="V80" s="27">
        <v>20</v>
      </c>
      <c r="W80" s="37">
        <v>-1.06E-4</v>
      </c>
      <c r="X80" s="27">
        <v>4</v>
      </c>
      <c r="Y80" s="38">
        <v>-1.06E-4</v>
      </c>
      <c r="Z80" s="27" t="s">
        <v>65</v>
      </c>
    </row>
    <row r="81" spans="2:26" x14ac:dyDescent="0.2">
      <c r="B81" s="27" t="s">
        <v>180</v>
      </c>
      <c r="C81" s="27">
        <v>269</v>
      </c>
      <c r="D81" s="27" t="s">
        <v>128</v>
      </c>
      <c r="E81" s="27" t="s">
        <v>107</v>
      </c>
      <c r="F81" s="27" t="s">
        <v>210</v>
      </c>
      <c r="G81" s="27" t="s">
        <v>64</v>
      </c>
      <c r="H81" s="27">
        <v>60</v>
      </c>
      <c r="I81" s="27">
        <v>17</v>
      </c>
      <c r="J81" s="37">
        <v>-1.92E-4</v>
      </c>
      <c r="K81" s="27">
        <v>3</v>
      </c>
      <c r="L81" s="38">
        <v>-1.92E-4</v>
      </c>
      <c r="M81" s="27" t="s">
        <v>65</v>
      </c>
      <c r="O81" s="27" t="s">
        <v>180</v>
      </c>
      <c r="P81" s="27">
        <v>269</v>
      </c>
      <c r="Q81" s="27" t="s">
        <v>128</v>
      </c>
      <c r="R81" s="27" t="s">
        <v>377</v>
      </c>
      <c r="S81" s="27" t="s">
        <v>210</v>
      </c>
      <c r="T81" s="27" t="s">
        <v>64</v>
      </c>
      <c r="U81" s="27">
        <v>10</v>
      </c>
      <c r="V81" s="27">
        <v>17</v>
      </c>
      <c r="W81" s="37">
        <v>-1.92E-4</v>
      </c>
      <c r="X81" s="27">
        <v>3</v>
      </c>
      <c r="Y81" s="38">
        <v>-1.92E-4</v>
      </c>
      <c r="Z81" s="27" t="s">
        <v>65</v>
      </c>
    </row>
    <row r="82" spans="2:26" x14ac:dyDescent="0.2">
      <c r="B82" s="27" t="s">
        <v>180</v>
      </c>
      <c r="C82" s="27">
        <v>270</v>
      </c>
      <c r="D82" s="27" t="s">
        <v>128</v>
      </c>
      <c r="E82" s="27" t="s">
        <v>107</v>
      </c>
      <c r="F82" s="27" t="s">
        <v>211</v>
      </c>
      <c r="G82" s="27" t="s">
        <v>63</v>
      </c>
      <c r="H82" s="27">
        <v>60</v>
      </c>
      <c r="I82" s="27">
        <v>15</v>
      </c>
      <c r="J82" s="37">
        <v>-1.06E-4</v>
      </c>
      <c r="K82" s="27">
        <v>6</v>
      </c>
      <c r="L82" s="38">
        <v>-1.05E-4</v>
      </c>
      <c r="M82" s="27" t="s">
        <v>65</v>
      </c>
      <c r="O82" s="27" t="s">
        <v>180</v>
      </c>
      <c r="P82" s="27">
        <v>270</v>
      </c>
      <c r="Q82" s="27" t="s">
        <v>128</v>
      </c>
      <c r="R82" s="27" t="s">
        <v>377</v>
      </c>
      <c r="S82" s="27" t="s">
        <v>211</v>
      </c>
      <c r="T82" s="27" t="s">
        <v>63</v>
      </c>
      <c r="U82" s="27">
        <v>10</v>
      </c>
      <c r="V82" s="27">
        <v>15</v>
      </c>
      <c r="W82" s="37">
        <v>-1.05E-4</v>
      </c>
      <c r="X82" s="27">
        <v>6</v>
      </c>
      <c r="Y82" s="38">
        <v>-1.05E-4</v>
      </c>
      <c r="Z82" s="27" t="s">
        <v>65</v>
      </c>
    </row>
    <row r="83" spans="2:26" x14ac:dyDescent="0.2">
      <c r="B83" s="27" t="s">
        <v>180</v>
      </c>
      <c r="C83" s="27">
        <v>270</v>
      </c>
      <c r="D83" s="27" t="s">
        <v>128</v>
      </c>
      <c r="E83" s="27" t="s">
        <v>107</v>
      </c>
      <c r="F83" s="27" t="s">
        <v>212</v>
      </c>
      <c r="G83" s="27" t="s">
        <v>64</v>
      </c>
      <c r="H83" s="27">
        <v>60</v>
      </c>
      <c r="I83" s="27">
        <v>22</v>
      </c>
      <c r="J83" s="37">
        <v>-1.92E-4</v>
      </c>
      <c r="K83" s="27">
        <v>1</v>
      </c>
      <c r="L83" s="38">
        <v>-1.92E-4</v>
      </c>
      <c r="M83" s="27" t="s">
        <v>65</v>
      </c>
      <c r="O83" s="27" t="s">
        <v>180</v>
      </c>
      <c r="P83" s="27">
        <v>270</v>
      </c>
      <c r="Q83" s="27" t="s">
        <v>128</v>
      </c>
      <c r="R83" s="27" t="s">
        <v>377</v>
      </c>
      <c r="S83" s="27" t="s">
        <v>212</v>
      </c>
      <c r="T83" s="27" t="s">
        <v>64</v>
      </c>
      <c r="U83" s="27">
        <v>10</v>
      </c>
      <c r="V83" s="27">
        <v>22</v>
      </c>
      <c r="W83" s="37">
        <v>-1.92E-4</v>
      </c>
      <c r="X83" s="27">
        <v>1</v>
      </c>
      <c r="Y83" s="38">
        <v>-1.92E-4</v>
      </c>
      <c r="Z83" s="27" t="s">
        <v>65</v>
      </c>
    </row>
    <row r="84" spans="2:26" x14ac:dyDescent="0.2">
      <c r="B84" s="27" t="s">
        <v>180</v>
      </c>
      <c r="C84" s="27">
        <v>256</v>
      </c>
      <c r="D84" s="27" t="s">
        <v>129</v>
      </c>
      <c r="E84" s="27" t="s">
        <v>107</v>
      </c>
      <c r="F84" s="27" t="s">
        <v>213</v>
      </c>
      <c r="G84" s="27" t="s">
        <v>63</v>
      </c>
      <c r="H84" s="27">
        <v>60</v>
      </c>
      <c r="I84" s="27">
        <v>15</v>
      </c>
      <c r="J84" s="37">
        <v>-1.9799999999999999E-4</v>
      </c>
      <c r="K84" s="27">
        <v>7</v>
      </c>
      <c r="L84" s="38">
        <v>-1.76E-4</v>
      </c>
      <c r="M84" s="27" t="s">
        <v>65</v>
      </c>
      <c r="O84" s="27" t="s">
        <v>180</v>
      </c>
      <c r="P84" s="27">
        <v>256</v>
      </c>
      <c r="Q84" s="27" t="s">
        <v>129</v>
      </c>
      <c r="R84" s="27" t="s">
        <v>377</v>
      </c>
      <c r="S84" s="27" t="s">
        <v>213</v>
      </c>
      <c r="T84" s="27" t="s">
        <v>63</v>
      </c>
      <c r="U84" s="27">
        <v>10</v>
      </c>
      <c r="V84" s="27">
        <v>18</v>
      </c>
      <c r="W84" s="37">
        <v>-1.9799999999999999E-4</v>
      </c>
      <c r="X84" s="27">
        <v>7</v>
      </c>
      <c r="Y84" s="38">
        <v>-1.76E-4</v>
      </c>
      <c r="Z84" s="27" t="s">
        <v>65</v>
      </c>
    </row>
    <row r="85" spans="2:26" x14ac:dyDescent="0.2">
      <c r="B85" s="27" t="s">
        <v>180</v>
      </c>
      <c r="C85" s="27">
        <v>256</v>
      </c>
      <c r="D85" s="27" t="s">
        <v>129</v>
      </c>
      <c r="E85" s="27" t="s">
        <v>107</v>
      </c>
      <c r="F85" s="27" t="s">
        <v>214</v>
      </c>
      <c r="G85" s="27" t="s">
        <v>64</v>
      </c>
      <c r="H85" s="27">
        <v>60</v>
      </c>
      <c r="I85" s="27">
        <v>17</v>
      </c>
      <c r="J85" s="37">
        <v>-1.8900000000000001E-4</v>
      </c>
      <c r="K85" s="27">
        <v>1</v>
      </c>
      <c r="L85" s="38">
        <v>-1.6899999999999999E-4</v>
      </c>
      <c r="M85" s="27" t="s">
        <v>65</v>
      </c>
      <c r="O85" s="27" t="s">
        <v>180</v>
      </c>
      <c r="P85" s="27">
        <v>256</v>
      </c>
      <c r="Q85" s="27" t="s">
        <v>129</v>
      </c>
      <c r="R85" s="27" t="s">
        <v>377</v>
      </c>
      <c r="S85" s="27" t="s">
        <v>214</v>
      </c>
      <c r="T85" s="27" t="s">
        <v>64</v>
      </c>
      <c r="U85" s="27">
        <v>10</v>
      </c>
      <c r="V85" s="27">
        <v>17</v>
      </c>
      <c r="W85" s="37">
        <v>-1.8900000000000001E-4</v>
      </c>
      <c r="X85" s="27">
        <v>1</v>
      </c>
      <c r="Y85" s="38">
        <v>-1.6799999999999999E-4</v>
      </c>
      <c r="Z85" s="27" t="s">
        <v>65</v>
      </c>
    </row>
    <row r="86" spans="2:26" x14ac:dyDescent="0.2">
      <c r="B86" s="27" t="s">
        <v>180</v>
      </c>
      <c r="C86" s="27">
        <v>265</v>
      </c>
      <c r="D86" s="27" t="s">
        <v>128</v>
      </c>
      <c r="E86" s="27" t="s">
        <v>107</v>
      </c>
      <c r="F86" s="27" t="s">
        <v>215</v>
      </c>
      <c r="G86" s="27" t="s">
        <v>63</v>
      </c>
      <c r="H86" s="27">
        <v>60</v>
      </c>
      <c r="I86" s="27">
        <v>15</v>
      </c>
      <c r="J86" s="37">
        <v>-1.34E-4</v>
      </c>
      <c r="K86" s="27">
        <v>6</v>
      </c>
      <c r="L86" s="38">
        <v>-1.2E-4</v>
      </c>
      <c r="M86" s="27" t="s">
        <v>65</v>
      </c>
      <c r="O86" s="27" t="s">
        <v>180</v>
      </c>
      <c r="P86" s="27">
        <v>265</v>
      </c>
      <c r="Q86" s="27" t="s">
        <v>128</v>
      </c>
      <c r="R86" s="27" t="s">
        <v>377</v>
      </c>
      <c r="S86" s="27" t="s">
        <v>215</v>
      </c>
      <c r="T86" s="27" t="s">
        <v>63</v>
      </c>
      <c r="U86" s="27">
        <v>10</v>
      </c>
      <c r="V86" s="27">
        <v>15</v>
      </c>
      <c r="W86" s="37">
        <v>-1.34E-4</v>
      </c>
      <c r="X86" s="27">
        <v>6</v>
      </c>
      <c r="Y86" s="38">
        <v>-1.2E-4</v>
      </c>
      <c r="Z86" s="27" t="s">
        <v>65</v>
      </c>
    </row>
    <row r="87" spans="2:26" x14ac:dyDescent="0.2">
      <c r="B87" s="27" t="s">
        <v>180</v>
      </c>
      <c r="C87" s="27">
        <v>265</v>
      </c>
      <c r="D87" s="27" t="s">
        <v>128</v>
      </c>
      <c r="E87" s="27" t="s">
        <v>107</v>
      </c>
      <c r="F87" s="27" t="s">
        <v>216</v>
      </c>
      <c r="G87" s="27" t="s">
        <v>64</v>
      </c>
      <c r="H87" s="27">
        <v>60</v>
      </c>
      <c r="I87" s="27">
        <v>22</v>
      </c>
      <c r="J87" s="37">
        <v>-1.9599999999999999E-4</v>
      </c>
      <c r="K87" s="27">
        <v>1</v>
      </c>
      <c r="L87" s="38">
        <v>-1.8799999999999999E-4</v>
      </c>
      <c r="M87" s="27" t="s">
        <v>65</v>
      </c>
      <c r="O87" s="27" t="s">
        <v>180</v>
      </c>
      <c r="P87" s="27">
        <v>265</v>
      </c>
      <c r="Q87" s="27" t="s">
        <v>128</v>
      </c>
      <c r="R87" s="27" t="s">
        <v>377</v>
      </c>
      <c r="S87" s="27" t="s">
        <v>216</v>
      </c>
      <c r="T87" s="27" t="s">
        <v>64</v>
      </c>
      <c r="U87" s="27">
        <v>10</v>
      </c>
      <c r="V87" s="27">
        <v>22</v>
      </c>
      <c r="W87" s="37">
        <v>-1.9599999999999999E-4</v>
      </c>
      <c r="X87" s="27">
        <v>1</v>
      </c>
      <c r="Y87" s="38">
        <v>-1.8799999999999999E-4</v>
      </c>
      <c r="Z87" s="27" t="s">
        <v>65</v>
      </c>
    </row>
    <row r="88" spans="2:26" x14ac:dyDescent="0.2">
      <c r="B88" s="27" t="s">
        <v>180</v>
      </c>
      <c r="C88" s="27">
        <v>249</v>
      </c>
      <c r="D88" s="27" t="s">
        <v>127</v>
      </c>
      <c r="E88" s="27" t="s">
        <v>107</v>
      </c>
      <c r="F88" s="27" t="s">
        <v>217</v>
      </c>
      <c r="G88" s="27" t="s">
        <v>63</v>
      </c>
      <c r="H88" s="27">
        <v>60</v>
      </c>
      <c r="I88" s="27">
        <v>16</v>
      </c>
      <c r="J88" s="37">
        <v>-2.7599999999999999E-4</v>
      </c>
      <c r="K88" s="27">
        <v>1</v>
      </c>
      <c r="L88" s="38">
        <v>-2.3699999999999999E-4</v>
      </c>
      <c r="M88" s="27" t="s">
        <v>65</v>
      </c>
      <c r="O88" s="27" t="s">
        <v>180</v>
      </c>
      <c r="P88" s="27">
        <v>249</v>
      </c>
      <c r="Q88" s="27" t="s">
        <v>127</v>
      </c>
      <c r="R88" s="27" t="s">
        <v>377</v>
      </c>
      <c r="S88" s="27" t="s">
        <v>217</v>
      </c>
      <c r="T88" s="27" t="s">
        <v>63</v>
      </c>
      <c r="U88" s="27">
        <v>10</v>
      </c>
      <c r="V88" s="27">
        <v>16</v>
      </c>
      <c r="W88" s="37">
        <v>-2.7599999999999999E-4</v>
      </c>
      <c r="X88" s="27">
        <v>1</v>
      </c>
      <c r="Y88" s="38">
        <v>-2.3699999999999999E-4</v>
      </c>
      <c r="Z88" s="27" t="s">
        <v>65</v>
      </c>
    </row>
    <row r="89" spans="2:26" x14ac:dyDescent="0.2">
      <c r="B89" s="27" t="s">
        <v>180</v>
      </c>
      <c r="C89" s="27">
        <v>249</v>
      </c>
      <c r="D89" s="27" t="s">
        <v>127</v>
      </c>
      <c r="E89" s="27" t="s">
        <v>107</v>
      </c>
      <c r="F89" s="27" t="s">
        <v>218</v>
      </c>
      <c r="G89" s="27" t="s">
        <v>64</v>
      </c>
      <c r="H89" s="27">
        <v>60</v>
      </c>
      <c r="I89" s="27">
        <v>9</v>
      </c>
      <c r="J89" s="37">
        <v>-1.44E-4</v>
      </c>
      <c r="K89" s="27">
        <v>6</v>
      </c>
      <c r="L89" s="38">
        <v>-1.2799999999999999E-4</v>
      </c>
      <c r="M89" s="27" t="s">
        <v>65</v>
      </c>
      <c r="O89" s="27" t="s">
        <v>180</v>
      </c>
      <c r="P89" s="27">
        <v>249</v>
      </c>
      <c r="Q89" s="27" t="s">
        <v>127</v>
      </c>
      <c r="R89" s="27" t="s">
        <v>377</v>
      </c>
      <c r="S89" s="27" t="s">
        <v>218</v>
      </c>
      <c r="T89" s="27" t="s">
        <v>64</v>
      </c>
      <c r="U89" s="27">
        <v>10</v>
      </c>
      <c r="V89" s="27">
        <v>9</v>
      </c>
      <c r="W89" s="37">
        <v>-1.44E-4</v>
      </c>
      <c r="X89" s="27">
        <v>6</v>
      </c>
      <c r="Y89" s="38">
        <v>-1.2799999999999999E-4</v>
      </c>
      <c r="Z89" s="27" t="s">
        <v>65</v>
      </c>
    </row>
    <row r="90" spans="2:26" x14ac:dyDescent="0.2">
      <c r="B90" s="27" t="s">
        <v>180</v>
      </c>
      <c r="C90" s="27">
        <v>261</v>
      </c>
      <c r="D90" s="27" t="s">
        <v>128</v>
      </c>
      <c r="E90" s="27" t="s">
        <v>107</v>
      </c>
      <c r="F90" s="27" t="s">
        <v>219</v>
      </c>
      <c r="G90" s="27" t="s">
        <v>63</v>
      </c>
      <c r="H90" s="27">
        <v>60</v>
      </c>
      <c r="I90" s="27">
        <v>17</v>
      </c>
      <c r="J90" s="37">
        <v>-1.25E-4</v>
      </c>
      <c r="K90" s="27">
        <v>3</v>
      </c>
      <c r="L90" s="38">
        <v>-1.2400000000000001E-4</v>
      </c>
      <c r="M90" s="27" t="s">
        <v>65</v>
      </c>
      <c r="O90" s="27" t="s">
        <v>180</v>
      </c>
      <c r="P90" s="27">
        <v>261</v>
      </c>
      <c r="Q90" s="27" t="s">
        <v>128</v>
      </c>
      <c r="R90" s="27" t="s">
        <v>377</v>
      </c>
      <c r="S90" s="27" t="s">
        <v>219</v>
      </c>
      <c r="T90" s="27" t="s">
        <v>63</v>
      </c>
      <c r="U90" s="27">
        <v>10</v>
      </c>
      <c r="V90" s="27">
        <v>17</v>
      </c>
      <c r="W90" s="37">
        <v>-1.25E-4</v>
      </c>
      <c r="X90" s="27">
        <v>3</v>
      </c>
      <c r="Y90" s="38">
        <v>-1.2400000000000001E-4</v>
      </c>
      <c r="Z90" s="27" t="s">
        <v>65</v>
      </c>
    </row>
    <row r="91" spans="2:26" x14ac:dyDescent="0.2">
      <c r="B91" s="27" t="s">
        <v>180</v>
      </c>
      <c r="C91" s="27">
        <v>261</v>
      </c>
      <c r="D91" s="27" t="s">
        <v>128</v>
      </c>
      <c r="E91" s="27" t="s">
        <v>107</v>
      </c>
      <c r="F91" s="27" t="s">
        <v>220</v>
      </c>
      <c r="G91" s="27" t="s">
        <v>64</v>
      </c>
      <c r="H91" s="27">
        <v>60</v>
      </c>
      <c r="I91" s="27">
        <v>22</v>
      </c>
      <c r="J91" s="37">
        <v>-1.0399999999999999E-4</v>
      </c>
      <c r="K91" s="27">
        <v>1</v>
      </c>
      <c r="L91" s="38">
        <v>-1.0399999999999999E-4</v>
      </c>
      <c r="M91" s="27" t="s">
        <v>65</v>
      </c>
      <c r="O91" s="27" t="s">
        <v>180</v>
      </c>
      <c r="P91" s="27">
        <v>261</v>
      </c>
      <c r="Q91" s="27" t="s">
        <v>128</v>
      </c>
      <c r="R91" s="27" t="s">
        <v>377</v>
      </c>
      <c r="S91" s="27" t="s">
        <v>220</v>
      </c>
      <c r="T91" s="27" t="s">
        <v>64</v>
      </c>
      <c r="U91" s="27">
        <v>10</v>
      </c>
      <c r="V91" s="27">
        <v>22</v>
      </c>
      <c r="W91" s="37">
        <v>-1.0399999999999999E-4</v>
      </c>
      <c r="X91" s="27">
        <v>1</v>
      </c>
      <c r="Y91" s="38">
        <v>-1.0399999999999999E-4</v>
      </c>
      <c r="Z91" s="27" t="s">
        <v>65</v>
      </c>
    </row>
    <row r="92" spans="2:26" x14ac:dyDescent="0.2">
      <c r="B92" s="27" t="s">
        <v>180</v>
      </c>
      <c r="C92" s="27">
        <v>257</v>
      </c>
      <c r="D92" s="27" t="s">
        <v>129</v>
      </c>
      <c r="E92" s="27" t="s">
        <v>107</v>
      </c>
      <c r="F92" s="27" t="s">
        <v>221</v>
      </c>
      <c r="G92" s="27" t="s">
        <v>63</v>
      </c>
      <c r="H92" s="27">
        <v>60</v>
      </c>
      <c r="I92" s="27">
        <v>17</v>
      </c>
      <c r="J92" s="37">
        <v>-1.17E-4</v>
      </c>
      <c r="K92" s="27">
        <v>1</v>
      </c>
      <c r="L92" s="38">
        <v>-1.03E-4</v>
      </c>
      <c r="M92" s="27" t="s">
        <v>65</v>
      </c>
      <c r="O92" s="27" t="s">
        <v>180</v>
      </c>
      <c r="P92" s="27">
        <v>257</v>
      </c>
      <c r="Q92" s="27" t="s">
        <v>129</v>
      </c>
      <c r="R92" s="27" t="s">
        <v>377</v>
      </c>
      <c r="S92" s="27" t="s">
        <v>221</v>
      </c>
      <c r="T92" s="27" t="s">
        <v>63</v>
      </c>
      <c r="U92" s="27">
        <v>10</v>
      </c>
      <c r="V92" s="27">
        <v>17</v>
      </c>
      <c r="W92" s="37">
        <v>-1.17E-4</v>
      </c>
      <c r="X92" s="27">
        <v>1</v>
      </c>
      <c r="Y92" s="38">
        <v>-1.0399999999999999E-4</v>
      </c>
      <c r="Z92" s="27" t="s">
        <v>65</v>
      </c>
    </row>
    <row r="93" spans="2:26" x14ac:dyDescent="0.2">
      <c r="B93" s="27" t="s">
        <v>180</v>
      </c>
      <c r="C93" s="27">
        <v>257</v>
      </c>
      <c r="D93" s="27" t="s">
        <v>129</v>
      </c>
      <c r="E93" s="27" t="s">
        <v>107</v>
      </c>
      <c r="F93" s="27" t="s">
        <v>222</v>
      </c>
      <c r="G93" s="27" t="s">
        <v>64</v>
      </c>
      <c r="H93" s="27">
        <v>60</v>
      </c>
      <c r="I93" s="27">
        <v>15</v>
      </c>
      <c r="J93" s="37">
        <v>-4.3000000000000002E-5</v>
      </c>
      <c r="K93" s="27">
        <v>9</v>
      </c>
      <c r="L93" s="38">
        <v>-4.3000000000000002E-5</v>
      </c>
      <c r="M93" s="27" t="s">
        <v>65</v>
      </c>
      <c r="O93" s="27" t="s">
        <v>180</v>
      </c>
      <c r="P93" s="27">
        <v>257</v>
      </c>
      <c r="Q93" s="27" t="s">
        <v>129</v>
      </c>
      <c r="R93" s="27" t="s">
        <v>377</v>
      </c>
      <c r="S93" s="27" t="s">
        <v>222</v>
      </c>
      <c r="T93" s="27" t="s">
        <v>64</v>
      </c>
      <c r="U93" s="27">
        <v>10</v>
      </c>
      <c r="V93" s="27">
        <v>15</v>
      </c>
      <c r="W93" s="37">
        <v>-4.3000000000000002E-5</v>
      </c>
      <c r="X93" s="27">
        <v>10</v>
      </c>
      <c r="Y93" s="38">
        <v>-4.3000000000000002E-5</v>
      </c>
      <c r="Z93" s="27" t="s">
        <v>65</v>
      </c>
    </row>
    <row r="94" spans="2:26" x14ac:dyDescent="0.2">
      <c r="B94" s="27" t="s">
        <v>180</v>
      </c>
      <c r="C94" s="27">
        <v>258</v>
      </c>
      <c r="D94" s="27" t="s">
        <v>129</v>
      </c>
      <c r="E94" s="27" t="s">
        <v>107</v>
      </c>
      <c r="F94" s="27" t="s">
        <v>223</v>
      </c>
      <c r="G94" s="27" t="s">
        <v>63</v>
      </c>
      <c r="H94" s="27">
        <v>60</v>
      </c>
      <c r="I94" s="27">
        <v>17</v>
      </c>
      <c r="J94" s="37">
        <v>-1.17E-4</v>
      </c>
      <c r="K94" s="27">
        <v>1</v>
      </c>
      <c r="L94" s="38">
        <v>-1.03E-4</v>
      </c>
      <c r="M94" s="27" t="s">
        <v>65</v>
      </c>
      <c r="O94" s="27" t="s">
        <v>180</v>
      </c>
      <c r="P94" s="27">
        <v>258</v>
      </c>
      <c r="Q94" s="27" t="s">
        <v>129</v>
      </c>
      <c r="R94" s="27" t="s">
        <v>377</v>
      </c>
      <c r="S94" s="27" t="s">
        <v>223</v>
      </c>
      <c r="T94" s="27" t="s">
        <v>63</v>
      </c>
      <c r="U94" s="27">
        <v>10</v>
      </c>
      <c r="V94" s="27">
        <v>17</v>
      </c>
      <c r="W94" s="37">
        <v>-1.17E-4</v>
      </c>
      <c r="X94" s="27">
        <v>1</v>
      </c>
      <c r="Y94" s="38">
        <v>-1.03E-4</v>
      </c>
      <c r="Z94" s="27" t="s">
        <v>65</v>
      </c>
    </row>
    <row r="95" spans="2:26" x14ac:dyDescent="0.2">
      <c r="B95" s="27" t="s">
        <v>180</v>
      </c>
      <c r="C95" s="27">
        <v>258</v>
      </c>
      <c r="D95" s="27" t="s">
        <v>129</v>
      </c>
      <c r="E95" s="27" t="s">
        <v>107</v>
      </c>
      <c r="F95" s="27" t="s">
        <v>224</v>
      </c>
      <c r="G95" s="27" t="s">
        <v>64</v>
      </c>
      <c r="H95" s="27">
        <v>60</v>
      </c>
      <c r="I95" s="27">
        <v>15</v>
      </c>
      <c r="J95" s="37">
        <v>-4.3000000000000002E-5</v>
      </c>
      <c r="K95" s="27">
        <v>7</v>
      </c>
      <c r="L95" s="38">
        <v>-4.3000000000000002E-5</v>
      </c>
      <c r="M95" s="27" t="s">
        <v>65</v>
      </c>
      <c r="O95" s="27" t="s">
        <v>180</v>
      </c>
      <c r="P95" s="27">
        <v>258</v>
      </c>
      <c r="Q95" s="27" t="s">
        <v>129</v>
      </c>
      <c r="R95" s="27" t="s">
        <v>377</v>
      </c>
      <c r="S95" s="27" t="s">
        <v>224</v>
      </c>
      <c r="T95" s="27" t="s">
        <v>64</v>
      </c>
      <c r="U95" s="27">
        <v>10</v>
      </c>
      <c r="V95" s="27">
        <v>15</v>
      </c>
      <c r="W95" s="37">
        <v>-4.3000000000000002E-5</v>
      </c>
      <c r="X95" s="27">
        <v>9</v>
      </c>
      <c r="Y95" s="38">
        <v>-4.3000000000000002E-5</v>
      </c>
      <c r="Z95" s="27" t="s">
        <v>65</v>
      </c>
    </row>
    <row r="96" spans="2:26" x14ac:dyDescent="0.2">
      <c r="B96" s="27" t="s">
        <v>180</v>
      </c>
      <c r="C96" s="27">
        <v>262</v>
      </c>
      <c r="D96" s="27" t="s">
        <v>128</v>
      </c>
      <c r="E96" s="27" t="s">
        <v>107</v>
      </c>
      <c r="F96" s="27" t="s">
        <v>225</v>
      </c>
      <c r="G96" s="27" t="s">
        <v>63</v>
      </c>
      <c r="H96" s="27">
        <v>60</v>
      </c>
      <c r="I96" s="27">
        <v>22</v>
      </c>
      <c r="J96" s="37">
        <v>-1.25E-4</v>
      </c>
      <c r="K96" s="27">
        <v>1</v>
      </c>
      <c r="L96" s="38">
        <v>-1.25E-4</v>
      </c>
      <c r="M96" s="27" t="s">
        <v>65</v>
      </c>
      <c r="O96" s="27" t="s">
        <v>180</v>
      </c>
      <c r="P96" s="27">
        <v>262</v>
      </c>
      <c r="Q96" s="27" t="s">
        <v>128</v>
      </c>
      <c r="R96" s="27" t="s">
        <v>377</v>
      </c>
      <c r="S96" s="27" t="s">
        <v>225</v>
      </c>
      <c r="T96" s="27" t="s">
        <v>63</v>
      </c>
      <c r="U96" s="27">
        <v>10</v>
      </c>
      <c r="V96" s="27">
        <v>22</v>
      </c>
      <c r="W96" s="37">
        <v>-1.26E-4</v>
      </c>
      <c r="X96" s="27">
        <v>1</v>
      </c>
      <c r="Y96" s="38">
        <v>-1.25E-4</v>
      </c>
      <c r="Z96" s="27" t="s">
        <v>65</v>
      </c>
    </row>
    <row r="97" spans="2:26" x14ac:dyDescent="0.2">
      <c r="B97" s="27" t="s">
        <v>180</v>
      </c>
      <c r="C97" s="27">
        <v>262</v>
      </c>
      <c r="D97" s="27" t="s">
        <v>128</v>
      </c>
      <c r="E97" s="27" t="s">
        <v>107</v>
      </c>
      <c r="F97" s="27" t="s">
        <v>226</v>
      </c>
      <c r="G97" s="27" t="s">
        <v>64</v>
      </c>
      <c r="H97" s="27">
        <v>60</v>
      </c>
      <c r="I97" s="27">
        <v>17</v>
      </c>
      <c r="J97" s="37">
        <v>-1.05E-4</v>
      </c>
      <c r="K97" s="27">
        <v>3</v>
      </c>
      <c r="L97" s="38">
        <v>-1.0399999999999999E-4</v>
      </c>
      <c r="M97" s="27" t="s">
        <v>65</v>
      </c>
      <c r="O97" s="27" t="s">
        <v>180</v>
      </c>
      <c r="P97" s="27">
        <v>262</v>
      </c>
      <c r="Q97" s="27" t="s">
        <v>128</v>
      </c>
      <c r="R97" s="27" t="s">
        <v>377</v>
      </c>
      <c r="S97" s="27" t="s">
        <v>226</v>
      </c>
      <c r="T97" s="27" t="s">
        <v>64</v>
      </c>
      <c r="U97" s="27">
        <v>10</v>
      </c>
      <c r="V97" s="27">
        <v>17</v>
      </c>
      <c r="W97" s="37">
        <v>-1.05E-4</v>
      </c>
      <c r="X97" s="27">
        <v>3</v>
      </c>
      <c r="Y97" s="38">
        <v>-1.05E-4</v>
      </c>
      <c r="Z97" s="27" t="s">
        <v>65</v>
      </c>
    </row>
    <row r="98" spans="2:26" x14ac:dyDescent="0.2">
      <c r="B98" s="27" t="s">
        <v>180</v>
      </c>
      <c r="C98" s="27">
        <v>250</v>
      </c>
      <c r="D98" s="27" t="s">
        <v>127</v>
      </c>
      <c r="E98" s="27" t="s">
        <v>107</v>
      </c>
      <c r="F98" s="27" t="s">
        <v>227</v>
      </c>
      <c r="G98" s="27" t="s">
        <v>63</v>
      </c>
      <c r="H98" s="27">
        <v>60</v>
      </c>
      <c r="I98" s="27">
        <v>11</v>
      </c>
      <c r="J98" s="37">
        <v>-2.7599999999999999E-4</v>
      </c>
      <c r="K98" s="27">
        <v>3</v>
      </c>
      <c r="L98" s="38">
        <v>-2.3699999999999999E-4</v>
      </c>
      <c r="M98" s="27" t="s">
        <v>65</v>
      </c>
      <c r="O98" s="27" t="s">
        <v>180</v>
      </c>
      <c r="P98" s="27">
        <v>250</v>
      </c>
      <c r="Q98" s="27" t="s">
        <v>127</v>
      </c>
      <c r="R98" s="27" t="s">
        <v>377</v>
      </c>
      <c r="S98" s="27" t="s">
        <v>227</v>
      </c>
      <c r="T98" s="27" t="s">
        <v>63</v>
      </c>
      <c r="U98" s="27">
        <v>10</v>
      </c>
      <c r="V98" s="27">
        <v>11</v>
      </c>
      <c r="W98" s="37">
        <v>-2.7599999999999999E-4</v>
      </c>
      <c r="X98" s="27">
        <v>3</v>
      </c>
      <c r="Y98" s="38">
        <v>-2.3599999999999999E-4</v>
      </c>
      <c r="Z98" s="27" t="s">
        <v>65</v>
      </c>
    </row>
    <row r="99" spans="2:26" x14ac:dyDescent="0.2">
      <c r="B99" s="27" t="s">
        <v>180</v>
      </c>
      <c r="C99" s="27">
        <v>250</v>
      </c>
      <c r="D99" s="27" t="s">
        <v>127</v>
      </c>
      <c r="E99" s="27" t="s">
        <v>107</v>
      </c>
      <c r="F99" s="27" t="s">
        <v>228</v>
      </c>
      <c r="G99" s="27" t="s">
        <v>64</v>
      </c>
      <c r="H99" s="27">
        <v>60</v>
      </c>
      <c r="I99" s="27">
        <v>14</v>
      </c>
      <c r="J99" s="37">
        <v>-1.44E-4</v>
      </c>
      <c r="K99" s="27">
        <v>4</v>
      </c>
      <c r="L99" s="38">
        <v>-1.2799999999999999E-4</v>
      </c>
      <c r="M99" s="27" t="s">
        <v>65</v>
      </c>
      <c r="O99" s="27" t="s">
        <v>180</v>
      </c>
      <c r="P99" s="27">
        <v>250</v>
      </c>
      <c r="Q99" s="27" t="s">
        <v>127</v>
      </c>
      <c r="R99" s="27" t="s">
        <v>377</v>
      </c>
      <c r="S99" s="27" t="s">
        <v>228</v>
      </c>
      <c r="T99" s="27" t="s">
        <v>64</v>
      </c>
      <c r="U99" s="27">
        <v>10</v>
      </c>
      <c r="V99" s="27">
        <v>14</v>
      </c>
      <c r="W99" s="37">
        <v>-1.44E-4</v>
      </c>
      <c r="X99" s="27">
        <v>4</v>
      </c>
      <c r="Y99" s="38">
        <v>-1.2799999999999999E-4</v>
      </c>
      <c r="Z99" s="27" t="s">
        <v>65</v>
      </c>
    </row>
    <row r="100" spans="2:26" x14ac:dyDescent="0.2">
      <c r="B100" s="27" t="s">
        <v>229</v>
      </c>
      <c r="C100" s="27">
        <v>65</v>
      </c>
      <c r="D100" s="27" t="s">
        <v>127</v>
      </c>
      <c r="E100" s="27" t="s">
        <v>107</v>
      </c>
      <c r="F100" s="27" t="s">
        <v>230</v>
      </c>
      <c r="G100" s="27" t="s">
        <v>63</v>
      </c>
      <c r="H100" s="27">
        <v>60</v>
      </c>
      <c r="I100" s="27">
        <v>14</v>
      </c>
      <c r="J100" s="37">
        <v>-6.38E-4</v>
      </c>
      <c r="K100" s="27">
        <v>4</v>
      </c>
      <c r="L100" s="38">
        <v>-5.3899999999999998E-4</v>
      </c>
      <c r="M100" s="27" t="s">
        <v>65</v>
      </c>
      <c r="O100" s="27" t="s">
        <v>229</v>
      </c>
      <c r="P100" s="27">
        <v>65</v>
      </c>
      <c r="Q100" s="27" t="s">
        <v>127</v>
      </c>
      <c r="R100" s="27" t="s">
        <v>377</v>
      </c>
      <c r="S100" s="27" t="s">
        <v>230</v>
      </c>
      <c r="T100" s="27" t="s">
        <v>63</v>
      </c>
      <c r="U100" s="27">
        <v>10</v>
      </c>
      <c r="V100" s="27">
        <v>14</v>
      </c>
      <c r="W100" s="37">
        <v>-6.38E-4</v>
      </c>
      <c r="X100" s="27">
        <v>4</v>
      </c>
      <c r="Y100" s="38">
        <v>-5.3899999999999998E-4</v>
      </c>
      <c r="Z100" s="27" t="s">
        <v>65</v>
      </c>
    </row>
    <row r="101" spans="2:26" x14ac:dyDescent="0.2">
      <c r="B101" s="27" t="s">
        <v>229</v>
      </c>
      <c r="C101" s="27">
        <v>65</v>
      </c>
      <c r="D101" s="27" t="s">
        <v>127</v>
      </c>
      <c r="E101" s="27" t="s">
        <v>107</v>
      </c>
      <c r="F101" s="27" t="s">
        <v>231</v>
      </c>
      <c r="G101" s="27" t="s">
        <v>64</v>
      </c>
      <c r="H101" s="27">
        <v>60</v>
      </c>
      <c r="I101" s="27">
        <v>11</v>
      </c>
      <c r="J101" s="37">
        <v>-4.26E-4</v>
      </c>
      <c r="K101" s="27">
        <v>3</v>
      </c>
      <c r="L101" s="38">
        <v>-3.7100000000000002E-4</v>
      </c>
      <c r="M101" s="27" t="s">
        <v>65</v>
      </c>
      <c r="O101" s="27" t="s">
        <v>229</v>
      </c>
      <c r="P101" s="27">
        <v>65</v>
      </c>
      <c r="Q101" s="27" t="s">
        <v>127</v>
      </c>
      <c r="R101" s="27" t="s">
        <v>377</v>
      </c>
      <c r="S101" s="27" t="s">
        <v>231</v>
      </c>
      <c r="T101" s="27" t="s">
        <v>64</v>
      </c>
      <c r="U101" s="27">
        <v>10</v>
      </c>
      <c r="V101" s="27">
        <v>11</v>
      </c>
      <c r="W101" s="37">
        <v>-4.2700000000000002E-4</v>
      </c>
      <c r="X101" s="27">
        <v>3</v>
      </c>
      <c r="Y101" s="38">
        <v>-3.7100000000000002E-4</v>
      </c>
      <c r="Z101" s="27" t="s">
        <v>65</v>
      </c>
    </row>
    <row r="102" spans="2:26" x14ac:dyDescent="0.2">
      <c r="B102" s="27" t="s">
        <v>229</v>
      </c>
      <c r="C102" s="27">
        <v>77</v>
      </c>
      <c r="D102" s="27" t="s">
        <v>128</v>
      </c>
      <c r="E102" s="27" t="s">
        <v>107</v>
      </c>
      <c r="F102" s="27" t="s">
        <v>232</v>
      </c>
      <c r="G102" s="27" t="s">
        <v>63</v>
      </c>
      <c r="H102" s="27">
        <v>60</v>
      </c>
      <c r="I102" s="27">
        <v>15</v>
      </c>
      <c r="J102" s="37">
        <v>-2.23E-4</v>
      </c>
      <c r="K102" s="27">
        <v>6</v>
      </c>
      <c r="L102" s="38">
        <v>-2.23E-4</v>
      </c>
      <c r="M102" s="27" t="s">
        <v>65</v>
      </c>
      <c r="O102" s="27" t="s">
        <v>229</v>
      </c>
      <c r="P102" s="27">
        <v>77</v>
      </c>
      <c r="Q102" s="27" t="s">
        <v>128</v>
      </c>
      <c r="R102" s="27" t="s">
        <v>377</v>
      </c>
      <c r="S102" s="27" t="s">
        <v>232</v>
      </c>
      <c r="T102" s="27" t="s">
        <v>63</v>
      </c>
      <c r="U102" s="27">
        <v>10</v>
      </c>
      <c r="V102" s="27">
        <v>15</v>
      </c>
      <c r="W102" s="37">
        <v>-2.23E-4</v>
      </c>
      <c r="X102" s="27">
        <v>6</v>
      </c>
      <c r="Y102" s="38">
        <v>-2.22E-4</v>
      </c>
      <c r="Z102" s="27" t="s">
        <v>65</v>
      </c>
    </row>
    <row r="103" spans="2:26" x14ac:dyDescent="0.2">
      <c r="B103" s="27" t="s">
        <v>229</v>
      </c>
      <c r="C103" s="27">
        <v>77</v>
      </c>
      <c r="D103" s="27" t="s">
        <v>128</v>
      </c>
      <c r="E103" s="27" t="s">
        <v>107</v>
      </c>
      <c r="F103" s="27" t="s">
        <v>233</v>
      </c>
      <c r="G103" s="27" t="s">
        <v>64</v>
      </c>
      <c r="H103" s="27">
        <v>60</v>
      </c>
      <c r="I103" s="27">
        <v>22</v>
      </c>
      <c r="J103" s="37">
        <v>-2.0100000000000001E-4</v>
      </c>
      <c r="K103" s="27">
        <v>1</v>
      </c>
      <c r="L103" s="38">
        <v>-2.0100000000000001E-4</v>
      </c>
      <c r="M103" s="27" t="s">
        <v>65</v>
      </c>
      <c r="O103" s="27" t="s">
        <v>229</v>
      </c>
      <c r="P103" s="27">
        <v>77</v>
      </c>
      <c r="Q103" s="27" t="s">
        <v>128</v>
      </c>
      <c r="R103" s="27" t="s">
        <v>377</v>
      </c>
      <c r="S103" s="27" t="s">
        <v>233</v>
      </c>
      <c r="T103" s="27" t="s">
        <v>64</v>
      </c>
      <c r="U103" s="27">
        <v>10</v>
      </c>
      <c r="V103" s="27">
        <v>22</v>
      </c>
      <c r="W103" s="37">
        <v>-2.0100000000000001E-4</v>
      </c>
      <c r="X103" s="27">
        <v>1</v>
      </c>
      <c r="Y103" s="38">
        <v>-2.0100000000000001E-4</v>
      </c>
      <c r="Z103" s="27" t="s">
        <v>65</v>
      </c>
    </row>
    <row r="104" spans="2:26" x14ac:dyDescent="0.2">
      <c r="B104" s="27" t="s">
        <v>229</v>
      </c>
      <c r="C104" s="27">
        <v>73</v>
      </c>
      <c r="D104" s="27" t="s">
        <v>129</v>
      </c>
      <c r="E104" s="27" t="s">
        <v>107</v>
      </c>
      <c r="F104" s="27" t="s">
        <v>234</v>
      </c>
      <c r="G104" s="27" t="s">
        <v>63</v>
      </c>
      <c r="H104" s="27">
        <v>60</v>
      </c>
      <c r="I104" s="27">
        <v>18</v>
      </c>
      <c r="J104" s="37">
        <v>-3.1399999999999999E-4</v>
      </c>
      <c r="K104" s="27">
        <v>7</v>
      </c>
      <c r="L104" s="38">
        <v>-2.7E-4</v>
      </c>
      <c r="M104" s="27" t="s">
        <v>65</v>
      </c>
      <c r="O104" s="27" t="s">
        <v>229</v>
      </c>
      <c r="P104" s="27">
        <v>73</v>
      </c>
      <c r="Q104" s="27" t="s">
        <v>129</v>
      </c>
      <c r="R104" s="27" t="s">
        <v>377</v>
      </c>
      <c r="S104" s="27" t="s">
        <v>234</v>
      </c>
      <c r="T104" s="27" t="s">
        <v>63</v>
      </c>
      <c r="U104" s="27">
        <v>10</v>
      </c>
      <c r="V104" s="27">
        <v>18</v>
      </c>
      <c r="W104" s="37">
        <v>-3.1399999999999999E-4</v>
      </c>
      <c r="X104" s="27">
        <v>7</v>
      </c>
      <c r="Y104" s="38">
        <v>-2.7099999999999997E-4</v>
      </c>
      <c r="Z104" s="27" t="s">
        <v>65</v>
      </c>
    </row>
    <row r="105" spans="2:26" x14ac:dyDescent="0.2">
      <c r="B105" s="27" t="s">
        <v>229</v>
      </c>
      <c r="C105" s="27">
        <v>73</v>
      </c>
      <c r="D105" s="27" t="s">
        <v>129</v>
      </c>
      <c r="E105" s="27" t="s">
        <v>107</v>
      </c>
      <c r="F105" s="27" t="s">
        <v>235</v>
      </c>
      <c r="G105" s="27" t="s">
        <v>64</v>
      </c>
      <c r="H105" s="27">
        <v>60</v>
      </c>
      <c r="I105" s="27">
        <v>17</v>
      </c>
      <c r="J105" s="37">
        <v>-2.43E-4</v>
      </c>
      <c r="K105" s="27">
        <v>5</v>
      </c>
      <c r="L105" s="38">
        <v>-2.13E-4</v>
      </c>
      <c r="M105" s="27" t="s">
        <v>65</v>
      </c>
      <c r="O105" s="27" t="s">
        <v>229</v>
      </c>
      <c r="P105" s="27">
        <v>73</v>
      </c>
      <c r="Q105" s="27" t="s">
        <v>129</v>
      </c>
      <c r="R105" s="27" t="s">
        <v>377</v>
      </c>
      <c r="S105" s="27" t="s">
        <v>235</v>
      </c>
      <c r="T105" s="27" t="s">
        <v>64</v>
      </c>
      <c r="U105" s="27">
        <v>10</v>
      </c>
      <c r="V105" s="27">
        <v>17</v>
      </c>
      <c r="W105" s="37">
        <v>-2.43E-4</v>
      </c>
      <c r="X105" s="27">
        <v>5</v>
      </c>
      <c r="Y105" s="38">
        <v>-2.13E-4</v>
      </c>
      <c r="Z105" s="27" t="s">
        <v>65</v>
      </c>
    </row>
    <row r="106" spans="2:26" x14ac:dyDescent="0.2">
      <c r="B106" s="27" t="s">
        <v>229</v>
      </c>
      <c r="C106" s="27">
        <v>74</v>
      </c>
      <c r="D106" s="27" t="s">
        <v>129</v>
      </c>
      <c r="E106" s="27" t="s">
        <v>107</v>
      </c>
      <c r="F106" s="27" t="s">
        <v>236</v>
      </c>
      <c r="G106" s="27" t="s">
        <v>63</v>
      </c>
      <c r="H106" s="27">
        <v>60</v>
      </c>
      <c r="I106" s="27">
        <v>15</v>
      </c>
      <c r="J106" s="37">
        <v>-3.1399999999999999E-4</v>
      </c>
      <c r="K106" s="27">
        <v>11</v>
      </c>
      <c r="L106" s="38">
        <v>-2.7099999999999997E-4</v>
      </c>
      <c r="M106" s="27" t="s">
        <v>65</v>
      </c>
      <c r="O106" s="27" t="s">
        <v>229</v>
      </c>
      <c r="P106" s="27">
        <v>74</v>
      </c>
      <c r="Q106" s="27" t="s">
        <v>129</v>
      </c>
      <c r="R106" s="27" t="s">
        <v>377</v>
      </c>
      <c r="S106" s="27" t="s">
        <v>236</v>
      </c>
      <c r="T106" s="27" t="s">
        <v>63</v>
      </c>
      <c r="U106" s="27">
        <v>10</v>
      </c>
      <c r="V106" s="27">
        <v>15</v>
      </c>
      <c r="W106" s="37">
        <v>-3.1399999999999999E-4</v>
      </c>
      <c r="X106" s="27">
        <v>12</v>
      </c>
      <c r="Y106" s="38">
        <v>-2.7099999999999997E-4</v>
      </c>
      <c r="Z106" s="27" t="s">
        <v>65</v>
      </c>
    </row>
    <row r="107" spans="2:26" x14ac:dyDescent="0.2">
      <c r="B107" s="27" t="s">
        <v>229</v>
      </c>
      <c r="C107" s="27">
        <v>74</v>
      </c>
      <c r="D107" s="27" t="s">
        <v>129</v>
      </c>
      <c r="E107" s="27" t="s">
        <v>107</v>
      </c>
      <c r="F107" s="27" t="s">
        <v>237</v>
      </c>
      <c r="G107" s="27" t="s">
        <v>64</v>
      </c>
      <c r="H107" s="27">
        <v>60</v>
      </c>
      <c r="I107" s="27">
        <v>22</v>
      </c>
      <c r="J107" s="37">
        <v>-2.43E-4</v>
      </c>
      <c r="K107" s="27">
        <v>1</v>
      </c>
      <c r="L107" s="38">
        <v>-2.13E-4</v>
      </c>
      <c r="M107" s="27" t="s">
        <v>65</v>
      </c>
      <c r="O107" s="27" t="s">
        <v>229</v>
      </c>
      <c r="P107" s="27">
        <v>74</v>
      </c>
      <c r="Q107" s="27" t="s">
        <v>129</v>
      </c>
      <c r="R107" s="27" t="s">
        <v>377</v>
      </c>
      <c r="S107" s="27" t="s">
        <v>237</v>
      </c>
      <c r="T107" s="27" t="s">
        <v>64</v>
      </c>
      <c r="U107" s="27">
        <v>10</v>
      </c>
      <c r="V107" s="27">
        <v>22</v>
      </c>
      <c r="W107" s="37">
        <v>-2.43E-4</v>
      </c>
      <c r="X107" s="27">
        <v>1</v>
      </c>
      <c r="Y107" s="38">
        <v>-2.13E-4</v>
      </c>
      <c r="Z107" s="27" t="s">
        <v>65</v>
      </c>
    </row>
    <row r="108" spans="2:26" x14ac:dyDescent="0.2">
      <c r="B108" s="27" t="s">
        <v>229</v>
      </c>
      <c r="C108" s="27">
        <v>78</v>
      </c>
      <c r="D108" s="27" t="s">
        <v>128</v>
      </c>
      <c r="E108" s="27" t="s">
        <v>107</v>
      </c>
      <c r="F108" s="27" t="s">
        <v>238</v>
      </c>
      <c r="G108" s="27" t="s">
        <v>63</v>
      </c>
      <c r="H108" s="27">
        <v>60</v>
      </c>
      <c r="I108" s="27">
        <v>20</v>
      </c>
      <c r="J108" s="37">
        <v>-2.22E-4</v>
      </c>
      <c r="K108" s="27">
        <v>4</v>
      </c>
      <c r="L108" s="38">
        <v>-2.22E-4</v>
      </c>
      <c r="M108" s="27" t="s">
        <v>65</v>
      </c>
      <c r="O108" s="27" t="s">
        <v>229</v>
      </c>
      <c r="P108" s="27">
        <v>78</v>
      </c>
      <c r="Q108" s="27" t="s">
        <v>128</v>
      </c>
      <c r="R108" s="27" t="s">
        <v>377</v>
      </c>
      <c r="S108" s="27" t="s">
        <v>238</v>
      </c>
      <c r="T108" s="27" t="s">
        <v>63</v>
      </c>
      <c r="U108" s="27">
        <v>10</v>
      </c>
      <c r="V108" s="27">
        <v>20</v>
      </c>
      <c r="W108" s="37">
        <v>-2.22E-4</v>
      </c>
      <c r="X108" s="27">
        <v>4</v>
      </c>
      <c r="Y108" s="38">
        <v>-2.22E-4</v>
      </c>
      <c r="Z108" s="27" t="s">
        <v>65</v>
      </c>
    </row>
    <row r="109" spans="2:26" x14ac:dyDescent="0.2">
      <c r="B109" s="27" t="s">
        <v>229</v>
      </c>
      <c r="C109" s="27">
        <v>78</v>
      </c>
      <c r="D109" s="27" t="s">
        <v>128</v>
      </c>
      <c r="E109" s="27" t="s">
        <v>107</v>
      </c>
      <c r="F109" s="27" t="s">
        <v>239</v>
      </c>
      <c r="G109" s="27" t="s">
        <v>64</v>
      </c>
      <c r="H109" s="27">
        <v>60</v>
      </c>
      <c r="I109" s="27">
        <v>17</v>
      </c>
      <c r="J109" s="37">
        <v>-1.9900000000000001E-4</v>
      </c>
      <c r="K109" s="27">
        <v>3</v>
      </c>
      <c r="L109" s="38">
        <v>-1.9900000000000001E-4</v>
      </c>
      <c r="M109" s="27" t="s">
        <v>65</v>
      </c>
      <c r="O109" s="27" t="s">
        <v>229</v>
      </c>
      <c r="P109" s="27">
        <v>78</v>
      </c>
      <c r="Q109" s="27" t="s">
        <v>128</v>
      </c>
      <c r="R109" s="27" t="s">
        <v>377</v>
      </c>
      <c r="S109" s="27" t="s">
        <v>239</v>
      </c>
      <c r="T109" s="27" t="s">
        <v>64</v>
      </c>
      <c r="U109" s="27">
        <v>10</v>
      </c>
      <c r="V109" s="27">
        <v>17</v>
      </c>
      <c r="W109" s="37">
        <v>-2.0000000000000001E-4</v>
      </c>
      <c r="X109" s="27">
        <v>3</v>
      </c>
      <c r="Y109" s="38">
        <v>-2.0000000000000001E-4</v>
      </c>
      <c r="Z109" s="27" t="s">
        <v>65</v>
      </c>
    </row>
    <row r="110" spans="2:26" x14ac:dyDescent="0.2">
      <c r="B110" s="27" t="s">
        <v>229</v>
      </c>
      <c r="C110" s="27">
        <v>66</v>
      </c>
      <c r="D110" s="27" t="s">
        <v>127</v>
      </c>
      <c r="E110" s="27" t="s">
        <v>107</v>
      </c>
      <c r="F110" s="27" t="s">
        <v>240</v>
      </c>
      <c r="G110" s="27" t="s">
        <v>63</v>
      </c>
      <c r="H110" s="27">
        <v>60</v>
      </c>
      <c r="I110" s="27">
        <v>9</v>
      </c>
      <c r="J110" s="37">
        <v>-6.3599999999999996E-4</v>
      </c>
      <c r="K110" s="27">
        <v>6</v>
      </c>
      <c r="L110" s="38">
        <v>-5.3700000000000004E-4</v>
      </c>
      <c r="M110" s="27" t="s">
        <v>65</v>
      </c>
      <c r="O110" s="27" t="s">
        <v>229</v>
      </c>
      <c r="P110" s="27">
        <v>66</v>
      </c>
      <c r="Q110" s="27" t="s">
        <v>127</v>
      </c>
      <c r="R110" s="27" t="s">
        <v>377</v>
      </c>
      <c r="S110" s="27" t="s">
        <v>240</v>
      </c>
      <c r="T110" s="27" t="s">
        <v>63</v>
      </c>
      <c r="U110" s="27">
        <v>10</v>
      </c>
      <c r="V110" s="27">
        <v>9</v>
      </c>
      <c r="W110" s="37">
        <v>-6.3500000000000004E-4</v>
      </c>
      <c r="X110" s="27">
        <v>6</v>
      </c>
      <c r="Y110" s="38">
        <v>-5.3700000000000004E-4</v>
      </c>
      <c r="Z110" s="27" t="s">
        <v>65</v>
      </c>
    </row>
    <row r="111" spans="2:26" x14ac:dyDescent="0.2">
      <c r="B111" s="27" t="s">
        <v>229</v>
      </c>
      <c r="C111" s="27">
        <v>66</v>
      </c>
      <c r="D111" s="27" t="s">
        <v>127</v>
      </c>
      <c r="E111" s="27" t="s">
        <v>107</v>
      </c>
      <c r="F111" s="27" t="s">
        <v>241</v>
      </c>
      <c r="G111" s="27" t="s">
        <v>64</v>
      </c>
      <c r="H111" s="27">
        <v>60</v>
      </c>
      <c r="I111" s="27">
        <v>16</v>
      </c>
      <c r="J111" s="37">
        <v>-4.2299999999999998E-4</v>
      </c>
      <c r="K111" s="27">
        <v>1</v>
      </c>
      <c r="L111" s="38">
        <v>-3.68E-4</v>
      </c>
      <c r="M111" s="27" t="s">
        <v>65</v>
      </c>
      <c r="O111" s="27" t="s">
        <v>229</v>
      </c>
      <c r="P111" s="27">
        <v>66</v>
      </c>
      <c r="Q111" s="27" t="s">
        <v>127</v>
      </c>
      <c r="R111" s="27" t="s">
        <v>377</v>
      </c>
      <c r="S111" s="27" t="s">
        <v>241</v>
      </c>
      <c r="T111" s="27" t="s">
        <v>64</v>
      </c>
      <c r="U111" s="27">
        <v>10</v>
      </c>
      <c r="V111" s="27">
        <v>16</v>
      </c>
      <c r="W111" s="37">
        <v>-4.2200000000000001E-4</v>
      </c>
      <c r="X111" s="27">
        <v>1</v>
      </c>
      <c r="Y111" s="38">
        <v>-3.68E-4</v>
      </c>
      <c r="Z111" s="27" t="s">
        <v>65</v>
      </c>
    </row>
    <row r="112" spans="2:26" x14ac:dyDescent="0.2">
      <c r="B112" s="27" t="s">
        <v>229</v>
      </c>
      <c r="C112" s="27">
        <v>82</v>
      </c>
      <c r="D112" s="27" t="s">
        <v>128</v>
      </c>
      <c r="E112" s="27" t="s">
        <v>107</v>
      </c>
      <c r="F112" s="27" t="s">
        <v>242</v>
      </c>
      <c r="G112" s="27" t="s">
        <v>63</v>
      </c>
      <c r="H112" s="27">
        <v>60</v>
      </c>
      <c r="I112" s="27">
        <v>20</v>
      </c>
      <c r="J112" s="37">
        <v>-2.4000000000000001E-4</v>
      </c>
      <c r="K112" s="27">
        <v>4</v>
      </c>
      <c r="L112" s="38">
        <v>-2.2599999999999999E-4</v>
      </c>
      <c r="M112" s="27" t="s">
        <v>65</v>
      </c>
      <c r="O112" s="27" t="s">
        <v>229</v>
      </c>
      <c r="P112" s="27">
        <v>82</v>
      </c>
      <c r="Q112" s="27" t="s">
        <v>128</v>
      </c>
      <c r="R112" s="27" t="s">
        <v>377</v>
      </c>
      <c r="S112" s="27" t="s">
        <v>242</v>
      </c>
      <c r="T112" s="27" t="s">
        <v>63</v>
      </c>
      <c r="U112" s="27">
        <v>10</v>
      </c>
      <c r="V112" s="27">
        <v>20</v>
      </c>
      <c r="W112" s="37">
        <v>-2.4000000000000001E-4</v>
      </c>
      <c r="X112" s="27">
        <v>4</v>
      </c>
      <c r="Y112" s="38">
        <v>-2.2599999999999999E-4</v>
      </c>
      <c r="Z112" s="27" t="s">
        <v>65</v>
      </c>
    </row>
    <row r="113" spans="2:26" x14ac:dyDescent="0.2">
      <c r="B113" s="27" t="s">
        <v>229</v>
      </c>
      <c r="C113" s="27">
        <v>82</v>
      </c>
      <c r="D113" s="27" t="s">
        <v>128</v>
      </c>
      <c r="E113" s="27" t="s">
        <v>107</v>
      </c>
      <c r="F113" s="27" t="s">
        <v>243</v>
      </c>
      <c r="G113" s="27" t="s">
        <v>64</v>
      </c>
      <c r="H113" s="27">
        <v>60</v>
      </c>
      <c r="I113" s="27">
        <v>17</v>
      </c>
      <c r="J113" s="37">
        <v>-2.0900000000000001E-4</v>
      </c>
      <c r="K113" s="27">
        <v>3</v>
      </c>
      <c r="L113" s="38">
        <v>-1.9900000000000001E-4</v>
      </c>
      <c r="M113" s="27" t="s">
        <v>65</v>
      </c>
      <c r="O113" s="27" t="s">
        <v>229</v>
      </c>
      <c r="P113" s="27">
        <v>82</v>
      </c>
      <c r="Q113" s="27" t="s">
        <v>128</v>
      </c>
      <c r="R113" s="27" t="s">
        <v>377</v>
      </c>
      <c r="S113" s="27" t="s">
        <v>243</v>
      </c>
      <c r="T113" s="27" t="s">
        <v>64</v>
      </c>
      <c r="U113" s="27">
        <v>10</v>
      </c>
      <c r="V113" s="27">
        <v>17</v>
      </c>
      <c r="W113" s="37">
        <v>-2.0900000000000001E-4</v>
      </c>
      <c r="X113" s="27">
        <v>3</v>
      </c>
      <c r="Y113" s="38">
        <v>-1.9900000000000001E-4</v>
      </c>
      <c r="Z113" s="27" t="s">
        <v>65</v>
      </c>
    </row>
    <row r="114" spans="2:26" x14ac:dyDescent="0.2">
      <c r="B114" s="27" t="s">
        <v>229</v>
      </c>
      <c r="C114" s="27">
        <v>67</v>
      </c>
      <c r="D114" s="27" t="s">
        <v>129</v>
      </c>
      <c r="E114" s="27" t="s">
        <v>107</v>
      </c>
      <c r="F114" s="27" t="s">
        <v>244</v>
      </c>
      <c r="G114" s="27" t="s">
        <v>63</v>
      </c>
      <c r="H114" s="27">
        <v>60</v>
      </c>
      <c r="I114" s="27">
        <v>15</v>
      </c>
      <c r="J114" s="37">
        <v>-2.9399999999999999E-4</v>
      </c>
      <c r="K114" s="27">
        <v>12</v>
      </c>
      <c r="L114" s="38">
        <v>-2.63E-4</v>
      </c>
      <c r="M114" s="27" t="s">
        <v>65</v>
      </c>
      <c r="O114" s="27" t="s">
        <v>229</v>
      </c>
      <c r="P114" s="27">
        <v>67</v>
      </c>
      <c r="Q114" s="27" t="s">
        <v>129</v>
      </c>
      <c r="R114" s="27" t="s">
        <v>377</v>
      </c>
      <c r="S114" s="27" t="s">
        <v>244</v>
      </c>
      <c r="T114" s="27" t="s">
        <v>63</v>
      </c>
      <c r="U114" s="27">
        <v>10</v>
      </c>
      <c r="V114" s="27">
        <v>15</v>
      </c>
      <c r="W114" s="37">
        <v>-2.9399999999999999E-4</v>
      </c>
      <c r="X114" s="27">
        <v>9</v>
      </c>
      <c r="Y114" s="38">
        <v>-2.6200000000000003E-4</v>
      </c>
      <c r="Z114" s="27" t="s">
        <v>65</v>
      </c>
    </row>
    <row r="115" spans="2:26" x14ac:dyDescent="0.2">
      <c r="B115" s="27" t="s">
        <v>229</v>
      </c>
      <c r="C115" s="27">
        <v>67</v>
      </c>
      <c r="D115" s="27" t="s">
        <v>129</v>
      </c>
      <c r="E115" s="27" t="s">
        <v>107</v>
      </c>
      <c r="F115" s="27" t="s">
        <v>245</v>
      </c>
      <c r="G115" s="27" t="s">
        <v>64</v>
      </c>
      <c r="H115" s="27">
        <v>60</v>
      </c>
      <c r="I115" s="27">
        <v>22</v>
      </c>
      <c r="J115" s="37">
        <v>-2.42E-4</v>
      </c>
      <c r="K115" s="27">
        <v>1</v>
      </c>
      <c r="L115" s="38">
        <v>-2.1900000000000001E-4</v>
      </c>
      <c r="M115" s="27" t="s">
        <v>65</v>
      </c>
      <c r="O115" s="27" t="s">
        <v>229</v>
      </c>
      <c r="P115" s="27">
        <v>67</v>
      </c>
      <c r="Q115" s="27" t="s">
        <v>129</v>
      </c>
      <c r="R115" s="27" t="s">
        <v>377</v>
      </c>
      <c r="S115" s="27" t="s">
        <v>245</v>
      </c>
      <c r="T115" s="27" t="s">
        <v>64</v>
      </c>
      <c r="U115" s="27">
        <v>10</v>
      </c>
      <c r="V115" s="27">
        <v>19</v>
      </c>
      <c r="W115" s="37">
        <v>-2.41E-4</v>
      </c>
      <c r="X115" s="27">
        <v>1</v>
      </c>
      <c r="Y115" s="38">
        <v>-2.1900000000000001E-4</v>
      </c>
      <c r="Z115" s="27" t="s">
        <v>65</v>
      </c>
    </row>
    <row r="116" spans="2:26" x14ac:dyDescent="0.2">
      <c r="B116" s="27" t="s">
        <v>229</v>
      </c>
      <c r="C116" s="27">
        <v>85</v>
      </c>
      <c r="D116" s="27" t="s">
        <v>128</v>
      </c>
      <c r="E116" s="27" t="s">
        <v>107</v>
      </c>
      <c r="F116" s="27" t="s">
        <v>246</v>
      </c>
      <c r="G116" s="27" t="s">
        <v>63</v>
      </c>
      <c r="H116" s="27">
        <v>60</v>
      </c>
      <c r="I116" s="27">
        <v>20</v>
      </c>
      <c r="J116" s="37">
        <v>-2.33E-4</v>
      </c>
      <c r="K116" s="27">
        <v>4</v>
      </c>
      <c r="L116" s="38">
        <v>-2.33E-4</v>
      </c>
      <c r="M116" s="27" t="s">
        <v>65</v>
      </c>
      <c r="O116" s="27" t="s">
        <v>229</v>
      </c>
      <c r="P116" s="27">
        <v>85</v>
      </c>
      <c r="Q116" s="27" t="s">
        <v>128</v>
      </c>
      <c r="R116" s="27" t="s">
        <v>377</v>
      </c>
      <c r="S116" s="27" t="s">
        <v>246</v>
      </c>
      <c r="T116" s="27" t="s">
        <v>63</v>
      </c>
      <c r="U116" s="27">
        <v>10</v>
      </c>
      <c r="V116" s="27">
        <v>20</v>
      </c>
      <c r="W116" s="37">
        <v>-2.33E-4</v>
      </c>
      <c r="X116" s="27">
        <v>4</v>
      </c>
      <c r="Y116" s="38">
        <v>-2.33E-4</v>
      </c>
      <c r="Z116" s="27" t="s">
        <v>65</v>
      </c>
    </row>
    <row r="117" spans="2:26" x14ac:dyDescent="0.2">
      <c r="B117" s="27" t="s">
        <v>229</v>
      </c>
      <c r="C117" s="27">
        <v>85</v>
      </c>
      <c r="D117" s="27" t="s">
        <v>128</v>
      </c>
      <c r="E117" s="27" t="s">
        <v>107</v>
      </c>
      <c r="F117" s="27" t="s">
        <v>247</v>
      </c>
      <c r="G117" s="27" t="s">
        <v>64</v>
      </c>
      <c r="H117" s="27">
        <v>60</v>
      </c>
      <c r="I117" s="27">
        <v>17</v>
      </c>
      <c r="J117" s="37">
        <v>-2.1599999999999999E-4</v>
      </c>
      <c r="K117" s="27">
        <v>3</v>
      </c>
      <c r="L117" s="38">
        <v>-2.1599999999999999E-4</v>
      </c>
      <c r="M117" s="27" t="s">
        <v>65</v>
      </c>
      <c r="O117" s="27" t="s">
        <v>229</v>
      </c>
      <c r="P117" s="27">
        <v>85</v>
      </c>
      <c r="Q117" s="27" t="s">
        <v>128</v>
      </c>
      <c r="R117" s="27" t="s">
        <v>377</v>
      </c>
      <c r="S117" s="27" t="s">
        <v>247</v>
      </c>
      <c r="T117" s="27" t="s">
        <v>64</v>
      </c>
      <c r="U117" s="27">
        <v>10</v>
      </c>
      <c r="V117" s="27">
        <v>17</v>
      </c>
      <c r="W117" s="37">
        <v>-2.1599999999999999E-4</v>
      </c>
      <c r="X117" s="27">
        <v>3</v>
      </c>
      <c r="Y117" s="38">
        <v>-2.1599999999999999E-4</v>
      </c>
      <c r="Z117" s="27" t="s">
        <v>65</v>
      </c>
    </row>
    <row r="118" spans="2:26" x14ac:dyDescent="0.2">
      <c r="B118" s="27" t="s">
        <v>229</v>
      </c>
      <c r="C118" s="27">
        <v>86</v>
      </c>
      <c r="D118" s="27" t="s">
        <v>128</v>
      </c>
      <c r="E118" s="27" t="s">
        <v>107</v>
      </c>
      <c r="F118" s="27" t="s">
        <v>248</v>
      </c>
      <c r="G118" s="27" t="s">
        <v>63</v>
      </c>
      <c r="H118" s="27">
        <v>60</v>
      </c>
      <c r="I118" s="27">
        <v>15</v>
      </c>
      <c r="J118" s="37">
        <v>-2.33E-4</v>
      </c>
      <c r="K118" s="27">
        <v>6</v>
      </c>
      <c r="L118" s="38">
        <v>-2.33E-4</v>
      </c>
      <c r="M118" s="27" t="s">
        <v>65</v>
      </c>
      <c r="O118" s="27" t="s">
        <v>229</v>
      </c>
      <c r="P118" s="27">
        <v>86</v>
      </c>
      <c r="Q118" s="27" t="s">
        <v>128</v>
      </c>
      <c r="R118" s="27" t="s">
        <v>377</v>
      </c>
      <c r="S118" s="27" t="s">
        <v>248</v>
      </c>
      <c r="T118" s="27" t="s">
        <v>63</v>
      </c>
      <c r="U118" s="27">
        <v>10</v>
      </c>
      <c r="V118" s="27">
        <v>15</v>
      </c>
      <c r="W118" s="37">
        <v>-2.33E-4</v>
      </c>
      <c r="X118" s="27">
        <v>6</v>
      </c>
      <c r="Y118" s="38">
        <v>-2.33E-4</v>
      </c>
      <c r="Z118" s="27" t="s">
        <v>65</v>
      </c>
    </row>
    <row r="119" spans="2:26" x14ac:dyDescent="0.2">
      <c r="B119" s="27" t="s">
        <v>229</v>
      </c>
      <c r="C119" s="27">
        <v>86</v>
      </c>
      <c r="D119" s="27" t="s">
        <v>128</v>
      </c>
      <c r="E119" s="27" t="s">
        <v>107</v>
      </c>
      <c r="F119" s="27" t="s">
        <v>249</v>
      </c>
      <c r="G119" s="27" t="s">
        <v>64</v>
      </c>
      <c r="H119" s="27">
        <v>60</v>
      </c>
      <c r="I119" s="27">
        <v>22</v>
      </c>
      <c r="J119" s="37">
        <v>-2.1599999999999999E-4</v>
      </c>
      <c r="K119" s="27">
        <v>1</v>
      </c>
      <c r="L119" s="38">
        <v>-2.1599999999999999E-4</v>
      </c>
      <c r="M119" s="27" t="s">
        <v>65</v>
      </c>
      <c r="O119" s="27" t="s">
        <v>229</v>
      </c>
      <c r="P119" s="27">
        <v>86</v>
      </c>
      <c r="Q119" s="27" t="s">
        <v>128</v>
      </c>
      <c r="R119" s="27" t="s">
        <v>377</v>
      </c>
      <c r="S119" s="27" t="s">
        <v>249</v>
      </c>
      <c r="T119" s="27" t="s">
        <v>64</v>
      </c>
      <c r="U119" s="27">
        <v>10</v>
      </c>
      <c r="V119" s="27">
        <v>22</v>
      </c>
      <c r="W119" s="37">
        <v>-2.1599999999999999E-4</v>
      </c>
      <c r="X119" s="27">
        <v>1</v>
      </c>
      <c r="Y119" s="38">
        <v>-2.1599999999999999E-4</v>
      </c>
      <c r="Z119" s="27" t="s">
        <v>65</v>
      </c>
    </row>
    <row r="120" spans="2:26" x14ac:dyDescent="0.2">
      <c r="B120" s="27" t="s">
        <v>229</v>
      </c>
      <c r="C120" s="27">
        <v>69</v>
      </c>
      <c r="D120" s="27" t="s">
        <v>129</v>
      </c>
      <c r="E120" s="27" t="s">
        <v>107</v>
      </c>
      <c r="F120" s="27" t="s">
        <v>250</v>
      </c>
      <c r="G120" s="27" t="s">
        <v>63</v>
      </c>
      <c r="H120" s="27">
        <v>60</v>
      </c>
      <c r="I120" s="27">
        <v>20</v>
      </c>
      <c r="J120" s="37">
        <v>-2.9399999999999999E-4</v>
      </c>
      <c r="K120" s="27">
        <v>7</v>
      </c>
      <c r="L120" s="38">
        <v>-2.6200000000000003E-4</v>
      </c>
      <c r="M120" s="27" t="s">
        <v>65</v>
      </c>
      <c r="O120" s="27" t="s">
        <v>229</v>
      </c>
      <c r="P120" s="27">
        <v>69</v>
      </c>
      <c r="Q120" s="27" t="s">
        <v>129</v>
      </c>
      <c r="R120" s="27" t="s">
        <v>377</v>
      </c>
      <c r="S120" s="27" t="s">
        <v>250</v>
      </c>
      <c r="T120" s="27" t="s">
        <v>63</v>
      </c>
      <c r="U120" s="27">
        <v>10</v>
      </c>
      <c r="V120" s="27">
        <v>20</v>
      </c>
      <c r="W120" s="37">
        <v>-2.9399999999999999E-4</v>
      </c>
      <c r="X120" s="27">
        <v>7</v>
      </c>
      <c r="Y120" s="38">
        <v>-2.6200000000000003E-4</v>
      </c>
      <c r="Z120" s="27" t="s">
        <v>65</v>
      </c>
    </row>
    <row r="121" spans="2:26" x14ac:dyDescent="0.2">
      <c r="B121" s="27" t="s">
        <v>229</v>
      </c>
      <c r="C121" s="27">
        <v>69</v>
      </c>
      <c r="D121" s="27" t="s">
        <v>129</v>
      </c>
      <c r="E121" s="27" t="s">
        <v>107</v>
      </c>
      <c r="F121" s="27" t="s">
        <v>251</v>
      </c>
      <c r="G121" s="27" t="s">
        <v>64</v>
      </c>
      <c r="H121" s="27">
        <v>60</v>
      </c>
      <c r="I121" s="27">
        <v>17</v>
      </c>
      <c r="J121" s="37">
        <v>-2.42E-4</v>
      </c>
      <c r="K121" s="27">
        <v>1</v>
      </c>
      <c r="L121" s="38">
        <v>-2.1900000000000001E-4</v>
      </c>
      <c r="M121" s="27" t="s">
        <v>65</v>
      </c>
      <c r="O121" s="27" t="s">
        <v>229</v>
      </c>
      <c r="P121" s="27">
        <v>69</v>
      </c>
      <c r="Q121" s="27" t="s">
        <v>129</v>
      </c>
      <c r="R121" s="27" t="s">
        <v>377</v>
      </c>
      <c r="S121" s="27" t="s">
        <v>251</v>
      </c>
      <c r="T121" s="27" t="s">
        <v>64</v>
      </c>
      <c r="U121" s="27">
        <v>10</v>
      </c>
      <c r="V121" s="27">
        <v>17</v>
      </c>
      <c r="W121" s="37">
        <v>-2.42E-4</v>
      </c>
      <c r="X121" s="27">
        <v>6</v>
      </c>
      <c r="Y121" s="38">
        <v>-2.2000000000000001E-4</v>
      </c>
      <c r="Z121" s="27" t="s">
        <v>65</v>
      </c>
    </row>
    <row r="122" spans="2:26" x14ac:dyDescent="0.2">
      <c r="B122" s="27" t="s">
        <v>229</v>
      </c>
      <c r="C122" s="27">
        <v>80</v>
      </c>
      <c r="D122" s="27" t="s">
        <v>128</v>
      </c>
      <c r="E122" s="27" t="s">
        <v>107</v>
      </c>
      <c r="F122" s="27" t="s">
        <v>252</v>
      </c>
      <c r="G122" s="27" t="s">
        <v>63</v>
      </c>
      <c r="H122" s="27">
        <v>60</v>
      </c>
      <c r="I122" s="27">
        <v>15</v>
      </c>
      <c r="J122" s="37">
        <v>-2.4000000000000001E-4</v>
      </c>
      <c r="K122" s="27">
        <v>6</v>
      </c>
      <c r="L122" s="38">
        <v>-2.2499999999999999E-4</v>
      </c>
      <c r="M122" s="27" t="s">
        <v>65</v>
      </c>
      <c r="O122" s="27" t="s">
        <v>229</v>
      </c>
      <c r="P122" s="27">
        <v>80</v>
      </c>
      <c r="Q122" s="27" t="s">
        <v>128</v>
      </c>
      <c r="R122" s="27" t="s">
        <v>377</v>
      </c>
      <c r="S122" s="27" t="s">
        <v>252</v>
      </c>
      <c r="T122" s="27" t="s">
        <v>63</v>
      </c>
      <c r="U122" s="27">
        <v>10</v>
      </c>
      <c r="V122" s="27">
        <v>15</v>
      </c>
      <c r="W122" s="37">
        <v>-2.3900000000000001E-4</v>
      </c>
      <c r="X122" s="27">
        <v>6</v>
      </c>
      <c r="Y122" s="38">
        <v>-2.2499999999999999E-4</v>
      </c>
      <c r="Z122" s="27" t="s">
        <v>65</v>
      </c>
    </row>
    <row r="123" spans="2:26" x14ac:dyDescent="0.2">
      <c r="B123" s="27" t="s">
        <v>229</v>
      </c>
      <c r="C123" s="27">
        <v>80</v>
      </c>
      <c r="D123" s="27" t="s">
        <v>128</v>
      </c>
      <c r="E123" s="27" t="s">
        <v>107</v>
      </c>
      <c r="F123" s="27" t="s">
        <v>253</v>
      </c>
      <c r="G123" s="27" t="s">
        <v>64</v>
      </c>
      <c r="H123" s="27">
        <v>60</v>
      </c>
      <c r="I123" s="27">
        <v>22</v>
      </c>
      <c r="J123" s="37">
        <v>-2.0900000000000001E-4</v>
      </c>
      <c r="K123" s="27">
        <v>1</v>
      </c>
      <c r="L123" s="38">
        <v>-1.9900000000000001E-4</v>
      </c>
      <c r="M123" s="27" t="s">
        <v>65</v>
      </c>
      <c r="O123" s="27" t="s">
        <v>229</v>
      </c>
      <c r="P123" s="27">
        <v>80</v>
      </c>
      <c r="Q123" s="27" t="s">
        <v>128</v>
      </c>
      <c r="R123" s="27" t="s">
        <v>377</v>
      </c>
      <c r="S123" s="27" t="s">
        <v>253</v>
      </c>
      <c r="T123" s="27" t="s">
        <v>64</v>
      </c>
      <c r="U123" s="27">
        <v>10</v>
      </c>
      <c r="V123" s="27">
        <v>22</v>
      </c>
      <c r="W123" s="37">
        <v>-2.0900000000000001E-4</v>
      </c>
      <c r="X123" s="27">
        <v>1</v>
      </c>
      <c r="Y123" s="38">
        <v>-1.9900000000000001E-4</v>
      </c>
      <c r="Z123" s="27" t="s">
        <v>65</v>
      </c>
    </row>
    <row r="124" spans="2:26" x14ac:dyDescent="0.2">
      <c r="B124" s="27" t="s">
        <v>229</v>
      </c>
      <c r="C124" s="27">
        <v>81</v>
      </c>
      <c r="D124" s="27" t="s">
        <v>128</v>
      </c>
      <c r="E124" s="27" t="s">
        <v>107</v>
      </c>
      <c r="F124" s="27" t="s">
        <v>254</v>
      </c>
      <c r="G124" s="27" t="s">
        <v>63</v>
      </c>
      <c r="H124" s="27">
        <v>60</v>
      </c>
      <c r="I124" s="27">
        <v>20</v>
      </c>
      <c r="J124" s="37">
        <v>-2.4399999999999999E-4</v>
      </c>
      <c r="K124" s="27">
        <v>4</v>
      </c>
      <c r="L124" s="38">
        <v>-2.3000000000000001E-4</v>
      </c>
      <c r="M124" s="27" t="s">
        <v>65</v>
      </c>
      <c r="O124" s="27" t="s">
        <v>229</v>
      </c>
      <c r="P124" s="27">
        <v>81</v>
      </c>
      <c r="Q124" s="27" t="s">
        <v>128</v>
      </c>
      <c r="R124" s="27" t="s">
        <v>377</v>
      </c>
      <c r="S124" s="27" t="s">
        <v>254</v>
      </c>
      <c r="T124" s="27" t="s">
        <v>63</v>
      </c>
      <c r="U124" s="27">
        <v>10</v>
      </c>
      <c r="V124" s="27">
        <v>20</v>
      </c>
      <c r="W124" s="37">
        <v>-2.4399999999999999E-4</v>
      </c>
      <c r="X124" s="27">
        <v>4</v>
      </c>
      <c r="Y124" s="38">
        <v>-2.3000000000000001E-4</v>
      </c>
      <c r="Z124" s="27" t="s">
        <v>65</v>
      </c>
    </row>
    <row r="125" spans="2:26" x14ac:dyDescent="0.2">
      <c r="B125" s="27" t="s">
        <v>229</v>
      </c>
      <c r="C125" s="27">
        <v>81</v>
      </c>
      <c r="D125" s="27" t="s">
        <v>128</v>
      </c>
      <c r="E125" s="27" t="s">
        <v>107</v>
      </c>
      <c r="F125" s="27" t="s">
        <v>255</v>
      </c>
      <c r="G125" s="27" t="s">
        <v>64</v>
      </c>
      <c r="H125" s="27">
        <v>60</v>
      </c>
      <c r="I125" s="27">
        <v>17</v>
      </c>
      <c r="J125" s="37">
        <v>-2.12E-4</v>
      </c>
      <c r="K125" s="27">
        <v>3</v>
      </c>
      <c r="L125" s="38">
        <v>-2.02E-4</v>
      </c>
      <c r="M125" s="27" t="s">
        <v>65</v>
      </c>
      <c r="O125" s="27" t="s">
        <v>229</v>
      </c>
      <c r="P125" s="27">
        <v>81</v>
      </c>
      <c r="Q125" s="27" t="s">
        <v>128</v>
      </c>
      <c r="R125" s="27" t="s">
        <v>377</v>
      </c>
      <c r="S125" s="27" t="s">
        <v>255</v>
      </c>
      <c r="T125" s="27" t="s">
        <v>64</v>
      </c>
      <c r="U125" s="27">
        <v>10</v>
      </c>
      <c r="V125" s="27">
        <v>17</v>
      </c>
      <c r="W125" s="37">
        <v>-2.12E-4</v>
      </c>
      <c r="X125" s="27">
        <v>3</v>
      </c>
      <c r="Y125" s="38">
        <v>-2.02E-4</v>
      </c>
      <c r="Z125" s="27" t="s">
        <v>65</v>
      </c>
    </row>
    <row r="126" spans="2:26" x14ac:dyDescent="0.2">
      <c r="B126" s="27" t="s">
        <v>229</v>
      </c>
      <c r="C126" s="27">
        <v>68</v>
      </c>
      <c r="D126" s="27" t="s">
        <v>129</v>
      </c>
      <c r="E126" s="27" t="s">
        <v>107</v>
      </c>
      <c r="F126" s="27" t="s">
        <v>256</v>
      </c>
      <c r="G126" s="27" t="s">
        <v>63</v>
      </c>
      <c r="H126" s="27">
        <v>60</v>
      </c>
      <c r="I126" s="27">
        <v>15</v>
      </c>
      <c r="J126" s="37">
        <v>-2.9399999999999999E-4</v>
      </c>
      <c r="K126" s="27">
        <v>11</v>
      </c>
      <c r="L126" s="38">
        <v>-2.63E-4</v>
      </c>
      <c r="M126" s="27" t="s">
        <v>65</v>
      </c>
      <c r="O126" s="27" t="s">
        <v>229</v>
      </c>
      <c r="P126" s="27">
        <v>68</v>
      </c>
      <c r="Q126" s="27" t="s">
        <v>129</v>
      </c>
      <c r="R126" s="27" t="s">
        <v>377</v>
      </c>
      <c r="S126" s="27" t="s">
        <v>256</v>
      </c>
      <c r="T126" s="27" t="s">
        <v>63</v>
      </c>
      <c r="U126" s="27">
        <v>10</v>
      </c>
      <c r="V126" s="27">
        <v>15</v>
      </c>
      <c r="W126" s="37">
        <v>-2.9399999999999999E-4</v>
      </c>
      <c r="X126" s="27">
        <v>11</v>
      </c>
      <c r="Y126" s="38">
        <v>-2.63E-4</v>
      </c>
      <c r="Z126" s="27" t="s">
        <v>65</v>
      </c>
    </row>
    <row r="127" spans="2:26" x14ac:dyDescent="0.2">
      <c r="B127" s="27" t="s">
        <v>229</v>
      </c>
      <c r="C127" s="27">
        <v>68</v>
      </c>
      <c r="D127" s="27" t="s">
        <v>129</v>
      </c>
      <c r="E127" s="27" t="s">
        <v>107</v>
      </c>
      <c r="F127" s="27" t="s">
        <v>257</v>
      </c>
      <c r="G127" s="27" t="s">
        <v>64</v>
      </c>
      <c r="H127" s="27">
        <v>60</v>
      </c>
      <c r="I127" s="27">
        <v>19</v>
      </c>
      <c r="J127" s="37">
        <v>-2.42E-4</v>
      </c>
      <c r="K127" s="27">
        <v>1</v>
      </c>
      <c r="L127" s="38">
        <v>-2.2000000000000001E-4</v>
      </c>
      <c r="M127" s="27" t="s">
        <v>65</v>
      </c>
      <c r="O127" s="27" t="s">
        <v>229</v>
      </c>
      <c r="P127" s="27">
        <v>68</v>
      </c>
      <c r="Q127" s="27" t="s">
        <v>129</v>
      </c>
      <c r="R127" s="27" t="s">
        <v>377</v>
      </c>
      <c r="S127" s="27" t="s">
        <v>257</v>
      </c>
      <c r="T127" s="27" t="s">
        <v>64</v>
      </c>
      <c r="U127" s="27">
        <v>10</v>
      </c>
      <c r="V127" s="27">
        <v>17</v>
      </c>
      <c r="W127" s="37">
        <v>-2.42E-4</v>
      </c>
      <c r="X127" s="27">
        <v>1</v>
      </c>
      <c r="Y127" s="38">
        <v>-2.2000000000000001E-4</v>
      </c>
      <c r="Z127" s="27" t="s">
        <v>65</v>
      </c>
    </row>
    <row r="128" spans="2:26" x14ac:dyDescent="0.2">
      <c r="B128" s="27" t="s">
        <v>229</v>
      </c>
      <c r="C128" s="27">
        <v>83</v>
      </c>
      <c r="D128" s="27" t="s">
        <v>128</v>
      </c>
      <c r="E128" s="27" t="s">
        <v>107</v>
      </c>
      <c r="F128" s="27" t="s">
        <v>258</v>
      </c>
      <c r="G128" s="27" t="s">
        <v>63</v>
      </c>
      <c r="H128" s="27">
        <v>60</v>
      </c>
      <c r="I128" s="27">
        <v>20</v>
      </c>
      <c r="J128" s="37">
        <v>-2.31E-4</v>
      </c>
      <c r="K128" s="27">
        <v>4</v>
      </c>
      <c r="L128" s="38">
        <v>-2.31E-4</v>
      </c>
      <c r="M128" s="27" t="s">
        <v>65</v>
      </c>
      <c r="O128" s="27" t="s">
        <v>229</v>
      </c>
      <c r="P128" s="27">
        <v>83</v>
      </c>
      <c r="Q128" s="27" t="s">
        <v>128</v>
      </c>
      <c r="R128" s="27" t="s">
        <v>377</v>
      </c>
      <c r="S128" s="27" t="s">
        <v>258</v>
      </c>
      <c r="T128" s="27" t="s">
        <v>63</v>
      </c>
      <c r="U128" s="27">
        <v>10</v>
      </c>
      <c r="V128" s="27">
        <v>20</v>
      </c>
      <c r="W128" s="37">
        <v>-2.31E-4</v>
      </c>
      <c r="X128" s="27">
        <v>4</v>
      </c>
      <c r="Y128" s="38">
        <v>-2.31E-4</v>
      </c>
      <c r="Z128" s="27" t="s">
        <v>65</v>
      </c>
    </row>
    <row r="129" spans="2:26" x14ac:dyDescent="0.2">
      <c r="B129" s="27" t="s">
        <v>229</v>
      </c>
      <c r="C129" s="27">
        <v>83</v>
      </c>
      <c r="D129" s="27" t="s">
        <v>128</v>
      </c>
      <c r="E129" s="27" t="s">
        <v>107</v>
      </c>
      <c r="F129" s="27" t="s">
        <v>259</v>
      </c>
      <c r="G129" s="27" t="s">
        <v>64</v>
      </c>
      <c r="H129" s="27">
        <v>60</v>
      </c>
      <c r="I129" s="27">
        <v>17</v>
      </c>
      <c r="J129" s="37">
        <v>-2.1499999999999999E-4</v>
      </c>
      <c r="K129" s="27">
        <v>3</v>
      </c>
      <c r="L129" s="38">
        <v>-2.1499999999999999E-4</v>
      </c>
      <c r="M129" s="27" t="s">
        <v>65</v>
      </c>
      <c r="O129" s="27" t="s">
        <v>229</v>
      </c>
      <c r="P129" s="27">
        <v>83</v>
      </c>
      <c r="Q129" s="27" t="s">
        <v>128</v>
      </c>
      <c r="R129" s="27" t="s">
        <v>377</v>
      </c>
      <c r="S129" s="27" t="s">
        <v>259</v>
      </c>
      <c r="T129" s="27" t="s">
        <v>64</v>
      </c>
      <c r="U129" s="27">
        <v>10</v>
      </c>
      <c r="V129" s="27">
        <v>17</v>
      </c>
      <c r="W129" s="37">
        <v>-2.1499999999999999E-4</v>
      </c>
      <c r="X129" s="27">
        <v>3</v>
      </c>
      <c r="Y129" s="38">
        <v>-2.1499999999999999E-4</v>
      </c>
      <c r="Z129" s="27" t="s">
        <v>65</v>
      </c>
    </row>
    <row r="130" spans="2:26" x14ac:dyDescent="0.2">
      <c r="B130" s="27" t="s">
        <v>229</v>
      </c>
      <c r="C130" s="27">
        <v>84</v>
      </c>
      <c r="D130" s="27" t="s">
        <v>128</v>
      </c>
      <c r="E130" s="27" t="s">
        <v>107</v>
      </c>
      <c r="F130" s="27" t="s">
        <v>260</v>
      </c>
      <c r="G130" s="27" t="s">
        <v>63</v>
      </c>
      <c r="H130" s="27">
        <v>60</v>
      </c>
      <c r="I130" s="27">
        <v>15</v>
      </c>
      <c r="J130" s="37">
        <v>-2.31E-4</v>
      </c>
      <c r="K130" s="27">
        <v>6</v>
      </c>
      <c r="L130" s="38">
        <v>-2.31E-4</v>
      </c>
      <c r="M130" s="27" t="s">
        <v>65</v>
      </c>
      <c r="O130" s="27" t="s">
        <v>229</v>
      </c>
      <c r="P130" s="27">
        <v>84</v>
      </c>
      <c r="Q130" s="27" t="s">
        <v>128</v>
      </c>
      <c r="R130" s="27" t="s">
        <v>377</v>
      </c>
      <c r="S130" s="27" t="s">
        <v>260</v>
      </c>
      <c r="T130" s="27" t="s">
        <v>63</v>
      </c>
      <c r="U130" s="27">
        <v>10</v>
      </c>
      <c r="V130" s="27">
        <v>15</v>
      </c>
      <c r="W130" s="37">
        <v>-2.3000000000000001E-4</v>
      </c>
      <c r="X130" s="27">
        <v>6</v>
      </c>
      <c r="Y130" s="38">
        <v>-2.31E-4</v>
      </c>
      <c r="Z130" s="27" t="s">
        <v>65</v>
      </c>
    </row>
    <row r="131" spans="2:26" x14ac:dyDescent="0.2">
      <c r="B131" s="27" t="s">
        <v>229</v>
      </c>
      <c r="C131" s="27">
        <v>84</v>
      </c>
      <c r="D131" s="27" t="s">
        <v>128</v>
      </c>
      <c r="E131" s="27" t="s">
        <v>107</v>
      </c>
      <c r="F131" s="27" t="s">
        <v>261</v>
      </c>
      <c r="G131" s="27" t="s">
        <v>64</v>
      </c>
      <c r="H131" s="27">
        <v>60</v>
      </c>
      <c r="I131" s="27">
        <v>22</v>
      </c>
      <c r="J131" s="37">
        <v>-2.1499999999999999E-4</v>
      </c>
      <c r="K131" s="27">
        <v>1</v>
      </c>
      <c r="L131" s="38">
        <v>-2.1499999999999999E-4</v>
      </c>
      <c r="M131" s="27" t="s">
        <v>65</v>
      </c>
      <c r="O131" s="27" t="s">
        <v>229</v>
      </c>
      <c r="P131" s="27">
        <v>84</v>
      </c>
      <c r="Q131" s="27" t="s">
        <v>128</v>
      </c>
      <c r="R131" s="27" t="s">
        <v>377</v>
      </c>
      <c r="S131" s="27" t="s">
        <v>261</v>
      </c>
      <c r="T131" s="27" t="s">
        <v>64</v>
      </c>
      <c r="U131" s="27">
        <v>10</v>
      </c>
      <c r="V131" s="27">
        <v>22</v>
      </c>
      <c r="W131" s="37">
        <v>-2.1499999999999999E-4</v>
      </c>
      <c r="X131" s="27">
        <v>1</v>
      </c>
      <c r="Y131" s="38">
        <v>-2.1499999999999999E-4</v>
      </c>
      <c r="Z131" s="27" t="s">
        <v>65</v>
      </c>
    </row>
    <row r="132" spans="2:26" x14ac:dyDescent="0.2">
      <c r="B132" s="27" t="s">
        <v>229</v>
      </c>
      <c r="C132" s="27">
        <v>70</v>
      </c>
      <c r="D132" s="27" t="s">
        <v>129</v>
      </c>
      <c r="E132" s="27" t="s">
        <v>107</v>
      </c>
      <c r="F132" s="27" t="s">
        <v>262</v>
      </c>
      <c r="G132" s="27" t="s">
        <v>63</v>
      </c>
      <c r="H132" s="27">
        <v>60</v>
      </c>
      <c r="I132" s="27">
        <v>20</v>
      </c>
      <c r="J132" s="37">
        <v>-2.9399999999999999E-4</v>
      </c>
      <c r="K132" s="27">
        <v>7</v>
      </c>
      <c r="L132" s="38">
        <v>-2.63E-4</v>
      </c>
      <c r="M132" s="27" t="s">
        <v>65</v>
      </c>
      <c r="O132" s="27" t="s">
        <v>229</v>
      </c>
      <c r="P132" s="27">
        <v>70</v>
      </c>
      <c r="Q132" s="27" t="s">
        <v>129</v>
      </c>
      <c r="R132" s="27" t="s">
        <v>377</v>
      </c>
      <c r="S132" s="27" t="s">
        <v>262</v>
      </c>
      <c r="T132" s="27" t="s">
        <v>63</v>
      </c>
      <c r="U132" s="27">
        <v>10</v>
      </c>
      <c r="V132" s="27">
        <v>20</v>
      </c>
      <c r="W132" s="37">
        <v>-2.9399999999999999E-4</v>
      </c>
      <c r="X132" s="27">
        <v>7</v>
      </c>
      <c r="Y132" s="38">
        <v>-2.63E-4</v>
      </c>
      <c r="Z132" s="27" t="s">
        <v>65</v>
      </c>
    </row>
    <row r="133" spans="2:26" x14ac:dyDescent="0.2">
      <c r="B133" s="27" t="s">
        <v>229</v>
      </c>
      <c r="C133" s="27">
        <v>70</v>
      </c>
      <c r="D133" s="27" t="s">
        <v>129</v>
      </c>
      <c r="E133" s="27" t="s">
        <v>107</v>
      </c>
      <c r="F133" s="27" t="s">
        <v>263</v>
      </c>
      <c r="G133" s="27" t="s">
        <v>64</v>
      </c>
      <c r="H133" s="27">
        <v>60</v>
      </c>
      <c r="I133" s="27">
        <v>17</v>
      </c>
      <c r="J133" s="37">
        <v>-2.42E-4</v>
      </c>
      <c r="K133" s="27">
        <v>5</v>
      </c>
      <c r="L133" s="38">
        <v>-2.2000000000000001E-4</v>
      </c>
      <c r="M133" s="27" t="s">
        <v>65</v>
      </c>
      <c r="O133" s="27" t="s">
        <v>229</v>
      </c>
      <c r="P133" s="27">
        <v>70</v>
      </c>
      <c r="Q133" s="27" t="s">
        <v>129</v>
      </c>
      <c r="R133" s="27" t="s">
        <v>377</v>
      </c>
      <c r="S133" s="27" t="s">
        <v>263</v>
      </c>
      <c r="T133" s="27" t="s">
        <v>64</v>
      </c>
      <c r="U133" s="27">
        <v>10</v>
      </c>
      <c r="V133" s="27">
        <v>17</v>
      </c>
      <c r="W133" s="37">
        <v>-2.42E-4</v>
      </c>
      <c r="X133" s="27">
        <v>4</v>
      </c>
      <c r="Y133" s="38">
        <v>-2.2000000000000001E-4</v>
      </c>
      <c r="Z133" s="27" t="s">
        <v>65</v>
      </c>
    </row>
    <row r="134" spans="2:26" x14ac:dyDescent="0.2">
      <c r="B134" s="27" t="s">
        <v>229</v>
      </c>
      <c r="C134" s="27">
        <v>79</v>
      </c>
      <c r="D134" s="27" t="s">
        <v>128</v>
      </c>
      <c r="E134" s="27" t="s">
        <v>107</v>
      </c>
      <c r="F134" s="27" t="s">
        <v>264</v>
      </c>
      <c r="G134" s="27" t="s">
        <v>63</v>
      </c>
      <c r="H134" s="27">
        <v>60</v>
      </c>
      <c r="I134" s="27">
        <v>15</v>
      </c>
      <c r="J134" s="37">
        <v>-2.4399999999999999E-4</v>
      </c>
      <c r="K134" s="27">
        <v>6</v>
      </c>
      <c r="L134" s="38">
        <v>-2.2900000000000001E-4</v>
      </c>
      <c r="M134" s="27" t="s">
        <v>65</v>
      </c>
      <c r="O134" s="27" t="s">
        <v>229</v>
      </c>
      <c r="P134" s="27">
        <v>79</v>
      </c>
      <c r="Q134" s="27" t="s">
        <v>128</v>
      </c>
      <c r="R134" s="27" t="s">
        <v>377</v>
      </c>
      <c r="S134" s="27" t="s">
        <v>264</v>
      </c>
      <c r="T134" s="27" t="s">
        <v>63</v>
      </c>
      <c r="U134" s="27">
        <v>10</v>
      </c>
      <c r="V134" s="27">
        <v>15</v>
      </c>
      <c r="W134" s="37">
        <v>-2.43E-4</v>
      </c>
      <c r="X134" s="27">
        <v>6</v>
      </c>
      <c r="Y134" s="38">
        <v>-2.2900000000000001E-4</v>
      </c>
      <c r="Z134" s="27" t="s">
        <v>65</v>
      </c>
    </row>
    <row r="135" spans="2:26" x14ac:dyDescent="0.2">
      <c r="B135" s="27" t="s">
        <v>229</v>
      </c>
      <c r="C135" s="27">
        <v>79</v>
      </c>
      <c r="D135" s="27" t="s">
        <v>128</v>
      </c>
      <c r="E135" s="27" t="s">
        <v>107</v>
      </c>
      <c r="F135" s="27" t="s">
        <v>265</v>
      </c>
      <c r="G135" s="27" t="s">
        <v>64</v>
      </c>
      <c r="H135" s="27">
        <v>60</v>
      </c>
      <c r="I135" s="27">
        <v>22</v>
      </c>
      <c r="J135" s="37">
        <v>-2.1100000000000001E-4</v>
      </c>
      <c r="K135" s="27">
        <v>1</v>
      </c>
      <c r="L135" s="38">
        <v>-2.0100000000000001E-4</v>
      </c>
      <c r="M135" s="27" t="s">
        <v>65</v>
      </c>
      <c r="O135" s="27" t="s">
        <v>229</v>
      </c>
      <c r="P135" s="27">
        <v>79</v>
      </c>
      <c r="Q135" s="27" t="s">
        <v>128</v>
      </c>
      <c r="R135" s="27" t="s">
        <v>377</v>
      </c>
      <c r="S135" s="27" t="s">
        <v>265</v>
      </c>
      <c r="T135" s="27" t="s">
        <v>64</v>
      </c>
      <c r="U135" s="27">
        <v>10</v>
      </c>
      <c r="V135" s="27">
        <v>22</v>
      </c>
      <c r="W135" s="37">
        <v>-2.1100000000000001E-4</v>
      </c>
      <c r="X135" s="27">
        <v>1</v>
      </c>
      <c r="Y135" s="38">
        <v>-2.0100000000000001E-4</v>
      </c>
      <c r="Z135" s="27" t="s">
        <v>65</v>
      </c>
    </row>
    <row r="136" spans="2:26" x14ac:dyDescent="0.2">
      <c r="B136" s="27" t="s">
        <v>229</v>
      </c>
      <c r="C136" s="27">
        <v>63</v>
      </c>
      <c r="D136" s="27" t="s">
        <v>127</v>
      </c>
      <c r="E136" s="27" t="s">
        <v>107</v>
      </c>
      <c r="F136" s="27" t="s">
        <v>266</v>
      </c>
      <c r="G136" s="27" t="s">
        <v>63</v>
      </c>
      <c r="H136" s="27">
        <v>60</v>
      </c>
      <c r="I136" s="27">
        <v>16</v>
      </c>
      <c r="J136" s="37">
        <v>-2.43E-4</v>
      </c>
      <c r="K136" s="27">
        <v>1</v>
      </c>
      <c r="L136" s="38">
        <v>-2.1599999999999999E-4</v>
      </c>
      <c r="M136" s="27" t="s">
        <v>65</v>
      </c>
      <c r="O136" s="27" t="s">
        <v>229</v>
      </c>
      <c r="P136" s="27">
        <v>63</v>
      </c>
      <c r="Q136" s="27" t="s">
        <v>127</v>
      </c>
      <c r="R136" s="27" t="s">
        <v>377</v>
      </c>
      <c r="S136" s="27" t="s">
        <v>266</v>
      </c>
      <c r="T136" s="27" t="s">
        <v>63</v>
      </c>
      <c r="U136" s="27">
        <v>10</v>
      </c>
      <c r="V136" s="27">
        <v>16</v>
      </c>
      <c r="W136" s="37">
        <v>-2.43E-4</v>
      </c>
      <c r="X136" s="27">
        <v>1</v>
      </c>
      <c r="Y136" s="38">
        <v>-2.1599999999999999E-4</v>
      </c>
      <c r="Z136" s="27" t="s">
        <v>65</v>
      </c>
    </row>
    <row r="137" spans="2:26" x14ac:dyDescent="0.2">
      <c r="B137" s="27" t="s">
        <v>229</v>
      </c>
      <c r="C137" s="27">
        <v>63</v>
      </c>
      <c r="D137" s="27" t="s">
        <v>127</v>
      </c>
      <c r="E137" s="27" t="s">
        <v>107</v>
      </c>
      <c r="F137" s="27" t="s">
        <v>267</v>
      </c>
      <c r="G137" s="27" t="s">
        <v>64</v>
      </c>
      <c r="H137" s="27">
        <v>60</v>
      </c>
      <c r="I137" s="27">
        <v>9</v>
      </c>
      <c r="J137" s="37">
        <v>-1.85E-4</v>
      </c>
      <c r="K137" s="27">
        <v>6</v>
      </c>
      <c r="L137" s="38">
        <v>-1.6799999999999999E-4</v>
      </c>
      <c r="M137" s="27" t="s">
        <v>65</v>
      </c>
      <c r="O137" s="27" t="s">
        <v>229</v>
      </c>
      <c r="P137" s="27">
        <v>63</v>
      </c>
      <c r="Q137" s="27" t="s">
        <v>127</v>
      </c>
      <c r="R137" s="27" t="s">
        <v>377</v>
      </c>
      <c r="S137" s="27" t="s">
        <v>267</v>
      </c>
      <c r="T137" s="27" t="s">
        <v>64</v>
      </c>
      <c r="U137" s="27">
        <v>10</v>
      </c>
      <c r="V137" s="27">
        <v>9</v>
      </c>
      <c r="W137" s="37">
        <v>-1.85E-4</v>
      </c>
      <c r="X137" s="27">
        <v>6</v>
      </c>
      <c r="Y137" s="38">
        <v>-1.6799999999999999E-4</v>
      </c>
      <c r="Z137" s="27" t="s">
        <v>65</v>
      </c>
    </row>
    <row r="138" spans="2:26" x14ac:dyDescent="0.2">
      <c r="B138" s="27" t="s">
        <v>229</v>
      </c>
      <c r="C138" s="27">
        <v>75</v>
      </c>
      <c r="D138" s="27" t="s">
        <v>128</v>
      </c>
      <c r="E138" s="27" t="s">
        <v>107</v>
      </c>
      <c r="F138" s="27" t="s">
        <v>268</v>
      </c>
      <c r="G138" s="27" t="s">
        <v>63</v>
      </c>
      <c r="H138" s="27">
        <v>60</v>
      </c>
      <c r="I138" s="27">
        <v>17</v>
      </c>
      <c r="J138" s="37">
        <v>-7.4999999999999993E-5</v>
      </c>
      <c r="K138" s="27">
        <v>3</v>
      </c>
      <c r="L138" s="38">
        <v>-7.3999999999999996E-5</v>
      </c>
      <c r="M138" s="27" t="s">
        <v>65</v>
      </c>
      <c r="O138" s="27" t="s">
        <v>229</v>
      </c>
      <c r="P138" s="27">
        <v>75</v>
      </c>
      <c r="Q138" s="27" t="s">
        <v>128</v>
      </c>
      <c r="R138" s="27" t="s">
        <v>377</v>
      </c>
      <c r="S138" s="27" t="s">
        <v>268</v>
      </c>
      <c r="T138" s="27" t="s">
        <v>63</v>
      </c>
      <c r="U138" s="27">
        <v>10</v>
      </c>
      <c r="V138" s="27">
        <v>17</v>
      </c>
      <c r="W138" s="37">
        <v>-7.4999999999999993E-5</v>
      </c>
      <c r="X138" s="27">
        <v>3</v>
      </c>
      <c r="Y138" s="38">
        <v>-7.4999999999999993E-5</v>
      </c>
      <c r="Z138" s="27" t="s">
        <v>65</v>
      </c>
    </row>
    <row r="139" spans="2:26" x14ac:dyDescent="0.2">
      <c r="B139" s="27" t="s">
        <v>229</v>
      </c>
      <c r="C139" s="27">
        <v>75</v>
      </c>
      <c r="D139" s="27" t="s">
        <v>128</v>
      </c>
      <c r="E139" s="27" t="s">
        <v>107</v>
      </c>
      <c r="F139" s="27" t="s">
        <v>269</v>
      </c>
      <c r="G139" s="27" t="s">
        <v>64</v>
      </c>
      <c r="H139" s="27">
        <v>60</v>
      </c>
      <c r="I139" s="27">
        <v>22</v>
      </c>
      <c r="J139" s="37">
        <v>-8.7999999999999998E-5</v>
      </c>
      <c r="K139" s="27">
        <v>1</v>
      </c>
      <c r="L139" s="38">
        <v>-8.7999999999999998E-5</v>
      </c>
      <c r="M139" s="27" t="s">
        <v>65</v>
      </c>
      <c r="O139" s="27" t="s">
        <v>229</v>
      </c>
      <c r="P139" s="27">
        <v>75</v>
      </c>
      <c r="Q139" s="27" t="s">
        <v>128</v>
      </c>
      <c r="R139" s="27" t="s">
        <v>377</v>
      </c>
      <c r="S139" s="27" t="s">
        <v>269</v>
      </c>
      <c r="T139" s="27" t="s">
        <v>64</v>
      </c>
      <c r="U139" s="27">
        <v>10</v>
      </c>
      <c r="V139" s="27">
        <v>22</v>
      </c>
      <c r="W139" s="37">
        <v>-8.7999999999999998E-5</v>
      </c>
      <c r="X139" s="27">
        <v>1</v>
      </c>
      <c r="Y139" s="38">
        <v>-8.7999999999999998E-5</v>
      </c>
      <c r="Z139" s="27" t="s">
        <v>65</v>
      </c>
    </row>
    <row r="140" spans="2:26" x14ac:dyDescent="0.2">
      <c r="B140" s="27" t="s">
        <v>229</v>
      </c>
      <c r="C140" s="27">
        <v>71</v>
      </c>
      <c r="D140" s="27" t="s">
        <v>129</v>
      </c>
      <c r="E140" s="27" t="s">
        <v>107</v>
      </c>
      <c r="F140" s="27" t="s">
        <v>270</v>
      </c>
      <c r="G140" s="27" t="s">
        <v>63</v>
      </c>
      <c r="H140" s="27">
        <v>60</v>
      </c>
      <c r="I140" s="27">
        <v>17</v>
      </c>
      <c r="J140" s="37">
        <v>-1.02E-4</v>
      </c>
      <c r="K140" s="27">
        <v>1</v>
      </c>
      <c r="L140" s="38">
        <v>-9.6000000000000002E-5</v>
      </c>
      <c r="M140" s="27" t="s">
        <v>65</v>
      </c>
      <c r="O140" s="27" t="s">
        <v>229</v>
      </c>
      <c r="P140" s="27">
        <v>71</v>
      </c>
      <c r="Q140" s="27" t="s">
        <v>129</v>
      </c>
      <c r="R140" s="27" t="s">
        <v>377</v>
      </c>
      <c r="S140" s="27" t="s">
        <v>270</v>
      </c>
      <c r="T140" s="27" t="s">
        <v>63</v>
      </c>
      <c r="U140" s="27">
        <v>10</v>
      </c>
      <c r="V140" s="27">
        <v>17</v>
      </c>
      <c r="W140" s="37">
        <v>-1.02E-4</v>
      </c>
      <c r="X140" s="27">
        <v>1</v>
      </c>
      <c r="Y140" s="38">
        <v>-9.6000000000000002E-5</v>
      </c>
      <c r="Z140" s="27" t="s">
        <v>65</v>
      </c>
    </row>
    <row r="141" spans="2:26" x14ac:dyDescent="0.2">
      <c r="B141" s="27" t="s">
        <v>229</v>
      </c>
      <c r="C141" s="27">
        <v>71</v>
      </c>
      <c r="D141" s="27" t="s">
        <v>129</v>
      </c>
      <c r="E141" s="27" t="s">
        <v>107</v>
      </c>
      <c r="F141" s="27" t="s">
        <v>271</v>
      </c>
      <c r="G141" s="27" t="s">
        <v>64</v>
      </c>
      <c r="H141" s="27">
        <v>60</v>
      </c>
      <c r="I141" s="27">
        <v>15</v>
      </c>
      <c r="J141" s="37">
        <v>-8.2999999999999998E-5</v>
      </c>
      <c r="K141" s="27">
        <v>7</v>
      </c>
      <c r="L141" s="38">
        <v>-8.0000000000000007E-5</v>
      </c>
      <c r="M141" s="27" t="s">
        <v>65</v>
      </c>
      <c r="O141" s="27" t="s">
        <v>229</v>
      </c>
      <c r="P141" s="27">
        <v>71</v>
      </c>
      <c r="Q141" s="27" t="s">
        <v>129</v>
      </c>
      <c r="R141" s="27" t="s">
        <v>377</v>
      </c>
      <c r="S141" s="27" t="s">
        <v>271</v>
      </c>
      <c r="T141" s="27" t="s">
        <v>64</v>
      </c>
      <c r="U141" s="27">
        <v>10</v>
      </c>
      <c r="V141" s="27">
        <v>15</v>
      </c>
      <c r="W141" s="37">
        <v>-8.2999999999999998E-5</v>
      </c>
      <c r="X141" s="27">
        <v>8</v>
      </c>
      <c r="Y141" s="38">
        <v>-8.0000000000000007E-5</v>
      </c>
      <c r="Z141" s="27" t="s">
        <v>65</v>
      </c>
    </row>
    <row r="142" spans="2:26" x14ac:dyDescent="0.2">
      <c r="B142" s="27" t="s">
        <v>229</v>
      </c>
      <c r="C142" s="27">
        <v>72</v>
      </c>
      <c r="D142" s="27" t="s">
        <v>129</v>
      </c>
      <c r="E142" s="27" t="s">
        <v>107</v>
      </c>
      <c r="F142" s="27" t="s">
        <v>272</v>
      </c>
      <c r="G142" s="27" t="s">
        <v>63</v>
      </c>
      <c r="H142" s="27">
        <v>60</v>
      </c>
      <c r="I142" s="27">
        <v>17</v>
      </c>
      <c r="J142" s="37">
        <v>-1.02E-4</v>
      </c>
      <c r="K142" s="27">
        <v>1</v>
      </c>
      <c r="L142" s="38">
        <v>-9.6000000000000002E-5</v>
      </c>
      <c r="M142" s="27" t="s">
        <v>65</v>
      </c>
      <c r="O142" s="27" t="s">
        <v>229</v>
      </c>
      <c r="P142" s="27">
        <v>72</v>
      </c>
      <c r="Q142" s="27" t="s">
        <v>129</v>
      </c>
      <c r="R142" s="27" t="s">
        <v>377</v>
      </c>
      <c r="S142" s="27" t="s">
        <v>272</v>
      </c>
      <c r="T142" s="27" t="s">
        <v>63</v>
      </c>
      <c r="U142" s="27">
        <v>10</v>
      </c>
      <c r="V142" s="27">
        <v>17</v>
      </c>
      <c r="W142" s="37">
        <v>-1.02E-4</v>
      </c>
      <c r="X142" s="27">
        <v>1</v>
      </c>
      <c r="Y142" s="38">
        <v>-9.6000000000000002E-5</v>
      </c>
      <c r="Z142" s="27" t="s">
        <v>65</v>
      </c>
    </row>
    <row r="143" spans="2:26" x14ac:dyDescent="0.2">
      <c r="B143" s="27" t="s">
        <v>229</v>
      </c>
      <c r="C143" s="27">
        <v>72</v>
      </c>
      <c r="D143" s="27" t="s">
        <v>129</v>
      </c>
      <c r="E143" s="27" t="s">
        <v>107</v>
      </c>
      <c r="F143" s="27" t="s">
        <v>273</v>
      </c>
      <c r="G143" s="27" t="s">
        <v>64</v>
      </c>
      <c r="H143" s="27">
        <v>60</v>
      </c>
      <c r="I143" s="27">
        <v>15</v>
      </c>
      <c r="J143" s="37">
        <v>-8.2999999999999998E-5</v>
      </c>
      <c r="K143" s="27">
        <v>7</v>
      </c>
      <c r="L143" s="38">
        <v>-8.0000000000000007E-5</v>
      </c>
      <c r="M143" s="27" t="s">
        <v>65</v>
      </c>
      <c r="O143" s="27" t="s">
        <v>229</v>
      </c>
      <c r="P143" s="27">
        <v>72</v>
      </c>
      <c r="Q143" s="27" t="s">
        <v>129</v>
      </c>
      <c r="R143" s="27" t="s">
        <v>377</v>
      </c>
      <c r="S143" s="27" t="s">
        <v>273</v>
      </c>
      <c r="T143" s="27" t="s">
        <v>64</v>
      </c>
      <c r="U143" s="27">
        <v>10</v>
      </c>
      <c r="V143" s="27">
        <v>15</v>
      </c>
      <c r="W143" s="37">
        <v>-8.2999999999999998E-5</v>
      </c>
      <c r="X143" s="27">
        <v>7</v>
      </c>
      <c r="Y143" s="38">
        <v>-8.0000000000000007E-5</v>
      </c>
      <c r="Z143" s="27" t="s">
        <v>65</v>
      </c>
    </row>
    <row r="144" spans="2:26" x14ac:dyDescent="0.2">
      <c r="B144" s="27" t="s">
        <v>229</v>
      </c>
      <c r="C144" s="27">
        <v>76</v>
      </c>
      <c r="D144" s="27" t="s">
        <v>128</v>
      </c>
      <c r="E144" s="27" t="s">
        <v>107</v>
      </c>
      <c r="F144" s="27" t="s">
        <v>274</v>
      </c>
      <c r="G144" s="27" t="s">
        <v>63</v>
      </c>
      <c r="H144" s="27">
        <v>60</v>
      </c>
      <c r="I144" s="27">
        <v>22</v>
      </c>
      <c r="J144" s="37">
        <v>-7.6000000000000004E-5</v>
      </c>
      <c r="K144" s="27">
        <v>1</v>
      </c>
      <c r="L144" s="38">
        <v>-7.4999999999999993E-5</v>
      </c>
      <c r="M144" s="27" t="s">
        <v>65</v>
      </c>
      <c r="O144" s="27" t="s">
        <v>229</v>
      </c>
      <c r="P144" s="27">
        <v>76</v>
      </c>
      <c r="Q144" s="27" t="s">
        <v>128</v>
      </c>
      <c r="R144" s="27" t="s">
        <v>377</v>
      </c>
      <c r="S144" s="27" t="s">
        <v>274</v>
      </c>
      <c r="T144" s="27" t="s">
        <v>63</v>
      </c>
      <c r="U144" s="27">
        <v>10</v>
      </c>
      <c r="V144" s="27">
        <v>22</v>
      </c>
      <c r="W144" s="37">
        <v>-7.6000000000000004E-5</v>
      </c>
      <c r="X144" s="27">
        <v>1</v>
      </c>
      <c r="Y144" s="38">
        <v>-7.4999999999999993E-5</v>
      </c>
      <c r="Z144" s="27" t="s">
        <v>65</v>
      </c>
    </row>
    <row r="145" spans="2:26" x14ac:dyDescent="0.2">
      <c r="B145" s="27" t="s">
        <v>229</v>
      </c>
      <c r="C145" s="27">
        <v>76</v>
      </c>
      <c r="D145" s="27" t="s">
        <v>128</v>
      </c>
      <c r="E145" s="27" t="s">
        <v>107</v>
      </c>
      <c r="F145" s="27" t="s">
        <v>275</v>
      </c>
      <c r="G145" s="27" t="s">
        <v>64</v>
      </c>
      <c r="H145" s="27">
        <v>60</v>
      </c>
      <c r="I145" s="27">
        <v>17</v>
      </c>
      <c r="J145" s="37">
        <v>-8.8999999999999995E-5</v>
      </c>
      <c r="K145" s="27">
        <v>3</v>
      </c>
      <c r="L145" s="38">
        <v>-8.7999999999999998E-5</v>
      </c>
      <c r="M145" s="27" t="s">
        <v>65</v>
      </c>
      <c r="O145" s="27" t="s">
        <v>229</v>
      </c>
      <c r="P145" s="27">
        <v>76</v>
      </c>
      <c r="Q145" s="27" t="s">
        <v>128</v>
      </c>
      <c r="R145" s="27" t="s">
        <v>377</v>
      </c>
      <c r="S145" s="27" t="s">
        <v>275</v>
      </c>
      <c r="T145" s="27" t="s">
        <v>64</v>
      </c>
      <c r="U145" s="27">
        <v>10</v>
      </c>
      <c r="V145" s="27">
        <v>17</v>
      </c>
      <c r="W145" s="37">
        <v>-8.8999999999999995E-5</v>
      </c>
      <c r="X145" s="27">
        <v>3</v>
      </c>
      <c r="Y145" s="38">
        <v>-8.7999999999999998E-5</v>
      </c>
      <c r="Z145" s="27" t="s">
        <v>65</v>
      </c>
    </row>
    <row r="146" spans="2:26" x14ac:dyDescent="0.2">
      <c r="B146" s="27" t="s">
        <v>229</v>
      </c>
      <c r="C146" s="27">
        <v>64</v>
      </c>
      <c r="D146" s="27" t="s">
        <v>127</v>
      </c>
      <c r="E146" s="27" t="s">
        <v>107</v>
      </c>
      <c r="F146" s="27" t="s">
        <v>276</v>
      </c>
      <c r="G146" s="27" t="s">
        <v>63</v>
      </c>
      <c r="H146" s="27">
        <v>60</v>
      </c>
      <c r="I146" s="27">
        <v>11</v>
      </c>
      <c r="J146" s="37">
        <v>-2.43E-4</v>
      </c>
      <c r="K146" s="27">
        <v>3</v>
      </c>
      <c r="L146" s="38">
        <v>-2.1599999999999999E-4</v>
      </c>
      <c r="M146" s="27" t="s">
        <v>65</v>
      </c>
      <c r="O146" s="27" t="s">
        <v>229</v>
      </c>
      <c r="P146" s="27">
        <v>64</v>
      </c>
      <c r="Q146" s="27" t="s">
        <v>127</v>
      </c>
      <c r="R146" s="27" t="s">
        <v>377</v>
      </c>
      <c r="S146" s="27" t="s">
        <v>276</v>
      </c>
      <c r="T146" s="27" t="s">
        <v>63</v>
      </c>
      <c r="U146" s="27">
        <v>10</v>
      </c>
      <c r="V146" s="27">
        <v>11</v>
      </c>
      <c r="W146" s="37">
        <v>-2.43E-4</v>
      </c>
      <c r="X146" s="27">
        <v>3</v>
      </c>
      <c r="Y146" s="38">
        <v>-2.1599999999999999E-4</v>
      </c>
      <c r="Z146" s="27" t="s">
        <v>65</v>
      </c>
    </row>
    <row r="147" spans="2:26" x14ac:dyDescent="0.2">
      <c r="B147" s="27" t="s">
        <v>229</v>
      </c>
      <c r="C147" s="27">
        <v>64</v>
      </c>
      <c r="D147" s="27" t="s">
        <v>127</v>
      </c>
      <c r="E147" s="27" t="s">
        <v>107</v>
      </c>
      <c r="F147" s="27" t="s">
        <v>277</v>
      </c>
      <c r="G147" s="27" t="s">
        <v>64</v>
      </c>
      <c r="H147" s="27">
        <v>60</v>
      </c>
      <c r="I147" s="27">
        <v>14</v>
      </c>
      <c r="J147" s="37">
        <v>-1.85E-4</v>
      </c>
      <c r="K147" s="27">
        <v>4</v>
      </c>
      <c r="L147" s="38">
        <v>-1.6799999999999999E-4</v>
      </c>
      <c r="M147" s="27" t="s">
        <v>65</v>
      </c>
      <c r="O147" s="27" t="s">
        <v>229</v>
      </c>
      <c r="P147" s="27">
        <v>64</v>
      </c>
      <c r="Q147" s="27" t="s">
        <v>127</v>
      </c>
      <c r="R147" s="27" t="s">
        <v>377</v>
      </c>
      <c r="S147" s="27" t="s">
        <v>277</v>
      </c>
      <c r="T147" s="27" t="s">
        <v>64</v>
      </c>
      <c r="U147" s="27">
        <v>10</v>
      </c>
      <c r="V147" s="27">
        <v>14</v>
      </c>
      <c r="W147" s="37">
        <v>-1.85E-4</v>
      </c>
      <c r="X147" s="27">
        <v>4</v>
      </c>
      <c r="Y147" s="38">
        <v>-1.6699999999999999E-4</v>
      </c>
      <c r="Z147" s="27" t="s">
        <v>65</v>
      </c>
    </row>
    <row r="148" spans="2:26" x14ac:dyDescent="0.2">
      <c r="B148" s="27" t="s">
        <v>278</v>
      </c>
      <c r="C148" s="27">
        <v>127</v>
      </c>
      <c r="D148" s="27" t="s">
        <v>127</v>
      </c>
      <c r="E148" s="27" t="s">
        <v>107</v>
      </c>
      <c r="F148" s="27" t="s">
        <v>279</v>
      </c>
      <c r="G148" s="27" t="s">
        <v>63</v>
      </c>
      <c r="H148" s="27">
        <v>60</v>
      </c>
      <c r="I148" s="27">
        <v>14</v>
      </c>
      <c r="J148" s="37">
        <v>-7.6800000000000002E-4</v>
      </c>
      <c r="K148" s="27">
        <v>4</v>
      </c>
      <c r="L148" s="38">
        <v>-6.5399999999999996E-4</v>
      </c>
      <c r="M148" s="27" t="s">
        <v>65</v>
      </c>
      <c r="O148" s="27" t="s">
        <v>278</v>
      </c>
      <c r="P148" s="27">
        <v>127</v>
      </c>
      <c r="Q148" s="27" t="s">
        <v>127</v>
      </c>
      <c r="R148" s="27" t="s">
        <v>377</v>
      </c>
      <c r="S148" s="27" t="s">
        <v>279</v>
      </c>
      <c r="T148" s="27" t="s">
        <v>63</v>
      </c>
      <c r="U148" s="27">
        <v>10</v>
      </c>
      <c r="V148" s="27">
        <v>14</v>
      </c>
      <c r="W148" s="37">
        <v>-7.6900000000000004E-4</v>
      </c>
      <c r="X148" s="27">
        <v>4</v>
      </c>
      <c r="Y148" s="38">
        <v>-6.5399999999999996E-4</v>
      </c>
      <c r="Z148" s="27" t="s">
        <v>65</v>
      </c>
    </row>
    <row r="149" spans="2:26" x14ac:dyDescent="0.2">
      <c r="B149" s="27" t="s">
        <v>278</v>
      </c>
      <c r="C149" s="27">
        <v>127</v>
      </c>
      <c r="D149" s="27" t="s">
        <v>127</v>
      </c>
      <c r="E149" s="27" t="s">
        <v>107</v>
      </c>
      <c r="F149" s="27" t="s">
        <v>280</v>
      </c>
      <c r="G149" s="27" t="s">
        <v>64</v>
      </c>
      <c r="H149" s="27">
        <v>60</v>
      </c>
      <c r="I149" s="27">
        <v>11</v>
      </c>
      <c r="J149" s="37">
        <v>-4.2900000000000002E-4</v>
      </c>
      <c r="K149" s="27">
        <v>3</v>
      </c>
      <c r="L149" s="38">
        <v>-3.8200000000000002E-4</v>
      </c>
      <c r="M149" s="27" t="s">
        <v>65</v>
      </c>
      <c r="O149" s="27" t="s">
        <v>278</v>
      </c>
      <c r="P149" s="27">
        <v>127</v>
      </c>
      <c r="Q149" s="27" t="s">
        <v>127</v>
      </c>
      <c r="R149" s="27" t="s">
        <v>377</v>
      </c>
      <c r="S149" s="27" t="s">
        <v>280</v>
      </c>
      <c r="T149" s="27" t="s">
        <v>64</v>
      </c>
      <c r="U149" s="27">
        <v>10</v>
      </c>
      <c r="V149" s="27">
        <v>11</v>
      </c>
      <c r="W149" s="37">
        <v>-4.2999999999999999E-4</v>
      </c>
      <c r="X149" s="27">
        <v>3</v>
      </c>
      <c r="Y149" s="38">
        <v>-3.8200000000000002E-4</v>
      </c>
      <c r="Z149" s="27" t="s">
        <v>65</v>
      </c>
    </row>
    <row r="150" spans="2:26" x14ac:dyDescent="0.2">
      <c r="B150" s="27" t="s">
        <v>278</v>
      </c>
      <c r="C150" s="27">
        <v>139</v>
      </c>
      <c r="D150" s="27" t="s">
        <v>128</v>
      </c>
      <c r="E150" s="27" t="s">
        <v>107</v>
      </c>
      <c r="F150" s="27" t="s">
        <v>281</v>
      </c>
      <c r="G150" s="27" t="s">
        <v>63</v>
      </c>
      <c r="H150" s="27">
        <v>60</v>
      </c>
      <c r="I150" s="27">
        <v>15</v>
      </c>
      <c r="J150" s="37">
        <v>-4.0200000000000001E-4</v>
      </c>
      <c r="K150" s="27">
        <v>6</v>
      </c>
      <c r="L150" s="38">
        <v>-4.0200000000000001E-4</v>
      </c>
      <c r="M150" s="27" t="s">
        <v>65</v>
      </c>
      <c r="O150" s="27" t="s">
        <v>278</v>
      </c>
      <c r="P150" s="27">
        <v>139</v>
      </c>
      <c r="Q150" s="27" t="s">
        <v>128</v>
      </c>
      <c r="R150" s="27" t="s">
        <v>377</v>
      </c>
      <c r="S150" s="27" t="s">
        <v>281</v>
      </c>
      <c r="T150" s="27" t="s">
        <v>63</v>
      </c>
      <c r="U150" s="27">
        <v>10</v>
      </c>
      <c r="V150" s="27">
        <v>15</v>
      </c>
      <c r="W150" s="37">
        <v>-4.0099999999999999E-4</v>
      </c>
      <c r="X150" s="27">
        <v>6</v>
      </c>
      <c r="Y150" s="38">
        <v>-4.0099999999999999E-4</v>
      </c>
      <c r="Z150" s="27" t="s">
        <v>65</v>
      </c>
    </row>
    <row r="151" spans="2:26" x14ac:dyDescent="0.2">
      <c r="B151" s="27" t="s">
        <v>278</v>
      </c>
      <c r="C151" s="27">
        <v>139</v>
      </c>
      <c r="D151" s="27" t="s">
        <v>128</v>
      </c>
      <c r="E151" s="27" t="s">
        <v>107</v>
      </c>
      <c r="F151" s="27" t="s">
        <v>282</v>
      </c>
      <c r="G151" s="27" t="s">
        <v>64</v>
      </c>
      <c r="H151" s="27">
        <v>60</v>
      </c>
      <c r="I151" s="27">
        <v>22</v>
      </c>
      <c r="J151" s="37">
        <v>-1.4999999999999999E-4</v>
      </c>
      <c r="K151" s="27">
        <v>1</v>
      </c>
      <c r="L151" s="38">
        <v>-1.4999999999999999E-4</v>
      </c>
      <c r="M151" s="27" t="s">
        <v>65</v>
      </c>
      <c r="O151" s="27" t="s">
        <v>278</v>
      </c>
      <c r="P151" s="27">
        <v>139</v>
      </c>
      <c r="Q151" s="27" t="s">
        <v>128</v>
      </c>
      <c r="R151" s="27" t="s">
        <v>377</v>
      </c>
      <c r="S151" s="27" t="s">
        <v>282</v>
      </c>
      <c r="T151" s="27" t="s">
        <v>64</v>
      </c>
      <c r="U151" s="27">
        <v>10</v>
      </c>
      <c r="V151" s="27">
        <v>22</v>
      </c>
      <c r="W151" s="37">
        <v>-1.4999999999999999E-4</v>
      </c>
      <c r="X151" s="27">
        <v>1</v>
      </c>
      <c r="Y151" s="38">
        <v>-1.4999999999999999E-4</v>
      </c>
      <c r="Z151" s="27" t="s">
        <v>65</v>
      </c>
    </row>
    <row r="152" spans="2:26" x14ac:dyDescent="0.2">
      <c r="B152" s="27" t="s">
        <v>278</v>
      </c>
      <c r="C152" s="27">
        <v>135</v>
      </c>
      <c r="D152" s="27" t="s">
        <v>129</v>
      </c>
      <c r="E152" s="27" t="s">
        <v>107</v>
      </c>
      <c r="F152" s="27" t="s">
        <v>283</v>
      </c>
      <c r="G152" s="27" t="s">
        <v>63</v>
      </c>
      <c r="H152" s="27">
        <v>60</v>
      </c>
      <c r="I152" s="27">
        <v>20</v>
      </c>
      <c r="J152" s="37">
        <v>-4.0999999999999999E-4</v>
      </c>
      <c r="K152" s="27">
        <v>7</v>
      </c>
      <c r="L152" s="38">
        <v>-3.5300000000000002E-4</v>
      </c>
      <c r="M152" s="27" t="s">
        <v>65</v>
      </c>
      <c r="O152" s="27" t="s">
        <v>278</v>
      </c>
      <c r="P152" s="27">
        <v>135</v>
      </c>
      <c r="Q152" s="27" t="s">
        <v>129</v>
      </c>
      <c r="R152" s="27" t="s">
        <v>377</v>
      </c>
      <c r="S152" s="27" t="s">
        <v>283</v>
      </c>
      <c r="T152" s="27" t="s">
        <v>63</v>
      </c>
      <c r="U152" s="27">
        <v>10</v>
      </c>
      <c r="V152" s="27">
        <v>20</v>
      </c>
      <c r="W152" s="37">
        <v>-4.0999999999999999E-4</v>
      </c>
      <c r="X152" s="27">
        <v>7</v>
      </c>
      <c r="Y152" s="38">
        <v>-3.5399999999999999E-4</v>
      </c>
      <c r="Z152" s="27" t="s">
        <v>65</v>
      </c>
    </row>
    <row r="153" spans="2:26" x14ac:dyDescent="0.2">
      <c r="B153" s="27" t="s">
        <v>278</v>
      </c>
      <c r="C153" s="27">
        <v>135</v>
      </c>
      <c r="D153" s="27" t="s">
        <v>129</v>
      </c>
      <c r="E153" s="27" t="s">
        <v>107</v>
      </c>
      <c r="F153" s="27" t="s">
        <v>284</v>
      </c>
      <c r="G153" s="27" t="s">
        <v>64</v>
      </c>
      <c r="H153" s="27">
        <v>60</v>
      </c>
      <c r="I153" s="27">
        <v>17</v>
      </c>
      <c r="J153" s="37">
        <v>-2.3800000000000001E-4</v>
      </c>
      <c r="K153" s="27">
        <v>2</v>
      </c>
      <c r="L153" s="38">
        <v>-2.14E-4</v>
      </c>
      <c r="M153" s="27" t="s">
        <v>65</v>
      </c>
      <c r="O153" s="27" t="s">
        <v>278</v>
      </c>
      <c r="P153" s="27">
        <v>135</v>
      </c>
      <c r="Q153" s="27" t="s">
        <v>129</v>
      </c>
      <c r="R153" s="27" t="s">
        <v>377</v>
      </c>
      <c r="S153" s="27" t="s">
        <v>284</v>
      </c>
      <c r="T153" s="27" t="s">
        <v>64</v>
      </c>
      <c r="U153" s="27">
        <v>10</v>
      </c>
      <c r="V153" s="27">
        <v>17</v>
      </c>
      <c r="W153" s="37">
        <v>-2.3800000000000001E-4</v>
      </c>
      <c r="X153" s="27">
        <v>2</v>
      </c>
      <c r="Y153" s="38">
        <v>-2.14E-4</v>
      </c>
      <c r="Z153" s="27" t="s">
        <v>65</v>
      </c>
    </row>
    <row r="154" spans="2:26" x14ac:dyDescent="0.2">
      <c r="B154" s="27" t="s">
        <v>278</v>
      </c>
      <c r="C154" s="27">
        <v>136</v>
      </c>
      <c r="D154" s="27" t="s">
        <v>129</v>
      </c>
      <c r="E154" s="27" t="s">
        <v>107</v>
      </c>
      <c r="F154" s="27" t="s">
        <v>285</v>
      </c>
      <c r="G154" s="27" t="s">
        <v>63</v>
      </c>
      <c r="H154" s="27">
        <v>60</v>
      </c>
      <c r="I154" s="27">
        <v>15</v>
      </c>
      <c r="J154" s="37">
        <v>-4.0999999999999999E-4</v>
      </c>
      <c r="K154" s="27">
        <v>11</v>
      </c>
      <c r="L154" s="38">
        <v>-3.5399999999999999E-4</v>
      </c>
      <c r="M154" s="27" t="s">
        <v>65</v>
      </c>
      <c r="O154" s="27" t="s">
        <v>278</v>
      </c>
      <c r="P154" s="27">
        <v>136</v>
      </c>
      <c r="Q154" s="27" t="s">
        <v>129</v>
      </c>
      <c r="R154" s="27" t="s">
        <v>377</v>
      </c>
      <c r="S154" s="27" t="s">
        <v>285</v>
      </c>
      <c r="T154" s="27" t="s">
        <v>63</v>
      </c>
      <c r="U154" s="27">
        <v>10</v>
      </c>
      <c r="V154" s="27">
        <v>15</v>
      </c>
      <c r="W154" s="37">
        <v>-4.0900000000000002E-4</v>
      </c>
      <c r="X154" s="27">
        <v>8</v>
      </c>
      <c r="Y154" s="38">
        <v>-3.5300000000000002E-4</v>
      </c>
      <c r="Z154" s="27" t="s">
        <v>65</v>
      </c>
    </row>
    <row r="155" spans="2:26" x14ac:dyDescent="0.2">
      <c r="B155" s="27" t="s">
        <v>278</v>
      </c>
      <c r="C155" s="27">
        <v>136</v>
      </c>
      <c r="D155" s="27" t="s">
        <v>129</v>
      </c>
      <c r="E155" s="27" t="s">
        <v>107</v>
      </c>
      <c r="F155" s="27" t="s">
        <v>286</v>
      </c>
      <c r="G155" s="27" t="s">
        <v>64</v>
      </c>
      <c r="H155" s="27">
        <v>60</v>
      </c>
      <c r="I155" s="27">
        <v>22</v>
      </c>
      <c r="J155" s="37">
        <v>-2.3800000000000001E-4</v>
      </c>
      <c r="K155" s="27">
        <v>1</v>
      </c>
      <c r="L155" s="38">
        <v>-2.14E-4</v>
      </c>
      <c r="M155" s="27" t="s">
        <v>65</v>
      </c>
      <c r="O155" s="27" t="s">
        <v>278</v>
      </c>
      <c r="P155" s="27">
        <v>136</v>
      </c>
      <c r="Q155" s="27" t="s">
        <v>129</v>
      </c>
      <c r="R155" s="27" t="s">
        <v>377</v>
      </c>
      <c r="S155" s="27" t="s">
        <v>286</v>
      </c>
      <c r="T155" s="27" t="s">
        <v>64</v>
      </c>
      <c r="U155" s="27">
        <v>10</v>
      </c>
      <c r="V155" s="27">
        <v>22</v>
      </c>
      <c r="W155" s="37">
        <v>-2.3800000000000001E-4</v>
      </c>
      <c r="X155" s="27">
        <v>1</v>
      </c>
      <c r="Y155" s="38">
        <v>-2.14E-4</v>
      </c>
      <c r="Z155" s="27" t="s">
        <v>65</v>
      </c>
    </row>
    <row r="156" spans="2:26" x14ac:dyDescent="0.2">
      <c r="B156" s="27" t="s">
        <v>278</v>
      </c>
      <c r="C156" s="27">
        <v>140</v>
      </c>
      <c r="D156" s="27" t="s">
        <v>128</v>
      </c>
      <c r="E156" s="27" t="s">
        <v>107</v>
      </c>
      <c r="F156" s="27" t="s">
        <v>287</v>
      </c>
      <c r="G156" s="27" t="s">
        <v>63</v>
      </c>
      <c r="H156" s="27">
        <v>60</v>
      </c>
      <c r="I156" s="27">
        <v>20</v>
      </c>
      <c r="J156" s="37">
        <v>-4.0099999999999999E-4</v>
      </c>
      <c r="K156" s="27">
        <v>4</v>
      </c>
      <c r="L156" s="38">
        <v>-4.0099999999999999E-4</v>
      </c>
      <c r="M156" s="27" t="s">
        <v>65</v>
      </c>
      <c r="O156" s="27" t="s">
        <v>278</v>
      </c>
      <c r="P156" s="27">
        <v>140</v>
      </c>
      <c r="Q156" s="27" t="s">
        <v>128</v>
      </c>
      <c r="R156" s="27" t="s">
        <v>377</v>
      </c>
      <c r="S156" s="27" t="s">
        <v>287</v>
      </c>
      <c r="T156" s="27" t="s">
        <v>63</v>
      </c>
      <c r="U156" s="27">
        <v>10</v>
      </c>
      <c r="V156" s="27">
        <v>20</v>
      </c>
      <c r="W156" s="37">
        <v>-4.0099999999999999E-4</v>
      </c>
      <c r="X156" s="27">
        <v>4</v>
      </c>
      <c r="Y156" s="38">
        <v>-4.0099999999999999E-4</v>
      </c>
      <c r="Z156" s="27" t="s">
        <v>65</v>
      </c>
    </row>
    <row r="157" spans="2:26" x14ac:dyDescent="0.2">
      <c r="B157" s="27" t="s">
        <v>278</v>
      </c>
      <c r="C157" s="27">
        <v>140</v>
      </c>
      <c r="D157" s="27" t="s">
        <v>128</v>
      </c>
      <c r="E157" s="27" t="s">
        <v>107</v>
      </c>
      <c r="F157" s="27" t="s">
        <v>288</v>
      </c>
      <c r="G157" s="27" t="s">
        <v>64</v>
      </c>
      <c r="H157" s="27">
        <v>60</v>
      </c>
      <c r="I157" s="27">
        <v>17</v>
      </c>
      <c r="J157" s="37">
        <v>-1.4999999999999999E-4</v>
      </c>
      <c r="K157" s="27">
        <v>3</v>
      </c>
      <c r="L157" s="38">
        <v>-1.4999999999999999E-4</v>
      </c>
      <c r="M157" s="27" t="s">
        <v>65</v>
      </c>
      <c r="O157" s="27" t="s">
        <v>278</v>
      </c>
      <c r="P157" s="27">
        <v>140</v>
      </c>
      <c r="Q157" s="27" t="s">
        <v>128</v>
      </c>
      <c r="R157" s="27" t="s">
        <v>377</v>
      </c>
      <c r="S157" s="27" t="s">
        <v>288</v>
      </c>
      <c r="T157" s="27" t="s">
        <v>64</v>
      </c>
      <c r="U157" s="27">
        <v>10</v>
      </c>
      <c r="V157" s="27">
        <v>17</v>
      </c>
      <c r="W157" s="37">
        <v>-1.5100000000000001E-4</v>
      </c>
      <c r="X157" s="27">
        <v>3</v>
      </c>
      <c r="Y157" s="38">
        <v>-1.4999999999999999E-4</v>
      </c>
      <c r="Z157" s="27" t="s">
        <v>65</v>
      </c>
    </row>
    <row r="158" spans="2:26" x14ac:dyDescent="0.2">
      <c r="B158" s="27" t="s">
        <v>278</v>
      </c>
      <c r="C158" s="27">
        <v>128</v>
      </c>
      <c r="D158" s="27" t="s">
        <v>127</v>
      </c>
      <c r="E158" s="27" t="s">
        <v>107</v>
      </c>
      <c r="F158" s="27" t="s">
        <v>289</v>
      </c>
      <c r="G158" s="27" t="s">
        <v>63</v>
      </c>
      <c r="H158" s="27">
        <v>60</v>
      </c>
      <c r="I158" s="27">
        <v>9</v>
      </c>
      <c r="J158" s="37">
        <v>-7.6800000000000002E-4</v>
      </c>
      <c r="K158" s="27">
        <v>6</v>
      </c>
      <c r="L158" s="38">
        <v>-6.5399999999999996E-4</v>
      </c>
      <c r="M158" s="27" t="s">
        <v>65</v>
      </c>
      <c r="O158" s="27" t="s">
        <v>278</v>
      </c>
      <c r="P158" s="27">
        <v>128</v>
      </c>
      <c r="Q158" s="27" t="s">
        <v>127</v>
      </c>
      <c r="R158" s="27" t="s">
        <v>377</v>
      </c>
      <c r="S158" s="27" t="s">
        <v>289</v>
      </c>
      <c r="T158" s="27" t="s">
        <v>63</v>
      </c>
      <c r="U158" s="27">
        <v>10</v>
      </c>
      <c r="V158" s="27">
        <v>9</v>
      </c>
      <c r="W158" s="37">
        <v>-7.6800000000000002E-4</v>
      </c>
      <c r="X158" s="27">
        <v>6</v>
      </c>
      <c r="Y158" s="38">
        <v>-6.5300000000000004E-4</v>
      </c>
      <c r="Z158" s="27" t="s">
        <v>65</v>
      </c>
    </row>
    <row r="159" spans="2:26" x14ac:dyDescent="0.2">
      <c r="B159" s="27" t="s">
        <v>278</v>
      </c>
      <c r="C159" s="27">
        <v>128</v>
      </c>
      <c r="D159" s="27" t="s">
        <v>127</v>
      </c>
      <c r="E159" s="27" t="s">
        <v>107</v>
      </c>
      <c r="F159" s="27" t="s">
        <v>290</v>
      </c>
      <c r="G159" s="27" t="s">
        <v>64</v>
      </c>
      <c r="H159" s="27">
        <v>60</v>
      </c>
      <c r="I159" s="27">
        <v>16</v>
      </c>
      <c r="J159" s="37">
        <v>-4.2999999999999999E-4</v>
      </c>
      <c r="K159" s="27">
        <v>1</v>
      </c>
      <c r="L159" s="38">
        <v>-3.8200000000000002E-4</v>
      </c>
      <c r="M159" s="27" t="s">
        <v>65</v>
      </c>
      <c r="O159" s="27" t="s">
        <v>278</v>
      </c>
      <c r="P159" s="27">
        <v>128</v>
      </c>
      <c r="Q159" s="27" t="s">
        <v>127</v>
      </c>
      <c r="R159" s="27" t="s">
        <v>377</v>
      </c>
      <c r="S159" s="27" t="s">
        <v>290</v>
      </c>
      <c r="T159" s="27" t="s">
        <v>64</v>
      </c>
      <c r="U159" s="27">
        <v>10</v>
      </c>
      <c r="V159" s="27">
        <v>16</v>
      </c>
      <c r="W159" s="37">
        <v>-4.2999999999999999E-4</v>
      </c>
      <c r="X159" s="27">
        <v>1</v>
      </c>
      <c r="Y159" s="38">
        <v>-3.8200000000000002E-4</v>
      </c>
      <c r="Z159" s="27" t="s">
        <v>65</v>
      </c>
    </row>
    <row r="160" spans="2:26" x14ac:dyDescent="0.2">
      <c r="B160" s="27" t="s">
        <v>278</v>
      </c>
      <c r="C160" s="27">
        <v>144</v>
      </c>
      <c r="D160" s="27" t="s">
        <v>128</v>
      </c>
      <c r="E160" s="27" t="s">
        <v>107</v>
      </c>
      <c r="F160" s="27" t="s">
        <v>291</v>
      </c>
      <c r="G160" s="27" t="s">
        <v>63</v>
      </c>
      <c r="H160" s="27">
        <v>60</v>
      </c>
      <c r="I160" s="27">
        <v>20</v>
      </c>
      <c r="J160" s="37">
        <v>-4.1199999999999999E-4</v>
      </c>
      <c r="K160" s="27">
        <v>4</v>
      </c>
      <c r="L160" s="38">
        <v>-3.9500000000000001E-4</v>
      </c>
      <c r="M160" s="27" t="s">
        <v>65</v>
      </c>
      <c r="O160" s="27" t="s">
        <v>278</v>
      </c>
      <c r="P160" s="27">
        <v>144</v>
      </c>
      <c r="Q160" s="27" t="s">
        <v>128</v>
      </c>
      <c r="R160" s="27" t="s">
        <v>377</v>
      </c>
      <c r="S160" s="27" t="s">
        <v>291</v>
      </c>
      <c r="T160" s="27" t="s">
        <v>63</v>
      </c>
      <c r="U160" s="27">
        <v>10</v>
      </c>
      <c r="V160" s="27">
        <v>20</v>
      </c>
      <c r="W160" s="37">
        <v>-4.1199999999999999E-4</v>
      </c>
      <c r="X160" s="27">
        <v>4</v>
      </c>
      <c r="Y160" s="38">
        <v>-3.9500000000000001E-4</v>
      </c>
      <c r="Z160" s="27" t="s">
        <v>65</v>
      </c>
    </row>
    <row r="161" spans="2:26" x14ac:dyDescent="0.2">
      <c r="B161" s="27" t="s">
        <v>278</v>
      </c>
      <c r="C161" s="27">
        <v>144</v>
      </c>
      <c r="D161" s="27" t="s">
        <v>128</v>
      </c>
      <c r="E161" s="27" t="s">
        <v>107</v>
      </c>
      <c r="F161" s="27" t="s">
        <v>292</v>
      </c>
      <c r="G161" s="27" t="s">
        <v>64</v>
      </c>
      <c r="H161" s="27">
        <v>60</v>
      </c>
      <c r="I161" s="27">
        <v>15</v>
      </c>
      <c r="J161" s="37">
        <v>-1.6799999999999999E-4</v>
      </c>
      <c r="K161" s="27">
        <v>6</v>
      </c>
      <c r="L161" s="38">
        <v>-1.5799999999999999E-4</v>
      </c>
      <c r="M161" s="27" t="s">
        <v>65</v>
      </c>
      <c r="O161" s="27" t="s">
        <v>278</v>
      </c>
      <c r="P161" s="27">
        <v>144</v>
      </c>
      <c r="Q161" s="27" t="s">
        <v>128</v>
      </c>
      <c r="R161" s="27" t="s">
        <v>377</v>
      </c>
      <c r="S161" s="27" t="s">
        <v>292</v>
      </c>
      <c r="T161" s="27" t="s">
        <v>64</v>
      </c>
      <c r="U161" s="27">
        <v>10</v>
      </c>
      <c r="V161" s="27">
        <v>15</v>
      </c>
      <c r="W161" s="37">
        <v>-1.6799999999999999E-4</v>
      </c>
      <c r="X161" s="27">
        <v>6</v>
      </c>
      <c r="Y161" s="38">
        <v>-1.5799999999999999E-4</v>
      </c>
      <c r="Z161" s="27" t="s">
        <v>65</v>
      </c>
    </row>
    <row r="162" spans="2:26" x14ac:dyDescent="0.2">
      <c r="B162" s="27" t="s">
        <v>278</v>
      </c>
      <c r="C162" s="27">
        <v>129</v>
      </c>
      <c r="D162" s="27" t="s">
        <v>129</v>
      </c>
      <c r="E162" s="27" t="s">
        <v>107</v>
      </c>
      <c r="F162" s="27" t="s">
        <v>293</v>
      </c>
      <c r="G162" s="27" t="s">
        <v>63</v>
      </c>
      <c r="H162" s="27">
        <v>60</v>
      </c>
      <c r="I162" s="27">
        <v>15</v>
      </c>
      <c r="J162" s="37">
        <v>-3.7399999999999998E-4</v>
      </c>
      <c r="K162" s="27">
        <v>12</v>
      </c>
      <c r="L162" s="38">
        <v>-3.3599999999999998E-4</v>
      </c>
      <c r="M162" s="27" t="s">
        <v>65</v>
      </c>
      <c r="O162" s="27" t="s">
        <v>278</v>
      </c>
      <c r="P162" s="27">
        <v>129</v>
      </c>
      <c r="Q162" s="27" t="s">
        <v>129</v>
      </c>
      <c r="R162" s="27" t="s">
        <v>377</v>
      </c>
      <c r="S162" s="27" t="s">
        <v>293</v>
      </c>
      <c r="T162" s="27" t="s">
        <v>63</v>
      </c>
      <c r="U162" s="27">
        <v>10</v>
      </c>
      <c r="V162" s="27">
        <v>15</v>
      </c>
      <c r="W162" s="37">
        <v>-3.7300000000000001E-4</v>
      </c>
      <c r="X162" s="27">
        <v>12</v>
      </c>
      <c r="Y162" s="38">
        <v>-3.3599999999999998E-4</v>
      </c>
      <c r="Z162" s="27" t="s">
        <v>65</v>
      </c>
    </row>
    <row r="163" spans="2:26" x14ac:dyDescent="0.2">
      <c r="B163" s="27" t="s">
        <v>278</v>
      </c>
      <c r="C163" s="27">
        <v>129</v>
      </c>
      <c r="D163" s="27" t="s">
        <v>129</v>
      </c>
      <c r="E163" s="27" t="s">
        <v>107</v>
      </c>
      <c r="F163" s="27" t="s">
        <v>294</v>
      </c>
      <c r="G163" s="27" t="s">
        <v>64</v>
      </c>
      <c r="H163" s="27">
        <v>60</v>
      </c>
      <c r="I163" s="27">
        <v>19</v>
      </c>
      <c r="J163" s="37">
        <v>-2.5099999999999998E-4</v>
      </c>
      <c r="K163" s="27">
        <v>1</v>
      </c>
      <c r="L163" s="38">
        <v>-2.3499999999999999E-4</v>
      </c>
      <c r="M163" s="27" t="s">
        <v>65</v>
      </c>
      <c r="O163" s="27" t="s">
        <v>278</v>
      </c>
      <c r="P163" s="27">
        <v>129</v>
      </c>
      <c r="Q163" s="27" t="s">
        <v>129</v>
      </c>
      <c r="R163" s="27" t="s">
        <v>377</v>
      </c>
      <c r="S163" s="27" t="s">
        <v>294</v>
      </c>
      <c r="T163" s="27" t="s">
        <v>64</v>
      </c>
      <c r="U163" s="27">
        <v>10</v>
      </c>
      <c r="V163" s="27">
        <v>19</v>
      </c>
      <c r="W163" s="37">
        <v>-2.5099999999999998E-4</v>
      </c>
      <c r="X163" s="27">
        <v>1</v>
      </c>
      <c r="Y163" s="38">
        <v>-2.3499999999999999E-4</v>
      </c>
      <c r="Z163" s="27" t="s">
        <v>65</v>
      </c>
    </row>
    <row r="164" spans="2:26" x14ac:dyDescent="0.2">
      <c r="B164" s="27" t="s">
        <v>278</v>
      </c>
      <c r="C164" s="27">
        <v>147</v>
      </c>
      <c r="D164" s="27" t="s">
        <v>128</v>
      </c>
      <c r="E164" s="27" t="s">
        <v>107</v>
      </c>
      <c r="F164" s="27" t="s">
        <v>295</v>
      </c>
      <c r="G164" s="27" t="s">
        <v>63</v>
      </c>
      <c r="H164" s="27">
        <v>60</v>
      </c>
      <c r="I164" s="27">
        <v>20</v>
      </c>
      <c r="J164" s="37">
        <v>-3.9399999999999998E-4</v>
      </c>
      <c r="K164" s="27">
        <v>4</v>
      </c>
      <c r="L164" s="38">
        <v>-3.9399999999999998E-4</v>
      </c>
      <c r="M164" s="27" t="s">
        <v>65</v>
      </c>
      <c r="O164" s="27" t="s">
        <v>278</v>
      </c>
      <c r="P164" s="27">
        <v>147</v>
      </c>
      <c r="Q164" s="27" t="s">
        <v>128</v>
      </c>
      <c r="R164" s="27" t="s">
        <v>377</v>
      </c>
      <c r="S164" s="27" t="s">
        <v>295</v>
      </c>
      <c r="T164" s="27" t="s">
        <v>63</v>
      </c>
      <c r="U164" s="27">
        <v>10</v>
      </c>
      <c r="V164" s="27">
        <v>20</v>
      </c>
      <c r="W164" s="37">
        <v>-3.9399999999999998E-4</v>
      </c>
      <c r="X164" s="27">
        <v>4</v>
      </c>
      <c r="Y164" s="38">
        <v>-3.9399999999999998E-4</v>
      </c>
      <c r="Z164" s="27" t="s">
        <v>65</v>
      </c>
    </row>
    <row r="165" spans="2:26" x14ac:dyDescent="0.2">
      <c r="B165" s="27" t="s">
        <v>278</v>
      </c>
      <c r="C165" s="27">
        <v>147</v>
      </c>
      <c r="D165" s="27" t="s">
        <v>128</v>
      </c>
      <c r="E165" s="27" t="s">
        <v>107</v>
      </c>
      <c r="F165" s="27" t="s">
        <v>296</v>
      </c>
      <c r="G165" s="27" t="s">
        <v>64</v>
      </c>
      <c r="H165" s="27">
        <v>60</v>
      </c>
      <c r="I165" s="27">
        <v>17</v>
      </c>
      <c r="J165" s="37">
        <v>-1.8000000000000001E-4</v>
      </c>
      <c r="K165" s="27">
        <v>3</v>
      </c>
      <c r="L165" s="38">
        <v>-1.8000000000000001E-4</v>
      </c>
      <c r="M165" s="27" t="s">
        <v>65</v>
      </c>
      <c r="O165" s="27" t="s">
        <v>278</v>
      </c>
      <c r="P165" s="27">
        <v>147</v>
      </c>
      <c r="Q165" s="27" t="s">
        <v>128</v>
      </c>
      <c r="R165" s="27" t="s">
        <v>377</v>
      </c>
      <c r="S165" s="27" t="s">
        <v>296</v>
      </c>
      <c r="T165" s="27" t="s">
        <v>64</v>
      </c>
      <c r="U165" s="27">
        <v>10</v>
      </c>
      <c r="V165" s="27">
        <v>17</v>
      </c>
      <c r="W165" s="37">
        <v>-1.8100000000000001E-4</v>
      </c>
      <c r="X165" s="27">
        <v>3</v>
      </c>
      <c r="Y165" s="38">
        <v>-1.8000000000000001E-4</v>
      </c>
      <c r="Z165" s="27" t="s">
        <v>65</v>
      </c>
    </row>
    <row r="166" spans="2:26" x14ac:dyDescent="0.2">
      <c r="B166" s="27" t="s">
        <v>278</v>
      </c>
      <c r="C166" s="27">
        <v>148</v>
      </c>
      <c r="D166" s="27" t="s">
        <v>128</v>
      </c>
      <c r="E166" s="27" t="s">
        <v>107</v>
      </c>
      <c r="F166" s="27" t="s">
        <v>297</v>
      </c>
      <c r="G166" s="27" t="s">
        <v>63</v>
      </c>
      <c r="H166" s="27">
        <v>60</v>
      </c>
      <c r="I166" s="27">
        <v>15</v>
      </c>
      <c r="J166" s="37">
        <v>-3.9399999999999998E-4</v>
      </c>
      <c r="K166" s="27">
        <v>6</v>
      </c>
      <c r="L166" s="38">
        <v>-3.9399999999999998E-4</v>
      </c>
      <c r="M166" s="27" t="s">
        <v>65</v>
      </c>
      <c r="O166" s="27" t="s">
        <v>278</v>
      </c>
      <c r="P166" s="27">
        <v>148</v>
      </c>
      <c r="Q166" s="27" t="s">
        <v>128</v>
      </c>
      <c r="R166" s="27" t="s">
        <v>377</v>
      </c>
      <c r="S166" s="27" t="s">
        <v>297</v>
      </c>
      <c r="T166" s="27" t="s">
        <v>63</v>
      </c>
      <c r="U166" s="27">
        <v>10</v>
      </c>
      <c r="V166" s="27">
        <v>15</v>
      </c>
      <c r="W166" s="37">
        <v>-3.9300000000000001E-4</v>
      </c>
      <c r="X166" s="27">
        <v>6</v>
      </c>
      <c r="Y166" s="38">
        <v>-3.9300000000000001E-4</v>
      </c>
      <c r="Z166" s="27" t="s">
        <v>65</v>
      </c>
    </row>
    <row r="167" spans="2:26" x14ac:dyDescent="0.2">
      <c r="B167" s="27" t="s">
        <v>278</v>
      </c>
      <c r="C167" s="27">
        <v>148</v>
      </c>
      <c r="D167" s="27" t="s">
        <v>128</v>
      </c>
      <c r="E167" s="27" t="s">
        <v>107</v>
      </c>
      <c r="F167" s="27" t="s">
        <v>298</v>
      </c>
      <c r="G167" s="27" t="s">
        <v>64</v>
      </c>
      <c r="H167" s="27">
        <v>60</v>
      </c>
      <c r="I167" s="27">
        <v>22</v>
      </c>
      <c r="J167" s="37">
        <v>-1.8100000000000001E-4</v>
      </c>
      <c r="K167" s="27">
        <v>1</v>
      </c>
      <c r="L167" s="38">
        <v>-1.8000000000000001E-4</v>
      </c>
      <c r="M167" s="27" t="s">
        <v>65</v>
      </c>
      <c r="O167" s="27" t="s">
        <v>278</v>
      </c>
      <c r="P167" s="27">
        <v>148</v>
      </c>
      <c r="Q167" s="27" t="s">
        <v>128</v>
      </c>
      <c r="R167" s="27" t="s">
        <v>377</v>
      </c>
      <c r="S167" s="27" t="s">
        <v>298</v>
      </c>
      <c r="T167" s="27" t="s">
        <v>64</v>
      </c>
      <c r="U167" s="27">
        <v>10</v>
      </c>
      <c r="V167" s="27">
        <v>22</v>
      </c>
      <c r="W167" s="37">
        <v>-1.8100000000000001E-4</v>
      </c>
      <c r="X167" s="27">
        <v>1</v>
      </c>
      <c r="Y167" s="38">
        <v>-1.8000000000000001E-4</v>
      </c>
      <c r="Z167" s="27" t="s">
        <v>65</v>
      </c>
    </row>
    <row r="168" spans="2:26" x14ac:dyDescent="0.2">
      <c r="B168" s="27" t="s">
        <v>278</v>
      </c>
      <c r="C168" s="27">
        <v>131</v>
      </c>
      <c r="D168" s="27" t="s">
        <v>129</v>
      </c>
      <c r="E168" s="27" t="s">
        <v>107</v>
      </c>
      <c r="F168" s="27" t="s">
        <v>299</v>
      </c>
      <c r="G168" s="27" t="s">
        <v>63</v>
      </c>
      <c r="H168" s="27">
        <v>60</v>
      </c>
      <c r="I168" s="27">
        <v>20</v>
      </c>
      <c r="J168" s="37">
        <v>-3.7300000000000001E-4</v>
      </c>
      <c r="K168" s="27">
        <v>7</v>
      </c>
      <c r="L168" s="38">
        <v>-3.3500000000000001E-4</v>
      </c>
      <c r="M168" s="27" t="s">
        <v>65</v>
      </c>
      <c r="O168" s="27" t="s">
        <v>278</v>
      </c>
      <c r="P168" s="27">
        <v>131</v>
      </c>
      <c r="Q168" s="27" t="s">
        <v>129</v>
      </c>
      <c r="R168" s="27" t="s">
        <v>377</v>
      </c>
      <c r="S168" s="27" t="s">
        <v>299</v>
      </c>
      <c r="T168" s="27" t="s">
        <v>63</v>
      </c>
      <c r="U168" s="27">
        <v>10</v>
      </c>
      <c r="V168" s="27">
        <v>20</v>
      </c>
      <c r="W168" s="37">
        <v>-3.7300000000000001E-4</v>
      </c>
      <c r="X168" s="27">
        <v>7</v>
      </c>
      <c r="Y168" s="38">
        <v>-3.3599999999999998E-4</v>
      </c>
      <c r="Z168" s="27" t="s">
        <v>65</v>
      </c>
    </row>
    <row r="169" spans="2:26" x14ac:dyDescent="0.2">
      <c r="B169" s="27" t="s">
        <v>278</v>
      </c>
      <c r="C169" s="27">
        <v>131</v>
      </c>
      <c r="D169" s="27" t="s">
        <v>129</v>
      </c>
      <c r="E169" s="27" t="s">
        <v>107</v>
      </c>
      <c r="F169" s="27" t="s">
        <v>300</v>
      </c>
      <c r="G169" s="27" t="s">
        <v>64</v>
      </c>
      <c r="H169" s="27">
        <v>60</v>
      </c>
      <c r="I169" s="27">
        <v>17</v>
      </c>
      <c r="J169" s="37">
        <v>-2.5099999999999998E-4</v>
      </c>
      <c r="K169" s="27">
        <v>4</v>
      </c>
      <c r="L169" s="38">
        <v>-2.3499999999999999E-4</v>
      </c>
      <c r="M169" s="27" t="s">
        <v>65</v>
      </c>
      <c r="O169" s="27" t="s">
        <v>278</v>
      </c>
      <c r="P169" s="27">
        <v>131</v>
      </c>
      <c r="Q169" s="27" t="s">
        <v>129</v>
      </c>
      <c r="R169" s="27" t="s">
        <v>377</v>
      </c>
      <c r="S169" s="27" t="s">
        <v>300</v>
      </c>
      <c r="T169" s="27" t="s">
        <v>64</v>
      </c>
      <c r="U169" s="27">
        <v>10</v>
      </c>
      <c r="V169" s="27">
        <v>17</v>
      </c>
      <c r="W169" s="37">
        <v>-2.5099999999999998E-4</v>
      </c>
      <c r="X169" s="27">
        <v>3</v>
      </c>
      <c r="Y169" s="38">
        <v>-2.3499999999999999E-4</v>
      </c>
      <c r="Z169" s="27" t="s">
        <v>65</v>
      </c>
    </row>
    <row r="170" spans="2:26" x14ac:dyDescent="0.2">
      <c r="B170" s="27" t="s">
        <v>278</v>
      </c>
      <c r="C170" s="27">
        <v>142</v>
      </c>
      <c r="D170" s="27" t="s">
        <v>128</v>
      </c>
      <c r="E170" s="27" t="s">
        <v>107</v>
      </c>
      <c r="F170" s="27" t="s">
        <v>301</v>
      </c>
      <c r="G170" s="27" t="s">
        <v>63</v>
      </c>
      <c r="H170" s="27">
        <v>60</v>
      </c>
      <c r="I170" s="27">
        <v>15</v>
      </c>
      <c r="J170" s="37">
        <v>-4.1100000000000002E-4</v>
      </c>
      <c r="K170" s="27">
        <v>6</v>
      </c>
      <c r="L170" s="38">
        <v>-3.9399999999999998E-4</v>
      </c>
      <c r="M170" s="27" t="s">
        <v>65</v>
      </c>
      <c r="O170" s="27" t="s">
        <v>278</v>
      </c>
      <c r="P170" s="27">
        <v>142</v>
      </c>
      <c r="Q170" s="27" t="s">
        <v>128</v>
      </c>
      <c r="R170" s="27" t="s">
        <v>377</v>
      </c>
      <c r="S170" s="27" t="s">
        <v>301</v>
      </c>
      <c r="T170" s="27" t="s">
        <v>63</v>
      </c>
      <c r="U170" s="27">
        <v>10</v>
      </c>
      <c r="V170" s="27">
        <v>15</v>
      </c>
      <c r="W170" s="37">
        <v>-4.1100000000000002E-4</v>
      </c>
      <c r="X170" s="27">
        <v>6</v>
      </c>
      <c r="Y170" s="38">
        <v>-3.9399999999999998E-4</v>
      </c>
      <c r="Z170" s="27" t="s">
        <v>65</v>
      </c>
    </row>
    <row r="171" spans="2:26" x14ac:dyDescent="0.2">
      <c r="B171" s="27" t="s">
        <v>278</v>
      </c>
      <c r="C171" s="27">
        <v>142</v>
      </c>
      <c r="D171" s="27" t="s">
        <v>128</v>
      </c>
      <c r="E171" s="27" t="s">
        <v>107</v>
      </c>
      <c r="F171" s="27" t="s">
        <v>302</v>
      </c>
      <c r="G171" s="27" t="s">
        <v>64</v>
      </c>
      <c r="H171" s="27">
        <v>60</v>
      </c>
      <c r="I171" s="27">
        <v>20</v>
      </c>
      <c r="J171" s="37">
        <v>-1.6799999999999999E-4</v>
      </c>
      <c r="K171" s="27">
        <v>4</v>
      </c>
      <c r="L171" s="38">
        <v>-1.5799999999999999E-4</v>
      </c>
      <c r="M171" s="27" t="s">
        <v>65</v>
      </c>
      <c r="O171" s="27" t="s">
        <v>278</v>
      </c>
      <c r="P171" s="27">
        <v>142</v>
      </c>
      <c r="Q171" s="27" t="s">
        <v>128</v>
      </c>
      <c r="R171" s="27" t="s">
        <v>377</v>
      </c>
      <c r="S171" s="27" t="s">
        <v>302</v>
      </c>
      <c r="T171" s="27" t="s">
        <v>64</v>
      </c>
      <c r="U171" s="27">
        <v>10</v>
      </c>
      <c r="V171" s="27">
        <v>20</v>
      </c>
      <c r="W171" s="37">
        <v>-1.6799999999999999E-4</v>
      </c>
      <c r="X171" s="27">
        <v>4</v>
      </c>
      <c r="Y171" s="38">
        <v>-1.5799999999999999E-4</v>
      </c>
      <c r="Z171" s="27" t="s">
        <v>65</v>
      </c>
    </row>
    <row r="172" spans="2:26" x14ac:dyDescent="0.2">
      <c r="B172" s="27" t="s">
        <v>278</v>
      </c>
      <c r="C172" s="27">
        <v>143</v>
      </c>
      <c r="D172" s="27" t="s">
        <v>128</v>
      </c>
      <c r="E172" s="27" t="s">
        <v>107</v>
      </c>
      <c r="F172" s="27" t="s">
        <v>303</v>
      </c>
      <c r="G172" s="27" t="s">
        <v>63</v>
      </c>
      <c r="H172" s="27">
        <v>60</v>
      </c>
      <c r="I172" s="27">
        <v>20</v>
      </c>
      <c r="J172" s="37">
        <v>-4.1800000000000002E-4</v>
      </c>
      <c r="K172" s="27">
        <v>4</v>
      </c>
      <c r="L172" s="38">
        <v>-4.0099999999999999E-4</v>
      </c>
      <c r="M172" s="27" t="s">
        <v>65</v>
      </c>
      <c r="O172" s="27" t="s">
        <v>278</v>
      </c>
      <c r="P172" s="27">
        <v>143</v>
      </c>
      <c r="Q172" s="27" t="s">
        <v>128</v>
      </c>
      <c r="R172" s="27" t="s">
        <v>377</v>
      </c>
      <c r="S172" s="27" t="s">
        <v>303</v>
      </c>
      <c r="T172" s="27" t="s">
        <v>63</v>
      </c>
      <c r="U172" s="27">
        <v>10</v>
      </c>
      <c r="V172" s="27">
        <v>20</v>
      </c>
      <c r="W172" s="37">
        <v>-4.1800000000000002E-4</v>
      </c>
      <c r="X172" s="27">
        <v>4</v>
      </c>
      <c r="Y172" s="38">
        <v>-4.0099999999999999E-4</v>
      </c>
      <c r="Z172" s="27" t="s">
        <v>65</v>
      </c>
    </row>
    <row r="173" spans="2:26" x14ac:dyDescent="0.2">
      <c r="B173" s="27" t="s">
        <v>278</v>
      </c>
      <c r="C173" s="27">
        <v>143</v>
      </c>
      <c r="D173" s="27" t="s">
        <v>128</v>
      </c>
      <c r="E173" s="27" t="s">
        <v>107</v>
      </c>
      <c r="F173" s="27" t="s">
        <v>304</v>
      </c>
      <c r="G173" s="27" t="s">
        <v>64</v>
      </c>
      <c r="H173" s="27">
        <v>60</v>
      </c>
      <c r="I173" s="27">
        <v>15</v>
      </c>
      <c r="J173" s="37">
        <v>-1.64E-4</v>
      </c>
      <c r="K173" s="27">
        <v>6</v>
      </c>
      <c r="L173" s="38">
        <v>-1.54E-4</v>
      </c>
      <c r="M173" s="27" t="s">
        <v>65</v>
      </c>
      <c r="O173" s="27" t="s">
        <v>278</v>
      </c>
      <c r="P173" s="27">
        <v>143</v>
      </c>
      <c r="Q173" s="27" t="s">
        <v>128</v>
      </c>
      <c r="R173" s="27" t="s">
        <v>377</v>
      </c>
      <c r="S173" s="27" t="s">
        <v>304</v>
      </c>
      <c r="T173" s="27" t="s">
        <v>64</v>
      </c>
      <c r="U173" s="27">
        <v>10</v>
      </c>
      <c r="V173" s="27">
        <v>15</v>
      </c>
      <c r="W173" s="37">
        <v>-1.64E-4</v>
      </c>
      <c r="X173" s="27">
        <v>6</v>
      </c>
      <c r="Y173" s="38">
        <v>-1.54E-4</v>
      </c>
      <c r="Z173" s="27" t="s">
        <v>65</v>
      </c>
    </row>
    <row r="174" spans="2:26" x14ac:dyDescent="0.2">
      <c r="B174" s="27" t="s">
        <v>278</v>
      </c>
      <c r="C174" s="27">
        <v>130</v>
      </c>
      <c r="D174" s="27" t="s">
        <v>129</v>
      </c>
      <c r="E174" s="27" t="s">
        <v>107</v>
      </c>
      <c r="F174" s="27" t="s">
        <v>305</v>
      </c>
      <c r="G174" s="27" t="s">
        <v>63</v>
      </c>
      <c r="H174" s="27">
        <v>60</v>
      </c>
      <c r="I174" s="27">
        <v>15</v>
      </c>
      <c r="J174" s="37">
        <v>-3.77E-4</v>
      </c>
      <c r="K174" s="27">
        <v>12</v>
      </c>
      <c r="L174" s="38">
        <v>-3.39E-4</v>
      </c>
      <c r="M174" s="27" t="s">
        <v>65</v>
      </c>
      <c r="O174" s="27" t="s">
        <v>278</v>
      </c>
      <c r="P174" s="27">
        <v>130</v>
      </c>
      <c r="Q174" s="27" t="s">
        <v>129</v>
      </c>
      <c r="R174" s="27" t="s">
        <v>377</v>
      </c>
      <c r="S174" s="27" t="s">
        <v>305</v>
      </c>
      <c r="T174" s="27" t="s">
        <v>63</v>
      </c>
      <c r="U174" s="27">
        <v>10</v>
      </c>
      <c r="V174" s="27">
        <v>15</v>
      </c>
      <c r="W174" s="37">
        <v>-3.77E-4</v>
      </c>
      <c r="X174" s="27">
        <v>11</v>
      </c>
      <c r="Y174" s="38">
        <v>-3.3799999999999998E-4</v>
      </c>
      <c r="Z174" s="27" t="s">
        <v>65</v>
      </c>
    </row>
    <row r="175" spans="2:26" x14ac:dyDescent="0.2">
      <c r="B175" s="27" t="s">
        <v>278</v>
      </c>
      <c r="C175" s="27">
        <v>130</v>
      </c>
      <c r="D175" s="27" t="s">
        <v>129</v>
      </c>
      <c r="E175" s="27" t="s">
        <v>107</v>
      </c>
      <c r="F175" s="27" t="s">
        <v>306</v>
      </c>
      <c r="G175" s="27" t="s">
        <v>64</v>
      </c>
      <c r="H175" s="27">
        <v>60</v>
      </c>
      <c r="I175" s="27">
        <v>19</v>
      </c>
      <c r="J175" s="37">
        <v>-2.52E-4</v>
      </c>
      <c r="K175" s="27">
        <v>1</v>
      </c>
      <c r="L175" s="38">
        <v>-2.3599999999999999E-4</v>
      </c>
      <c r="M175" s="27" t="s">
        <v>65</v>
      </c>
      <c r="O175" s="27" t="s">
        <v>278</v>
      </c>
      <c r="P175" s="27">
        <v>130</v>
      </c>
      <c r="Q175" s="27" t="s">
        <v>129</v>
      </c>
      <c r="R175" s="27" t="s">
        <v>377</v>
      </c>
      <c r="S175" s="27" t="s">
        <v>306</v>
      </c>
      <c r="T175" s="27" t="s">
        <v>64</v>
      </c>
      <c r="U175" s="27">
        <v>10</v>
      </c>
      <c r="V175" s="27">
        <v>19</v>
      </c>
      <c r="W175" s="37">
        <v>-2.52E-4</v>
      </c>
      <c r="X175" s="27">
        <v>1</v>
      </c>
      <c r="Y175" s="38">
        <v>-2.3699999999999999E-4</v>
      </c>
      <c r="Z175" s="27" t="s">
        <v>65</v>
      </c>
    </row>
    <row r="176" spans="2:26" x14ac:dyDescent="0.2">
      <c r="B176" s="27" t="s">
        <v>278</v>
      </c>
      <c r="C176" s="27">
        <v>145</v>
      </c>
      <c r="D176" s="27" t="s">
        <v>128</v>
      </c>
      <c r="E176" s="27" t="s">
        <v>107</v>
      </c>
      <c r="F176" s="27" t="s">
        <v>307</v>
      </c>
      <c r="G176" s="27" t="s">
        <v>63</v>
      </c>
      <c r="H176" s="27">
        <v>60</v>
      </c>
      <c r="I176" s="27">
        <v>20</v>
      </c>
      <c r="J176" s="37">
        <v>-3.9399999999999998E-4</v>
      </c>
      <c r="K176" s="27">
        <v>4</v>
      </c>
      <c r="L176" s="38">
        <v>-3.9399999999999998E-4</v>
      </c>
      <c r="M176" s="27" t="s">
        <v>65</v>
      </c>
      <c r="O176" s="27" t="s">
        <v>278</v>
      </c>
      <c r="P176" s="27">
        <v>145</v>
      </c>
      <c r="Q176" s="27" t="s">
        <v>128</v>
      </c>
      <c r="R176" s="27" t="s">
        <v>377</v>
      </c>
      <c r="S176" s="27" t="s">
        <v>307</v>
      </c>
      <c r="T176" s="27" t="s">
        <v>63</v>
      </c>
      <c r="U176" s="27">
        <v>10</v>
      </c>
      <c r="V176" s="27">
        <v>20</v>
      </c>
      <c r="W176" s="37">
        <v>-3.9399999999999998E-4</v>
      </c>
      <c r="X176" s="27">
        <v>4</v>
      </c>
      <c r="Y176" s="38">
        <v>-3.9399999999999998E-4</v>
      </c>
      <c r="Z176" s="27" t="s">
        <v>65</v>
      </c>
    </row>
    <row r="177" spans="2:26" x14ac:dyDescent="0.2">
      <c r="B177" s="27" t="s">
        <v>278</v>
      </c>
      <c r="C177" s="27">
        <v>145</v>
      </c>
      <c r="D177" s="27" t="s">
        <v>128</v>
      </c>
      <c r="E177" s="27" t="s">
        <v>107</v>
      </c>
      <c r="F177" s="27" t="s">
        <v>308</v>
      </c>
      <c r="G177" s="27" t="s">
        <v>64</v>
      </c>
      <c r="H177" s="27">
        <v>60</v>
      </c>
      <c r="I177" s="27">
        <v>17</v>
      </c>
      <c r="J177" s="37">
        <v>-1.7899999999999999E-4</v>
      </c>
      <c r="K177" s="27">
        <v>3</v>
      </c>
      <c r="L177" s="38">
        <v>-1.7899999999999999E-4</v>
      </c>
      <c r="M177" s="27" t="s">
        <v>65</v>
      </c>
      <c r="O177" s="27" t="s">
        <v>278</v>
      </c>
      <c r="P177" s="27">
        <v>145</v>
      </c>
      <c r="Q177" s="27" t="s">
        <v>128</v>
      </c>
      <c r="R177" s="27" t="s">
        <v>377</v>
      </c>
      <c r="S177" s="27" t="s">
        <v>308</v>
      </c>
      <c r="T177" s="27" t="s">
        <v>64</v>
      </c>
      <c r="U177" s="27">
        <v>10</v>
      </c>
      <c r="V177" s="27">
        <v>17</v>
      </c>
      <c r="W177" s="37">
        <v>-1.7899999999999999E-4</v>
      </c>
      <c r="X177" s="27">
        <v>3</v>
      </c>
      <c r="Y177" s="38">
        <v>-1.7899999999999999E-4</v>
      </c>
      <c r="Z177" s="27" t="s">
        <v>65</v>
      </c>
    </row>
    <row r="178" spans="2:26" x14ac:dyDescent="0.2">
      <c r="B178" s="27" t="s">
        <v>278</v>
      </c>
      <c r="C178" s="27">
        <v>146</v>
      </c>
      <c r="D178" s="27" t="s">
        <v>128</v>
      </c>
      <c r="E178" s="27" t="s">
        <v>107</v>
      </c>
      <c r="F178" s="27" t="s">
        <v>309</v>
      </c>
      <c r="G178" s="27" t="s">
        <v>63</v>
      </c>
      <c r="H178" s="27">
        <v>60</v>
      </c>
      <c r="I178" s="27">
        <v>15</v>
      </c>
      <c r="J178" s="37">
        <v>-3.9300000000000001E-4</v>
      </c>
      <c r="K178" s="27">
        <v>6</v>
      </c>
      <c r="L178" s="38">
        <v>-3.9399999999999998E-4</v>
      </c>
      <c r="M178" s="27" t="s">
        <v>65</v>
      </c>
      <c r="O178" s="27" t="s">
        <v>278</v>
      </c>
      <c r="P178" s="27">
        <v>146</v>
      </c>
      <c r="Q178" s="27" t="s">
        <v>128</v>
      </c>
      <c r="R178" s="27" t="s">
        <v>377</v>
      </c>
      <c r="S178" s="27" t="s">
        <v>309</v>
      </c>
      <c r="T178" s="27" t="s">
        <v>63</v>
      </c>
      <c r="U178" s="27">
        <v>10</v>
      </c>
      <c r="V178" s="27">
        <v>15</v>
      </c>
      <c r="W178" s="37">
        <v>-3.9300000000000001E-4</v>
      </c>
      <c r="X178" s="27">
        <v>6</v>
      </c>
      <c r="Y178" s="38">
        <v>-3.9300000000000001E-4</v>
      </c>
      <c r="Z178" s="27" t="s">
        <v>65</v>
      </c>
    </row>
    <row r="179" spans="2:26" x14ac:dyDescent="0.2">
      <c r="B179" s="27" t="s">
        <v>278</v>
      </c>
      <c r="C179" s="27">
        <v>146</v>
      </c>
      <c r="D179" s="27" t="s">
        <v>128</v>
      </c>
      <c r="E179" s="27" t="s">
        <v>107</v>
      </c>
      <c r="F179" s="27" t="s">
        <v>310</v>
      </c>
      <c r="G179" s="27" t="s">
        <v>64</v>
      </c>
      <c r="H179" s="27">
        <v>60</v>
      </c>
      <c r="I179" s="27">
        <v>22</v>
      </c>
      <c r="J179" s="37">
        <v>-1.7899999999999999E-4</v>
      </c>
      <c r="K179" s="27">
        <v>1</v>
      </c>
      <c r="L179" s="38">
        <v>-1.7899999999999999E-4</v>
      </c>
      <c r="M179" s="27" t="s">
        <v>65</v>
      </c>
      <c r="O179" s="27" t="s">
        <v>278</v>
      </c>
      <c r="P179" s="27">
        <v>146</v>
      </c>
      <c r="Q179" s="27" t="s">
        <v>128</v>
      </c>
      <c r="R179" s="27" t="s">
        <v>377</v>
      </c>
      <c r="S179" s="27" t="s">
        <v>310</v>
      </c>
      <c r="T179" s="27" t="s">
        <v>64</v>
      </c>
      <c r="U179" s="27">
        <v>10</v>
      </c>
      <c r="V179" s="27">
        <v>22</v>
      </c>
      <c r="W179" s="37">
        <v>-1.7899999999999999E-4</v>
      </c>
      <c r="X179" s="27">
        <v>1</v>
      </c>
      <c r="Y179" s="38">
        <v>-1.7899999999999999E-4</v>
      </c>
      <c r="Z179" s="27" t="s">
        <v>65</v>
      </c>
    </row>
    <row r="180" spans="2:26" x14ac:dyDescent="0.2">
      <c r="B180" s="27" t="s">
        <v>278</v>
      </c>
      <c r="C180" s="27">
        <v>132</v>
      </c>
      <c r="D180" s="27" t="s">
        <v>129</v>
      </c>
      <c r="E180" s="27" t="s">
        <v>107</v>
      </c>
      <c r="F180" s="27" t="s">
        <v>311</v>
      </c>
      <c r="G180" s="27" t="s">
        <v>63</v>
      </c>
      <c r="H180" s="27">
        <v>60</v>
      </c>
      <c r="I180" s="27">
        <v>20</v>
      </c>
      <c r="J180" s="37">
        <v>-3.77E-4</v>
      </c>
      <c r="K180" s="27">
        <v>7</v>
      </c>
      <c r="L180" s="38">
        <v>-3.39E-4</v>
      </c>
      <c r="M180" s="27" t="s">
        <v>65</v>
      </c>
      <c r="O180" s="27" t="s">
        <v>278</v>
      </c>
      <c r="P180" s="27">
        <v>132</v>
      </c>
      <c r="Q180" s="27" t="s">
        <v>129</v>
      </c>
      <c r="R180" s="27" t="s">
        <v>377</v>
      </c>
      <c r="S180" s="27" t="s">
        <v>311</v>
      </c>
      <c r="T180" s="27" t="s">
        <v>63</v>
      </c>
      <c r="U180" s="27">
        <v>10</v>
      </c>
      <c r="V180" s="27">
        <v>20</v>
      </c>
      <c r="W180" s="37">
        <v>-3.77E-4</v>
      </c>
      <c r="X180" s="27">
        <v>7</v>
      </c>
      <c r="Y180" s="38">
        <v>-3.39E-4</v>
      </c>
      <c r="Z180" s="27" t="s">
        <v>65</v>
      </c>
    </row>
    <row r="181" spans="2:26" x14ac:dyDescent="0.2">
      <c r="B181" s="27" t="s">
        <v>278</v>
      </c>
      <c r="C181" s="27">
        <v>132</v>
      </c>
      <c r="D181" s="27" t="s">
        <v>129</v>
      </c>
      <c r="E181" s="27" t="s">
        <v>107</v>
      </c>
      <c r="F181" s="27" t="s">
        <v>312</v>
      </c>
      <c r="G181" s="27" t="s">
        <v>64</v>
      </c>
      <c r="H181" s="27">
        <v>60</v>
      </c>
      <c r="I181" s="27">
        <v>17</v>
      </c>
      <c r="J181" s="37">
        <v>-2.52E-4</v>
      </c>
      <c r="K181" s="27">
        <v>2</v>
      </c>
      <c r="L181" s="38">
        <v>-2.3599999999999999E-4</v>
      </c>
      <c r="M181" s="27" t="s">
        <v>65</v>
      </c>
      <c r="O181" s="27" t="s">
        <v>278</v>
      </c>
      <c r="P181" s="27">
        <v>132</v>
      </c>
      <c r="Q181" s="27" t="s">
        <v>129</v>
      </c>
      <c r="R181" s="27" t="s">
        <v>377</v>
      </c>
      <c r="S181" s="27" t="s">
        <v>312</v>
      </c>
      <c r="T181" s="27" t="s">
        <v>64</v>
      </c>
      <c r="U181" s="27">
        <v>10</v>
      </c>
      <c r="V181" s="27">
        <v>17</v>
      </c>
      <c r="W181" s="37">
        <v>-2.52E-4</v>
      </c>
      <c r="X181" s="27">
        <v>6</v>
      </c>
      <c r="Y181" s="38">
        <v>-2.3699999999999999E-4</v>
      </c>
      <c r="Z181" s="27" t="s">
        <v>65</v>
      </c>
    </row>
    <row r="182" spans="2:26" x14ac:dyDescent="0.2">
      <c r="B182" s="27" t="s">
        <v>278</v>
      </c>
      <c r="C182" s="27">
        <v>141</v>
      </c>
      <c r="D182" s="27" t="s">
        <v>128</v>
      </c>
      <c r="E182" s="27" t="s">
        <v>107</v>
      </c>
      <c r="F182" s="27" t="s">
        <v>313</v>
      </c>
      <c r="G182" s="27" t="s">
        <v>63</v>
      </c>
      <c r="H182" s="27">
        <v>60</v>
      </c>
      <c r="I182" s="27">
        <v>15</v>
      </c>
      <c r="J182" s="37">
        <v>-4.17E-4</v>
      </c>
      <c r="K182" s="27">
        <v>6</v>
      </c>
      <c r="L182" s="38">
        <v>-4.0000000000000002E-4</v>
      </c>
      <c r="M182" s="27" t="s">
        <v>65</v>
      </c>
      <c r="O182" s="27" t="s">
        <v>278</v>
      </c>
      <c r="P182" s="27">
        <v>141</v>
      </c>
      <c r="Q182" s="27" t="s">
        <v>128</v>
      </c>
      <c r="R182" s="27" t="s">
        <v>377</v>
      </c>
      <c r="S182" s="27" t="s">
        <v>313</v>
      </c>
      <c r="T182" s="27" t="s">
        <v>63</v>
      </c>
      <c r="U182" s="27">
        <v>10</v>
      </c>
      <c r="V182" s="27">
        <v>15</v>
      </c>
      <c r="W182" s="37">
        <v>-4.17E-4</v>
      </c>
      <c r="X182" s="27">
        <v>6</v>
      </c>
      <c r="Y182" s="38">
        <v>-4.0000000000000002E-4</v>
      </c>
      <c r="Z182" s="27" t="s">
        <v>65</v>
      </c>
    </row>
    <row r="183" spans="2:26" x14ac:dyDescent="0.2">
      <c r="B183" s="27" t="s">
        <v>278</v>
      </c>
      <c r="C183" s="27">
        <v>141</v>
      </c>
      <c r="D183" s="27" t="s">
        <v>128</v>
      </c>
      <c r="E183" s="27" t="s">
        <v>107</v>
      </c>
      <c r="F183" s="27" t="s">
        <v>314</v>
      </c>
      <c r="G183" s="27" t="s">
        <v>64</v>
      </c>
      <c r="H183" s="27">
        <v>60</v>
      </c>
      <c r="I183" s="27">
        <v>20</v>
      </c>
      <c r="J183" s="37">
        <v>-1.64E-4</v>
      </c>
      <c r="K183" s="27">
        <v>4</v>
      </c>
      <c r="L183" s="38">
        <v>-1.54E-4</v>
      </c>
      <c r="M183" s="27" t="s">
        <v>65</v>
      </c>
      <c r="O183" s="27" t="s">
        <v>278</v>
      </c>
      <c r="P183" s="27">
        <v>141</v>
      </c>
      <c r="Q183" s="27" t="s">
        <v>128</v>
      </c>
      <c r="R183" s="27" t="s">
        <v>377</v>
      </c>
      <c r="S183" s="27" t="s">
        <v>314</v>
      </c>
      <c r="T183" s="27" t="s">
        <v>64</v>
      </c>
      <c r="U183" s="27">
        <v>10</v>
      </c>
      <c r="V183" s="27">
        <v>20</v>
      </c>
      <c r="W183" s="37">
        <v>-1.63E-4</v>
      </c>
      <c r="X183" s="27">
        <v>4</v>
      </c>
      <c r="Y183" s="38">
        <v>-1.5300000000000001E-4</v>
      </c>
      <c r="Z183" s="27" t="s">
        <v>65</v>
      </c>
    </row>
    <row r="184" spans="2:26" x14ac:dyDescent="0.2">
      <c r="B184" s="27" t="s">
        <v>278</v>
      </c>
      <c r="C184" s="27">
        <v>125</v>
      </c>
      <c r="D184" s="27" t="s">
        <v>127</v>
      </c>
      <c r="E184" s="27" t="s">
        <v>107</v>
      </c>
      <c r="F184" s="27" t="s">
        <v>315</v>
      </c>
      <c r="G184" s="27" t="s">
        <v>63</v>
      </c>
      <c r="H184" s="27">
        <v>60</v>
      </c>
      <c r="I184" s="27">
        <v>16</v>
      </c>
      <c r="J184" s="37">
        <v>-2.8899999999999998E-4</v>
      </c>
      <c r="K184" s="27">
        <v>1</v>
      </c>
      <c r="L184" s="38">
        <v>-2.5999999999999998E-4</v>
      </c>
      <c r="M184" s="27" t="s">
        <v>65</v>
      </c>
      <c r="O184" s="27" t="s">
        <v>278</v>
      </c>
      <c r="P184" s="27">
        <v>125</v>
      </c>
      <c r="Q184" s="27" t="s">
        <v>127</v>
      </c>
      <c r="R184" s="27" t="s">
        <v>377</v>
      </c>
      <c r="S184" s="27" t="s">
        <v>315</v>
      </c>
      <c r="T184" s="27" t="s">
        <v>63</v>
      </c>
      <c r="U184" s="27">
        <v>10</v>
      </c>
      <c r="V184" s="27">
        <v>16</v>
      </c>
      <c r="W184" s="37">
        <v>-2.8899999999999998E-4</v>
      </c>
      <c r="X184" s="27">
        <v>1</v>
      </c>
      <c r="Y184" s="38">
        <v>-2.5999999999999998E-4</v>
      </c>
      <c r="Z184" s="27" t="s">
        <v>65</v>
      </c>
    </row>
    <row r="185" spans="2:26" x14ac:dyDescent="0.2">
      <c r="B185" s="27" t="s">
        <v>278</v>
      </c>
      <c r="C185" s="27">
        <v>125</v>
      </c>
      <c r="D185" s="27" t="s">
        <v>127</v>
      </c>
      <c r="E185" s="27" t="s">
        <v>107</v>
      </c>
      <c r="F185" s="27" t="s">
        <v>316</v>
      </c>
      <c r="G185" s="27" t="s">
        <v>64</v>
      </c>
      <c r="H185" s="27">
        <v>60</v>
      </c>
      <c r="I185" s="27">
        <v>9</v>
      </c>
      <c r="J185" s="37">
        <v>-2.5099999999999998E-4</v>
      </c>
      <c r="K185" s="27">
        <v>6</v>
      </c>
      <c r="L185" s="38">
        <v>-2.2800000000000001E-4</v>
      </c>
      <c r="M185" s="27" t="s">
        <v>65</v>
      </c>
      <c r="O185" s="27" t="s">
        <v>278</v>
      </c>
      <c r="P185" s="27">
        <v>125</v>
      </c>
      <c r="Q185" s="27" t="s">
        <v>127</v>
      </c>
      <c r="R185" s="27" t="s">
        <v>377</v>
      </c>
      <c r="S185" s="27" t="s">
        <v>316</v>
      </c>
      <c r="T185" s="27" t="s">
        <v>64</v>
      </c>
      <c r="U185" s="27">
        <v>10</v>
      </c>
      <c r="V185" s="27">
        <v>9</v>
      </c>
      <c r="W185" s="37">
        <v>-2.5099999999999998E-4</v>
      </c>
      <c r="X185" s="27">
        <v>6</v>
      </c>
      <c r="Y185" s="38">
        <v>-2.2800000000000001E-4</v>
      </c>
      <c r="Z185" s="27" t="s">
        <v>65</v>
      </c>
    </row>
    <row r="186" spans="2:26" x14ac:dyDescent="0.2">
      <c r="B186" s="27" t="s">
        <v>278</v>
      </c>
      <c r="C186" s="27">
        <v>137</v>
      </c>
      <c r="D186" s="27" t="s">
        <v>128</v>
      </c>
      <c r="E186" s="27" t="s">
        <v>107</v>
      </c>
      <c r="F186" s="27" t="s">
        <v>317</v>
      </c>
      <c r="G186" s="27" t="s">
        <v>63</v>
      </c>
      <c r="H186" s="27">
        <v>60</v>
      </c>
      <c r="I186" s="27">
        <v>15</v>
      </c>
      <c r="J186" s="37">
        <v>-2.1000000000000001E-4</v>
      </c>
      <c r="K186" s="27">
        <v>6</v>
      </c>
      <c r="L186" s="38">
        <v>-2.1000000000000001E-4</v>
      </c>
      <c r="M186" s="27" t="s">
        <v>65</v>
      </c>
      <c r="O186" s="27" t="s">
        <v>278</v>
      </c>
      <c r="P186" s="27">
        <v>137</v>
      </c>
      <c r="Q186" s="27" t="s">
        <v>128</v>
      </c>
      <c r="R186" s="27" t="s">
        <v>377</v>
      </c>
      <c r="S186" s="27" t="s">
        <v>317</v>
      </c>
      <c r="T186" s="27" t="s">
        <v>63</v>
      </c>
      <c r="U186" s="27">
        <v>10</v>
      </c>
      <c r="V186" s="27">
        <v>15</v>
      </c>
      <c r="W186" s="37">
        <v>-2.1000000000000001E-4</v>
      </c>
      <c r="X186" s="27">
        <v>6</v>
      </c>
      <c r="Y186" s="38">
        <v>-2.0900000000000001E-4</v>
      </c>
      <c r="Z186" s="27" t="s">
        <v>65</v>
      </c>
    </row>
    <row r="187" spans="2:26" x14ac:dyDescent="0.2">
      <c r="B187" s="27" t="s">
        <v>278</v>
      </c>
      <c r="C187" s="27">
        <v>137</v>
      </c>
      <c r="D187" s="27" t="s">
        <v>128</v>
      </c>
      <c r="E187" s="27" t="s">
        <v>107</v>
      </c>
      <c r="F187" s="27" t="s">
        <v>318</v>
      </c>
      <c r="G187" s="27" t="s">
        <v>64</v>
      </c>
      <c r="H187" s="27">
        <v>60</v>
      </c>
      <c r="I187" s="27">
        <v>20</v>
      </c>
      <c r="J187" s="37">
        <v>-1.54E-4</v>
      </c>
      <c r="K187" s="27">
        <v>4</v>
      </c>
      <c r="L187" s="38">
        <v>-1.54E-4</v>
      </c>
      <c r="M187" s="27" t="s">
        <v>65</v>
      </c>
      <c r="O187" s="27" t="s">
        <v>278</v>
      </c>
      <c r="P187" s="27">
        <v>137</v>
      </c>
      <c r="Q187" s="27" t="s">
        <v>128</v>
      </c>
      <c r="R187" s="27" t="s">
        <v>377</v>
      </c>
      <c r="S187" s="27" t="s">
        <v>318</v>
      </c>
      <c r="T187" s="27" t="s">
        <v>64</v>
      </c>
      <c r="U187" s="27">
        <v>10</v>
      </c>
      <c r="V187" s="27">
        <v>20</v>
      </c>
      <c r="W187" s="37">
        <v>-1.54E-4</v>
      </c>
      <c r="X187" s="27">
        <v>4</v>
      </c>
      <c r="Y187" s="38">
        <v>-1.5300000000000001E-4</v>
      </c>
      <c r="Z187" s="27" t="s">
        <v>65</v>
      </c>
    </row>
    <row r="188" spans="2:26" x14ac:dyDescent="0.2">
      <c r="B188" s="27" t="s">
        <v>278</v>
      </c>
      <c r="C188" s="27">
        <v>133</v>
      </c>
      <c r="D188" s="27" t="s">
        <v>129</v>
      </c>
      <c r="E188" s="27" t="s">
        <v>107</v>
      </c>
      <c r="F188" s="27" t="s">
        <v>319</v>
      </c>
      <c r="G188" s="27" t="s">
        <v>63</v>
      </c>
      <c r="H188" s="27">
        <v>60</v>
      </c>
      <c r="I188" s="27">
        <v>22</v>
      </c>
      <c r="J188" s="37">
        <v>-1.05E-4</v>
      </c>
      <c r="K188" s="27">
        <v>1</v>
      </c>
      <c r="L188" s="38">
        <v>-1.03E-4</v>
      </c>
      <c r="M188" s="27" t="s">
        <v>65</v>
      </c>
      <c r="O188" s="27" t="s">
        <v>278</v>
      </c>
      <c r="P188" s="27">
        <v>133</v>
      </c>
      <c r="Q188" s="27" t="s">
        <v>129</v>
      </c>
      <c r="R188" s="27" t="s">
        <v>377</v>
      </c>
      <c r="S188" s="27" t="s">
        <v>319</v>
      </c>
      <c r="T188" s="27" t="s">
        <v>63</v>
      </c>
      <c r="U188" s="27">
        <v>10</v>
      </c>
      <c r="V188" s="27">
        <v>22</v>
      </c>
      <c r="W188" s="37">
        <v>-1.05E-4</v>
      </c>
      <c r="X188" s="27">
        <v>1</v>
      </c>
      <c r="Y188" s="38">
        <v>-1.03E-4</v>
      </c>
      <c r="Z188" s="27" t="s">
        <v>65</v>
      </c>
    </row>
    <row r="189" spans="2:26" x14ac:dyDescent="0.2">
      <c r="B189" s="27" t="s">
        <v>278</v>
      </c>
      <c r="C189" s="27">
        <v>133</v>
      </c>
      <c r="D189" s="27" t="s">
        <v>129</v>
      </c>
      <c r="E189" s="27" t="s">
        <v>107</v>
      </c>
      <c r="F189" s="27" t="s">
        <v>320</v>
      </c>
      <c r="G189" s="27" t="s">
        <v>64</v>
      </c>
      <c r="H189" s="27">
        <v>60</v>
      </c>
      <c r="I189" s="27">
        <v>15</v>
      </c>
      <c r="J189" s="37">
        <v>-1.3999999999999999E-4</v>
      </c>
      <c r="K189" s="27">
        <v>7</v>
      </c>
      <c r="L189" s="38">
        <v>-1.3100000000000001E-4</v>
      </c>
      <c r="M189" s="27" t="s">
        <v>65</v>
      </c>
      <c r="O189" s="27" t="s">
        <v>278</v>
      </c>
      <c r="P189" s="27">
        <v>133</v>
      </c>
      <c r="Q189" s="27" t="s">
        <v>129</v>
      </c>
      <c r="R189" s="27" t="s">
        <v>377</v>
      </c>
      <c r="S189" s="27" t="s">
        <v>320</v>
      </c>
      <c r="T189" s="27" t="s">
        <v>64</v>
      </c>
      <c r="U189" s="27">
        <v>10</v>
      </c>
      <c r="V189" s="27">
        <v>15</v>
      </c>
      <c r="W189" s="37">
        <v>-1.3999999999999999E-4</v>
      </c>
      <c r="X189" s="27">
        <v>7</v>
      </c>
      <c r="Y189" s="38">
        <v>-1.3100000000000001E-4</v>
      </c>
      <c r="Z189" s="27" t="s">
        <v>65</v>
      </c>
    </row>
    <row r="190" spans="2:26" x14ac:dyDescent="0.2">
      <c r="B190" s="27" t="s">
        <v>278</v>
      </c>
      <c r="C190" s="27">
        <v>134</v>
      </c>
      <c r="D190" s="27" t="s">
        <v>129</v>
      </c>
      <c r="E190" s="27" t="s">
        <v>107</v>
      </c>
      <c r="F190" s="27" t="s">
        <v>321</v>
      </c>
      <c r="G190" s="27" t="s">
        <v>63</v>
      </c>
      <c r="H190" s="27">
        <v>60</v>
      </c>
      <c r="I190" s="27">
        <v>19</v>
      </c>
      <c r="J190" s="37">
        <v>-1.05E-4</v>
      </c>
      <c r="K190" s="27">
        <v>1</v>
      </c>
      <c r="L190" s="38">
        <v>-1.02E-4</v>
      </c>
      <c r="M190" s="27" t="s">
        <v>65</v>
      </c>
      <c r="O190" s="27" t="s">
        <v>278</v>
      </c>
      <c r="P190" s="27">
        <v>134</v>
      </c>
      <c r="Q190" s="27" t="s">
        <v>129</v>
      </c>
      <c r="R190" s="27" t="s">
        <v>377</v>
      </c>
      <c r="S190" s="27" t="s">
        <v>321</v>
      </c>
      <c r="T190" s="27" t="s">
        <v>63</v>
      </c>
      <c r="U190" s="27">
        <v>10</v>
      </c>
      <c r="V190" s="27">
        <v>22</v>
      </c>
      <c r="W190" s="37">
        <v>-1.05E-4</v>
      </c>
      <c r="X190" s="27">
        <v>1</v>
      </c>
      <c r="Y190" s="38">
        <v>-1.03E-4</v>
      </c>
      <c r="Z190" s="27" t="s">
        <v>65</v>
      </c>
    </row>
    <row r="191" spans="2:26" x14ac:dyDescent="0.2">
      <c r="B191" s="27" t="s">
        <v>278</v>
      </c>
      <c r="C191" s="27">
        <v>134</v>
      </c>
      <c r="D191" s="27" t="s">
        <v>129</v>
      </c>
      <c r="E191" s="27" t="s">
        <v>107</v>
      </c>
      <c r="F191" s="27" t="s">
        <v>322</v>
      </c>
      <c r="G191" s="27" t="s">
        <v>64</v>
      </c>
      <c r="H191" s="27">
        <v>60</v>
      </c>
      <c r="I191" s="27">
        <v>15</v>
      </c>
      <c r="J191" s="37">
        <v>-1.3999999999999999E-4</v>
      </c>
      <c r="K191" s="27">
        <v>7</v>
      </c>
      <c r="L191" s="38">
        <v>-1.3100000000000001E-4</v>
      </c>
      <c r="M191" s="27" t="s">
        <v>65</v>
      </c>
      <c r="O191" s="27" t="s">
        <v>278</v>
      </c>
      <c r="P191" s="27">
        <v>134</v>
      </c>
      <c r="Q191" s="27" t="s">
        <v>129</v>
      </c>
      <c r="R191" s="27" t="s">
        <v>377</v>
      </c>
      <c r="S191" s="27" t="s">
        <v>322</v>
      </c>
      <c r="T191" s="27" t="s">
        <v>64</v>
      </c>
      <c r="U191" s="27">
        <v>10</v>
      </c>
      <c r="V191" s="27">
        <v>15</v>
      </c>
      <c r="W191" s="37">
        <v>-1.3999999999999999E-4</v>
      </c>
      <c r="X191" s="27">
        <v>7</v>
      </c>
      <c r="Y191" s="38">
        <v>-1.3100000000000001E-4</v>
      </c>
      <c r="Z191" s="27" t="s">
        <v>65</v>
      </c>
    </row>
    <row r="192" spans="2:26" x14ac:dyDescent="0.2">
      <c r="B192" s="27" t="s">
        <v>278</v>
      </c>
      <c r="C192" s="27">
        <v>138</v>
      </c>
      <c r="D192" s="27" t="s">
        <v>128</v>
      </c>
      <c r="E192" s="27" t="s">
        <v>107</v>
      </c>
      <c r="F192" s="27" t="s">
        <v>323</v>
      </c>
      <c r="G192" s="27" t="s">
        <v>63</v>
      </c>
      <c r="H192" s="27">
        <v>60</v>
      </c>
      <c r="I192" s="27">
        <v>20</v>
      </c>
      <c r="J192" s="37">
        <v>-2.1000000000000001E-4</v>
      </c>
      <c r="K192" s="27">
        <v>4</v>
      </c>
      <c r="L192" s="38">
        <v>-2.1000000000000001E-4</v>
      </c>
      <c r="M192" s="27" t="s">
        <v>65</v>
      </c>
      <c r="O192" s="27" t="s">
        <v>278</v>
      </c>
      <c r="P192" s="27">
        <v>138</v>
      </c>
      <c r="Q192" s="27" t="s">
        <v>128</v>
      </c>
      <c r="R192" s="27" t="s">
        <v>377</v>
      </c>
      <c r="S192" s="27" t="s">
        <v>323</v>
      </c>
      <c r="T192" s="27" t="s">
        <v>63</v>
      </c>
      <c r="U192" s="27">
        <v>10</v>
      </c>
      <c r="V192" s="27">
        <v>20</v>
      </c>
      <c r="W192" s="37">
        <v>-2.1000000000000001E-4</v>
      </c>
      <c r="X192" s="27">
        <v>4</v>
      </c>
      <c r="Y192" s="38">
        <v>-2.1000000000000001E-4</v>
      </c>
      <c r="Z192" s="27" t="s">
        <v>65</v>
      </c>
    </row>
    <row r="193" spans="2:26" x14ac:dyDescent="0.2">
      <c r="B193" s="27" t="s">
        <v>278</v>
      </c>
      <c r="C193" s="27">
        <v>138</v>
      </c>
      <c r="D193" s="27" t="s">
        <v>128</v>
      </c>
      <c r="E193" s="27" t="s">
        <v>107</v>
      </c>
      <c r="F193" s="27" t="s">
        <v>324</v>
      </c>
      <c r="G193" s="27" t="s">
        <v>64</v>
      </c>
      <c r="H193" s="27">
        <v>60</v>
      </c>
      <c r="I193" s="27">
        <v>15</v>
      </c>
      <c r="J193" s="37">
        <v>-1.54E-4</v>
      </c>
      <c r="K193" s="27">
        <v>6</v>
      </c>
      <c r="L193" s="38">
        <v>-1.54E-4</v>
      </c>
      <c r="M193" s="27" t="s">
        <v>65</v>
      </c>
      <c r="O193" s="27" t="s">
        <v>278</v>
      </c>
      <c r="P193" s="27">
        <v>138</v>
      </c>
      <c r="Q193" s="27" t="s">
        <v>128</v>
      </c>
      <c r="R193" s="27" t="s">
        <v>377</v>
      </c>
      <c r="S193" s="27" t="s">
        <v>324</v>
      </c>
      <c r="T193" s="27" t="s">
        <v>64</v>
      </c>
      <c r="U193" s="27">
        <v>10</v>
      </c>
      <c r="V193" s="27">
        <v>15</v>
      </c>
      <c r="W193" s="37">
        <v>-1.54E-4</v>
      </c>
      <c r="X193" s="27">
        <v>6</v>
      </c>
      <c r="Y193" s="38">
        <v>-1.54E-4</v>
      </c>
      <c r="Z193" s="27" t="s">
        <v>65</v>
      </c>
    </row>
    <row r="194" spans="2:26" x14ac:dyDescent="0.2">
      <c r="B194" s="27" t="s">
        <v>278</v>
      </c>
      <c r="C194" s="27">
        <v>126</v>
      </c>
      <c r="D194" s="27" t="s">
        <v>127</v>
      </c>
      <c r="E194" s="27" t="s">
        <v>107</v>
      </c>
      <c r="F194" s="27" t="s">
        <v>325</v>
      </c>
      <c r="G194" s="27" t="s">
        <v>63</v>
      </c>
      <c r="H194" s="27">
        <v>60</v>
      </c>
      <c r="I194" s="27">
        <v>11</v>
      </c>
      <c r="J194" s="37">
        <v>-2.8800000000000001E-4</v>
      </c>
      <c r="K194" s="27">
        <v>3</v>
      </c>
      <c r="L194" s="38">
        <v>-2.5999999999999998E-4</v>
      </c>
      <c r="M194" s="27" t="s">
        <v>65</v>
      </c>
      <c r="O194" s="27" t="s">
        <v>278</v>
      </c>
      <c r="P194" s="27">
        <v>126</v>
      </c>
      <c r="Q194" s="27" t="s">
        <v>127</v>
      </c>
      <c r="R194" s="27" t="s">
        <v>377</v>
      </c>
      <c r="S194" s="27" t="s">
        <v>325</v>
      </c>
      <c r="T194" s="27" t="s">
        <v>63</v>
      </c>
      <c r="U194" s="27">
        <v>10</v>
      </c>
      <c r="V194" s="27">
        <v>11</v>
      </c>
      <c r="W194" s="37">
        <v>-2.8800000000000001E-4</v>
      </c>
      <c r="X194" s="27">
        <v>3</v>
      </c>
      <c r="Y194" s="38">
        <v>-2.5900000000000001E-4</v>
      </c>
      <c r="Z194" s="27" t="s">
        <v>65</v>
      </c>
    </row>
    <row r="195" spans="2:26" x14ac:dyDescent="0.2">
      <c r="B195" s="27" t="s">
        <v>278</v>
      </c>
      <c r="C195" s="27">
        <v>126</v>
      </c>
      <c r="D195" s="27" t="s">
        <v>127</v>
      </c>
      <c r="E195" s="27" t="s">
        <v>107</v>
      </c>
      <c r="F195" s="27" t="s">
        <v>326</v>
      </c>
      <c r="G195" s="27" t="s">
        <v>64</v>
      </c>
      <c r="H195" s="27">
        <v>60</v>
      </c>
      <c r="I195" s="27">
        <v>14</v>
      </c>
      <c r="J195" s="37">
        <v>-2.5099999999999998E-4</v>
      </c>
      <c r="K195" s="27">
        <v>4</v>
      </c>
      <c r="L195" s="38">
        <v>-2.2800000000000001E-4</v>
      </c>
      <c r="M195" s="27" t="s">
        <v>65</v>
      </c>
      <c r="O195" s="27" t="s">
        <v>278</v>
      </c>
      <c r="P195" s="27">
        <v>126</v>
      </c>
      <c r="Q195" s="27" t="s">
        <v>127</v>
      </c>
      <c r="R195" s="27" t="s">
        <v>377</v>
      </c>
      <c r="S195" s="27" t="s">
        <v>326</v>
      </c>
      <c r="T195" s="27" t="s">
        <v>64</v>
      </c>
      <c r="U195" s="27">
        <v>10</v>
      </c>
      <c r="V195" s="27">
        <v>14</v>
      </c>
      <c r="W195" s="37">
        <v>-2.5099999999999998E-4</v>
      </c>
      <c r="X195" s="27">
        <v>4</v>
      </c>
      <c r="Y195" s="38">
        <v>-2.2800000000000001E-4</v>
      </c>
      <c r="Z195" s="27" t="s">
        <v>65</v>
      </c>
    </row>
    <row r="196" spans="2:26" x14ac:dyDescent="0.2">
      <c r="B196" s="27" t="s">
        <v>327</v>
      </c>
      <c r="C196" s="27">
        <v>3</v>
      </c>
      <c r="D196" s="27" t="s">
        <v>127</v>
      </c>
      <c r="E196" s="27" t="s">
        <v>107</v>
      </c>
      <c r="F196" s="27" t="s">
        <v>328</v>
      </c>
      <c r="G196" s="27" t="s">
        <v>63</v>
      </c>
      <c r="H196" s="27">
        <v>60</v>
      </c>
      <c r="I196" s="27">
        <v>14</v>
      </c>
      <c r="J196" s="37">
        <v>-5.3200000000000003E-4</v>
      </c>
      <c r="K196" s="27">
        <v>4</v>
      </c>
      <c r="L196" s="38">
        <v>-4.75E-4</v>
      </c>
      <c r="M196" s="27" t="s">
        <v>65</v>
      </c>
      <c r="O196" s="27" t="s">
        <v>327</v>
      </c>
      <c r="P196" s="27">
        <v>3</v>
      </c>
      <c r="Q196" s="27" t="s">
        <v>127</v>
      </c>
      <c r="R196" s="27" t="s">
        <v>377</v>
      </c>
      <c r="S196" s="27" t="s">
        <v>328</v>
      </c>
      <c r="T196" s="27" t="s">
        <v>63</v>
      </c>
      <c r="U196" s="27">
        <v>10</v>
      </c>
      <c r="V196" s="27">
        <v>14</v>
      </c>
      <c r="W196" s="37">
        <v>-5.3300000000000005E-4</v>
      </c>
      <c r="X196" s="27">
        <v>4</v>
      </c>
      <c r="Y196" s="38">
        <v>-4.75E-4</v>
      </c>
      <c r="Z196" s="27" t="s">
        <v>65</v>
      </c>
    </row>
    <row r="197" spans="2:26" x14ac:dyDescent="0.2">
      <c r="B197" s="27" t="s">
        <v>327</v>
      </c>
      <c r="C197" s="27">
        <v>3</v>
      </c>
      <c r="D197" s="27" t="s">
        <v>127</v>
      </c>
      <c r="E197" s="27" t="s">
        <v>107</v>
      </c>
      <c r="F197" s="27" t="s">
        <v>329</v>
      </c>
      <c r="G197" s="27" t="s">
        <v>64</v>
      </c>
      <c r="H197" s="27">
        <v>60</v>
      </c>
      <c r="I197" s="27">
        <v>11</v>
      </c>
      <c r="J197" s="37">
        <v>-3.6600000000000001E-4</v>
      </c>
      <c r="K197" s="27">
        <v>3</v>
      </c>
      <c r="L197" s="38">
        <v>-3.3599999999999998E-4</v>
      </c>
      <c r="M197" s="27" t="s">
        <v>65</v>
      </c>
      <c r="O197" s="27" t="s">
        <v>327</v>
      </c>
      <c r="P197" s="27">
        <v>3</v>
      </c>
      <c r="Q197" s="27" t="s">
        <v>127</v>
      </c>
      <c r="R197" s="27" t="s">
        <v>377</v>
      </c>
      <c r="S197" s="27" t="s">
        <v>329</v>
      </c>
      <c r="T197" s="27" t="s">
        <v>64</v>
      </c>
      <c r="U197" s="27">
        <v>10</v>
      </c>
      <c r="V197" s="27">
        <v>11</v>
      </c>
      <c r="W197" s="37">
        <v>-3.6600000000000001E-4</v>
      </c>
      <c r="X197" s="27">
        <v>3</v>
      </c>
      <c r="Y197" s="38">
        <v>-3.3599999999999998E-4</v>
      </c>
      <c r="Z197" s="27" t="s">
        <v>65</v>
      </c>
    </row>
    <row r="198" spans="2:26" x14ac:dyDescent="0.2">
      <c r="B198" s="27" t="s">
        <v>327</v>
      </c>
      <c r="C198" s="27">
        <v>15</v>
      </c>
      <c r="D198" s="27" t="s">
        <v>128</v>
      </c>
      <c r="E198" s="27" t="s">
        <v>107</v>
      </c>
      <c r="F198" s="27" t="s">
        <v>330</v>
      </c>
      <c r="G198" s="27" t="s">
        <v>63</v>
      </c>
      <c r="H198" s="27">
        <v>60</v>
      </c>
      <c r="I198" s="27">
        <v>15</v>
      </c>
      <c r="J198" s="37">
        <v>-6.2500000000000001E-4</v>
      </c>
      <c r="K198" s="27">
        <v>6</v>
      </c>
      <c r="L198" s="38">
        <v>-6.2699999999999995E-4</v>
      </c>
      <c r="M198" s="27" t="s">
        <v>65</v>
      </c>
      <c r="O198" s="27" t="s">
        <v>327</v>
      </c>
      <c r="P198" s="27">
        <v>15</v>
      </c>
      <c r="Q198" s="27" t="s">
        <v>128</v>
      </c>
      <c r="R198" s="27" t="s">
        <v>377</v>
      </c>
      <c r="S198" s="27" t="s">
        <v>330</v>
      </c>
      <c r="T198" s="27" t="s">
        <v>63</v>
      </c>
      <c r="U198" s="27">
        <v>10</v>
      </c>
      <c r="V198" s="27">
        <v>15</v>
      </c>
      <c r="W198" s="37">
        <v>-6.2500000000000001E-4</v>
      </c>
      <c r="X198" s="27">
        <v>6</v>
      </c>
      <c r="Y198" s="38">
        <v>-6.2699999999999995E-4</v>
      </c>
      <c r="Z198" s="27" t="s">
        <v>65</v>
      </c>
    </row>
    <row r="199" spans="2:26" x14ac:dyDescent="0.2">
      <c r="B199" s="27" t="s">
        <v>327</v>
      </c>
      <c r="C199" s="27">
        <v>15</v>
      </c>
      <c r="D199" s="27" t="s">
        <v>128</v>
      </c>
      <c r="E199" s="27" t="s">
        <v>107</v>
      </c>
      <c r="F199" s="27" t="s">
        <v>331</v>
      </c>
      <c r="G199" s="27" t="s">
        <v>64</v>
      </c>
      <c r="H199" s="27">
        <v>60</v>
      </c>
      <c r="I199" s="27">
        <v>20</v>
      </c>
      <c r="J199" s="37">
        <v>-2.6899999999999998E-4</v>
      </c>
      <c r="K199" s="27">
        <v>4</v>
      </c>
      <c r="L199" s="38">
        <v>-2.6899999999999998E-4</v>
      </c>
      <c r="M199" s="27" t="s">
        <v>65</v>
      </c>
      <c r="O199" s="27" t="s">
        <v>327</v>
      </c>
      <c r="P199" s="27">
        <v>15</v>
      </c>
      <c r="Q199" s="27" t="s">
        <v>128</v>
      </c>
      <c r="R199" s="27" t="s">
        <v>377</v>
      </c>
      <c r="S199" s="27" t="s">
        <v>331</v>
      </c>
      <c r="T199" s="27" t="s">
        <v>64</v>
      </c>
      <c r="U199" s="27">
        <v>10</v>
      </c>
      <c r="V199" s="27">
        <v>20</v>
      </c>
      <c r="W199" s="37">
        <v>-2.6899999999999998E-4</v>
      </c>
      <c r="X199" s="27">
        <v>4</v>
      </c>
      <c r="Y199" s="38">
        <v>-2.6899999999999998E-4</v>
      </c>
      <c r="Z199" s="27" t="s">
        <v>65</v>
      </c>
    </row>
    <row r="200" spans="2:26" x14ac:dyDescent="0.2">
      <c r="B200" s="27" t="s">
        <v>327</v>
      </c>
      <c r="C200" s="27">
        <v>11</v>
      </c>
      <c r="D200" s="27" t="s">
        <v>129</v>
      </c>
      <c r="E200" s="27" t="s">
        <v>107</v>
      </c>
      <c r="F200" s="27" t="s">
        <v>332</v>
      </c>
      <c r="G200" s="27" t="s">
        <v>63</v>
      </c>
      <c r="H200" s="27">
        <v>60</v>
      </c>
      <c r="I200" s="27">
        <v>15</v>
      </c>
      <c r="J200" s="37">
        <v>-3.9899999999999999E-4</v>
      </c>
      <c r="K200" s="27">
        <v>12</v>
      </c>
      <c r="L200" s="38">
        <v>-3.5199999999999999E-4</v>
      </c>
      <c r="M200" s="27" t="s">
        <v>65</v>
      </c>
      <c r="O200" s="27" t="s">
        <v>327</v>
      </c>
      <c r="P200" s="27">
        <v>11</v>
      </c>
      <c r="Q200" s="27" t="s">
        <v>129</v>
      </c>
      <c r="R200" s="27" t="s">
        <v>377</v>
      </c>
      <c r="S200" s="27" t="s">
        <v>332</v>
      </c>
      <c r="T200" s="27" t="s">
        <v>63</v>
      </c>
      <c r="U200" s="27">
        <v>10</v>
      </c>
      <c r="V200" s="27">
        <v>20</v>
      </c>
      <c r="W200" s="37">
        <v>-3.9899999999999999E-4</v>
      </c>
      <c r="X200" s="27">
        <v>7</v>
      </c>
      <c r="Y200" s="38">
        <v>-3.5100000000000002E-4</v>
      </c>
      <c r="Z200" s="27" t="s">
        <v>65</v>
      </c>
    </row>
    <row r="201" spans="2:26" x14ac:dyDescent="0.2">
      <c r="B201" s="27" t="s">
        <v>327</v>
      </c>
      <c r="C201" s="27">
        <v>11</v>
      </c>
      <c r="D201" s="27" t="s">
        <v>129</v>
      </c>
      <c r="E201" s="27" t="s">
        <v>107</v>
      </c>
      <c r="F201" s="27" t="s">
        <v>333</v>
      </c>
      <c r="G201" s="27" t="s">
        <v>64</v>
      </c>
      <c r="H201" s="27">
        <v>60</v>
      </c>
      <c r="I201" s="27">
        <v>17</v>
      </c>
      <c r="J201" s="37">
        <v>-1.8699999999999999E-4</v>
      </c>
      <c r="K201" s="27">
        <v>6</v>
      </c>
      <c r="L201" s="38">
        <v>-1.7899999999999999E-4</v>
      </c>
      <c r="M201" s="27" t="s">
        <v>65</v>
      </c>
      <c r="O201" s="27" t="s">
        <v>327</v>
      </c>
      <c r="P201" s="27">
        <v>11</v>
      </c>
      <c r="Q201" s="27" t="s">
        <v>129</v>
      </c>
      <c r="R201" s="27" t="s">
        <v>377</v>
      </c>
      <c r="S201" s="27" t="s">
        <v>333</v>
      </c>
      <c r="T201" s="27" t="s">
        <v>64</v>
      </c>
      <c r="U201" s="27">
        <v>10</v>
      </c>
      <c r="V201" s="27">
        <v>17</v>
      </c>
      <c r="W201" s="37">
        <v>-1.8699999999999999E-4</v>
      </c>
      <c r="X201" s="27">
        <v>1</v>
      </c>
      <c r="Y201" s="38">
        <v>-1.7799999999999999E-4</v>
      </c>
      <c r="Z201" s="27" t="s">
        <v>65</v>
      </c>
    </row>
    <row r="202" spans="2:26" x14ac:dyDescent="0.2">
      <c r="B202" s="27" t="s">
        <v>327</v>
      </c>
      <c r="C202" s="27">
        <v>12</v>
      </c>
      <c r="D202" s="27" t="s">
        <v>129</v>
      </c>
      <c r="E202" s="27" t="s">
        <v>107</v>
      </c>
      <c r="F202" s="27" t="s">
        <v>334</v>
      </c>
      <c r="G202" s="27" t="s">
        <v>63</v>
      </c>
      <c r="H202" s="27">
        <v>60</v>
      </c>
      <c r="I202" s="27">
        <v>15</v>
      </c>
      <c r="J202" s="37">
        <v>-3.9899999999999999E-4</v>
      </c>
      <c r="K202" s="27">
        <v>12</v>
      </c>
      <c r="L202" s="38">
        <v>-3.5199999999999999E-4</v>
      </c>
      <c r="M202" s="27" t="s">
        <v>65</v>
      </c>
      <c r="O202" s="27" t="s">
        <v>327</v>
      </c>
      <c r="P202" s="27">
        <v>12</v>
      </c>
      <c r="Q202" s="27" t="s">
        <v>129</v>
      </c>
      <c r="R202" s="27" t="s">
        <v>377</v>
      </c>
      <c r="S202" s="27" t="s">
        <v>334</v>
      </c>
      <c r="T202" s="27" t="s">
        <v>63</v>
      </c>
      <c r="U202" s="27">
        <v>10</v>
      </c>
      <c r="V202" s="27">
        <v>15</v>
      </c>
      <c r="W202" s="37">
        <v>-3.9800000000000002E-4</v>
      </c>
      <c r="X202" s="27">
        <v>7</v>
      </c>
      <c r="Y202" s="38">
        <v>-3.5100000000000002E-4</v>
      </c>
      <c r="Z202" s="27" t="s">
        <v>65</v>
      </c>
    </row>
    <row r="203" spans="2:26" x14ac:dyDescent="0.2">
      <c r="B203" s="27" t="s">
        <v>327</v>
      </c>
      <c r="C203" s="27">
        <v>12</v>
      </c>
      <c r="D203" s="27" t="s">
        <v>129</v>
      </c>
      <c r="E203" s="27" t="s">
        <v>107</v>
      </c>
      <c r="F203" s="27" t="s">
        <v>335</v>
      </c>
      <c r="G203" s="27" t="s">
        <v>64</v>
      </c>
      <c r="H203" s="27">
        <v>60</v>
      </c>
      <c r="I203" s="27">
        <v>19</v>
      </c>
      <c r="J203" s="37">
        <v>-1.8699999999999999E-4</v>
      </c>
      <c r="K203" s="27">
        <v>1</v>
      </c>
      <c r="L203" s="38">
        <v>-1.7799999999999999E-4</v>
      </c>
      <c r="M203" s="27" t="s">
        <v>65</v>
      </c>
      <c r="O203" s="27" t="s">
        <v>327</v>
      </c>
      <c r="P203" s="27">
        <v>12</v>
      </c>
      <c r="Q203" s="27" t="s">
        <v>129</v>
      </c>
      <c r="R203" s="27" t="s">
        <v>377</v>
      </c>
      <c r="S203" s="27" t="s">
        <v>335</v>
      </c>
      <c r="T203" s="27" t="s">
        <v>64</v>
      </c>
      <c r="U203" s="27">
        <v>10</v>
      </c>
      <c r="V203" s="27">
        <v>19</v>
      </c>
      <c r="W203" s="37">
        <v>-1.8699999999999999E-4</v>
      </c>
      <c r="X203" s="27">
        <v>1</v>
      </c>
      <c r="Y203" s="38">
        <v>-1.7899999999999999E-4</v>
      </c>
      <c r="Z203" s="27" t="s">
        <v>65</v>
      </c>
    </row>
    <row r="204" spans="2:26" x14ac:dyDescent="0.2">
      <c r="B204" s="27" t="s">
        <v>327</v>
      </c>
      <c r="C204" s="27">
        <v>16</v>
      </c>
      <c r="D204" s="27" t="s">
        <v>128</v>
      </c>
      <c r="E204" s="27" t="s">
        <v>107</v>
      </c>
      <c r="F204" s="27" t="s">
        <v>336</v>
      </c>
      <c r="G204" s="27" t="s">
        <v>63</v>
      </c>
      <c r="H204" s="27">
        <v>60</v>
      </c>
      <c r="I204" s="27">
        <v>20</v>
      </c>
      <c r="J204" s="37">
        <v>-6.2200000000000005E-4</v>
      </c>
      <c r="K204" s="27">
        <v>4</v>
      </c>
      <c r="L204" s="38">
        <v>-6.2399999999999999E-4</v>
      </c>
      <c r="M204" s="27" t="s">
        <v>65</v>
      </c>
      <c r="O204" s="27" t="s">
        <v>327</v>
      </c>
      <c r="P204" s="27">
        <v>16</v>
      </c>
      <c r="Q204" s="27" t="s">
        <v>128</v>
      </c>
      <c r="R204" s="27" t="s">
        <v>377</v>
      </c>
      <c r="S204" s="27" t="s">
        <v>336</v>
      </c>
      <c r="T204" s="27" t="s">
        <v>63</v>
      </c>
      <c r="U204" s="27">
        <v>10</v>
      </c>
      <c r="V204" s="27">
        <v>20</v>
      </c>
      <c r="W204" s="37">
        <v>-6.2399999999999999E-4</v>
      </c>
      <c r="X204" s="27">
        <v>4</v>
      </c>
      <c r="Y204" s="38">
        <v>-6.2500000000000001E-4</v>
      </c>
      <c r="Z204" s="27" t="s">
        <v>65</v>
      </c>
    </row>
    <row r="205" spans="2:26" x14ac:dyDescent="0.2">
      <c r="B205" s="27" t="s">
        <v>327</v>
      </c>
      <c r="C205" s="27">
        <v>16</v>
      </c>
      <c r="D205" s="27" t="s">
        <v>128</v>
      </c>
      <c r="E205" s="27" t="s">
        <v>107</v>
      </c>
      <c r="F205" s="27" t="s">
        <v>337</v>
      </c>
      <c r="G205" s="27" t="s">
        <v>64</v>
      </c>
      <c r="H205" s="27">
        <v>60</v>
      </c>
      <c r="I205" s="27">
        <v>15</v>
      </c>
      <c r="J205" s="37">
        <v>-2.6899999999999998E-4</v>
      </c>
      <c r="K205" s="27">
        <v>6</v>
      </c>
      <c r="L205" s="38">
        <v>-2.6899999999999998E-4</v>
      </c>
      <c r="M205" s="27" t="s">
        <v>65</v>
      </c>
      <c r="O205" s="27" t="s">
        <v>327</v>
      </c>
      <c r="P205" s="27">
        <v>16</v>
      </c>
      <c r="Q205" s="27" t="s">
        <v>128</v>
      </c>
      <c r="R205" s="27" t="s">
        <v>377</v>
      </c>
      <c r="S205" s="27" t="s">
        <v>337</v>
      </c>
      <c r="T205" s="27" t="s">
        <v>64</v>
      </c>
      <c r="U205" s="27">
        <v>10</v>
      </c>
      <c r="V205" s="27">
        <v>15</v>
      </c>
      <c r="W205" s="37">
        <v>-2.6899999999999998E-4</v>
      </c>
      <c r="X205" s="27">
        <v>6</v>
      </c>
      <c r="Y205" s="38">
        <v>-2.6899999999999998E-4</v>
      </c>
      <c r="Z205" s="27" t="s">
        <v>65</v>
      </c>
    </row>
    <row r="206" spans="2:26" x14ac:dyDescent="0.2">
      <c r="B206" s="27" t="s">
        <v>327</v>
      </c>
      <c r="C206" s="27">
        <v>4</v>
      </c>
      <c r="D206" s="27" t="s">
        <v>127</v>
      </c>
      <c r="E206" s="27" t="s">
        <v>107</v>
      </c>
      <c r="F206" s="27" t="s">
        <v>338</v>
      </c>
      <c r="G206" s="27" t="s">
        <v>63</v>
      </c>
      <c r="H206" s="27">
        <v>60</v>
      </c>
      <c r="I206" s="27">
        <v>9</v>
      </c>
      <c r="J206" s="37">
        <v>-5.3200000000000003E-4</v>
      </c>
      <c r="K206" s="27">
        <v>6</v>
      </c>
      <c r="L206" s="38">
        <v>-4.7399999999999997E-4</v>
      </c>
      <c r="M206" s="27" t="s">
        <v>65</v>
      </c>
      <c r="O206" s="27" t="s">
        <v>327</v>
      </c>
      <c r="P206" s="27">
        <v>4</v>
      </c>
      <c r="Q206" s="27" t="s">
        <v>127</v>
      </c>
      <c r="R206" s="27" t="s">
        <v>377</v>
      </c>
      <c r="S206" s="27" t="s">
        <v>338</v>
      </c>
      <c r="T206" s="27" t="s">
        <v>63</v>
      </c>
      <c r="U206" s="27">
        <v>10</v>
      </c>
      <c r="V206" s="27">
        <v>9</v>
      </c>
      <c r="W206" s="37">
        <v>-5.3200000000000003E-4</v>
      </c>
      <c r="X206" s="27">
        <v>6</v>
      </c>
      <c r="Y206" s="38">
        <v>-4.7399999999999997E-4</v>
      </c>
      <c r="Z206" s="27" t="s">
        <v>65</v>
      </c>
    </row>
    <row r="207" spans="2:26" x14ac:dyDescent="0.2">
      <c r="B207" s="27" t="s">
        <v>327</v>
      </c>
      <c r="C207" s="27">
        <v>4</v>
      </c>
      <c r="D207" s="27" t="s">
        <v>127</v>
      </c>
      <c r="E207" s="27" t="s">
        <v>107</v>
      </c>
      <c r="F207" s="27" t="s">
        <v>339</v>
      </c>
      <c r="G207" s="27" t="s">
        <v>64</v>
      </c>
      <c r="H207" s="27">
        <v>60</v>
      </c>
      <c r="I207" s="27">
        <v>16</v>
      </c>
      <c r="J207" s="37">
        <v>-3.6600000000000001E-4</v>
      </c>
      <c r="K207" s="27">
        <v>1</v>
      </c>
      <c r="L207" s="38">
        <v>-3.3599999999999998E-4</v>
      </c>
      <c r="M207" s="27" t="s">
        <v>65</v>
      </c>
      <c r="O207" s="27" t="s">
        <v>327</v>
      </c>
      <c r="P207" s="27">
        <v>4</v>
      </c>
      <c r="Q207" s="27" t="s">
        <v>127</v>
      </c>
      <c r="R207" s="27" t="s">
        <v>377</v>
      </c>
      <c r="S207" s="27" t="s">
        <v>339</v>
      </c>
      <c r="T207" s="27" t="s">
        <v>64</v>
      </c>
      <c r="U207" s="27">
        <v>10</v>
      </c>
      <c r="V207" s="27">
        <v>16</v>
      </c>
      <c r="W207" s="37">
        <v>-3.6600000000000001E-4</v>
      </c>
      <c r="X207" s="27">
        <v>1</v>
      </c>
      <c r="Y207" s="38">
        <v>-3.3599999999999998E-4</v>
      </c>
      <c r="Z207" s="27" t="s">
        <v>65</v>
      </c>
    </row>
    <row r="208" spans="2:26" x14ac:dyDescent="0.2">
      <c r="B208" s="27" t="s">
        <v>327</v>
      </c>
      <c r="C208" s="27">
        <v>20</v>
      </c>
      <c r="D208" s="27" t="s">
        <v>128</v>
      </c>
      <c r="E208" s="27" t="s">
        <v>107</v>
      </c>
      <c r="F208" s="27" t="s">
        <v>340</v>
      </c>
      <c r="G208" s="27" t="s">
        <v>63</v>
      </c>
      <c r="H208" s="27">
        <v>60</v>
      </c>
      <c r="I208" s="27">
        <v>20</v>
      </c>
      <c r="J208" s="37">
        <v>-6.2799999999999998E-4</v>
      </c>
      <c r="K208" s="27">
        <v>4</v>
      </c>
      <c r="L208" s="38">
        <v>-6.2399999999999999E-4</v>
      </c>
      <c r="M208" s="27" t="s">
        <v>65</v>
      </c>
      <c r="O208" s="27" t="s">
        <v>327</v>
      </c>
      <c r="P208" s="27">
        <v>20</v>
      </c>
      <c r="Q208" s="27" t="s">
        <v>128</v>
      </c>
      <c r="R208" s="27" t="s">
        <v>377</v>
      </c>
      <c r="S208" s="27" t="s">
        <v>340</v>
      </c>
      <c r="T208" s="27" t="s">
        <v>63</v>
      </c>
      <c r="U208" s="27">
        <v>10</v>
      </c>
      <c r="V208" s="27">
        <v>20</v>
      </c>
      <c r="W208" s="37">
        <v>-6.29E-4</v>
      </c>
      <c r="X208" s="27">
        <v>4</v>
      </c>
      <c r="Y208" s="38">
        <v>-6.2399999999999999E-4</v>
      </c>
      <c r="Z208" s="27" t="s">
        <v>65</v>
      </c>
    </row>
    <row r="209" spans="2:26" x14ac:dyDescent="0.2">
      <c r="B209" s="27" t="s">
        <v>327</v>
      </c>
      <c r="C209" s="27">
        <v>20</v>
      </c>
      <c r="D209" s="27" t="s">
        <v>128</v>
      </c>
      <c r="E209" s="27" t="s">
        <v>107</v>
      </c>
      <c r="F209" s="27" t="s">
        <v>341</v>
      </c>
      <c r="G209" s="27" t="s">
        <v>64</v>
      </c>
      <c r="H209" s="27">
        <v>60</v>
      </c>
      <c r="I209" s="27">
        <v>15</v>
      </c>
      <c r="J209" s="37">
        <v>-3.5300000000000002E-4</v>
      </c>
      <c r="K209" s="27">
        <v>6</v>
      </c>
      <c r="L209" s="38">
        <v>-3.4499999999999998E-4</v>
      </c>
      <c r="M209" s="27" t="s">
        <v>65</v>
      </c>
      <c r="O209" s="27" t="s">
        <v>327</v>
      </c>
      <c r="P209" s="27">
        <v>20</v>
      </c>
      <c r="Q209" s="27" t="s">
        <v>128</v>
      </c>
      <c r="R209" s="27" t="s">
        <v>377</v>
      </c>
      <c r="S209" s="27" t="s">
        <v>341</v>
      </c>
      <c r="T209" s="27" t="s">
        <v>64</v>
      </c>
      <c r="U209" s="27">
        <v>10</v>
      </c>
      <c r="V209" s="27">
        <v>15</v>
      </c>
      <c r="W209" s="37">
        <v>-3.5300000000000002E-4</v>
      </c>
      <c r="X209" s="27">
        <v>6</v>
      </c>
      <c r="Y209" s="38">
        <v>-3.4499999999999998E-4</v>
      </c>
      <c r="Z209" s="27" t="s">
        <v>65</v>
      </c>
    </row>
    <row r="210" spans="2:26" x14ac:dyDescent="0.2">
      <c r="B210" s="27" t="s">
        <v>327</v>
      </c>
      <c r="C210" s="27">
        <v>5</v>
      </c>
      <c r="D210" s="27" t="s">
        <v>129</v>
      </c>
      <c r="E210" s="27" t="s">
        <v>107</v>
      </c>
      <c r="F210" s="27" t="s">
        <v>342</v>
      </c>
      <c r="G210" s="27" t="s">
        <v>63</v>
      </c>
      <c r="H210" s="27">
        <v>60</v>
      </c>
      <c r="I210" s="27">
        <v>15</v>
      </c>
      <c r="J210" s="37">
        <v>-4.3899999999999999E-4</v>
      </c>
      <c r="K210" s="27">
        <v>10</v>
      </c>
      <c r="L210" s="38">
        <v>-3.97E-4</v>
      </c>
      <c r="M210" s="27" t="s">
        <v>65</v>
      </c>
      <c r="O210" s="27" t="s">
        <v>327</v>
      </c>
      <c r="P210" s="27">
        <v>5</v>
      </c>
      <c r="Q210" s="27" t="s">
        <v>129</v>
      </c>
      <c r="R210" s="27" t="s">
        <v>377</v>
      </c>
      <c r="S210" s="27" t="s">
        <v>342</v>
      </c>
      <c r="T210" s="27" t="s">
        <v>63</v>
      </c>
      <c r="U210" s="27">
        <v>10</v>
      </c>
      <c r="V210" s="27">
        <v>15</v>
      </c>
      <c r="W210" s="37">
        <v>-4.3899999999999999E-4</v>
      </c>
      <c r="X210" s="27">
        <v>7</v>
      </c>
      <c r="Y210" s="38">
        <v>-3.97E-4</v>
      </c>
      <c r="Z210" s="27" t="s">
        <v>65</v>
      </c>
    </row>
    <row r="211" spans="2:26" x14ac:dyDescent="0.2">
      <c r="B211" s="27" t="s">
        <v>327</v>
      </c>
      <c r="C211" s="27">
        <v>5</v>
      </c>
      <c r="D211" s="27" t="s">
        <v>129</v>
      </c>
      <c r="E211" s="27" t="s">
        <v>107</v>
      </c>
      <c r="F211" s="27" t="s">
        <v>343</v>
      </c>
      <c r="G211" s="27" t="s">
        <v>64</v>
      </c>
      <c r="H211" s="27">
        <v>60</v>
      </c>
      <c r="I211" s="27">
        <v>20</v>
      </c>
      <c r="J211" s="37">
        <v>-2.2100000000000001E-4</v>
      </c>
      <c r="K211" s="27">
        <v>7</v>
      </c>
      <c r="L211" s="38">
        <v>-2.2000000000000001E-4</v>
      </c>
      <c r="M211" s="27" t="s">
        <v>65</v>
      </c>
      <c r="O211" s="27" t="s">
        <v>327</v>
      </c>
      <c r="P211" s="27">
        <v>5</v>
      </c>
      <c r="Q211" s="27" t="s">
        <v>129</v>
      </c>
      <c r="R211" s="27" t="s">
        <v>377</v>
      </c>
      <c r="S211" s="27" t="s">
        <v>343</v>
      </c>
      <c r="T211" s="27" t="s">
        <v>64</v>
      </c>
      <c r="U211" s="27">
        <v>10</v>
      </c>
      <c r="V211" s="27">
        <v>20</v>
      </c>
      <c r="W211" s="37">
        <v>-2.22E-4</v>
      </c>
      <c r="X211" s="27">
        <v>7</v>
      </c>
      <c r="Y211" s="38">
        <v>-2.2000000000000001E-4</v>
      </c>
      <c r="Z211" s="27" t="s">
        <v>65</v>
      </c>
    </row>
    <row r="212" spans="2:26" x14ac:dyDescent="0.2">
      <c r="B212" s="27" t="s">
        <v>327</v>
      </c>
      <c r="C212" s="27">
        <v>23</v>
      </c>
      <c r="D212" s="27" t="s">
        <v>128</v>
      </c>
      <c r="E212" s="27" t="s">
        <v>107</v>
      </c>
      <c r="F212" s="27" t="s">
        <v>344</v>
      </c>
      <c r="G212" s="27" t="s">
        <v>63</v>
      </c>
      <c r="H212" s="27">
        <v>60</v>
      </c>
      <c r="I212" s="27">
        <v>20</v>
      </c>
      <c r="J212" s="37">
        <v>-6.5799999999999995E-4</v>
      </c>
      <c r="K212" s="27">
        <v>4</v>
      </c>
      <c r="L212" s="38">
        <v>-6.5899999999999997E-4</v>
      </c>
      <c r="M212" s="27" t="s">
        <v>65</v>
      </c>
      <c r="O212" s="27" t="s">
        <v>327</v>
      </c>
      <c r="P212" s="27">
        <v>23</v>
      </c>
      <c r="Q212" s="27" t="s">
        <v>128</v>
      </c>
      <c r="R212" s="27" t="s">
        <v>377</v>
      </c>
      <c r="S212" s="27" t="s">
        <v>344</v>
      </c>
      <c r="T212" s="27" t="s">
        <v>63</v>
      </c>
      <c r="U212" s="27">
        <v>10</v>
      </c>
      <c r="V212" s="27">
        <v>20</v>
      </c>
      <c r="W212" s="37">
        <v>-6.5899999999999997E-4</v>
      </c>
      <c r="X212" s="27">
        <v>4</v>
      </c>
      <c r="Y212" s="38">
        <v>-6.6E-4</v>
      </c>
      <c r="Z212" s="27" t="s">
        <v>65</v>
      </c>
    </row>
    <row r="213" spans="2:26" x14ac:dyDescent="0.2">
      <c r="B213" s="27" t="s">
        <v>327</v>
      </c>
      <c r="C213" s="27">
        <v>23</v>
      </c>
      <c r="D213" s="27" t="s">
        <v>128</v>
      </c>
      <c r="E213" s="27" t="s">
        <v>107</v>
      </c>
      <c r="F213" s="27" t="s">
        <v>345</v>
      </c>
      <c r="G213" s="27" t="s">
        <v>64</v>
      </c>
      <c r="H213" s="27">
        <v>60</v>
      </c>
      <c r="I213" s="27">
        <v>15</v>
      </c>
      <c r="J213" s="37">
        <v>-3.6699999999999998E-4</v>
      </c>
      <c r="K213" s="27">
        <v>6</v>
      </c>
      <c r="L213" s="38">
        <v>-3.6699999999999998E-4</v>
      </c>
      <c r="M213" s="27" t="s">
        <v>65</v>
      </c>
      <c r="O213" s="27" t="s">
        <v>327</v>
      </c>
      <c r="P213" s="27">
        <v>23</v>
      </c>
      <c r="Q213" s="27" t="s">
        <v>128</v>
      </c>
      <c r="R213" s="27" t="s">
        <v>377</v>
      </c>
      <c r="S213" s="27" t="s">
        <v>345</v>
      </c>
      <c r="T213" s="27" t="s">
        <v>64</v>
      </c>
      <c r="U213" s="27">
        <v>10</v>
      </c>
      <c r="V213" s="27">
        <v>15</v>
      </c>
      <c r="W213" s="37">
        <v>-3.6699999999999998E-4</v>
      </c>
      <c r="X213" s="27">
        <v>6</v>
      </c>
      <c r="Y213" s="38">
        <v>-3.6699999999999998E-4</v>
      </c>
      <c r="Z213" s="27" t="s">
        <v>65</v>
      </c>
    </row>
    <row r="214" spans="2:26" x14ac:dyDescent="0.2">
      <c r="B214" s="27" t="s">
        <v>327</v>
      </c>
      <c r="C214" s="27">
        <v>24</v>
      </c>
      <c r="D214" s="27" t="s">
        <v>128</v>
      </c>
      <c r="E214" s="27" t="s">
        <v>107</v>
      </c>
      <c r="F214" s="27" t="s">
        <v>346</v>
      </c>
      <c r="G214" s="27" t="s">
        <v>63</v>
      </c>
      <c r="H214" s="27">
        <v>60</v>
      </c>
      <c r="I214" s="27">
        <v>15</v>
      </c>
      <c r="J214" s="37">
        <v>-6.5799999999999995E-4</v>
      </c>
      <c r="K214" s="27">
        <v>6</v>
      </c>
      <c r="L214" s="38">
        <v>-6.5899999999999997E-4</v>
      </c>
      <c r="M214" s="27" t="s">
        <v>65</v>
      </c>
      <c r="O214" s="27" t="s">
        <v>327</v>
      </c>
      <c r="P214" s="27">
        <v>24</v>
      </c>
      <c r="Q214" s="27" t="s">
        <v>128</v>
      </c>
      <c r="R214" s="27" t="s">
        <v>377</v>
      </c>
      <c r="S214" s="27" t="s">
        <v>346</v>
      </c>
      <c r="T214" s="27" t="s">
        <v>63</v>
      </c>
      <c r="U214" s="27">
        <v>10</v>
      </c>
      <c r="V214" s="27">
        <v>15</v>
      </c>
      <c r="W214" s="37">
        <v>-6.5799999999999995E-4</v>
      </c>
      <c r="X214" s="27">
        <v>5</v>
      </c>
      <c r="Y214" s="38">
        <v>-6.5899999999999997E-4</v>
      </c>
      <c r="Z214" s="27" t="s">
        <v>65</v>
      </c>
    </row>
    <row r="215" spans="2:26" x14ac:dyDescent="0.2">
      <c r="B215" s="27" t="s">
        <v>327</v>
      </c>
      <c r="C215" s="27">
        <v>24</v>
      </c>
      <c r="D215" s="27" t="s">
        <v>128</v>
      </c>
      <c r="E215" s="27" t="s">
        <v>107</v>
      </c>
      <c r="F215" s="27" t="s">
        <v>347</v>
      </c>
      <c r="G215" s="27" t="s">
        <v>64</v>
      </c>
      <c r="H215" s="27">
        <v>60</v>
      </c>
      <c r="I215" s="27">
        <v>20</v>
      </c>
      <c r="J215" s="37">
        <v>-3.6699999999999998E-4</v>
      </c>
      <c r="K215" s="27">
        <v>4</v>
      </c>
      <c r="L215" s="38">
        <v>-3.6699999999999998E-4</v>
      </c>
      <c r="M215" s="27" t="s">
        <v>65</v>
      </c>
      <c r="O215" s="27" t="s">
        <v>327</v>
      </c>
      <c r="P215" s="27">
        <v>24</v>
      </c>
      <c r="Q215" s="27" t="s">
        <v>128</v>
      </c>
      <c r="R215" s="27" t="s">
        <v>377</v>
      </c>
      <c r="S215" s="27" t="s">
        <v>347</v>
      </c>
      <c r="T215" s="27" t="s">
        <v>64</v>
      </c>
      <c r="U215" s="27">
        <v>10</v>
      </c>
      <c r="V215" s="27">
        <v>20</v>
      </c>
      <c r="W215" s="37">
        <v>-3.6699999999999998E-4</v>
      </c>
      <c r="X215" s="27">
        <v>4</v>
      </c>
      <c r="Y215" s="38">
        <v>-3.6699999999999998E-4</v>
      </c>
      <c r="Z215" s="27" t="s">
        <v>65</v>
      </c>
    </row>
    <row r="216" spans="2:26" x14ac:dyDescent="0.2">
      <c r="B216" s="27" t="s">
        <v>327</v>
      </c>
      <c r="C216" s="27">
        <v>7</v>
      </c>
      <c r="D216" s="27" t="s">
        <v>129</v>
      </c>
      <c r="E216" s="27" t="s">
        <v>107</v>
      </c>
      <c r="F216" s="27" t="s">
        <v>348</v>
      </c>
      <c r="G216" s="27" t="s">
        <v>63</v>
      </c>
      <c r="H216" s="27">
        <v>60</v>
      </c>
      <c r="I216" s="27">
        <v>18</v>
      </c>
      <c r="J216" s="37">
        <v>-4.3800000000000002E-4</v>
      </c>
      <c r="K216" s="27">
        <v>7</v>
      </c>
      <c r="L216" s="38">
        <v>-3.97E-4</v>
      </c>
      <c r="M216" s="27" t="s">
        <v>65</v>
      </c>
      <c r="O216" s="27" t="s">
        <v>327</v>
      </c>
      <c r="P216" s="27">
        <v>7</v>
      </c>
      <c r="Q216" s="27" t="s">
        <v>129</v>
      </c>
      <c r="R216" s="27" t="s">
        <v>377</v>
      </c>
      <c r="S216" s="27" t="s">
        <v>348</v>
      </c>
      <c r="T216" s="27" t="s">
        <v>63</v>
      </c>
      <c r="U216" s="27">
        <v>10</v>
      </c>
      <c r="V216" s="27">
        <v>20</v>
      </c>
      <c r="W216" s="37">
        <v>-4.3899999999999999E-4</v>
      </c>
      <c r="X216" s="27">
        <v>7</v>
      </c>
      <c r="Y216" s="38">
        <v>-3.9800000000000002E-4</v>
      </c>
      <c r="Z216" s="27" t="s">
        <v>65</v>
      </c>
    </row>
    <row r="217" spans="2:26" x14ac:dyDescent="0.2">
      <c r="B217" s="27" t="s">
        <v>327</v>
      </c>
      <c r="C217" s="27">
        <v>7</v>
      </c>
      <c r="D217" s="27" t="s">
        <v>129</v>
      </c>
      <c r="E217" s="27" t="s">
        <v>107</v>
      </c>
      <c r="F217" s="27" t="s">
        <v>349</v>
      </c>
      <c r="G217" s="27" t="s">
        <v>64</v>
      </c>
      <c r="H217" s="27">
        <v>60</v>
      </c>
      <c r="I217" s="27">
        <v>15</v>
      </c>
      <c r="J217" s="37">
        <v>-2.2100000000000001E-4</v>
      </c>
      <c r="K217" s="27">
        <v>12</v>
      </c>
      <c r="L217" s="38">
        <v>-2.2000000000000001E-4</v>
      </c>
      <c r="M217" s="27" t="s">
        <v>65</v>
      </c>
      <c r="O217" s="27" t="s">
        <v>327</v>
      </c>
      <c r="P217" s="27">
        <v>7</v>
      </c>
      <c r="Q217" s="27" t="s">
        <v>129</v>
      </c>
      <c r="R217" s="27" t="s">
        <v>377</v>
      </c>
      <c r="S217" s="27" t="s">
        <v>349</v>
      </c>
      <c r="T217" s="27" t="s">
        <v>64</v>
      </c>
      <c r="U217" s="27">
        <v>10</v>
      </c>
      <c r="V217" s="27">
        <v>15</v>
      </c>
      <c r="W217" s="37">
        <v>-2.2100000000000001E-4</v>
      </c>
      <c r="X217" s="27">
        <v>11</v>
      </c>
      <c r="Y217" s="38">
        <v>-2.1900000000000001E-4</v>
      </c>
      <c r="Z217" s="27" t="s">
        <v>65</v>
      </c>
    </row>
    <row r="218" spans="2:26" x14ac:dyDescent="0.2">
      <c r="B218" s="27" t="s">
        <v>327</v>
      </c>
      <c r="C218" s="27">
        <v>18</v>
      </c>
      <c r="D218" s="27" t="s">
        <v>128</v>
      </c>
      <c r="E218" s="27" t="s">
        <v>107</v>
      </c>
      <c r="F218" s="27" t="s">
        <v>350</v>
      </c>
      <c r="G218" s="27" t="s">
        <v>63</v>
      </c>
      <c r="H218" s="27">
        <v>60</v>
      </c>
      <c r="I218" s="27">
        <v>15</v>
      </c>
      <c r="J218" s="37">
        <v>-6.2600000000000004E-4</v>
      </c>
      <c r="K218" s="27">
        <v>6</v>
      </c>
      <c r="L218" s="38">
        <v>-6.2100000000000002E-4</v>
      </c>
      <c r="M218" s="27" t="s">
        <v>65</v>
      </c>
      <c r="O218" s="27" t="s">
        <v>327</v>
      </c>
      <c r="P218" s="27">
        <v>18</v>
      </c>
      <c r="Q218" s="27" t="s">
        <v>128</v>
      </c>
      <c r="R218" s="27" t="s">
        <v>377</v>
      </c>
      <c r="S218" s="27" t="s">
        <v>350</v>
      </c>
      <c r="T218" s="27" t="s">
        <v>63</v>
      </c>
      <c r="U218" s="27">
        <v>10</v>
      </c>
      <c r="V218" s="27">
        <v>15</v>
      </c>
      <c r="W218" s="37">
        <v>-6.2600000000000004E-4</v>
      </c>
      <c r="X218" s="27">
        <v>6</v>
      </c>
      <c r="Y218" s="38">
        <v>-6.2200000000000005E-4</v>
      </c>
      <c r="Z218" s="27" t="s">
        <v>65</v>
      </c>
    </row>
    <row r="219" spans="2:26" x14ac:dyDescent="0.2">
      <c r="B219" s="27" t="s">
        <v>327</v>
      </c>
      <c r="C219" s="27">
        <v>18</v>
      </c>
      <c r="D219" s="27" t="s">
        <v>128</v>
      </c>
      <c r="E219" s="27" t="s">
        <v>107</v>
      </c>
      <c r="F219" s="27" t="s">
        <v>351</v>
      </c>
      <c r="G219" s="27" t="s">
        <v>64</v>
      </c>
      <c r="H219" s="27">
        <v>60</v>
      </c>
      <c r="I219" s="27">
        <v>20</v>
      </c>
      <c r="J219" s="37">
        <v>-3.5300000000000002E-4</v>
      </c>
      <c r="K219" s="27">
        <v>4</v>
      </c>
      <c r="L219" s="38">
        <v>-3.4400000000000001E-4</v>
      </c>
      <c r="M219" s="27" t="s">
        <v>65</v>
      </c>
      <c r="O219" s="27" t="s">
        <v>327</v>
      </c>
      <c r="P219" s="27">
        <v>18</v>
      </c>
      <c r="Q219" s="27" t="s">
        <v>128</v>
      </c>
      <c r="R219" s="27" t="s">
        <v>377</v>
      </c>
      <c r="S219" s="27" t="s">
        <v>351</v>
      </c>
      <c r="T219" s="27" t="s">
        <v>64</v>
      </c>
      <c r="U219" s="27">
        <v>10</v>
      </c>
      <c r="V219" s="27">
        <v>20</v>
      </c>
      <c r="W219" s="37">
        <v>-3.5300000000000002E-4</v>
      </c>
      <c r="X219" s="27">
        <v>4</v>
      </c>
      <c r="Y219" s="38">
        <v>-3.4400000000000001E-4</v>
      </c>
      <c r="Z219" s="27" t="s">
        <v>65</v>
      </c>
    </row>
    <row r="220" spans="2:26" x14ac:dyDescent="0.2">
      <c r="B220" s="27" t="s">
        <v>327</v>
      </c>
      <c r="C220" s="27">
        <v>19</v>
      </c>
      <c r="D220" s="27" t="s">
        <v>128</v>
      </c>
      <c r="E220" s="27" t="s">
        <v>107</v>
      </c>
      <c r="F220" s="27" t="s">
        <v>352</v>
      </c>
      <c r="G220" s="27" t="s">
        <v>63</v>
      </c>
      <c r="H220" s="27">
        <v>60</v>
      </c>
      <c r="I220" s="27">
        <v>20</v>
      </c>
      <c r="J220" s="37">
        <v>-6.29E-4</v>
      </c>
      <c r="K220" s="27">
        <v>4</v>
      </c>
      <c r="L220" s="38">
        <v>-6.2500000000000001E-4</v>
      </c>
      <c r="M220" s="27" t="s">
        <v>65</v>
      </c>
      <c r="O220" s="27" t="s">
        <v>327</v>
      </c>
      <c r="P220" s="27">
        <v>19</v>
      </c>
      <c r="Q220" s="27" t="s">
        <v>128</v>
      </c>
      <c r="R220" s="27" t="s">
        <v>377</v>
      </c>
      <c r="S220" s="27" t="s">
        <v>352</v>
      </c>
      <c r="T220" s="27" t="s">
        <v>63</v>
      </c>
      <c r="U220" s="27">
        <v>10</v>
      </c>
      <c r="V220" s="27">
        <v>20</v>
      </c>
      <c r="W220" s="37">
        <v>-6.3000000000000003E-4</v>
      </c>
      <c r="X220" s="27">
        <v>4</v>
      </c>
      <c r="Y220" s="38">
        <v>-6.2500000000000001E-4</v>
      </c>
      <c r="Z220" s="27" t="s">
        <v>65</v>
      </c>
    </row>
    <row r="221" spans="2:26" x14ac:dyDescent="0.2">
      <c r="B221" s="27" t="s">
        <v>327</v>
      </c>
      <c r="C221" s="27">
        <v>19</v>
      </c>
      <c r="D221" s="27" t="s">
        <v>128</v>
      </c>
      <c r="E221" s="27" t="s">
        <v>107</v>
      </c>
      <c r="F221" s="27" t="s">
        <v>353</v>
      </c>
      <c r="G221" s="27" t="s">
        <v>64</v>
      </c>
      <c r="H221" s="27">
        <v>60</v>
      </c>
      <c r="I221" s="27">
        <v>15</v>
      </c>
      <c r="J221" s="37">
        <v>-3.48E-4</v>
      </c>
      <c r="K221" s="27">
        <v>6</v>
      </c>
      <c r="L221" s="38">
        <v>-3.39E-4</v>
      </c>
      <c r="M221" s="27" t="s">
        <v>65</v>
      </c>
      <c r="O221" s="27" t="s">
        <v>327</v>
      </c>
      <c r="P221" s="27">
        <v>19</v>
      </c>
      <c r="Q221" s="27" t="s">
        <v>128</v>
      </c>
      <c r="R221" s="27" t="s">
        <v>377</v>
      </c>
      <c r="S221" s="27" t="s">
        <v>353</v>
      </c>
      <c r="T221" s="27" t="s">
        <v>64</v>
      </c>
      <c r="U221" s="27">
        <v>10</v>
      </c>
      <c r="V221" s="27">
        <v>15</v>
      </c>
      <c r="W221" s="37">
        <v>-3.48E-4</v>
      </c>
      <c r="X221" s="27">
        <v>6</v>
      </c>
      <c r="Y221" s="38">
        <v>-3.39E-4</v>
      </c>
      <c r="Z221" s="27" t="s">
        <v>65</v>
      </c>
    </row>
    <row r="222" spans="2:26" x14ac:dyDescent="0.2">
      <c r="B222" s="27" t="s">
        <v>327</v>
      </c>
      <c r="C222" s="27">
        <v>6</v>
      </c>
      <c r="D222" s="27" t="s">
        <v>129</v>
      </c>
      <c r="E222" s="27" t="s">
        <v>107</v>
      </c>
      <c r="F222" s="27" t="s">
        <v>354</v>
      </c>
      <c r="G222" s="27" t="s">
        <v>63</v>
      </c>
      <c r="H222" s="27">
        <v>60</v>
      </c>
      <c r="I222" s="27">
        <v>15</v>
      </c>
      <c r="J222" s="37">
        <v>-4.4099999999999999E-4</v>
      </c>
      <c r="K222" s="27">
        <v>8</v>
      </c>
      <c r="L222" s="38">
        <v>-3.9899999999999999E-4</v>
      </c>
      <c r="M222" s="27" t="s">
        <v>65</v>
      </c>
      <c r="O222" s="27" t="s">
        <v>327</v>
      </c>
      <c r="P222" s="27">
        <v>6</v>
      </c>
      <c r="Q222" s="27" t="s">
        <v>129</v>
      </c>
      <c r="R222" s="27" t="s">
        <v>377</v>
      </c>
      <c r="S222" s="27" t="s">
        <v>354</v>
      </c>
      <c r="T222" s="27" t="s">
        <v>63</v>
      </c>
      <c r="U222" s="27">
        <v>10</v>
      </c>
      <c r="V222" s="27">
        <v>18</v>
      </c>
      <c r="W222" s="37">
        <v>-4.4099999999999999E-4</v>
      </c>
      <c r="X222" s="27">
        <v>7</v>
      </c>
      <c r="Y222" s="38">
        <v>-3.9899999999999999E-4</v>
      </c>
      <c r="Z222" s="27" t="s">
        <v>65</v>
      </c>
    </row>
    <row r="223" spans="2:26" x14ac:dyDescent="0.2">
      <c r="B223" s="27" t="s">
        <v>327</v>
      </c>
      <c r="C223" s="27">
        <v>6</v>
      </c>
      <c r="D223" s="27" t="s">
        <v>129</v>
      </c>
      <c r="E223" s="27" t="s">
        <v>107</v>
      </c>
      <c r="F223" s="27" t="s">
        <v>355</v>
      </c>
      <c r="G223" s="27" t="s">
        <v>64</v>
      </c>
      <c r="H223" s="27">
        <v>60</v>
      </c>
      <c r="I223" s="27">
        <v>20</v>
      </c>
      <c r="J223" s="37">
        <v>-2.2000000000000001E-4</v>
      </c>
      <c r="K223" s="27">
        <v>7</v>
      </c>
      <c r="L223" s="38">
        <v>-2.1900000000000001E-4</v>
      </c>
      <c r="M223" s="27" t="s">
        <v>65</v>
      </c>
      <c r="O223" s="27" t="s">
        <v>327</v>
      </c>
      <c r="P223" s="27">
        <v>6</v>
      </c>
      <c r="Q223" s="27" t="s">
        <v>129</v>
      </c>
      <c r="R223" s="27" t="s">
        <v>377</v>
      </c>
      <c r="S223" s="27" t="s">
        <v>355</v>
      </c>
      <c r="T223" s="27" t="s">
        <v>64</v>
      </c>
      <c r="U223" s="27">
        <v>10</v>
      </c>
      <c r="V223" s="27">
        <v>20</v>
      </c>
      <c r="W223" s="37">
        <v>-2.2100000000000001E-4</v>
      </c>
      <c r="X223" s="27">
        <v>7</v>
      </c>
      <c r="Y223" s="38">
        <v>-2.1900000000000001E-4</v>
      </c>
      <c r="Z223" s="27" t="s">
        <v>65</v>
      </c>
    </row>
    <row r="224" spans="2:26" x14ac:dyDescent="0.2">
      <c r="B224" s="27" t="s">
        <v>327</v>
      </c>
      <c r="C224" s="27">
        <v>21</v>
      </c>
      <c r="D224" s="27" t="s">
        <v>128</v>
      </c>
      <c r="E224" s="27" t="s">
        <v>107</v>
      </c>
      <c r="F224" s="27" t="s">
        <v>356</v>
      </c>
      <c r="G224" s="27" t="s">
        <v>63</v>
      </c>
      <c r="H224" s="27">
        <v>60</v>
      </c>
      <c r="I224" s="27">
        <v>20</v>
      </c>
      <c r="J224" s="37">
        <v>-6.5799999999999995E-4</v>
      </c>
      <c r="K224" s="27">
        <v>4</v>
      </c>
      <c r="L224" s="38">
        <v>-6.6E-4</v>
      </c>
      <c r="M224" s="27" t="s">
        <v>65</v>
      </c>
      <c r="O224" s="27" t="s">
        <v>327</v>
      </c>
      <c r="P224" s="27">
        <v>21</v>
      </c>
      <c r="Q224" s="27" t="s">
        <v>128</v>
      </c>
      <c r="R224" s="27" t="s">
        <v>377</v>
      </c>
      <c r="S224" s="27" t="s">
        <v>356</v>
      </c>
      <c r="T224" s="27" t="s">
        <v>63</v>
      </c>
      <c r="U224" s="27">
        <v>10</v>
      </c>
      <c r="V224" s="27">
        <v>20</v>
      </c>
      <c r="W224" s="37">
        <v>-6.5899999999999997E-4</v>
      </c>
      <c r="X224" s="27">
        <v>4</v>
      </c>
      <c r="Y224" s="38">
        <v>-6.6E-4</v>
      </c>
      <c r="Z224" s="27" t="s">
        <v>65</v>
      </c>
    </row>
    <row r="225" spans="2:26" x14ac:dyDescent="0.2">
      <c r="B225" s="27" t="s">
        <v>327</v>
      </c>
      <c r="C225" s="27">
        <v>21</v>
      </c>
      <c r="D225" s="27" t="s">
        <v>128</v>
      </c>
      <c r="E225" s="27" t="s">
        <v>107</v>
      </c>
      <c r="F225" s="27" t="s">
        <v>357</v>
      </c>
      <c r="G225" s="27" t="s">
        <v>64</v>
      </c>
      <c r="H225" s="27">
        <v>60</v>
      </c>
      <c r="I225" s="27">
        <v>15</v>
      </c>
      <c r="J225" s="37">
        <v>-3.6400000000000001E-4</v>
      </c>
      <c r="K225" s="27">
        <v>6</v>
      </c>
      <c r="L225" s="38">
        <v>-3.6400000000000001E-4</v>
      </c>
      <c r="M225" s="27" t="s">
        <v>65</v>
      </c>
      <c r="O225" s="27" t="s">
        <v>327</v>
      </c>
      <c r="P225" s="27">
        <v>21</v>
      </c>
      <c r="Q225" s="27" t="s">
        <v>128</v>
      </c>
      <c r="R225" s="27" t="s">
        <v>377</v>
      </c>
      <c r="S225" s="27" t="s">
        <v>357</v>
      </c>
      <c r="T225" s="27" t="s">
        <v>64</v>
      </c>
      <c r="U225" s="27">
        <v>10</v>
      </c>
      <c r="V225" s="27">
        <v>15</v>
      </c>
      <c r="W225" s="37">
        <v>-3.6400000000000001E-4</v>
      </c>
      <c r="X225" s="27">
        <v>6</v>
      </c>
      <c r="Y225" s="38">
        <v>-3.6400000000000001E-4</v>
      </c>
      <c r="Z225" s="27" t="s">
        <v>65</v>
      </c>
    </row>
    <row r="226" spans="2:26" x14ac:dyDescent="0.2">
      <c r="B226" s="27" t="s">
        <v>327</v>
      </c>
      <c r="C226" s="27">
        <v>22</v>
      </c>
      <c r="D226" s="27" t="s">
        <v>128</v>
      </c>
      <c r="E226" s="27" t="s">
        <v>107</v>
      </c>
      <c r="F226" s="27" t="s">
        <v>358</v>
      </c>
      <c r="G226" s="27" t="s">
        <v>63</v>
      </c>
      <c r="H226" s="27">
        <v>60</v>
      </c>
      <c r="I226" s="27">
        <v>15</v>
      </c>
      <c r="J226" s="37">
        <v>-6.5700000000000003E-4</v>
      </c>
      <c r="K226" s="27">
        <v>6</v>
      </c>
      <c r="L226" s="38">
        <v>-6.5899999999999997E-4</v>
      </c>
      <c r="M226" s="27" t="s">
        <v>65</v>
      </c>
      <c r="O226" s="27" t="s">
        <v>327</v>
      </c>
      <c r="P226" s="27">
        <v>22</v>
      </c>
      <c r="Q226" s="27" t="s">
        <v>128</v>
      </c>
      <c r="R226" s="27" t="s">
        <v>377</v>
      </c>
      <c r="S226" s="27" t="s">
        <v>358</v>
      </c>
      <c r="T226" s="27" t="s">
        <v>63</v>
      </c>
      <c r="U226" s="27">
        <v>10</v>
      </c>
      <c r="V226" s="27">
        <v>15</v>
      </c>
      <c r="W226" s="37">
        <v>-6.5700000000000003E-4</v>
      </c>
      <c r="X226" s="27">
        <v>5</v>
      </c>
      <c r="Y226" s="38">
        <v>-6.5899999999999997E-4</v>
      </c>
      <c r="Z226" s="27" t="s">
        <v>65</v>
      </c>
    </row>
    <row r="227" spans="2:26" x14ac:dyDescent="0.2">
      <c r="B227" s="27" t="s">
        <v>327</v>
      </c>
      <c r="C227" s="27">
        <v>22</v>
      </c>
      <c r="D227" s="27" t="s">
        <v>128</v>
      </c>
      <c r="E227" s="27" t="s">
        <v>107</v>
      </c>
      <c r="F227" s="27" t="s">
        <v>359</v>
      </c>
      <c r="G227" s="27" t="s">
        <v>64</v>
      </c>
      <c r="H227" s="27">
        <v>60</v>
      </c>
      <c r="I227" s="27">
        <v>20</v>
      </c>
      <c r="J227" s="37">
        <v>-3.6400000000000001E-4</v>
      </c>
      <c r="K227" s="27">
        <v>4</v>
      </c>
      <c r="L227" s="38">
        <v>-3.6400000000000001E-4</v>
      </c>
      <c r="M227" s="27" t="s">
        <v>65</v>
      </c>
      <c r="O227" s="27" t="s">
        <v>327</v>
      </c>
      <c r="P227" s="27">
        <v>22</v>
      </c>
      <c r="Q227" s="27" t="s">
        <v>128</v>
      </c>
      <c r="R227" s="27" t="s">
        <v>377</v>
      </c>
      <c r="S227" s="27" t="s">
        <v>359</v>
      </c>
      <c r="T227" s="27" t="s">
        <v>64</v>
      </c>
      <c r="U227" s="27">
        <v>10</v>
      </c>
      <c r="V227" s="27">
        <v>20</v>
      </c>
      <c r="W227" s="37">
        <v>-3.6400000000000001E-4</v>
      </c>
      <c r="X227" s="27">
        <v>4</v>
      </c>
      <c r="Y227" s="38">
        <v>-3.6400000000000001E-4</v>
      </c>
      <c r="Z227" s="27" t="s">
        <v>65</v>
      </c>
    </row>
    <row r="228" spans="2:26" x14ac:dyDescent="0.2">
      <c r="B228" s="27" t="s">
        <v>327</v>
      </c>
      <c r="C228" s="27">
        <v>8</v>
      </c>
      <c r="D228" s="27" t="s">
        <v>129</v>
      </c>
      <c r="E228" s="27" t="s">
        <v>107</v>
      </c>
      <c r="F228" s="27" t="s">
        <v>360</v>
      </c>
      <c r="G228" s="27" t="s">
        <v>63</v>
      </c>
      <c r="H228" s="27">
        <v>60</v>
      </c>
      <c r="I228" s="27">
        <v>20</v>
      </c>
      <c r="J228" s="37">
        <v>-4.4099999999999999E-4</v>
      </c>
      <c r="K228" s="27">
        <v>7</v>
      </c>
      <c r="L228" s="38">
        <v>-3.9899999999999999E-4</v>
      </c>
      <c r="M228" s="27" t="s">
        <v>65</v>
      </c>
      <c r="O228" s="27" t="s">
        <v>327</v>
      </c>
      <c r="P228" s="27">
        <v>8</v>
      </c>
      <c r="Q228" s="27" t="s">
        <v>129</v>
      </c>
      <c r="R228" s="27" t="s">
        <v>377</v>
      </c>
      <c r="S228" s="27" t="s">
        <v>360</v>
      </c>
      <c r="T228" s="27" t="s">
        <v>63</v>
      </c>
      <c r="U228" s="27">
        <v>10</v>
      </c>
      <c r="V228" s="27">
        <v>20</v>
      </c>
      <c r="W228" s="37">
        <v>-4.4200000000000001E-4</v>
      </c>
      <c r="X228" s="27">
        <v>7</v>
      </c>
      <c r="Y228" s="38">
        <v>-4.0000000000000002E-4</v>
      </c>
      <c r="Z228" s="27" t="s">
        <v>65</v>
      </c>
    </row>
    <row r="229" spans="2:26" x14ac:dyDescent="0.2">
      <c r="B229" s="27" t="s">
        <v>327</v>
      </c>
      <c r="C229" s="27">
        <v>8</v>
      </c>
      <c r="D229" s="27" t="s">
        <v>129</v>
      </c>
      <c r="E229" s="27" t="s">
        <v>107</v>
      </c>
      <c r="F229" s="27" t="s">
        <v>361</v>
      </c>
      <c r="G229" s="27" t="s">
        <v>64</v>
      </c>
      <c r="H229" s="27">
        <v>60</v>
      </c>
      <c r="I229" s="27">
        <v>15</v>
      </c>
      <c r="J229" s="37">
        <v>-2.2000000000000001E-4</v>
      </c>
      <c r="K229" s="27">
        <v>12</v>
      </c>
      <c r="L229" s="38">
        <v>-2.1900000000000001E-4</v>
      </c>
      <c r="M229" s="27" t="s">
        <v>65</v>
      </c>
      <c r="O229" s="27" t="s">
        <v>327</v>
      </c>
      <c r="P229" s="27">
        <v>8</v>
      </c>
      <c r="Q229" s="27" t="s">
        <v>129</v>
      </c>
      <c r="R229" s="27" t="s">
        <v>377</v>
      </c>
      <c r="S229" s="27" t="s">
        <v>361</v>
      </c>
      <c r="T229" s="27" t="s">
        <v>64</v>
      </c>
      <c r="U229" s="27">
        <v>10</v>
      </c>
      <c r="V229" s="27">
        <v>15</v>
      </c>
      <c r="W229" s="37">
        <v>-2.2000000000000001E-4</v>
      </c>
      <c r="X229" s="27">
        <v>12</v>
      </c>
      <c r="Y229" s="38">
        <v>-2.1900000000000001E-4</v>
      </c>
      <c r="Z229" s="27" t="s">
        <v>65</v>
      </c>
    </row>
    <row r="230" spans="2:26" x14ac:dyDescent="0.2">
      <c r="B230" s="27" t="s">
        <v>327</v>
      </c>
      <c r="C230" s="27">
        <v>17</v>
      </c>
      <c r="D230" s="27" t="s">
        <v>128</v>
      </c>
      <c r="E230" s="27" t="s">
        <v>107</v>
      </c>
      <c r="F230" s="27" t="s">
        <v>362</v>
      </c>
      <c r="G230" s="27" t="s">
        <v>63</v>
      </c>
      <c r="H230" s="27">
        <v>60</v>
      </c>
      <c r="I230" s="27">
        <v>15</v>
      </c>
      <c r="J230" s="37">
        <v>-6.2699999999999995E-4</v>
      </c>
      <c r="K230" s="27">
        <v>6</v>
      </c>
      <c r="L230" s="38">
        <v>-6.2200000000000005E-4</v>
      </c>
      <c r="M230" s="27" t="s">
        <v>65</v>
      </c>
      <c r="O230" s="27" t="s">
        <v>327</v>
      </c>
      <c r="P230" s="27">
        <v>17</v>
      </c>
      <c r="Q230" s="27" t="s">
        <v>128</v>
      </c>
      <c r="R230" s="27" t="s">
        <v>377</v>
      </c>
      <c r="S230" s="27" t="s">
        <v>362</v>
      </c>
      <c r="T230" s="27" t="s">
        <v>63</v>
      </c>
      <c r="U230" s="27">
        <v>10</v>
      </c>
      <c r="V230" s="27">
        <v>15</v>
      </c>
      <c r="W230" s="37">
        <v>-6.2600000000000004E-4</v>
      </c>
      <c r="X230" s="27">
        <v>6</v>
      </c>
      <c r="Y230" s="38">
        <v>-6.2200000000000005E-4</v>
      </c>
      <c r="Z230" s="27" t="s">
        <v>65</v>
      </c>
    </row>
    <row r="231" spans="2:26" x14ac:dyDescent="0.2">
      <c r="B231" s="27" t="s">
        <v>327</v>
      </c>
      <c r="C231" s="27">
        <v>17</v>
      </c>
      <c r="D231" s="27" t="s">
        <v>128</v>
      </c>
      <c r="E231" s="27" t="s">
        <v>107</v>
      </c>
      <c r="F231" s="27" t="s">
        <v>363</v>
      </c>
      <c r="G231" s="27" t="s">
        <v>64</v>
      </c>
      <c r="H231" s="27">
        <v>60</v>
      </c>
      <c r="I231" s="27">
        <v>20</v>
      </c>
      <c r="J231" s="37">
        <v>-3.48E-4</v>
      </c>
      <c r="K231" s="27">
        <v>4</v>
      </c>
      <c r="L231" s="38">
        <v>-3.39E-4</v>
      </c>
      <c r="M231" s="27" t="s">
        <v>65</v>
      </c>
      <c r="O231" s="27" t="s">
        <v>327</v>
      </c>
      <c r="P231" s="27">
        <v>17</v>
      </c>
      <c r="Q231" s="27" t="s">
        <v>128</v>
      </c>
      <c r="R231" s="27" t="s">
        <v>377</v>
      </c>
      <c r="S231" s="27" t="s">
        <v>363</v>
      </c>
      <c r="T231" s="27" t="s">
        <v>64</v>
      </c>
      <c r="U231" s="27">
        <v>10</v>
      </c>
      <c r="V231" s="27">
        <v>20</v>
      </c>
      <c r="W231" s="37">
        <v>-3.48E-4</v>
      </c>
      <c r="X231" s="27">
        <v>4</v>
      </c>
      <c r="Y231" s="38">
        <v>-3.39E-4</v>
      </c>
      <c r="Z231" s="27" t="s">
        <v>65</v>
      </c>
    </row>
    <row r="232" spans="2:26" x14ac:dyDescent="0.2">
      <c r="B232" s="27" t="s">
        <v>327</v>
      </c>
      <c r="C232" s="27">
        <v>1</v>
      </c>
      <c r="D232" s="27" t="s">
        <v>127</v>
      </c>
      <c r="E232" s="27" t="s">
        <v>107</v>
      </c>
      <c r="F232" s="27" t="s">
        <v>364</v>
      </c>
      <c r="G232" s="27" t="s">
        <v>63</v>
      </c>
      <c r="H232" s="27">
        <v>60</v>
      </c>
      <c r="I232" s="27">
        <v>14</v>
      </c>
      <c r="J232" s="37">
        <v>-3.3399999999999999E-4</v>
      </c>
      <c r="K232" s="27">
        <v>4</v>
      </c>
      <c r="L232" s="38">
        <v>-3.0299999999999999E-4</v>
      </c>
      <c r="M232" s="27" t="s">
        <v>65</v>
      </c>
      <c r="O232" s="27" t="s">
        <v>327</v>
      </c>
      <c r="P232" s="27">
        <v>1</v>
      </c>
      <c r="Q232" s="27" t="s">
        <v>127</v>
      </c>
      <c r="R232" s="27" t="s">
        <v>377</v>
      </c>
      <c r="S232" s="27" t="s">
        <v>364</v>
      </c>
      <c r="T232" s="27" t="s">
        <v>63</v>
      </c>
      <c r="U232" s="27">
        <v>10</v>
      </c>
      <c r="V232" s="27">
        <v>14</v>
      </c>
      <c r="W232" s="37">
        <v>-3.3399999999999999E-4</v>
      </c>
      <c r="X232" s="27">
        <v>4</v>
      </c>
      <c r="Y232" s="38">
        <v>-3.0299999999999999E-4</v>
      </c>
      <c r="Z232" s="27" t="s">
        <v>65</v>
      </c>
    </row>
    <row r="233" spans="2:26" x14ac:dyDescent="0.2">
      <c r="B233" s="27" t="s">
        <v>327</v>
      </c>
      <c r="C233" s="27">
        <v>1</v>
      </c>
      <c r="D233" s="27" t="s">
        <v>127</v>
      </c>
      <c r="E233" s="27" t="s">
        <v>107</v>
      </c>
      <c r="F233" s="27" t="s">
        <v>365</v>
      </c>
      <c r="G233" s="27" t="s">
        <v>64</v>
      </c>
      <c r="H233" s="27">
        <v>60</v>
      </c>
      <c r="I233" s="27">
        <v>9</v>
      </c>
      <c r="J233" s="37">
        <v>-3.5500000000000001E-4</v>
      </c>
      <c r="K233" s="27">
        <v>6</v>
      </c>
      <c r="L233" s="38">
        <v>-3.2000000000000003E-4</v>
      </c>
      <c r="M233" s="27" t="s">
        <v>65</v>
      </c>
      <c r="O233" s="27" t="s">
        <v>327</v>
      </c>
      <c r="P233" s="27">
        <v>1</v>
      </c>
      <c r="Q233" s="27" t="s">
        <v>127</v>
      </c>
      <c r="R233" s="27" t="s">
        <v>377</v>
      </c>
      <c r="S233" s="27" t="s">
        <v>365</v>
      </c>
      <c r="T233" s="27" t="s">
        <v>64</v>
      </c>
      <c r="U233" s="27">
        <v>10</v>
      </c>
      <c r="V233" s="27">
        <v>9</v>
      </c>
      <c r="W233" s="37">
        <v>-3.5500000000000001E-4</v>
      </c>
      <c r="X233" s="27">
        <v>6</v>
      </c>
      <c r="Y233" s="38">
        <v>-3.2000000000000003E-4</v>
      </c>
      <c r="Z233" s="27" t="s">
        <v>65</v>
      </c>
    </row>
    <row r="234" spans="2:26" x14ac:dyDescent="0.2">
      <c r="B234" s="27" t="s">
        <v>327</v>
      </c>
      <c r="C234" s="27">
        <v>13</v>
      </c>
      <c r="D234" s="27" t="s">
        <v>128</v>
      </c>
      <c r="E234" s="27" t="s">
        <v>107</v>
      </c>
      <c r="F234" s="27" t="s">
        <v>366</v>
      </c>
      <c r="G234" s="27" t="s">
        <v>63</v>
      </c>
      <c r="H234" s="27">
        <v>60</v>
      </c>
      <c r="I234" s="27">
        <v>15</v>
      </c>
      <c r="J234" s="37">
        <v>-5.4299999999999997E-4</v>
      </c>
      <c r="K234" s="27">
        <v>6</v>
      </c>
      <c r="L234" s="38">
        <v>-5.44E-4</v>
      </c>
      <c r="M234" s="27" t="s">
        <v>65</v>
      </c>
      <c r="O234" s="27" t="s">
        <v>327</v>
      </c>
      <c r="P234" s="27">
        <v>13</v>
      </c>
      <c r="Q234" s="27" t="s">
        <v>128</v>
      </c>
      <c r="R234" s="27" t="s">
        <v>377</v>
      </c>
      <c r="S234" s="27" t="s">
        <v>366</v>
      </c>
      <c r="T234" s="27" t="s">
        <v>63</v>
      </c>
      <c r="U234" s="27">
        <v>10</v>
      </c>
      <c r="V234" s="27">
        <v>15</v>
      </c>
      <c r="W234" s="37">
        <v>-5.4299999999999997E-4</v>
      </c>
      <c r="X234" s="27">
        <v>5</v>
      </c>
      <c r="Y234" s="38">
        <v>-5.44E-4</v>
      </c>
      <c r="Z234" s="27" t="s">
        <v>65</v>
      </c>
    </row>
    <row r="235" spans="2:26" x14ac:dyDescent="0.2">
      <c r="B235" s="27" t="s">
        <v>327</v>
      </c>
      <c r="C235" s="27">
        <v>13</v>
      </c>
      <c r="D235" s="27" t="s">
        <v>128</v>
      </c>
      <c r="E235" s="27" t="s">
        <v>107</v>
      </c>
      <c r="F235" s="27" t="s">
        <v>367</v>
      </c>
      <c r="G235" s="27" t="s">
        <v>64</v>
      </c>
      <c r="H235" s="27">
        <v>60</v>
      </c>
      <c r="I235" s="27">
        <v>20</v>
      </c>
      <c r="J235" s="37">
        <v>-3.3599999999999998E-4</v>
      </c>
      <c r="K235" s="27">
        <v>4</v>
      </c>
      <c r="L235" s="38">
        <v>-3.3599999999999998E-4</v>
      </c>
      <c r="M235" s="27" t="s">
        <v>65</v>
      </c>
      <c r="O235" s="27" t="s">
        <v>327</v>
      </c>
      <c r="P235" s="27">
        <v>13</v>
      </c>
      <c r="Q235" s="27" t="s">
        <v>128</v>
      </c>
      <c r="R235" s="27" t="s">
        <v>377</v>
      </c>
      <c r="S235" s="27" t="s">
        <v>367</v>
      </c>
      <c r="T235" s="27" t="s">
        <v>64</v>
      </c>
      <c r="U235" s="27">
        <v>10</v>
      </c>
      <c r="V235" s="27">
        <v>20</v>
      </c>
      <c r="W235" s="37">
        <v>-3.3599999999999998E-4</v>
      </c>
      <c r="X235" s="27">
        <v>4</v>
      </c>
      <c r="Y235" s="38">
        <v>-3.3599999999999998E-4</v>
      </c>
      <c r="Z235" s="27" t="s">
        <v>65</v>
      </c>
    </row>
    <row r="236" spans="2:26" x14ac:dyDescent="0.2">
      <c r="B236" s="27" t="s">
        <v>327</v>
      </c>
      <c r="C236" s="27">
        <v>9</v>
      </c>
      <c r="D236" s="27" t="s">
        <v>129</v>
      </c>
      <c r="E236" s="27" t="s">
        <v>107</v>
      </c>
      <c r="F236" s="27" t="s">
        <v>368</v>
      </c>
      <c r="G236" s="27" t="s">
        <v>63</v>
      </c>
      <c r="H236" s="27">
        <v>60</v>
      </c>
      <c r="I236" s="27">
        <v>20</v>
      </c>
      <c r="J236" s="37">
        <v>-2.72E-4</v>
      </c>
      <c r="K236" s="27">
        <v>7</v>
      </c>
      <c r="L236" s="38">
        <v>-2.43E-4</v>
      </c>
      <c r="M236" s="27" t="s">
        <v>65</v>
      </c>
      <c r="O236" s="27" t="s">
        <v>327</v>
      </c>
      <c r="P236" s="27">
        <v>9</v>
      </c>
      <c r="Q236" s="27" t="s">
        <v>129</v>
      </c>
      <c r="R236" s="27" t="s">
        <v>377</v>
      </c>
      <c r="S236" s="27" t="s">
        <v>368</v>
      </c>
      <c r="T236" s="27" t="s">
        <v>63</v>
      </c>
      <c r="U236" s="27">
        <v>10</v>
      </c>
      <c r="V236" s="27">
        <v>20</v>
      </c>
      <c r="W236" s="37">
        <v>-2.7300000000000002E-4</v>
      </c>
      <c r="X236" s="27">
        <v>7</v>
      </c>
      <c r="Y236" s="38">
        <v>-2.4399999999999999E-4</v>
      </c>
      <c r="Z236" s="27" t="s">
        <v>65</v>
      </c>
    </row>
    <row r="237" spans="2:26" x14ac:dyDescent="0.2">
      <c r="B237" s="27" t="s">
        <v>327</v>
      </c>
      <c r="C237" s="27">
        <v>9</v>
      </c>
      <c r="D237" s="27" t="s">
        <v>129</v>
      </c>
      <c r="E237" s="27" t="s">
        <v>107</v>
      </c>
      <c r="F237" s="27" t="s">
        <v>369</v>
      </c>
      <c r="G237" s="27" t="s">
        <v>64</v>
      </c>
      <c r="H237" s="27">
        <v>60</v>
      </c>
      <c r="I237" s="27">
        <v>20</v>
      </c>
      <c r="J237" s="37">
        <v>-2.3699999999999999E-4</v>
      </c>
      <c r="K237" s="27">
        <v>7</v>
      </c>
      <c r="L237" s="38">
        <v>-2.14E-4</v>
      </c>
      <c r="M237" s="27" t="s">
        <v>65</v>
      </c>
      <c r="O237" s="27" t="s">
        <v>327</v>
      </c>
      <c r="P237" s="27">
        <v>9</v>
      </c>
      <c r="Q237" s="27" t="s">
        <v>129</v>
      </c>
      <c r="R237" s="27" t="s">
        <v>377</v>
      </c>
      <c r="S237" s="27" t="s">
        <v>369</v>
      </c>
      <c r="T237" s="27" t="s">
        <v>64</v>
      </c>
      <c r="U237" s="27">
        <v>10</v>
      </c>
      <c r="V237" s="27">
        <v>20</v>
      </c>
      <c r="W237" s="37">
        <v>-2.3699999999999999E-4</v>
      </c>
      <c r="X237" s="27">
        <v>7</v>
      </c>
      <c r="Y237" s="38">
        <v>-2.14E-4</v>
      </c>
      <c r="Z237" s="27" t="s">
        <v>65</v>
      </c>
    </row>
    <row r="238" spans="2:26" x14ac:dyDescent="0.2">
      <c r="B238" s="27" t="s">
        <v>327</v>
      </c>
      <c r="C238" s="27">
        <v>10</v>
      </c>
      <c r="D238" s="27" t="s">
        <v>129</v>
      </c>
      <c r="E238" s="27" t="s">
        <v>107</v>
      </c>
      <c r="F238" s="27" t="s">
        <v>370</v>
      </c>
      <c r="G238" s="27" t="s">
        <v>63</v>
      </c>
      <c r="H238" s="27">
        <v>60</v>
      </c>
      <c r="I238" s="27">
        <v>20</v>
      </c>
      <c r="J238" s="37">
        <v>-2.72E-4</v>
      </c>
      <c r="K238" s="27">
        <v>7</v>
      </c>
      <c r="L238" s="38">
        <v>-2.43E-4</v>
      </c>
      <c r="M238" s="27" t="s">
        <v>65</v>
      </c>
      <c r="O238" s="27" t="s">
        <v>327</v>
      </c>
      <c r="P238" s="27">
        <v>10</v>
      </c>
      <c r="Q238" s="27" t="s">
        <v>129</v>
      </c>
      <c r="R238" s="27" t="s">
        <v>377</v>
      </c>
      <c r="S238" s="27" t="s">
        <v>370</v>
      </c>
      <c r="T238" s="27" t="s">
        <v>63</v>
      </c>
      <c r="U238" s="27">
        <v>10</v>
      </c>
      <c r="V238" s="27">
        <v>20</v>
      </c>
      <c r="W238" s="37">
        <v>-2.7300000000000002E-4</v>
      </c>
      <c r="X238" s="27">
        <v>7</v>
      </c>
      <c r="Y238" s="38">
        <v>-2.4399999999999999E-4</v>
      </c>
      <c r="Z238" s="27" t="s">
        <v>65</v>
      </c>
    </row>
    <row r="239" spans="2:26" x14ac:dyDescent="0.2">
      <c r="B239" s="27" t="s">
        <v>327</v>
      </c>
      <c r="C239" s="27">
        <v>10</v>
      </c>
      <c r="D239" s="27" t="s">
        <v>129</v>
      </c>
      <c r="E239" s="27" t="s">
        <v>107</v>
      </c>
      <c r="F239" s="27" t="s">
        <v>371</v>
      </c>
      <c r="G239" s="27" t="s">
        <v>64</v>
      </c>
      <c r="H239" s="27">
        <v>60</v>
      </c>
      <c r="I239" s="27">
        <v>20</v>
      </c>
      <c r="J239" s="37">
        <v>-2.3699999999999999E-4</v>
      </c>
      <c r="K239" s="27">
        <v>7</v>
      </c>
      <c r="L239" s="38">
        <v>-2.14E-4</v>
      </c>
      <c r="M239" s="27" t="s">
        <v>65</v>
      </c>
      <c r="O239" s="27" t="s">
        <v>327</v>
      </c>
      <c r="P239" s="27">
        <v>10</v>
      </c>
      <c r="Q239" s="27" t="s">
        <v>129</v>
      </c>
      <c r="R239" s="27" t="s">
        <v>377</v>
      </c>
      <c r="S239" s="27" t="s">
        <v>371</v>
      </c>
      <c r="T239" s="27" t="s">
        <v>64</v>
      </c>
      <c r="U239" s="27">
        <v>10</v>
      </c>
      <c r="V239" s="27">
        <v>20</v>
      </c>
      <c r="W239" s="37">
        <v>-2.3699999999999999E-4</v>
      </c>
      <c r="X239" s="27">
        <v>7</v>
      </c>
      <c r="Y239" s="38">
        <v>-2.14E-4</v>
      </c>
      <c r="Z239" s="27" t="s">
        <v>65</v>
      </c>
    </row>
    <row r="240" spans="2:26" x14ac:dyDescent="0.2">
      <c r="B240" s="27" t="s">
        <v>327</v>
      </c>
      <c r="C240" s="27">
        <v>14</v>
      </c>
      <c r="D240" s="27" t="s">
        <v>128</v>
      </c>
      <c r="E240" s="27" t="s">
        <v>107</v>
      </c>
      <c r="F240" s="27" t="s">
        <v>372</v>
      </c>
      <c r="G240" s="27" t="s">
        <v>63</v>
      </c>
      <c r="H240" s="27">
        <v>60</v>
      </c>
      <c r="I240" s="27">
        <v>20</v>
      </c>
      <c r="J240" s="37">
        <v>-5.4199999999999995E-4</v>
      </c>
      <c r="K240" s="27">
        <v>4</v>
      </c>
      <c r="L240" s="38">
        <v>-5.44E-4</v>
      </c>
      <c r="M240" s="27" t="s">
        <v>65</v>
      </c>
      <c r="O240" s="27" t="s">
        <v>327</v>
      </c>
      <c r="P240" s="27">
        <v>14</v>
      </c>
      <c r="Q240" s="27" t="s">
        <v>128</v>
      </c>
      <c r="R240" s="27" t="s">
        <v>377</v>
      </c>
      <c r="S240" s="27" t="s">
        <v>372</v>
      </c>
      <c r="T240" s="27" t="s">
        <v>63</v>
      </c>
      <c r="U240" s="27">
        <v>10</v>
      </c>
      <c r="V240" s="27">
        <v>20</v>
      </c>
      <c r="W240" s="37">
        <v>-5.4299999999999997E-4</v>
      </c>
      <c r="X240" s="27">
        <v>4</v>
      </c>
      <c r="Y240" s="38">
        <v>-5.4500000000000002E-4</v>
      </c>
      <c r="Z240" s="27" t="s">
        <v>65</v>
      </c>
    </row>
    <row r="241" spans="2:26" x14ac:dyDescent="0.2">
      <c r="B241" s="27" t="s">
        <v>327</v>
      </c>
      <c r="C241" s="27">
        <v>14</v>
      </c>
      <c r="D241" s="27" t="s">
        <v>128</v>
      </c>
      <c r="E241" s="27" t="s">
        <v>107</v>
      </c>
      <c r="F241" s="27" t="s">
        <v>373</v>
      </c>
      <c r="G241" s="27" t="s">
        <v>64</v>
      </c>
      <c r="H241" s="27">
        <v>60</v>
      </c>
      <c r="I241" s="27">
        <v>15</v>
      </c>
      <c r="J241" s="37">
        <v>-3.3500000000000001E-4</v>
      </c>
      <c r="K241" s="27">
        <v>6</v>
      </c>
      <c r="L241" s="38">
        <v>-3.3599999999999998E-4</v>
      </c>
      <c r="M241" s="27" t="s">
        <v>65</v>
      </c>
      <c r="O241" s="27" t="s">
        <v>327</v>
      </c>
      <c r="P241" s="27">
        <v>14</v>
      </c>
      <c r="Q241" s="27" t="s">
        <v>128</v>
      </c>
      <c r="R241" s="27" t="s">
        <v>377</v>
      </c>
      <c r="S241" s="27" t="s">
        <v>373</v>
      </c>
      <c r="T241" s="27" t="s">
        <v>64</v>
      </c>
      <c r="U241" s="27">
        <v>10</v>
      </c>
      <c r="V241" s="27">
        <v>15</v>
      </c>
      <c r="W241" s="37">
        <v>-3.3500000000000001E-4</v>
      </c>
      <c r="X241" s="27">
        <v>6</v>
      </c>
      <c r="Y241" s="38">
        <v>-3.3599999999999998E-4</v>
      </c>
      <c r="Z241" s="27" t="s">
        <v>65</v>
      </c>
    </row>
    <row r="242" spans="2:26" x14ac:dyDescent="0.2">
      <c r="B242" s="27" t="s">
        <v>327</v>
      </c>
      <c r="C242" s="27">
        <v>2</v>
      </c>
      <c r="D242" s="27" t="s">
        <v>127</v>
      </c>
      <c r="E242" s="27" t="s">
        <v>107</v>
      </c>
      <c r="F242" s="27" t="s">
        <v>374</v>
      </c>
      <c r="G242" s="27" t="s">
        <v>63</v>
      </c>
      <c r="H242" s="27">
        <v>60</v>
      </c>
      <c r="I242" s="27">
        <v>9</v>
      </c>
      <c r="J242" s="37">
        <v>-3.3199999999999999E-4</v>
      </c>
      <c r="K242" s="27">
        <v>6</v>
      </c>
      <c r="L242" s="38">
        <v>-3.01E-4</v>
      </c>
      <c r="M242" s="27" t="s">
        <v>65</v>
      </c>
      <c r="O242" s="27" t="s">
        <v>327</v>
      </c>
      <c r="P242" s="27">
        <v>2</v>
      </c>
      <c r="Q242" s="27" t="s">
        <v>127</v>
      </c>
      <c r="R242" s="27" t="s">
        <v>377</v>
      </c>
      <c r="S242" s="27" t="s">
        <v>374</v>
      </c>
      <c r="T242" s="27" t="s">
        <v>63</v>
      </c>
      <c r="U242" s="27">
        <v>10</v>
      </c>
      <c r="V242" s="27">
        <v>9</v>
      </c>
      <c r="W242" s="37">
        <v>-3.3199999999999999E-4</v>
      </c>
      <c r="X242" s="27">
        <v>6</v>
      </c>
      <c r="Y242" s="38">
        <v>-3.01E-4</v>
      </c>
      <c r="Z242" s="27" t="s">
        <v>65</v>
      </c>
    </row>
    <row r="243" spans="2:26" x14ac:dyDescent="0.2">
      <c r="B243" s="27" t="s">
        <v>327</v>
      </c>
      <c r="C243" s="27">
        <v>2</v>
      </c>
      <c r="D243" s="27" t="s">
        <v>127</v>
      </c>
      <c r="E243" s="27" t="s">
        <v>107</v>
      </c>
      <c r="F243" s="27" t="s">
        <v>375</v>
      </c>
      <c r="G243" s="27" t="s">
        <v>64</v>
      </c>
      <c r="H243" s="27">
        <v>60</v>
      </c>
      <c r="I243" s="27">
        <v>14</v>
      </c>
      <c r="J243" s="37">
        <v>-3.5500000000000001E-4</v>
      </c>
      <c r="K243" s="27">
        <v>4</v>
      </c>
      <c r="L243" s="38">
        <v>-3.2000000000000003E-4</v>
      </c>
      <c r="M243" s="27" t="s">
        <v>65</v>
      </c>
      <c r="O243" s="27" t="s">
        <v>327</v>
      </c>
      <c r="P243" s="27">
        <v>2</v>
      </c>
      <c r="Q243" s="27" t="s">
        <v>127</v>
      </c>
      <c r="R243" s="27" t="s">
        <v>377</v>
      </c>
      <c r="S243" s="27" t="s">
        <v>375</v>
      </c>
      <c r="T243" s="27" t="s">
        <v>64</v>
      </c>
      <c r="U243" s="27">
        <v>10</v>
      </c>
      <c r="V243" s="27">
        <v>14</v>
      </c>
      <c r="W243" s="37">
        <v>-3.5500000000000001E-4</v>
      </c>
      <c r="X243" s="27">
        <v>4</v>
      </c>
      <c r="Y243" s="38">
        <v>-3.2000000000000003E-4</v>
      </c>
      <c r="Z243" s="27" t="s">
        <v>65</v>
      </c>
    </row>
    <row r="244" spans="2:26" x14ac:dyDescent="0.2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2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2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2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2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2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2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2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2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2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2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2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2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2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2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2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2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2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2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2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2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2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2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2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2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2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2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2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2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2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2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2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2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2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2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2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2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2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2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2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2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2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2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2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2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2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2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2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2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2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2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2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2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2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2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2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2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2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2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2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2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2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2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2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2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2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2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2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2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2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2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2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2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2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2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2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2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2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2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2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2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2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2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2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2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2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2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2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2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2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2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2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2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2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2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2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2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2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2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2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2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2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2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2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2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2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2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2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2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2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2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2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2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2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2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2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2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2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2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2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2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2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2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2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2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2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2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2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2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2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2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2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2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2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2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2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2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2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2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2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2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2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2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2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2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2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2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2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2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2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2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2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2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2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2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2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2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2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2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2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2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2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2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2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2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2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2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2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2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2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2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2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2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2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2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2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2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2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2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2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2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2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2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2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2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2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2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2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2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2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2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2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2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2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2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2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2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2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2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2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2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2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2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2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2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2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2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2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2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2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2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2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2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2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2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2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2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2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2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2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2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2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2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2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2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2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2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2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2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2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2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2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2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2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2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2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2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2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2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2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  <mergeCell ref="G2:G3"/>
    <mergeCell ref="B2:B3"/>
    <mergeCell ref="C2:C3"/>
    <mergeCell ref="D2:D3"/>
    <mergeCell ref="E2:E3"/>
    <mergeCell ref="F2:F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38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7.4257812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7.42578125" style="43" bestFit="1" customWidth="1"/>
    <col min="17" max="17" width="21.570312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96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2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2">
      <c r="B4" s="43" t="s">
        <v>131</v>
      </c>
      <c r="C4" s="43">
        <v>229</v>
      </c>
      <c r="D4" s="43" t="s">
        <v>378</v>
      </c>
      <c r="E4" s="43" t="s">
        <v>106</v>
      </c>
      <c r="F4" s="43" t="s">
        <v>379</v>
      </c>
      <c r="G4" s="43" t="s">
        <v>380</v>
      </c>
      <c r="H4" s="43">
        <v>60</v>
      </c>
      <c r="I4" s="43">
        <v>-21.560300000000002</v>
      </c>
      <c r="J4" s="28">
        <v>-2.466E-7</v>
      </c>
      <c r="K4" s="43" t="s">
        <v>910</v>
      </c>
      <c r="L4" s="43" t="s">
        <v>65</v>
      </c>
      <c r="N4" s="43" t="s">
        <v>131</v>
      </c>
      <c r="O4" s="43">
        <v>229</v>
      </c>
      <c r="P4" s="43" t="s">
        <v>378</v>
      </c>
      <c r="Q4" s="43" t="s">
        <v>376</v>
      </c>
      <c r="R4" s="43" t="s">
        <v>379</v>
      </c>
      <c r="S4" s="43" t="s">
        <v>380</v>
      </c>
      <c r="T4" s="43">
        <v>10</v>
      </c>
      <c r="U4" s="43">
        <v>-21.543500000000002</v>
      </c>
      <c r="V4" s="28">
        <v>-2.4639999999999998E-7</v>
      </c>
      <c r="W4" s="43" t="s">
        <v>910</v>
      </c>
      <c r="X4" s="43" t="s">
        <v>65</v>
      </c>
    </row>
    <row r="5" spans="2:24" x14ac:dyDescent="0.2">
      <c r="B5" s="43" t="s">
        <v>131</v>
      </c>
      <c r="C5" s="43">
        <v>229</v>
      </c>
      <c r="D5" s="43" t="s">
        <v>378</v>
      </c>
      <c r="E5" s="43" t="s">
        <v>106</v>
      </c>
      <c r="F5" s="43" t="s">
        <v>381</v>
      </c>
      <c r="G5" s="43" t="s">
        <v>382</v>
      </c>
      <c r="H5" s="43">
        <v>60</v>
      </c>
      <c r="I5" s="43">
        <v>-6.0572999999999997</v>
      </c>
      <c r="J5" s="28">
        <v>-6.9289999999999994E-8</v>
      </c>
      <c r="K5" s="43" t="s">
        <v>910</v>
      </c>
      <c r="L5" s="43" t="s">
        <v>65</v>
      </c>
      <c r="N5" s="43" t="s">
        <v>131</v>
      </c>
      <c r="O5" s="43">
        <v>229</v>
      </c>
      <c r="P5" s="43" t="s">
        <v>378</v>
      </c>
      <c r="Q5" s="43" t="s">
        <v>376</v>
      </c>
      <c r="R5" s="43" t="s">
        <v>381</v>
      </c>
      <c r="S5" s="43" t="s">
        <v>382</v>
      </c>
      <c r="T5" s="43">
        <v>10</v>
      </c>
      <c r="U5" s="43">
        <v>-6.0789999999999997</v>
      </c>
      <c r="V5" s="28">
        <v>-6.9539999999999999E-8</v>
      </c>
      <c r="W5" s="43" t="s">
        <v>910</v>
      </c>
      <c r="X5" s="43" t="s">
        <v>65</v>
      </c>
    </row>
    <row r="6" spans="2:24" x14ac:dyDescent="0.2">
      <c r="B6" s="43" t="s">
        <v>131</v>
      </c>
      <c r="C6" s="43">
        <v>230</v>
      </c>
      <c r="D6" s="43" t="s">
        <v>383</v>
      </c>
      <c r="E6" s="43" t="s">
        <v>106</v>
      </c>
      <c r="F6" s="43" t="s">
        <v>384</v>
      </c>
      <c r="G6" s="43" t="s">
        <v>380</v>
      </c>
      <c r="H6" s="43">
        <v>60</v>
      </c>
      <c r="I6" s="43">
        <v>-28.837199999999999</v>
      </c>
      <c r="J6" s="28">
        <v>-3.121E-7</v>
      </c>
      <c r="K6" s="43" t="s">
        <v>910</v>
      </c>
      <c r="L6" s="43" t="s">
        <v>65</v>
      </c>
      <c r="N6" s="43" t="s">
        <v>131</v>
      </c>
      <c r="O6" s="43">
        <v>230</v>
      </c>
      <c r="P6" s="43" t="s">
        <v>383</v>
      </c>
      <c r="Q6" s="43" t="s">
        <v>376</v>
      </c>
      <c r="R6" s="43" t="s">
        <v>384</v>
      </c>
      <c r="S6" s="43" t="s">
        <v>380</v>
      </c>
      <c r="T6" s="43">
        <v>10</v>
      </c>
      <c r="U6" s="43">
        <v>-28.8201</v>
      </c>
      <c r="V6" s="28">
        <v>-3.1189999999999998E-7</v>
      </c>
      <c r="W6" s="43" t="s">
        <v>910</v>
      </c>
      <c r="X6" s="43" t="s">
        <v>65</v>
      </c>
    </row>
    <row r="7" spans="2:24" x14ac:dyDescent="0.2">
      <c r="B7" s="43" t="s">
        <v>131</v>
      </c>
      <c r="C7" s="43">
        <v>230</v>
      </c>
      <c r="D7" s="43" t="s">
        <v>383</v>
      </c>
      <c r="E7" s="43" t="s">
        <v>106</v>
      </c>
      <c r="F7" s="43" t="s">
        <v>385</v>
      </c>
      <c r="G7" s="43" t="s">
        <v>382</v>
      </c>
      <c r="H7" s="43">
        <v>60</v>
      </c>
      <c r="I7" s="43">
        <v>3.2642000000000002</v>
      </c>
      <c r="J7" s="28">
        <v>3.5320000000000001E-8</v>
      </c>
      <c r="K7" s="43" t="s">
        <v>910</v>
      </c>
      <c r="L7" s="43" t="s">
        <v>65</v>
      </c>
      <c r="N7" s="43" t="s">
        <v>131</v>
      </c>
      <c r="O7" s="43">
        <v>230</v>
      </c>
      <c r="P7" s="43" t="s">
        <v>383</v>
      </c>
      <c r="Q7" s="43" t="s">
        <v>376</v>
      </c>
      <c r="R7" s="43" t="s">
        <v>385</v>
      </c>
      <c r="S7" s="43" t="s">
        <v>382</v>
      </c>
      <c r="T7" s="43">
        <v>10</v>
      </c>
      <c r="U7" s="43">
        <v>3.2416999999999998</v>
      </c>
      <c r="V7" s="28">
        <v>3.508E-8</v>
      </c>
      <c r="W7" s="43" t="s">
        <v>910</v>
      </c>
      <c r="X7" s="43" t="s">
        <v>65</v>
      </c>
    </row>
    <row r="8" spans="2:24" x14ac:dyDescent="0.2">
      <c r="B8" s="43" t="s">
        <v>131</v>
      </c>
      <c r="C8" s="43">
        <v>231</v>
      </c>
      <c r="D8" s="43" t="s">
        <v>383</v>
      </c>
      <c r="E8" s="43" t="s">
        <v>106</v>
      </c>
      <c r="F8" s="43" t="s">
        <v>386</v>
      </c>
      <c r="G8" s="43" t="s">
        <v>380</v>
      </c>
      <c r="H8" s="43">
        <v>60</v>
      </c>
      <c r="I8" s="43">
        <v>-24.215399999999999</v>
      </c>
      <c r="J8" s="28">
        <v>-2.4709999999999998E-7</v>
      </c>
      <c r="K8" s="43" t="s">
        <v>910</v>
      </c>
      <c r="L8" s="43" t="s">
        <v>65</v>
      </c>
      <c r="N8" s="43" t="s">
        <v>131</v>
      </c>
      <c r="O8" s="43">
        <v>231</v>
      </c>
      <c r="P8" s="43" t="s">
        <v>383</v>
      </c>
      <c r="Q8" s="43" t="s">
        <v>376</v>
      </c>
      <c r="R8" s="43" t="s">
        <v>386</v>
      </c>
      <c r="S8" s="43" t="s">
        <v>380</v>
      </c>
      <c r="T8" s="43">
        <v>10</v>
      </c>
      <c r="U8" s="43">
        <v>-24.1965</v>
      </c>
      <c r="V8" s="28">
        <v>-2.4690000000000002E-7</v>
      </c>
      <c r="W8" s="43" t="s">
        <v>910</v>
      </c>
      <c r="X8" s="43" t="s">
        <v>65</v>
      </c>
    </row>
    <row r="9" spans="2:24" x14ac:dyDescent="0.2">
      <c r="B9" s="43" t="s">
        <v>131</v>
      </c>
      <c r="C9" s="43">
        <v>231</v>
      </c>
      <c r="D9" s="43" t="s">
        <v>383</v>
      </c>
      <c r="E9" s="43" t="s">
        <v>106</v>
      </c>
      <c r="F9" s="43" t="s">
        <v>387</v>
      </c>
      <c r="G9" s="43" t="s">
        <v>382</v>
      </c>
      <c r="H9" s="43">
        <v>60</v>
      </c>
      <c r="I9" s="43">
        <v>4.1596000000000002</v>
      </c>
      <c r="J9" s="28">
        <v>4.2440000000000002E-8</v>
      </c>
      <c r="K9" s="43" t="s">
        <v>910</v>
      </c>
      <c r="L9" s="43" t="s">
        <v>65</v>
      </c>
      <c r="N9" s="43" t="s">
        <v>131</v>
      </c>
      <c r="O9" s="43">
        <v>231</v>
      </c>
      <c r="P9" s="43" t="s">
        <v>383</v>
      </c>
      <c r="Q9" s="43" t="s">
        <v>376</v>
      </c>
      <c r="R9" s="43" t="s">
        <v>387</v>
      </c>
      <c r="S9" s="43" t="s">
        <v>382</v>
      </c>
      <c r="T9" s="43">
        <v>10</v>
      </c>
      <c r="U9" s="43">
        <v>4.1364000000000001</v>
      </c>
      <c r="V9" s="28">
        <v>4.2200000000000001E-8</v>
      </c>
      <c r="W9" s="43" t="s">
        <v>910</v>
      </c>
      <c r="X9" s="43" t="s">
        <v>65</v>
      </c>
    </row>
    <row r="10" spans="2:24" x14ac:dyDescent="0.2">
      <c r="B10" s="43" t="s">
        <v>131</v>
      </c>
      <c r="C10" s="43">
        <v>232</v>
      </c>
      <c r="D10" s="43" t="s">
        <v>383</v>
      </c>
      <c r="E10" s="43" t="s">
        <v>106</v>
      </c>
      <c r="F10" s="43" t="s">
        <v>388</v>
      </c>
      <c r="G10" s="43" t="s">
        <v>380</v>
      </c>
      <c r="H10" s="43">
        <v>60</v>
      </c>
      <c r="I10" s="43">
        <v>-23.6326</v>
      </c>
      <c r="J10" s="28">
        <v>-2.5569999999999999E-7</v>
      </c>
      <c r="K10" s="43" t="s">
        <v>910</v>
      </c>
      <c r="L10" s="43" t="s">
        <v>65</v>
      </c>
      <c r="N10" s="43" t="s">
        <v>131</v>
      </c>
      <c r="O10" s="43">
        <v>232</v>
      </c>
      <c r="P10" s="43" t="s">
        <v>383</v>
      </c>
      <c r="Q10" s="43" t="s">
        <v>376</v>
      </c>
      <c r="R10" s="43" t="s">
        <v>388</v>
      </c>
      <c r="S10" s="43" t="s">
        <v>380</v>
      </c>
      <c r="T10" s="43">
        <v>10</v>
      </c>
      <c r="U10" s="43">
        <v>-23.615600000000001</v>
      </c>
      <c r="V10" s="28">
        <v>-2.5559999999999999E-7</v>
      </c>
      <c r="W10" s="43" t="s">
        <v>910</v>
      </c>
      <c r="X10" s="43" t="s">
        <v>65</v>
      </c>
    </row>
    <row r="11" spans="2:24" x14ac:dyDescent="0.2">
      <c r="B11" s="43" t="s">
        <v>131</v>
      </c>
      <c r="C11" s="43">
        <v>232</v>
      </c>
      <c r="D11" s="43" t="s">
        <v>383</v>
      </c>
      <c r="E11" s="43" t="s">
        <v>106</v>
      </c>
      <c r="F11" s="43" t="s">
        <v>389</v>
      </c>
      <c r="G11" s="43" t="s">
        <v>382</v>
      </c>
      <c r="H11" s="43">
        <v>60</v>
      </c>
      <c r="I11" s="43">
        <v>-1.5753999999999999</v>
      </c>
      <c r="J11" s="28">
        <v>-1.705E-8</v>
      </c>
      <c r="K11" s="43" t="s">
        <v>910</v>
      </c>
      <c r="L11" s="43" t="s">
        <v>65</v>
      </c>
      <c r="N11" s="43" t="s">
        <v>131</v>
      </c>
      <c r="O11" s="43">
        <v>232</v>
      </c>
      <c r="P11" s="43" t="s">
        <v>383</v>
      </c>
      <c r="Q11" s="43" t="s">
        <v>376</v>
      </c>
      <c r="R11" s="43" t="s">
        <v>389</v>
      </c>
      <c r="S11" s="43" t="s">
        <v>382</v>
      </c>
      <c r="T11" s="43">
        <v>10</v>
      </c>
      <c r="U11" s="43">
        <v>-1.5973999999999999</v>
      </c>
      <c r="V11" s="28">
        <v>-1.7290000000000001E-8</v>
      </c>
      <c r="W11" s="43" t="s">
        <v>910</v>
      </c>
      <c r="X11" s="43" t="s">
        <v>65</v>
      </c>
    </row>
    <row r="12" spans="2:24" x14ac:dyDescent="0.2">
      <c r="B12" s="43" t="s">
        <v>131</v>
      </c>
      <c r="C12" s="43">
        <v>233</v>
      </c>
      <c r="D12" s="43" t="s">
        <v>390</v>
      </c>
      <c r="E12" s="43" t="s">
        <v>106</v>
      </c>
      <c r="F12" s="43" t="s">
        <v>391</v>
      </c>
      <c r="G12" s="43" t="s">
        <v>380</v>
      </c>
      <c r="H12" s="43">
        <v>60</v>
      </c>
      <c r="I12" s="43">
        <v>-28.8611</v>
      </c>
      <c r="J12" s="28">
        <v>-3.3019999999999998E-7</v>
      </c>
      <c r="K12" s="43" t="s">
        <v>910</v>
      </c>
      <c r="L12" s="43" t="s">
        <v>65</v>
      </c>
      <c r="N12" s="43" t="s">
        <v>131</v>
      </c>
      <c r="O12" s="43">
        <v>233</v>
      </c>
      <c r="P12" s="43" t="s">
        <v>390</v>
      </c>
      <c r="Q12" s="43" t="s">
        <v>376</v>
      </c>
      <c r="R12" s="43" t="s">
        <v>391</v>
      </c>
      <c r="S12" s="43" t="s">
        <v>380</v>
      </c>
      <c r="T12" s="43">
        <v>10</v>
      </c>
      <c r="U12" s="43">
        <v>-28.847300000000001</v>
      </c>
      <c r="V12" s="28">
        <v>-3.3000000000000002E-7</v>
      </c>
      <c r="W12" s="43" t="s">
        <v>910</v>
      </c>
      <c r="X12" s="43" t="s">
        <v>65</v>
      </c>
    </row>
    <row r="13" spans="2:24" x14ac:dyDescent="0.2">
      <c r="B13" s="43" t="s">
        <v>131</v>
      </c>
      <c r="C13" s="43">
        <v>233</v>
      </c>
      <c r="D13" s="43" t="s">
        <v>390</v>
      </c>
      <c r="E13" s="43" t="s">
        <v>106</v>
      </c>
      <c r="F13" s="43" t="s">
        <v>392</v>
      </c>
      <c r="G13" s="43" t="s">
        <v>382</v>
      </c>
      <c r="H13" s="43">
        <v>60</v>
      </c>
      <c r="I13" s="43">
        <v>2.4131999999999998</v>
      </c>
      <c r="J13" s="28">
        <v>2.761E-8</v>
      </c>
      <c r="K13" s="43" t="s">
        <v>910</v>
      </c>
      <c r="L13" s="43" t="s">
        <v>65</v>
      </c>
      <c r="N13" s="43" t="s">
        <v>131</v>
      </c>
      <c r="O13" s="43">
        <v>233</v>
      </c>
      <c r="P13" s="43" t="s">
        <v>390</v>
      </c>
      <c r="Q13" s="43" t="s">
        <v>376</v>
      </c>
      <c r="R13" s="43" t="s">
        <v>392</v>
      </c>
      <c r="S13" s="43" t="s">
        <v>382</v>
      </c>
      <c r="T13" s="43">
        <v>10</v>
      </c>
      <c r="U13" s="43">
        <v>2.3942000000000001</v>
      </c>
      <c r="V13" s="28">
        <v>2.7389999999999999E-8</v>
      </c>
      <c r="W13" s="43" t="s">
        <v>910</v>
      </c>
      <c r="X13" s="43" t="s">
        <v>65</v>
      </c>
    </row>
    <row r="14" spans="2:24" x14ac:dyDescent="0.2">
      <c r="B14" s="43" t="s">
        <v>131</v>
      </c>
      <c r="C14" s="43">
        <v>211</v>
      </c>
      <c r="D14" s="43" t="s">
        <v>393</v>
      </c>
      <c r="E14" s="43" t="s">
        <v>106</v>
      </c>
      <c r="F14" s="43" t="s">
        <v>394</v>
      </c>
      <c r="G14" s="43" t="s">
        <v>380</v>
      </c>
      <c r="H14" s="43">
        <v>60</v>
      </c>
      <c r="I14" s="43">
        <v>-30.712</v>
      </c>
      <c r="J14" s="28">
        <v>-3.368E-7</v>
      </c>
      <c r="K14" s="43" t="s">
        <v>910</v>
      </c>
      <c r="L14" s="43" t="s">
        <v>65</v>
      </c>
      <c r="N14" s="43" t="s">
        <v>131</v>
      </c>
      <c r="O14" s="43">
        <v>211</v>
      </c>
      <c r="P14" s="43" t="s">
        <v>393</v>
      </c>
      <c r="Q14" s="43" t="s">
        <v>376</v>
      </c>
      <c r="R14" s="43" t="s">
        <v>394</v>
      </c>
      <c r="S14" s="43" t="s">
        <v>380</v>
      </c>
      <c r="T14" s="43">
        <v>10</v>
      </c>
      <c r="U14" s="43">
        <v>-30.827400000000001</v>
      </c>
      <c r="V14" s="28">
        <v>-3.3799999999999998E-7</v>
      </c>
      <c r="W14" s="43" t="s">
        <v>910</v>
      </c>
      <c r="X14" s="43" t="s">
        <v>65</v>
      </c>
    </row>
    <row r="15" spans="2:24" x14ac:dyDescent="0.2">
      <c r="B15" s="43" t="s">
        <v>131</v>
      </c>
      <c r="C15" s="43">
        <v>211</v>
      </c>
      <c r="D15" s="43" t="s">
        <v>393</v>
      </c>
      <c r="E15" s="43" t="s">
        <v>106</v>
      </c>
      <c r="F15" s="43" t="s">
        <v>395</v>
      </c>
      <c r="G15" s="43" t="s">
        <v>382</v>
      </c>
      <c r="H15" s="43">
        <v>60</v>
      </c>
      <c r="I15" s="43">
        <v>-34.235900000000001</v>
      </c>
      <c r="J15" s="28">
        <v>-3.7539999999999999E-7</v>
      </c>
      <c r="K15" s="43" t="s">
        <v>910</v>
      </c>
      <c r="L15" s="43" t="s">
        <v>65</v>
      </c>
      <c r="N15" s="43" t="s">
        <v>131</v>
      </c>
      <c r="O15" s="43">
        <v>211</v>
      </c>
      <c r="P15" s="43" t="s">
        <v>393</v>
      </c>
      <c r="Q15" s="43" t="s">
        <v>376</v>
      </c>
      <c r="R15" s="43" t="s">
        <v>395</v>
      </c>
      <c r="S15" s="43" t="s">
        <v>382</v>
      </c>
      <c r="T15" s="43">
        <v>10</v>
      </c>
      <c r="U15" s="43">
        <v>-34.110399999999998</v>
      </c>
      <c r="V15" s="28">
        <v>-3.7399999999999999E-7</v>
      </c>
      <c r="W15" s="43" t="s">
        <v>910</v>
      </c>
      <c r="X15" s="43" t="s">
        <v>65</v>
      </c>
    </row>
    <row r="16" spans="2:24" x14ac:dyDescent="0.2">
      <c r="B16" s="43" t="s">
        <v>131</v>
      </c>
      <c r="C16" s="43">
        <v>214</v>
      </c>
      <c r="D16" s="43" t="s">
        <v>396</v>
      </c>
      <c r="E16" s="43" t="s">
        <v>106</v>
      </c>
      <c r="F16" s="43" t="s">
        <v>397</v>
      </c>
      <c r="G16" s="43" t="s">
        <v>380</v>
      </c>
      <c r="H16" s="43">
        <v>60</v>
      </c>
      <c r="I16" s="43">
        <v>-47.487000000000002</v>
      </c>
      <c r="J16" s="28">
        <v>-3.9799999999999999E-7</v>
      </c>
      <c r="K16" s="43" t="s">
        <v>910</v>
      </c>
      <c r="L16" s="43" t="s">
        <v>65</v>
      </c>
      <c r="N16" s="43" t="s">
        <v>131</v>
      </c>
      <c r="O16" s="43">
        <v>214</v>
      </c>
      <c r="P16" s="43" t="s">
        <v>396</v>
      </c>
      <c r="Q16" s="43" t="s">
        <v>376</v>
      </c>
      <c r="R16" s="43" t="s">
        <v>397</v>
      </c>
      <c r="S16" s="43" t="s">
        <v>380</v>
      </c>
      <c r="T16" s="43">
        <v>10</v>
      </c>
      <c r="U16" s="43">
        <v>-47.648899999999998</v>
      </c>
      <c r="V16" s="28">
        <v>-3.9929999999999998E-7</v>
      </c>
      <c r="W16" s="43" t="s">
        <v>910</v>
      </c>
      <c r="X16" s="43" t="s">
        <v>65</v>
      </c>
    </row>
    <row r="17" spans="2:24" x14ac:dyDescent="0.2">
      <c r="B17" s="43" t="s">
        <v>131</v>
      </c>
      <c r="C17" s="43">
        <v>214</v>
      </c>
      <c r="D17" s="43" t="s">
        <v>396</v>
      </c>
      <c r="E17" s="43" t="s">
        <v>106</v>
      </c>
      <c r="F17" s="43" t="s">
        <v>398</v>
      </c>
      <c r="G17" s="43" t="s">
        <v>382</v>
      </c>
      <c r="H17" s="43">
        <v>60</v>
      </c>
      <c r="I17" s="43">
        <v>-60.438899999999997</v>
      </c>
      <c r="J17" s="28">
        <v>-9.9999999999999995E-7</v>
      </c>
      <c r="K17" s="43" t="s">
        <v>910</v>
      </c>
      <c r="L17" s="43" t="s">
        <v>65</v>
      </c>
      <c r="N17" s="43" t="s">
        <v>131</v>
      </c>
      <c r="O17" s="43">
        <v>214</v>
      </c>
      <c r="P17" s="43" t="s">
        <v>396</v>
      </c>
      <c r="Q17" s="43" t="s">
        <v>376</v>
      </c>
      <c r="R17" s="43" t="s">
        <v>398</v>
      </c>
      <c r="S17" s="43" t="s">
        <v>382</v>
      </c>
      <c r="T17" s="43">
        <v>10</v>
      </c>
      <c r="U17" s="43">
        <v>-60.289099999999998</v>
      </c>
      <c r="V17" s="28">
        <v>-9.9999999999999995E-7</v>
      </c>
      <c r="W17" s="43" t="s">
        <v>910</v>
      </c>
      <c r="X17" s="43" t="s">
        <v>65</v>
      </c>
    </row>
    <row r="18" spans="2:24" x14ac:dyDescent="0.2">
      <c r="B18" s="43" t="s">
        <v>131</v>
      </c>
      <c r="C18" s="43">
        <v>217</v>
      </c>
      <c r="D18" s="43" t="s">
        <v>399</v>
      </c>
      <c r="E18" s="43" t="s">
        <v>106</v>
      </c>
      <c r="F18" s="43" t="s">
        <v>400</v>
      </c>
      <c r="G18" s="43" t="s">
        <v>380</v>
      </c>
      <c r="H18" s="43">
        <v>60</v>
      </c>
      <c r="I18" s="43">
        <v>-52.105600000000003</v>
      </c>
      <c r="J18" s="28">
        <v>-4.3360000000000002E-7</v>
      </c>
      <c r="K18" s="43" t="s">
        <v>910</v>
      </c>
      <c r="L18" s="43" t="s">
        <v>65</v>
      </c>
      <c r="N18" s="43" t="s">
        <v>131</v>
      </c>
      <c r="O18" s="43">
        <v>217</v>
      </c>
      <c r="P18" s="43" t="s">
        <v>399</v>
      </c>
      <c r="Q18" s="43" t="s">
        <v>376</v>
      </c>
      <c r="R18" s="43" t="s">
        <v>400</v>
      </c>
      <c r="S18" s="43" t="s">
        <v>380</v>
      </c>
      <c r="T18" s="43">
        <v>10</v>
      </c>
      <c r="U18" s="43">
        <v>-52.267200000000003</v>
      </c>
      <c r="V18" s="28">
        <v>-4.3490000000000001E-7</v>
      </c>
      <c r="W18" s="43" t="s">
        <v>910</v>
      </c>
      <c r="X18" s="43" t="s">
        <v>65</v>
      </c>
    </row>
    <row r="19" spans="2:24" x14ac:dyDescent="0.2">
      <c r="B19" s="43" t="s">
        <v>131</v>
      </c>
      <c r="C19" s="43">
        <v>217</v>
      </c>
      <c r="D19" s="43" t="s">
        <v>399</v>
      </c>
      <c r="E19" s="43" t="s">
        <v>106</v>
      </c>
      <c r="F19" s="43" t="s">
        <v>401</v>
      </c>
      <c r="G19" s="43" t="s">
        <v>382</v>
      </c>
      <c r="H19" s="43">
        <v>60</v>
      </c>
      <c r="I19" s="43">
        <v>-50.233499999999999</v>
      </c>
      <c r="J19" s="28">
        <v>-4.1800000000000001E-7</v>
      </c>
      <c r="K19" s="43" t="s">
        <v>910</v>
      </c>
      <c r="L19" s="43" t="s">
        <v>65</v>
      </c>
      <c r="N19" s="43" t="s">
        <v>131</v>
      </c>
      <c r="O19" s="43">
        <v>217</v>
      </c>
      <c r="P19" s="43" t="s">
        <v>399</v>
      </c>
      <c r="Q19" s="43" t="s">
        <v>376</v>
      </c>
      <c r="R19" s="43" t="s">
        <v>401</v>
      </c>
      <c r="S19" s="43" t="s">
        <v>382</v>
      </c>
      <c r="T19" s="43">
        <v>10</v>
      </c>
      <c r="U19" s="43">
        <v>-50.071300000000001</v>
      </c>
      <c r="V19" s="28">
        <v>-4.1670000000000002E-7</v>
      </c>
      <c r="W19" s="43" t="s">
        <v>910</v>
      </c>
      <c r="X19" s="43" t="s">
        <v>65</v>
      </c>
    </row>
    <row r="20" spans="2:24" x14ac:dyDescent="0.2">
      <c r="B20" s="43" t="s">
        <v>131</v>
      </c>
      <c r="C20" s="43">
        <v>220</v>
      </c>
      <c r="D20" s="43" t="s">
        <v>402</v>
      </c>
      <c r="E20" s="43" t="s">
        <v>106</v>
      </c>
      <c r="F20" s="43" t="s">
        <v>403</v>
      </c>
      <c r="G20" s="43" t="s">
        <v>380</v>
      </c>
      <c r="H20" s="43">
        <v>60</v>
      </c>
      <c r="I20" s="43">
        <v>-51.812899999999999</v>
      </c>
      <c r="J20" s="28">
        <v>-4.312E-7</v>
      </c>
      <c r="K20" s="43" t="s">
        <v>910</v>
      </c>
      <c r="L20" s="43" t="s">
        <v>65</v>
      </c>
      <c r="N20" s="43" t="s">
        <v>131</v>
      </c>
      <c r="O20" s="43">
        <v>220</v>
      </c>
      <c r="P20" s="43" t="s">
        <v>402</v>
      </c>
      <c r="Q20" s="43" t="s">
        <v>376</v>
      </c>
      <c r="R20" s="43" t="s">
        <v>403</v>
      </c>
      <c r="S20" s="43" t="s">
        <v>380</v>
      </c>
      <c r="T20" s="43">
        <v>10</v>
      </c>
      <c r="U20" s="43">
        <v>-51.974899999999998</v>
      </c>
      <c r="V20" s="28">
        <v>-4.3249999999999999E-7</v>
      </c>
      <c r="W20" s="43" t="s">
        <v>910</v>
      </c>
      <c r="X20" s="43" t="s">
        <v>65</v>
      </c>
    </row>
    <row r="21" spans="2:24" x14ac:dyDescent="0.2">
      <c r="B21" s="43" t="s">
        <v>131</v>
      </c>
      <c r="C21" s="43">
        <v>220</v>
      </c>
      <c r="D21" s="43" t="s">
        <v>402</v>
      </c>
      <c r="E21" s="43" t="s">
        <v>106</v>
      </c>
      <c r="F21" s="43" t="s">
        <v>404</v>
      </c>
      <c r="G21" s="43" t="s">
        <v>382</v>
      </c>
      <c r="H21" s="43">
        <v>60</v>
      </c>
      <c r="I21" s="43">
        <v>-50.253399999999999</v>
      </c>
      <c r="J21" s="28">
        <v>-4.1820000000000003E-7</v>
      </c>
      <c r="K21" s="43" t="s">
        <v>910</v>
      </c>
      <c r="L21" s="43" t="s">
        <v>65</v>
      </c>
      <c r="N21" s="43" t="s">
        <v>131</v>
      </c>
      <c r="O21" s="43">
        <v>220</v>
      </c>
      <c r="P21" s="43" t="s">
        <v>402</v>
      </c>
      <c r="Q21" s="43" t="s">
        <v>376</v>
      </c>
      <c r="R21" s="43" t="s">
        <v>404</v>
      </c>
      <c r="S21" s="43" t="s">
        <v>382</v>
      </c>
      <c r="T21" s="43">
        <v>10</v>
      </c>
      <c r="U21" s="43">
        <v>-50.090899999999998</v>
      </c>
      <c r="V21" s="28">
        <v>-4.1680000000000003E-7</v>
      </c>
      <c r="W21" s="43" t="s">
        <v>910</v>
      </c>
      <c r="X21" s="43" t="s">
        <v>65</v>
      </c>
    </row>
    <row r="22" spans="2:24" x14ac:dyDescent="0.2">
      <c r="B22" s="43" t="s">
        <v>131</v>
      </c>
      <c r="C22" s="43">
        <v>223</v>
      </c>
      <c r="D22" s="43" t="s">
        <v>405</v>
      </c>
      <c r="E22" s="43" t="s">
        <v>106</v>
      </c>
      <c r="F22" s="43" t="s">
        <v>406</v>
      </c>
      <c r="G22" s="43" t="s">
        <v>380</v>
      </c>
      <c r="H22" s="43">
        <v>60</v>
      </c>
      <c r="I22" s="43">
        <v>-45.056199999999997</v>
      </c>
      <c r="J22" s="28">
        <v>-3.7759999999999999E-7</v>
      </c>
      <c r="K22" s="43" t="s">
        <v>910</v>
      </c>
      <c r="L22" s="43" t="s">
        <v>65</v>
      </c>
      <c r="N22" s="43" t="s">
        <v>131</v>
      </c>
      <c r="O22" s="43">
        <v>223</v>
      </c>
      <c r="P22" s="43" t="s">
        <v>405</v>
      </c>
      <c r="Q22" s="43" t="s">
        <v>376</v>
      </c>
      <c r="R22" s="43" t="s">
        <v>406</v>
      </c>
      <c r="S22" s="43" t="s">
        <v>380</v>
      </c>
      <c r="T22" s="43">
        <v>10</v>
      </c>
      <c r="U22" s="43">
        <v>-45.218499999999999</v>
      </c>
      <c r="V22" s="28">
        <v>-3.7899999999999999E-7</v>
      </c>
      <c r="W22" s="43" t="s">
        <v>910</v>
      </c>
      <c r="X22" s="43" t="s">
        <v>65</v>
      </c>
    </row>
    <row r="23" spans="2:24" x14ac:dyDescent="0.2">
      <c r="B23" s="43" t="s">
        <v>131</v>
      </c>
      <c r="C23" s="43">
        <v>223</v>
      </c>
      <c r="D23" s="43" t="s">
        <v>405</v>
      </c>
      <c r="E23" s="43" t="s">
        <v>106</v>
      </c>
      <c r="F23" s="43" t="s">
        <v>407</v>
      </c>
      <c r="G23" s="43" t="s">
        <v>382</v>
      </c>
      <c r="H23" s="43">
        <v>60</v>
      </c>
      <c r="I23" s="43">
        <v>-58.054099999999998</v>
      </c>
      <c r="J23" s="28">
        <v>-4.8650000000000002E-7</v>
      </c>
      <c r="K23" s="43" t="s">
        <v>910</v>
      </c>
      <c r="L23" s="43" t="s">
        <v>65</v>
      </c>
      <c r="N23" s="43" t="s">
        <v>131</v>
      </c>
      <c r="O23" s="43">
        <v>223</v>
      </c>
      <c r="P23" s="43" t="s">
        <v>405</v>
      </c>
      <c r="Q23" s="43" t="s">
        <v>376</v>
      </c>
      <c r="R23" s="43" t="s">
        <v>407</v>
      </c>
      <c r="S23" s="43" t="s">
        <v>382</v>
      </c>
      <c r="T23" s="43">
        <v>10</v>
      </c>
      <c r="U23" s="43">
        <v>-57.904499999999999</v>
      </c>
      <c r="V23" s="28">
        <v>-4.8530000000000004E-7</v>
      </c>
      <c r="W23" s="43" t="s">
        <v>910</v>
      </c>
      <c r="X23" s="43" t="s">
        <v>65</v>
      </c>
    </row>
    <row r="24" spans="2:24" x14ac:dyDescent="0.2">
      <c r="B24" s="43" t="s">
        <v>131</v>
      </c>
      <c r="C24" s="43">
        <v>226</v>
      </c>
      <c r="D24" s="43" t="s">
        <v>408</v>
      </c>
      <c r="E24" s="43" t="s">
        <v>106</v>
      </c>
      <c r="F24" s="43" t="s">
        <v>409</v>
      </c>
      <c r="G24" s="43" t="s">
        <v>380</v>
      </c>
      <c r="H24" s="43">
        <v>60</v>
      </c>
      <c r="I24" s="43">
        <v>-26.601600000000001</v>
      </c>
      <c r="J24" s="28">
        <v>-2.917E-7</v>
      </c>
      <c r="K24" s="43" t="s">
        <v>910</v>
      </c>
      <c r="L24" s="43" t="s">
        <v>65</v>
      </c>
      <c r="N24" s="43" t="s">
        <v>131</v>
      </c>
      <c r="O24" s="43">
        <v>226</v>
      </c>
      <c r="P24" s="43" t="s">
        <v>408</v>
      </c>
      <c r="Q24" s="43" t="s">
        <v>376</v>
      </c>
      <c r="R24" s="43" t="s">
        <v>409</v>
      </c>
      <c r="S24" s="43" t="s">
        <v>380</v>
      </c>
      <c r="T24" s="43">
        <v>10</v>
      </c>
      <c r="U24" s="43">
        <v>-26.7224</v>
      </c>
      <c r="V24" s="28">
        <v>-2.9299999999999999E-7</v>
      </c>
      <c r="W24" s="43" t="s">
        <v>910</v>
      </c>
      <c r="X24" s="43" t="s">
        <v>65</v>
      </c>
    </row>
    <row r="25" spans="2:24" x14ac:dyDescent="0.2">
      <c r="B25" s="43" t="s">
        <v>131</v>
      </c>
      <c r="C25" s="43">
        <v>226</v>
      </c>
      <c r="D25" s="43" t="s">
        <v>408</v>
      </c>
      <c r="E25" s="43" t="s">
        <v>106</v>
      </c>
      <c r="F25" s="43" t="s">
        <v>410</v>
      </c>
      <c r="G25" s="43" t="s">
        <v>382</v>
      </c>
      <c r="H25" s="43">
        <v>60</v>
      </c>
      <c r="I25" s="43">
        <v>-28.611999999999998</v>
      </c>
      <c r="J25" s="28">
        <v>-3.1380000000000002E-7</v>
      </c>
      <c r="K25" s="43" t="s">
        <v>910</v>
      </c>
      <c r="L25" s="43" t="s">
        <v>65</v>
      </c>
      <c r="N25" s="43" t="s">
        <v>131</v>
      </c>
      <c r="O25" s="43">
        <v>226</v>
      </c>
      <c r="P25" s="43" t="s">
        <v>408</v>
      </c>
      <c r="Q25" s="43" t="s">
        <v>376</v>
      </c>
      <c r="R25" s="43" t="s">
        <v>410</v>
      </c>
      <c r="S25" s="43" t="s">
        <v>382</v>
      </c>
      <c r="T25" s="43">
        <v>10</v>
      </c>
      <c r="U25" s="43">
        <v>-28.490200000000002</v>
      </c>
      <c r="V25" s="28">
        <v>-3.1240000000000002E-7</v>
      </c>
      <c r="W25" s="43" t="s">
        <v>910</v>
      </c>
      <c r="X25" s="43" t="s">
        <v>65</v>
      </c>
    </row>
    <row r="26" spans="2:24" x14ac:dyDescent="0.2">
      <c r="B26" s="43" t="s">
        <v>131</v>
      </c>
      <c r="C26" s="43">
        <v>234</v>
      </c>
      <c r="D26" s="43" t="s">
        <v>411</v>
      </c>
      <c r="E26" s="43" t="s">
        <v>106</v>
      </c>
      <c r="F26" s="43" t="s">
        <v>412</v>
      </c>
      <c r="G26" s="43" t="s">
        <v>380</v>
      </c>
      <c r="H26" s="43">
        <v>60</v>
      </c>
      <c r="I26" s="43">
        <v>-37.438200000000002</v>
      </c>
      <c r="J26" s="28">
        <v>-3.0380000000000001E-7</v>
      </c>
      <c r="K26" s="43" t="s">
        <v>910</v>
      </c>
      <c r="L26" s="43" t="s">
        <v>65</v>
      </c>
      <c r="N26" s="43" t="s">
        <v>131</v>
      </c>
      <c r="O26" s="43">
        <v>234</v>
      </c>
      <c r="P26" s="43" t="s">
        <v>411</v>
      </c>
      <c r="Q26" s="43" t="s">
        <v>376</v>
      </c>
      <c r="R26" s="43" t="s">
        <v>412</v>
      </c>
      <c r="S26" s="43" t="s">
        <v>380</v>
      </c>
      <c r="T26" s="43">
        <v>10</v>
      </c>
      <c r="U26" s="43">
        <v>-37.412599999999998</v>
      </c>
      <c r="V26" s="28">
        <v>-3.0359999999999999E-7</v>
      </c>
      <c r="W26" s="43" t="s">
        <v>910</v>
      </c>
      <c r="X26" s="43" t="s">
        <v>65</v>
      </c>
    </row>
    <row r="27" spans="2:24" x14ac:dyDescent="0.2">
      <c r="B27" s="43" t="s">
        <v>131</v>
      </c>
      <c r="C27" s="43">
        <v>234</v>
      </c>
      <c r="D27" s="43" t="s">
        <v>411</v>
      </c>
      <c r="E27" s="43" t="s">
        <v>106</v>
      </c>
      <c r="F27" s="43" t="s">
        <v>413</v>
      </c>
      <c r="G27" s="43" t="s">
        <v>382</v>
      </c>
      <c r="H27" s="43">
        <v>60</v>
      </c>
      <c r="I27" s="43">
        <v>0.1381</v>
      </c>
      <c r="J27" s="28">
        <v>1.121E-9</v>
      </c>
      <c r="K27" s="43" t="s">
        <v>910</v>
      </c>
      <c r="L27" s="43" t="s">
        <v>65</v>
      </c>
      <c r="N27" s="43" t="s">
        <v>131</v>
      </c>
      <c r="O27" s="43">
        <v>234</v>
      </c>
      <c r="P27" s="43" t="s">
        <v>411</v>
      </c>
      <c r="Q27" s="43" t="s">
        <v>376</v>
      </c>
      <c r="R27" s="43" t="s">
        <v>413</v>
      </c>
      <c r="S27" s="43" t="s">
        <v>382</v>
      </c>
      <c r="T27" s="43">
        <v>10</v>
      </c>
      <c r="U27" s="43">
        <v>0.11260000000000001</v>
      </c>
      <c r="V27" s="28">
        <v>9.1420000000000001E-10</v>
      </c>
      <c r="W27" s="43" t="s">
        <v>910</v>
      </c>
      <c r="X27" s="43" t="s">
        <v>65</v>
      </c>
    </row>
    <row r="28" spans="2:24" x14ac:dyDescent="0.2">
      <c r="B28" s="43" t="s">
        <v>131</v>
      </c>
      <c r="C28" s="43">
        <v>235</v>
      </c>
      <c r="D28" s="43" t="s">
        <v>414</v>
      </c>
      <c r="E28" s="43" t="s">
        <v>106</v>
      </c>
      <c r="F28" s="43" t="s">
        <v>415</v>
      </c>
      <c r="G28" s="43" t="s">
        <v>380</v>
      </c>
      <c r="H28" s="43">
        <v>60</v>
      </c>
      <c r="I28" s="43">
        <v>-34.844900000000003</v>
      </c>
      <c r="J28" s="28">
        <v>-2.6020000000000001E-7</v>
      </c>
      <c r="K28" s="43" t="s">
        <v>910</v>
      </c>
      <c r="L28" s="43" t="s">
        <v>65</v>
      </c>
      <c r="N28" s="43" t="s">
        <v>131</v>
      </c>
      <c r="O28" s="43">
        <v>235</v>
      </c>
      <c r="P28" s="43" t="s">
        <v>414</v>
      </c>
      <c r="Q28" s="43" t="s">
        <v>376</v>
      </c>
      <c r="R28" s="43" t="s">
        <v>415</v>
      </c>
      <c r="S28" s="43" t="s">
        <v>380</v>
      </c>
      <c r="T28" s="43">
        <v>10</v>
      </c>
      <c r="U28" s="43">
        <v>-34.819499999999998</v>
      </c>
      <c r="V28" s="28">
        <v>-2.6E-7</v>
      </c>
      <c r="W28" s="43" t="s">
        <v>910</v>
      </c>
      <c r="X28" s="43" t="s">
        <v>65</v>
      </c>
    </row>
    <row r="29" spans="2:24" x14ac:dyDescent="0.2">
      <c r="B29" s="43" t="s">
        <v>131</v>
      </c>
      <c r="C29" s="43">
        <v>235</v>
      </c>
      <c r="D29" s="43" t="s">
        <v>414</v>
      </c>
      <c r="E29" s="43" t="s">
        <v>106</v>
      </c>
      <c r="F29" s="43" t="s">
        <v>416</v>
      </c>
      <c r="G29" s="43" t="s">
        <v>382</v>
      </c>
      <c r="H29" s="43">
        <v>60</v>
      </c>
      <c r="I29" s="43">
        <v>-7.4916999999999998</v>
      </c>
      <c r="J29" s="28">
        <v>-5.5940000000000003E-8</v>
      </c>
      <c r="K29" s="43" t="s">
        <v>910</v>
      </c>
      <c r="L29" s="43" t="s">
        <v>65</v>
      </c>
      <c r="N29" s="43" t="s">
        <v>131</v>
      </c>
      <c r="O29" s="43">
        <v>235</v>
      </c>
      <c r="P29" s="43" t="s">
        <v>414</v>
      </c>
      <c r="Q29" s="43" t="s">
        <v>376</v>
      </c>
      <c r="R29" s="43" t="s">
        <v>416</v>
      </c>
      <c r="S29" s="43" t="s">
        <v>382</v>
      </c>
      <c r="T29" s="43">
        <v>10</v>
      </c>
      <c r="U29" s="43">
        <v>-7.5163000000000002</v>
      </c>
      <c r="V29" s="28">
        <v>-5.6120000000000002E-8</v>
      </c>
      <c r="W29" s="43" t="s">
        <v>910</v>
      </c>
      <c r="X29" s="43" t="s">
        <v>65</v>
      </c>
    </row>
    <row r="30" spans="2:24" x14ac:dyDescent="0.2">
      <c r="B30" s="43" t="s">
        <v>131</v>
      </c>
      <c r="C30" s="43">
        <v>236</v>
      </c>
      <c r="D30" s="43" t="s">
        <v>414</v>
      </c>
      <c r="E30" s="43" t="s">
        <v>106</v>
      </c>
      <c r="F30" s="43" t="s">
        <v>417</v>
      </c>
      <c r="G30" s="43" t="s">
        <v>380</v>
      </c>
      <c r="H30" s="43">
        <v>60</v>
      </c>
      <c r="I30" s="43">
        <v>-40.454099999999997</v>
      </c>
      <c r="J30" s="28">
        <v>-3.1930000000000001E-7</v>
      </c>
      <c r="K30" s="43" t="s">
        <v>910</v>
      </c>
      <c r="L30" s="43" t="s">
        <v>65</v>
      </c>
      <c r="N30" s="43" t="s">
        <v>131</v>
      </c>
      <c r="O30" s="43">
        <v>236</v>
      </c>
      <c r="P30" s="43" t="s">
        <v>414</v>
      </c>
      <c r="Q30" s="43" t="s">
        <v>376</v>
      </c>
      <c r="R30" s="43" t="s">
        <v>417</v>
      </c>
      <c r="S30" s="43" t="s">
        <v>380</v>
      </c>
      <c r="T30" s="43">
        <v>10</v>
      </c>
      <c r="U30" s="43">
        <v>-40.432299999999998</v>
      </c>
      <c r="V30" s="28">
        <v>-3.1909999999999999E-7</v>
      </c>
      <c r="W30" s="43" t="s">
        <v>910</v>
      </c>
      <c r="X30" s="43" t="s">
        <v>65</v>
      </c>
    </row>
    <row r="31" spans="2:24" x14ac:dyDescent="0.2">
      <c r="B31" s="43" t="s">
        <v>131</v>
      </c>
      <c r="C31" s="43">
        <v>236</v>
      </c>
      <c r="D31" s="43" t="s">
        <v>414</v>
      </c>
      <c r="E31" s="43" t="s">
        <v>106</v>
      </c>
      <c r="F31" s="43" t="s">
        <v>418</v>
      </c>
      <c r="G31" s="43" t="s">
        <v>382</v>
      </c>
      <c r="H31" s="43">
        <v>60</v>
      </c>
      <c r="I31" s="43">
        <v>-9.4847999999999999</v>
      </c>
      <c r="J31" s="28">
        <v>-7.4869999999999995E-8</v>
      </c>
      <c r="K31" s="43" t="s">
        <v>910</v>
      </c>
      <c r="L31" s="43" t="s">
        <v>65</v>
      </c>
      <c r="N31" s="43" t="s">
        <v>131</v>
      </c>
      <c r="O31" s="43">
        <v>236</v>
      </c>
      <c r="P31" s="43" t="s">
        <v>414</v>
      </c>
      <c r="Q31" s="43" t="s">
        <v>376</v>
      </c>
      <c r="R31" s="43" t="s">
        <v>418</v>
      </c>
      <c r="S31" s="43" t="s">
        <v>382</v>
      </c>
      <c r="T31" s="43">
        <v>10</v>
      </c>
      <c r="U31" s="43">
        <v>-9.5069999999999997</v>
      </c>
      <c r="V31" s="28">
        <v>-7.5040000000000002E-8</v>
      </c>
      <c r="W31" s="43" t="s">
        <v>910</v>
      </c>
      <c r="X31" s="43" t="s">
        <v>65</v>
      </c>
    </row>
    <row r="32" spans="2:24" x14ac:dyDescent="0.2">
      <c r="B32" s="43" t="s">
        <v>131</v>
      </c>
      <c r="C32" s="43">
        <v>237</v>
      </c>
      <c r="D32" s="43" t="s">
        <v>414</v>
      </c>
      <c r="E32" s="43" t="s">
        <v>106</v>
      </c>
      <c r="F32" s="43" t="s">
        <v>419</v>
      </c>
      <c r="G32" s="43" t="s">
        <v>380</v>
      </c>
      <c r="H32" s="43">
        <v>60</v>
      </c>
      <c r="I32" s="43">
        <v>-42.316000000000003</v>
      </c>
      <c r="J32" s="28">
        <v>-3.1600000000000002E-7</v>
      </c>
      <c r="K32" s="43" t="s">
        <v>910</v>
      </c>
      <c r="L32" s="43" t="s">
        <v>65</v>
      </c>
      <c r="N32" s="43" t="s">
        <v>131</v>
      </c>
      <c r="O32" s="43">
        <v>237</v>
      </c>
      <c r="P32" s="43" t="s">
        <v>414</v>
      </c>
      <c r="Q32" s="43" t="s">
        <v>376</v>
      </c>
      <c r="R32" s="43" t="s">
        <v>419</v>
      </c>
      <c r="S32" s="43" t="s">
        <v>380</v>
      </c>
      <c r="T32" s="43">
        <v>10</v>
      </c>
      <c r="U32" s="43">
        <v>-42.290900000000001</v>
      </c>
      <c r="V32" s="28">
        <v>-3.1580000000000001E-7</v>
      </c>
      <c r="W32" s="43" t="s">
        <v>910</v>
      </c>
      <c r="X32" s="43" t="s">
        <v>65</v>
      </c>
    </row>
    <row r="33" spans="2:24" x14ac:dyDescent="0.2">
      <c r="B33" s="43" t="s">
        <v>131</v>
      </c>
      <c r="C33" s="43">
        <v>237</v>
      </c>
      <c r="D33" s="43" t="s">
        <v>414</v>
      </c>
      <c r="E33" s="43" t="s">
        <v>106</v>
      </c>
      <c r="F33" s="43" t="s">
        <v>420</v>
      </c>
      <c r="G33" s="43" t="s">
        <v>382</v>
      </c>
      <c r="H33" s="43">
        <v>60</v>
      </c>
      <c r="I33" s="43">
        <v>1.6005</v>
      </c>
      <c r="J33" s="28">
        <v>1.1949999999999999E-8</v>
      </c>
      <c r="K33" s="43" t="s">
        <v>910</v>
      </c>
      <c r="L33" s="43" t="s">
        <v>65</v>
      </c>
      <c r="N33" s="43" t="s">
        <v>131</v>
      </c>
      <c r="O33" s="43">
        <v>237</v>
      </c>
      <c r="P33" s="43" t="s">
        <v>414</v>
      </c>
      <c r="Q33" s="43" t="s">
        <v>376</v>
      </c>
      <c r="R33" s="43" t="s">
        <v>420</v>
      </c>
      <c r="S33" s="43" t="s">
        <v>382</v>
      </c>
      <c r="T33" s="43">
        <v>10</v>
      </c>
      <c r="U33" s="43">
        <v>1.5738000000000001</v>
      </c>
      <c r="V33" s="28">
        <v>1.1749999999999999E-8</v>
      </c>
      <c r="W33" s="43" t="s">
        <v>910</v>
      </c>
      <c r="X33" s="43" t="s">
        <v>65</v>
      </c>
    </row>
    <row r="34" spans="2:24" x14ac:dyDescent="0.2">
      <c r="B34" s="43" t="s">
        <v>131</v>
      </c>
      <c r="C34" s="43">
        <v>238</v>
      </c>
      <c r="D34" s="43" t="s">
        <v>421</v>
      </c>
      <c r="E34" s="43" t="s">
        <v>106</v>
      </c>
      <c r="F34" s="43" t="s">
        <v>422</v>
      </c>
      <c r="G34" s="43" t="s">
        <v>380</v>
      </c>
      <c r="H34" s="43">
        <v>60</v>
      </c>
      <c r="I34" s="43">
        <v>-33.314599999999999</v>
      </c>
      <c r="J34" s="28">
        <v>-2.7039999999999999E-7</v>
      </c>
      <c r="K34" s="43" t="s">
        <v>910</v>
      </c>
      <c r="L34" s="43" t="s">
        <v>65</v>
      </c>
      <c r="N34" s="43" t="s">
        <v>131</v>
      </c>
      <c r="O34" s="43">
        <v>238</v>
      </c>
      <c r="P34" s="43" t="s">
        <v>421</v>
      </c>
      <c r="Q34" s="43" t="s">
        <v>376</v>
      </c>
      <c r="R34" s="43" t="s">
        <v>422</v>
      </c>
      <c r="S34" s="43" t="s">
        <v>380</v>
      </c>
      <c r="T34" s="43">
        <v>10</v>
      </c>
      <c r="U34" s="43">
        <v>-33.290399999999998</v>
      </c>
      <c r="V34" s="28">
        <v>-2.7020000000000002E-7</v>
      </c>
      <c r="W34" s="43" t="s">
        <v>910</v>
      </c>
      <c r="X34" s="43" t="s">
        <v>65</v>
      </c>
    </row>
    <row r="35" spans="2:24" x14ac:dyDescent="0.2">
      <c r="B35" s="43" t="s">
        <v>131</v>
      </c>
      <c r="C35" s="43">
        <v>238</v>
      </c>
      <c r="D35" s="43" t="s">
        <v>421</v>
      </c>
      <c r="E35" s="43" t="s">
        <v>106</v>
      </c>
      <c r="F35" s="43" t="s">
        <v>423</v>
      </c>
      <c r="G35" s="43" t="s">
        <v>382</v>
      </c>
      <c r="H35" s="43">
        <v>60</v>
      </c>
      <c r="I35" s="43">
        <v>-1.5004999999999999</v>
      </c>
      <c r="J35" s="28">
        <v>-1.2180000000000001E-8</v>
      </c>
      <c r="K35" s="43" t="s">
        <v>910</v>
      </c>
      <c r="L35" s="43" t="s">
        <v>65</v>
      </c>
      <c r="N35" s="43" t="s">
        <v>131</v>
      </c>
      <c r="O35" s="43">
        <v>238</v>
      </c>
      <c r="P35" s="43" t="s">
        <v>421</v>
      </c>
      <c r="Q35" s="43" t="s">
        <v>376</v>
      </c>
      <c r="R35" s="43" t="s">
        <v>423</v>
      </c>
      <c r="S35" s="43" t="s">
        <v>382</v>
      </c>
      <c r="T35" s="43">
        <v>10</v>
      </c>
      <c r="U35" s="43">
        <v>-1.5259</v>
      </c>
      <c r="V35" s="28">
        <v>-1.2380000000000001E-8</v>
      </c>
      <c r="W35" s="43" t="s">
        <v>910</v>
      </c>
      <c r="X35" s="43" t="s">
        <v>65</v>
      </c>
    </row>
    <row r="36" spans="2:24" x14ac:dyDescent="0.2">
      <c r="B36" s="43" t="s">
        <v>131</v>
      </c>
      <c r="C36" s="43">
        <v>212</v>
      </c>
      <c r="D36" s="43" t="s">
        <v>424</v>
      </c>
      <c r="E36" s="43" t="s">
        <v>106</v>
      </c>
      <c r="F36" s="43" t="s">
        <v>425</v>
      </c>
      <c r="G36" s="43" t="s">
        <v>380</v>
      </c>
      <c r="H36" s="43">
        <v>60</v>
      </c>
      <c r="I36" s="43">
        <v>-31.465299999999999</v>
      </c>
      <c r="J36" s="28">
        <v>-3.0670000000000001E-7</v>
      </c>
      <c r="K36" s="43" t="s">
        <v>910</v>
      </c>
      <c r="L36" s="43" t="s">
        <v>65</v>
      </c>
      <c r="N36" s="43" t="s">
        <v>131</v>
      </c>
      <c r="O36" s="43">
        <v>212</v>
      </c>
      <c r="P36" s="43" t="s">
        <v>424</v>
      </c>
      <c r="Q36" s="43" t="s">
        <v>376</v>
      </c>
      <c r="R36" s="43" t="s">
        <v>425</v>
      </c>
      <c r="S36" s="43" t="s">
        <v>380</v>
      </c>
      <c r="T36" s="43">
        <v>10</v>
      </c>
      <c r="U36" s="43">
        <v>-31.604299999999999</v>
      </c>
      <c r="V36" s="28">
        <v>-3.0810000000000001E-7</v>
      </c>
      <c r="W36" s="43" t="s">
        <v>910</v>
      </c>
      <c r="X36" s="43" t="s">
        <v>65</v>
      </c>
    </row>
    <row r="37" spans="2:24" x14ac:dyDescent="0.2">
      <c r="B37" s="43" t="s">
        <v>131</v>
      </c>
      <c r="C37" s="43">
        <v>212</v>
      </c>
      <c r="D37" s="43" t="s">
        <v>424</v>
      </c>
      <c r="E37" s="43" t="s">
        <v>106</v>
      </c>
      <c r="F37" s="43" t="s">
        <v>426</v>
      </c>
      <c r="G37" s="43" t="s">
        <v>382</v>
      </c>
      <c r="H37" s="43">
        <v>60</v>
      </c>
      <c r="I37" s="43">
        <v>-31.386299999999999</v>
      </c>
      <c r="J37" s="28">
        <v>-3.0590000000000001E-7</v>
      </c>
      <c r="K37" s="43" t="s">
        <v>910</v>
      </c>
      <c r="L37" s="43" t="s">
        <v>65</v>
      </c>
      <c r="N37" s="43" t="s">
        <v>131</v>
      </c>
      <c r="O37" s="43">
        <v>212</v>
      </c>
      <c r="P37" s="43" t="s">
        <v>424</v>
      </c>
      <c r="Q37" s="43" t="s">
        <v>376</v>
      </c>
      <c r="R37" s="43" t="s">
        <v>426</v>
      </c>
      <c r="S37" s="43" t="s">
        <v>382</v>
      </c>
      <c r="T37" s="43">
        <v>10</v>
      </c>
      <c r="U37" s="43">
        <v>-31.242699999999999</v>
      </c>
      <c r="V37" s="28">
        <v>-3.0450000000000001E-7</v>
      </c>
      <c r="W37" s="43" t="s">
        <v>910</v>
      </c>
      <c r="X37" s="43" t="s">
        <v>65</v>
      </c>
    </row>
    <row r="38" spans="2:24" x14ac:dyDescent="0.2">
      <c r="B38" s="43" t="s">
        <v>131</v>
      </c>
      <c r="C38" s="43">
        <v>215</v>
      </c>
      <c r="D38" s="43" t="s">
        <v>427</v>
      </c>
      <c r="E38" s="43" t="s">
        <v>106</v>
      </c>
      <c r="F38" s="43" t="s">
        <v>428</v>
      </c>
      <c r="G38" s="43" t="s">
        <v>380</v>
      </c>
      <c r="H38" s="43">
        <v>60</v>
      </c>
      <c r="I38" s="43">
        <v>-60.572099999999999</v>
      </c>
      <c r="J38" s="28">
        <v>-4.9429999999999997E-7</v>
      </c>
      <c r="K38" s="43" t="s">
        <v>910</v>
      </c>
      <c r="L38" s="43" t="s">
        <v>65</v>
      </c>
      <c r="N38" s="43" t="s">
        <v>131</v>
      </c>
      <c r="O38" s="43">
        <v>215</v>
      </c>
      <c r="P38" s="43" t="s">
        <v>427</v>
      </c>
      <c r="Q38" s="43" t="s">
        <v>376</v>
      </c>
      <c r="R38" s="43" t="s">
        <v>428</v>
      </c>
      <c r="S38" s="43" t="s">
        <v>380</v>
      </c>
      <c r="T38" s="43">
        <v>10</v>
      </c>
      <c r="U38" s="43">
        <v>-60.721899999999998</v>
      </c>
      <c r="V38" s="28">
        <v>-4.9559999999999996E-7</v>
      </c>
      <c r="W38" s="43" t="s">
        <v>910</v>
      </c>
      <c r="X38" s="43" t="s">
        <v>65</v>
      </c>
    </row>
    <row r="39" spans="2:24" x14ac:dyDescent="0.2">
      <c r="B39" s="43" t="s">
        <v>131</v>
      </c>
      <c r="C39" s="43">
        <v>215</v>
      </c>
      <c r="D39" s="43" t="s">
        <v>427</v>
      </c>
      <c r="E39" s="43" t="s">
        <v>106</v>
      </c>
      <c r="F39" s="43" t="s">
        <v>429</v>
      </c>
      <c r="G39" s="43" t="s">
        <v>382</v>
      </c>
      <c r="H39" s="43">
        <v>60</v>
      </c>
      <c r="I39" s="43">
        <v>-60.525700000000001</v>
      </c>
      <c r="J39" s="28">
        <v>-4.9399999999999995E-7</v>
      </c>
      <c r="K39" s="43" t="s">
        <v>910</v>
      </c>
      <c r="L39" s="43" t="s">
        <v>65</v>
      </c>
      <c r="N39" s="43" t="s">
        <v>131</v>
      </c>
      <c r="O39" s="43">
        <v>215</v>
      </c>
      <c r="P39" s="43" t="s">
        <v>427</v>
      </c>
      <c r="Q39" s="43" t="s">
        <v>376</v>
      </c>
      <c r="R39" s="43" t="s">
        <v>429</v>
      </c>
      <c r="S39" s="43" t="s">
        <v>382</v>
      </c>
      <c r="T39" s="43">
        <v>10</v>
      </c>
      <c r="U39" s="43">
        <v>-60.376300000000001</v>
      </c>
      <c r="V39" s="28">
        <v>-4.9269999999999996E-7</v>
      </c>
      <c r="W39" s="43" t="s">
        <v>910</v>
      </c>
      <c r="X39" s="43" t="s">
        <v>65</v>
      </c>
    </row>
    <row r="40" spans="2:24" x14ac:dyDescent="0.2">
      <c r="B40" s="43" t="s">
        <v>131</v>
      </c>
      <c r="C40" s="43">
        <v>218</v>
      </c>
      <c r="D40" s="43" t="s">
        <v>430</v>
      </c>
      <c r="E40" s="43" t="s">
        <v>106</v>
      </c>
      <c r="F40" s="43" t="s">
        <v>431</v>
      </c>
      <c r="G40" s="43" t="s">
        <v>380</v>
      </c>
      <c r="H40" s="43">
        <v>60</v>
      </c>
      <c r="I40" s="43">
        <v>-48.252600000000001</v>
      </c>
      <c r="J40" s="28">
        <v>-3.6619999999999998E-7</v>
      </c>
      <c r="K40" s="43" t="s">
        <v>910</v>
      </c>
      <c r="L40" s="43" t="s">
        <v>65</v>
      </c>
      <c r="N40" s="43" t="s">
        <v>131</v>
      </c>
      <c r="O40" s="43">
        <v>218</v>
      </c>
      <c r="P40" s="43" t="s">
        <v>430</v>
      </c>
      <c r="Q40" s="43" t="s">
        <v>376</v>
      </c>
      <c r="R40" s="43" t="s">
        <v>431</v>
      </c>
      <c r="S40" s="43" t="s">
        <v>380</v>
      </c>
      <c r="T40" s="43">
        <v>10</v>
      </c>
      <c r="U40" s="43">
        <v>-48.430199999999999</v>
      </c>
      <c r="V40" s="28">
        <v>-3.6749999999999998E-7</v>
      </c>
      <c r="W40" s="43" t="s">
        <v>910</v>
      </c>
      <c r="X40" s="43" t="s">
        <v>65</v>
      </c>
    </row>
    <row r="41" spans="2:24" x14ac:dyDescent="0.2">
      <c r="B41" s="43" t="s">
        <v>131</v>
      </c>
      <c r="C41" s="43">
        <v>218</v>
      </c>
      <c r="D41" s="43" t="s">
        <v>430</v>
      </c>
      <c r="E41" s="43" t="s">
        <v>106</v>
      </c>
      <c r="F41" s="43" t="s">
        <v>432</v>
      </c>
      <c r="G41" s="43" t="s">
        <v>382</v>
      </c>
      <c r="H41" s="43">
        <v>60</v>
      </c>
      <c r="I41" s="43">
        <v>-48.2393</v>
      </c>
      <c r="J41" s="28">
        <v>-3.6609999999999998E-7</v>
      </c>
      <c r="K41" s="43" t="s">
        <v>910</v>
      </c>
      <c r="L41" s="43" t="s">
        <v>65</v>
      </c>
      <c r="N41" s="43" t="s">
        <v>131</v>
      </c>
      <c r="O41" s="43">
        <v>218</v>
      </c>
      <c r="P41" s="43" t="s">
        <v>430</v>
      </c>
      <c r="Q41" s="43" t="s">
        <v>376</v>
      </c>
      <c r="R41" s="43" t="s">
        <v>432</v>
      </c>
      <c r="S41" s="43" t="s">
        <v>382</v>
      </c>
      <c r="T41" s="43">
        <v>10</v>
      </c>
      <c r="U41" s="43">
        <v>-48.062199999999997</v>
      </c>
      <c r="V41" s="28">
        <v>-3.6469999999999998E-7</v>
      </c>
      <c r="W41" s="43" t="s">
        <v>910</v>
      </c>
      <c r="X41" s="43" t="s">
        <v>65</v>
      </c>
    </row>
    <row r="42" spans="2:24" x14ac:dyDescent="0.2">
      <c r="B42" s="43" t="s">
        <v>131</v>
      </c>
      <c r="C42" s="43">
        <v>221</v>
      </c>
      <c r="D42" s="43" t="s">
        <v>433</v>
      </c>
      <c r="E42" s="43" t="s">
        <v>106</v>
      </c>
      <c r="F42" s="43" t="s">
        <v>434</v>
      </c>
      <c r="G42" s="43" t="s">
        <v>380</v>
      </c>
      <c r="H42" s="43">
        <v>60</v>
      </c>
      <c r="I42" s="43">
        <v>-48.706400000000002</v>
      </c>
      <c r="J42" s="28">
        <v>-3.6959999999999997E-7</v>
      </c>
      <c r="K42" s="43" t="s">
        <v>910</v>
      </c>
      <c r="L42" s="43" t="s">
        <v>65</v>
      </c>
      <c r="N42" s="43" t="s">
        <v>131</v>
      </c>
      <c r="O42" s="43">
        <v>221</v>
      </c>
      <c r="P42" s="43" t="s">
        <v>433</v>
      </c>
      <c r="Q42" s="43" t="s">
        <v>376</v>
      </c>
      <c r="R42" s="43" t="s">
        <v>434</v>
      </c>
      <c r="S42" s="43" t="s">
        <v>380</v>
      </c>
      <c r="T42" s="43">
        <v>10</v>
      </c>
      <c r="U42" s="43">
        <v>-48.883400000000002</v>
      </c>
      <c r="V42" s="28">
        <v>-3.7090000000000002E-7</v>
      </c>
      <c r="W42" s="43" t="s">
        <v>910</v>
      </c>
      <c r="X42" s="43" t="s">
        <v>65</v>
      </c>
    </row>
    <row r="43" spans="2:24" x14ac:dyDescent="0.2">
      <c r="B43" s="43" t="s">
        <v>131</v>
      </c>
      <c r="C43" s="43">
        <v>221</v>
      </c>
      <c r="D43" s="43" t="s">
        <v>433</v>
      </c>
      <c r="E43" s="43" t="s">
        <v>106</v>
      </c>
      <c r="F43" s="43" t="s">
        <v>435</v>
      </c>
      <c r="G43" s="43" t="s">
        <v>382</v>
      </c>
      <c r="H43" s="43">
        <v>60</v>
      </c>
      <c r="I43" s="43">
        <v>-48.755699999999997</v>
      </c>
      <c r="J43" s="28">
        <v>-3.7E-7</v>
      </c>
      <c r="K43" s="43" t="s">
        <v>910</v>
      </c>
      <c r="L43" s="43" t="s">
        <v>65</v>
      </c>
      <c r="N43" s="43" t="s">
        <v>131</v>
      </c>
      <c r="O43" s="43">
        <v>221</v>
      </c>
      <c r="P43" s="43" t="s">
        <v>433</v>
      </c>
      <c r="Q43" s="43" t="s">
        <v>376</v>
      </c>
      <c r="R43" s="43" t="s">
        <v>435</v>
      </c>
      <c r="S43" s="43" t="s">
        <v>382</v>
      </c>
      <c r="T43" s="43">
        <v>10</v>
      </c>
      <c r="U43" s="43">
        <v>-48.5779</v>
      </c>
      <c r="V43" s="28">
        <v>-3.6860000000000001E-7</v>
      </c>
      <c r="W43" s="43" t="s">
        <v>910</v>
      </c>
      <c r="X43" s="43" t="s">
        <v>65</v>
      </c>
    </row>
    <row r="44" spans="2:24" x14ac:dyDescent="0.2">
      <c r="B44" s="43" t="s">
        <v>131</v>
      </c>
      <c r="C44" s="43">
        <v>224</v>
      </c>
      <c r="D44" s="43" t="s">
        <v>436</v>
      </c>
      <c r="E44" s="43" t="s">
        <v>106</v>
      </c>
      <c r="F44" s="43" t="s">
        <v>437</v>
      </c>
      <c r="G44" s="43" t="s">
        <v>380</v>
      </c>
      <c r="H44" s="43">
        <v>60</v>
      </c>
      <c r="I44" s="43">
        <v>-59.8932</v>
      </c>
      <c r="J44" s="28">
        <v>-4.8879999999999998E-7</v>
      </c>
      <c r="K44" s="43" t="s">
        <v>910</v>
      </c>
      <c r="L44" s="43" t="s">
        <v>65</v>
      </c>
      <c r="N44" s="43" t="s">
        <v>131</v>
      </c>
      <c r="O44" s="43">
        <v>224</v>
      </c>
      <c r="P44" s="43" t="s">
        <v>436</v>
      </c>
      <c r="Q44" s="43" t="s">
        <v>376</v>
      </c>
      <c r="R44" s="43" t="s">
        <v>437</v>
      </c>
      <c r="S44" s="43" t="s">
        <v>380</v>
      </c>
      <c r="T44" s="43">
        <v>10</v>
      </c>
      <c r="U44" s="43">
        <v>-60.043199999999999</v>
      </c>
      <c r="V44" s="28">
        <v>-4.8999999999999997E-7</v>
      </c>
      <c r="W44" s="43" t="s">
        <v>910</v>
      </c>
      <c r="X44" s="43" t="s">
        <v>65</v>
      </c>
    </row>
    <row r="45" spans="2:24" x14ac:dyDescent="0.2">
      <c r="B45" s="43" t="s">
        <v>131</v>
      </c>
      <c r="C45" s="43">
        <v>224</v>
      </c>
      <c r="D45" s="43" t="s">
        <v>436</v>
      </c>
      <c r="E45" s="43" t="s">
        <v>106</v>
      </c>
      <c r="F45" s="43" t="s">
        <v>438</v>
      </c>
      <c r="G45" s="43" t="s">
        <v>382</v>
      </c>
      <c r="H45" s="43">
        <v>60</v>
      </c>
      <c r="I45" s="43">
        <v>-60.620699999999999</v>
      </c>
      <c r="J45" s="28">
        <v>-4.947E-7</v>
      </c>
      <c r="K45" s="43" t="s">
        <v>910</v>
      </c>
      <c r="L45" s="43" t="s">
        <v>65</v>
      </c>
      <c r="N45" s="43" t="s">
        <v>131</v>
      </c>
      <c r="O45" s="43">
        <v>224</v>
      </c>
      <c r="P45" s="43" t="s">
        <v>436</v>
      </c>
      <c r="Q45" s="43" t="s">
        <v>376</v>
      </c>
      <c r="R45" s="43" t="s">
        <v>438</v>
      </c>
      <c r="S45" s="43" t="s">
        <v>382</v>
      </c>
      <c r="T45" s="43">
        <v>10</v>
      </c>
      <c r="U45" s="43">
        <v>-60.4711</v>
      </c>
      <c r="V45" s="28">
        <v>-4.9350000000000002E-7</v>
      </c>
      <c r="W45" s="43" t="s">
        <v>910</v>
      </c>
      <c r="X45" s="43" t="s">
        <v>65</v>
      </c>
    </row>
    <row r="46" spans="2:24" x14ac:dyDescent="0.2">
      <c r="B46" s="43" t="s">
        <v>131</v>
      </c>
      <c r="C46" s="43">
        <v>227</v>
      </c>
      <c r="D46" s="43" t="s">
        <v>439</v>
      </c>
      <c r="E46" s="43" t="s">
        <v>106</v>
      </c>
      <c r="F46" s="43" t="s">
        <v>440</v>
      </c>
      <c r="G46" s="43" t="s">
        <v>380</v>
      </c>
      <c r="H46" s="43">
        <v>60</v>
      </c>
      <c r="I46" s="43">
        <v>-28.1403</v>
      </c>
      <c r="J46" s="28">
        <v>-2.7430000000000001E-7</v>
      </c>
      <c r="K46" s="43" t="s">
        <v>910</v>
      </c>
      <c r="L46" s="43" t="s">
        <v>65</v>
      </c>
      <c r="N46" s="43" t="s">
        <v>131</v>
      </c>
      <c r="O46" s="43">
        <v>227</v>
      </c>
      <c r="P46" s="43" t="s">
        <v>439</v>
      </c>
      <c r="Q46" s="43" t="s">
        <v>376</v>
      </c>
      <c r="R46" s="43" t="s">
        <v>440</v>
      </c>
      <c r="S46" s="43" t="s">
        <v>380</v>
      </c>
      <c r="T46" s="43">
        <v>10</v>
      </c>
      <c r="U46" s="43">
        <v>-28.284600000000001</v>
      </c>
      <c r="V46" s="28">
        <v>-2.7570000000000001E-7</v>
      </c>
      <c r="W46" s="43" t="s">
        <v>910</v>
      </c>
      <c r="X46" s="43" t="s">
        <v>65</v>
      </c>
    </row>
    <row r="47" spans="2:24" x14ac:dyDescent="0.2">
      <c r="B47" s="43" t="s">
        <v>131</v>
      </c>
      <c r="C47" s="43">
        <v>227</v>
      </c>
      <c r="D47" s="43" t="s">
        <v>439</v>
      </c>
      <c r="E47" s="43" t="s">
        <v>106</v>
      </c>
      <c r="F47" s="43" t="s">
        <v>441</v>
      </c>
      <c r="G47" s="43" t="s">
        <v>382</v>
      </c>
      <c r="H47" s="43">
        <v>60</v>
      </c>
      <c r="I47" s="43">
        <v>-28.418199999999999</v>
      </c>
      <c r="J47" s="28">
        <v>-2.7700000000000001E-7</v>
      </c>
      <c r="K47" s="43" t="s">
        <v>910</v>
      </c>
      <c r="L47" s="43" t="s">
        <v>65</v>
      </c>
      <c r="N47" s="43" t="s">
        <v>131</v>
      </c>
      <c r="O47" s="43">
        <v>227</v>
      </c>
      <c r="P47" s="43" t="s">
        <v>439</v>
      </c>
      <c r="Q47" s="43" t="s">
        <v>376</v>
      </c>
      <c r="R47" s="43" t="s">
        <v>441</v>
      </c>
      <c r="S47" s="43" t="s">
        <v>382</v>
      </c>
      <c r="T47" s="43">
        <v>10</v>
      </c>
      <c r="U47" s="43">
        <v>-28.278400000000001</v>
      </c>
      <c r="V47" s="28">
        <v>-2.7560000000000001E-7</v>
      </c>
      <c r="W47" s="43" t="s">
        <v>910</v>
      </c>
      <c r="X47" s="43" t="s">
        <v>65</v>
      </c>
    </row>
    <row r="48" spans="2:24" x14ac:dyDescent="0.2">
      <c r="B48" s="43" t="s">
        <v>131</v>
      </c>
      <c r="C48" s="43">
        <v>239</v>
      </c>
      <c r="D48" s="43" t="s">
        <v>442</v>
      </c>
      <c r="E48" s="43" t="s">
        <v>106</v>
      </c>
      <c r="F48" s="43" t="s">
        <v>443</v>
      </c>
      <c r="G48" s="43" t="s">
        <v>380</v>
      </c>
      <c r="H48" s="43">
        <v>60</v>
      </c>
      <c r="I48" s="43">
        <v>-37.463000000000001</v>
      </c>
      <c r="J48" s="28">
        <v>-3.0400000000000002E-7</v>
      </c>
      <c r="K48" s="43" t="s">
        <v>910</v>
      </c>
      <c r="L48" s="43" t="s">
        <v>65</v>
      </c>
      <c r="N48" s="43" t="s">
        <v>131</v>
      </c>
      <c r="O48" s="43">
        <v>239</v>
      </c>
      <c r="P48" s="43" t="s">
        <v>442</v>
      </c>
      <c r="Q48" s="43" t="s">
        <v>376</v>
      </c>
      <c r="R48" s="43" t="s">
        <v>443</v>
      </c>
      <c r="S48" s="43" t="s">
        <v>380</v>
      </c>
      <c r="T48" s="43">
        <v>10</v>
      </c>
      <c r="U48" s="43">
        <v>-37.437199999999997</v>
      </c>
      <c r="V48" s="28">
        <v>-3.0380000000000001E-7</v>
      </c>
      <c r="W48" s="43" t="s">
        <v>910</v>
      </c>
      <c r="X48" s="43" t="s">
        <v>65</v>
      </c>
    </row>
    <row r="49" spans="2:24" x14ac:dyDescent="0.2">
      <c r="B49" s="43" t="s">
        <v>131</v>
      </c>
      <c r="C49" s="43">
        <v>239</v>
      </c>
      <c r="D49" s="43" t="s">
        <v>442</v>
      </c>
      <c r="E49" s="43" t="s">
        <v>106</v>
      </c>
      <c r="F49" s="43" t="s">
        <v>444</v>
      </c>
      <c r="G49" s="43" t="s">
        <v>382</v>
      </c>
      <c r="H49" s="43">
        <v>60</v>
      </c>
      <c r="I49" s="43">
        <v>0.16320000000000001</v>
      </c>
      <c r="J49" s="28">
        <v>1.324E-9</v>
      </c>
      <c r="K49" s="43" t="s">
        <v>910</v>
      </c>
      <c r="L49" s="43" t="s">
        <v>65</v>
      </c>
      <c r="N49" s="43" t="s">
        <v>131</v>
      </c>
      <c r="O49" s="43">
        <v>239</v>
      </c>
      <c r="P49" s="43" t="s">
        <v>442</v>
      </c>
      <c r="Q49" s="43" t="s">
        <v>376</v>
      </c>
      <c r="R49" s="43" t="s">
        <v>444</v>
      </c>
      <c r="S49" s="43" t="s">
        <v>382</v>
      </c>
      <c r="T49" s="43">
        <v>10</v>
      </c>
      <c r="U49" s="43">
        <v>0.1381</v>
      </c>
      <c r="V49" s="28">
        <v>1.121E-9</v>
      </c>
      <c r="W49" s="43" t="s">
        <v>910</v>
      </c>
      <c r="X49" s="43" t="s">
        <v>65</v>
      </c>
    </row>
    <row r="50" spans="2:24" x14ac:dyDescent="0.2">
      <c r="B50" s="43" t="s">
        <v>131</v>
      </c>
      <c r="C50" s="43">
        <v>240</v>
      </c>
      <c r="D50" s="43" t="s">
        <v>445</v>
      </c>
      <c r="E50" s="43" t="s">
        <v>106</v>
      </c>
      <c r="F50" s="43" t="s">
        <v>446</v>
      </c>
      <c r="G50" s="43" t="s">
        <v>380</v>
      </c>
      <c r="H50" s="43">
        <v>60</v>
      </c>
      <c r="I50" s="43">
        <v>-34.872100000000003</v>
      </c>
      <c r="J50" s="28">
        <v>-2.6039999999999998E-7</v>
      </c>
      <c r="K50" s="43" t="s">
        <v>910</v>
      </c>
      <c r="L50" s="43" t="s">
        <v>65</v>
      </c>
      <c r="N50" s="43" t="s">
        <v>131</v>
      </c>
      <c r="O50" s="43">
        <v>240</v>
      </c>
      <c r="P50" s="43" t="s">
        <v>445</v>
      </c>
      <c r="Q50" s="43" t="s">
        <v>376</v>
      </c>
      <c r="R50" s="43" t="s">
        <v>446</v>
      </c>
      <c r="S50" s="43" t="s">
        <v>380</v>
      </c>
      <c r="T50" s="43">
        <v>10</v>
      </c>
      <c r="U50" s="43">
        <v>-34.846600000000002</v>
      </c>
      <c r="V50" s="28">
        <v>-2.6020000000000001E-7</v>
      </c>
      <c r="W50" s="43" t="s">
        <v>910</v>
      </c>
      <c r="X50" s="43" t="s">
        <v>65</v>
      </c>
    </row>
    <row r="51" spans="2:24" x14ac:dyDescent="0.2">
      <c r="B51" s="43" t="s">
        <v>131</v>
      </c>
      <c r="C51" s="43">
        <v>240</v>
      </c>
      <c r="D51" s="43" t="s">
        <v>445</v>
      </c>
      <c r="E51" s="43" t="s">
        <v>106</v>
      </c>
      <c r="F51" s="43" t="s">
        <v>447</v>
      </c>
      <c r="G51" s="43" t="s">
        <v>382</v>
      </c>
      <c r="H51" s="43">
        <v>60</v>
      </c>
      <c r="I51" s="43">
        <v>-7.4673999999999996</v>
      </c>
      <c r="J51" s="28">
        <v>-5.5759999999999998E-8</v>
      </c>
      <c r="K51" s="43" t="s">
        <v>910</v>
      </c>
      <c r="L51" s="43" t="s">
        <v>65</v>
      </c>
      <c r="N51" s="43" t="s">
        <v>131</v>
      </c>
      <c r="O51" s="43">
        <v>240</v>
      </c>
      <c r="P51" s="43" t="s">
        <v>445</v>
      </c>
      <c r="Q51" s="43" t="s">
        <v>376</v>
      </c>
      <c r="R51" s="43" t="s">
        <v>447</v>
      </c>
      <c r="S51" s="43" t="s">
        <v>382</v>
      </c>
      <c r="T51" s="43">
        <v>10</v>
      </c>
      <c r="U51" s="43">
        <v>-7.4913999999999996</v>
      </c>
      <c r="V51" s="28">
        <v>-5.5940000000000003E-8</v>
      </c>
      <c r="W51" s="43" t="s">
        <v>910</v>
      </c>
      <c r="X51" s="43" t="s">
        <v>65</v>
      </c>
    </row>
    <row r="52" spans="2:24" x14ac:dyDescent="0.2">
      <c r="B52" s="43" t="s">
        <v>131</v>
      </c>
      <c r="C52" s="43">
        <v>241</v>
      </c>
      <c r="D52" s="43" t="s">
        <v>445</v>
      </c>
      <c r="E52" s="43" t="s">
        <v>106</v>
      </c>
      <c r="F52" s="43" t="s">
        <v>448</v>
      </c>
      <c r="G52" s="43" t="s">
        <v>380</v>
      </c>
      <c r="H52" s="43">
        <v>60</v>
      </c>
      <c r="I52" s="43">
        <v>-40.473199999999999</v>
      </c>
      <c r="J52" s="28">
        <v>-3.1950000000000002E-7</v>
      </c>
      <c r="K52" s="43" t="s">
        <v>910</v>
      </c>
      <c r="L52" s="43" t="s">
        <v>65</v>
      </c>
      <c r="N52" s="43" t="s">
        <v>131</v>
      </c>
      <c r="O52" s="43">
        <v>241</v>
      </c>
      <c r="P52" s="43" t="s">
        <v>445</v>
      </c>
      <c r="Q52" s="43" t="s">
        <v>376</v>
      </c>
      <c r="R52" s="43" t="s">
        <v>448</v>
      </c>
      <c r="S52" s="43" t="s">
        <v>380</v>
      </c>
      <c r="T52" s="43">
        <v>10</v>
      </c>
      <c r="U52" s="43">
        <v>-40.451000000000001</v>
      </c>
      <c r="V52" s="28">
        <v>-3.1930000000000001E-7</v>
      </c>
      <c r="W52" s="43" t="s">
        <v>910</v>
      </c>
      <c r="X52" s="43" t="s">
        <v>65</v>
      </c>
    </row>
    <row r="53" spans="2:24" x14ac:dyDescent="0.2">
      <c r="B53" s="43" t="s">
        <v>131</v>
      </c>
      <c r="C53" s="43">
        <v>241</v>
      </c>
      <c r="D53" s="43" t="s">
        <v>445</v>
      </c>
      <c r="E53" s="43" t="s">
        <v>106</v>
      </c>
      <c r="F53" s="43" t="s">
        <v>449</v>
      </c>
      <c r="G53" s="43" t="s">
        <v>382</v>
      </c>
      <c r="H53" s="43">
        <v>60</v>
      </c>
      <c r="I53" s="43">
        <v>-9.4697999999999993</v>
      </c>
      <c r="J53" s="28">
        <v>-7.4750000000000004E-8</v>
      </c>
      <c r="K53" s="43" t="s">
        <v>910</v>
      </c>
      <c r="L53" s="43" t="s">
        <v>65</v>
      </c>
      <c r="N53" s="43" t="s">
        <v>131</v>
      </c>
      <c r="O53" s="43">
        <v>241</v>
      </c>
      <c r="P53" s="43" t="s">
        <v>445</v>
      </c>
      <c r="Q53" s="43" t="s">
        <v>376</v>
      </c>
      <c r="R53" s="43" t="s">
        <v>449</v>
      </c>
      <c r="S53" s="43" t="s">
        <v>382</v>
      </c>
      <c r="T53" s="43">
        <v>10</v>
      </c>
      <c r="U53" s="43">
        <v>-9.4915000000000003</v>
      </c>
      <c r="V53" s="28">
        <v>-7.4919999999999999E-8</v>
      </c>
      <c r="W53" s="43" t="s">
        <v>910</v>
      </c>
      <c r="X53" s="43" t="s">
        <v>65</v>
      </c>
    </row>
    <row r="54" spans="2:24" x14ac:dyDescent="0.2">
      <c r="B54" s="43" t="s">
        <v>131</v>
      </c>
      <c r="C54" s="43">
        <v>242</v>
      </c>
      <c r="D54" s="43" t="s">
        <v>445</v>
      </c>
      <c r="E54" s="43" t="s">
        <v>106</v>
      </c>
      <c r="F54" s="43" t="s">
        <v>450</v>
      </c>
      <c r="G54" s="43" t="s">
        <v>380</v>
      </c>
      <c r="H54" s="43">
        <v>60</v>
      </c>
      <c r="I54" s="43">
        <v>-42.294499999999999</v>
      </c>
      <c r="J54" s="28">
        <v>-3.1580000000000001E-7</v>
      </c>
      <c r="K54" s="43" t="s">
        <v>910</v>
      </c>
      <c r="L54" s="43" t="s">
        <v>65</v>
      </c>
      <c r="N54" s="43" t="s">
        <v>131</v>
      </c>
      <c r="O54" s="43">
        <v>242</v>
      </c>
      <c r="P54" s="43" t="s">
        <v>445</v>
      </c>
      <c r="Q54" s="43" t="s">
        <v>376</v>
      </c>
      <c r="R54" s="43" t="s">
        <v>450</v>
      </c>
      <c r="S54" s="43" t="s">
        <v>380</v>
      </c>
      <c r="T54" s="43">
        <v>10</v>
      </c>
      <c r="U54" s="43">
        <v>-42.268900000000002</v>
      </c>
      <c r="V54" s="28">
        <v>-3.1559999999999999E-7</v>
      </c>
      <c r="W54" s="43" t="s">
        <v>910</v>
      </c>
      <c r="X54" s="43" t="s">
        <v>65</v>
      </c>
    </row>
    <row r="55" spans="2:24" x14ac:dyDescent="0.2">
      <c r="B55" s="43" t="s">
        <v>131</v>
      </c>
      <c r="C55" s="43">
        <v>242</v>
      </c>
      <c r="D55" s="43" t="s">
        <v>445</v>
      </c>
      <c r="E55" s="43" t="s">
        <v>106</v>
      </c>
      <c r="F55" s="43" t="s">
        <v>451</v>
      </c>
      <c r="G55" s="43" t="s">
        <v>382</v>
      </c>
      <c r="H55" s="43">
        <v>60</v>
      </c>
      <c r="I55" s="43">
        <v>1.5199</v>
      </c>
      <c r="J55" s="28">
        <v>1.1350000000000001E-8</v>
      </c>
      <c r="K55" s="43" t="s">
        <v>910</v>
      </c>
      <c r="L55" s="43" t="s">
        <v>65</v>
      </c>
      <c r="N55" s="43" t="s">
        <v>131</v>
      </c>
      <c r="O55" s="43">
        <v>242</v>
      </c>
      <c r="P55" s="43" t="s">
        <v>445</v>
      </c>
      <c r="Q55" s="43" t="s">
        <v>376</v>
      </c>
      <c r="R55" s="43" t="s">
        <v>451</v>
      </c>
      <c r="S55" s="43" t="s">
        <v>382</v>
      </c>
      <c r="T55" s="43">
        <v>10</v>
      </c>
      <c r="U55" s="43">
        <v>1.4934000000000001</v>
      </c>
      <c r="V55" s="28">
        <v>1.1150000000000001E-8</v>
      </c>
      <c r="W55" s="43" t="s">
        <v>910</v>
      </c>
      <c r="X55" s="43" t="s">
        <v>65</v>
      </c>
    </row>
    <row r="56" spans="2:24" x14ac:dyDescent="0.2">
      <c r="B56" s="43" t="s">
        <v>131</v>
      </c>
      <c r="C56" s="43">
        <v>243</v>
      </c>
      <c r="D56" s="43" t="s">
        <v>452</v>
      </c>
      <c r="E56" s="43" t="s">
        <v>106</v>
      </c>
      <c r="F56" s="43" t="s">
        <v>453</v>
      </c>
      <c r="G56" s="43" t="s">
        <v>380</v>
      </c>
      <c r="H56" s="43">
        <v>60</v>
      </c>
      <c r="I56" s="43">
        <v>-34.024999999999999</v>
      </c>
      <c r="J56" s="28">
        <v>-2.7609999999999999E-7</v>
      </c>
      <c r="K56" s="43" t="s">
        <v>910</v>
      </c>
      <c r="L56" s="43" t="s">
        <v>65</v>
      </c>
      <c r="N56" s="43" t="s">
        <v>131</v>
      </c>
      <c r="O56" s="43">
        <v>243</v>
      </c>
      <c r="P56" s="43" t="s">
        <v>452</v>
      </c>
      <c r="Q56" s="43" t="s">
        <v>376</v>
      </c>
      <c r="R56" s="43" t="s">
        <v>453</v>
      </c>
      <c r="S56" s="43" t="s">
        <v>380</v>
      </c>
      <c r="T56" s="43">
        <v>10</v>
      </c>
      <c r="U56" s="43">
        <v>-34.000500000000002</v>
      </c>
      <c r="V56" s="28">
        <v>-2.7589999999999998E-7</v>
      </c>
      <c r="W56" s="43" t="s">
        <v>910</v>
      </c>
      <c r="X56" s="43" t="s">
        <v>65</v>
      </c>
    </row>
    <row r="57" spans="2:24" x14ac:dyDescent="0.2">
      <c r="B57" s="43" t="s">
        <v>131</v>
      </c>
      <c r="C57" s="43">
        <v>243</v>
      </c>
      <c r="D57" s="43" t="s">
        <v>452</v>
      </c>
      <c r="E57" s="43" t="s">
        <v>106</v>
      </c>
      <c r="F57" s="43" t="s">
        <v>454</v>
      </c>
      <c r="G57" s="43" t="s">
        <v>382</v>
      </c>
      <c r="H57" s="43">
        <v>60</v>
      </c>
      <c r="I57" s="43">
        <v>-2.1295999999999999</v>
      </c>
      <c r="J57" s="28">
        <v>-1.728E-8</v>
      </c>
      <c r="K57" s="43" t="s">
        <v>910</v>
      </c>
      <c r="L57" s="43" t="s">
        <v>65</v>
      </c>
      <c r="N57" s="43" t="s">
        <v>131</v>
      </c>
      <c r="O57" s="43">
        <v>243</v>
      </c>
      <c r="P57" s="43" t="s">
        <v>452</v>
      </c>
      <c r="Q57" s="43" t="s">
        <v>376</v>
      </c>
      <c r="R57" s="43" t="s">
        <v>454</v>
      </c>
      <c r="S57" s="43" t="s">
        <v>382</v>
      </c>
      <c r="T57" s="43">
        <v>10</v>
      </c>
      <c r="U57" s="43">
        <v>-2.1545999999999998</v>
      </c>
      <c r="V57" s="28">
        <v>-1.749E-8</v>
      </c>
      <c r="W57" s="43" t="s">
        <v>910</v>
      </c>
      <c r="X57" s="43" t="s">
        <v>65</v>
      </c>
    </row>
    <row r="58" spans="2:24" x14ac:dyDescent="0.2">
      <c r="B58" s="43" t="s">
        <v>131</v>
      </c>
      <c r="C58" s="43">
        <v>213</v>
      </c>
      <c r="D58" s="43" t="s">
        <v>455</v>
      </c>
      <c r="E58" s="43" t="s">
        <v>106</v>
      </c>
      <c r="F58" s="43" t="s">
        <v>456</v>
      </c>
      <c r="G58" s="43" t="s">
        <v>380</v>
      </c>
      <c r="H58" s="43">
        <v>60</v>
      </c>
      <c r="I58" s="43">
        <v>-34.308999999999997</v>
      </c>
      <c r="J58" s="28">
        <v>-3.7619999999999999E-7</v>
      </c>
      <c r="K58" s="43" t="s">
        <v>910</v>
      </c>
      <c r="L58" s="43" t="s">
        <v>65</v>
      </c>
      <c r="N58" s="43" t="s">
        <v>131</v>
      </c>
      <c r="O58" s="43">
        <v>213</v>
      </c>
      <c r="P58" s="43" t="s">
        <v>455</v>
      </c>
      <c r="Q58" s="43" t="s">
        <v>376</v>
      </c>
      <c r="R58" s="43" t="s">
        <v>456</v>
      </c>
      <c r="S58" s="43" t="s">
        <v>380</v>
      </c>
      <c r="T58" s="43">
        <v>10</v>
      </c>
      <c r="U58" s="43">
        <v>-34.429900000000004</v>
      </c>
      <c r="V58" s="28">
        <v>-3.7749999999999999E-7</v>
      </c>
      <c r="W58" s="43" t="s">
        <v>910</v>
      </c>
      <c r="X58" s="43" t="s">
        <v>65</v>
      </c>
    </row>
    <row r="59" spans="2:24" x14ac:dyDescent="0.2">
      <c r="B59" s="43" t="s">
        <v>131</v>
      </c>
      <c r="C59" s="43">
        <v>213</v>
      </c>
      <c r="D59" s="43" t="s">
        <v>455</v>
      </c>
      <c r="E59" s="43" t="s">
        <v>106</v>
      </c>
      <c r="F59" s="43" t="s">
        <v>457</v>
      </c>
      <c r="G59" s="43" t="s">
        <v>382</v>
      </c>
      <c r="H59" s="43">
        <v>60</v>
      </c>
      <c r="I59" s="43">
        <v>-30.655200000000001</v>
      </c>
      <c r="J59" s="28">
        <v>-3.3620000000000001E-7</v>
      </c>
      <c r="K59" s="43" t="s">
        <v>910</v>
      </c>
      <c r="L59" s="43" t="s">
        <v>65</v>
      </c>
      <c r="N59" s="43" t="s">
        <v>131</v>
      </c>
      <c r="O59" s="43">
        <v>213</v>
      </c>
      <c r="P59" s="43" t="s">
        <v>455</v>
      </c>
      <c r="Q59" s="43" t="s">
        <v>376</v>
      </c>
      <c r="R59" s="43" t="s">
        <v>457</v>
      </c>
      <c r="S59" s="43" t="s">
        <v>382</v>
      </c>
      <c r="T59" s="43">
        <v>10</v>
      </c>
      <c r="U59" s="43">
        <v>-30.536999999999999</v>
      </c>
      <c r="V59" s="28">
        <v>-3.3490000000000001E-7</v>
      </c>
      <c r="W59" s="43" t="s">
        <v>910</v>
      </c>
      <c r="X59" s="43" t="s">
        <v>65</v>
      </c>
    </row>
    <row r="60" spans="2:24" x14ac:dyDescent="0.2">
      <c r="B60" s="43" t="s">
        <v>131</v>
      </c>
      <c r="C60" s="43">
        <v>216</v>
      </c>
      <c r="D60" s="43" t="s">
        <v>458</v>
      </c>
      <c r="E60" s="43" t="s">
        <v>106</v>
      </c>
      <c r="F60" s="43" t="s">
        <v>459</v>
      </c>
      <c r="G60" s="43" t="s">
        <v>380</v>
      </c>
      <c r="H60" s="43">
        <v>60</v>
      </c>
      <c r="I60" s="43">
        <v>-60.494999999999997</v>
      </c>
      <c r="J60" s="28">
        <v>-9.9999999999999995E-7</v>
      </c>
      <c r="K60" s="43" t="s">
        <v>910</v>
      </c>
      <c r="L60" s="43" t="s">
        <v>65</v>
      </c>
      <c r="N60" s="43" t="s">
        <v>131</v>
      </c>
      <c r="O60" s="43">
        <v>216</v>
      </c>
      <c r="P60" s="43" t="s">
        <v>458</v>
      </c>
      <c r="Q60" s="43" t="s">
        <v>376</v>
      </c>
      <c r="R60" s="43" t="s">
        <v>459</v>
      </c>
      <c r="S60" s="43" t="s">
        <v>380</v>
      </c>
      <c r="T60" s="43">
        <v>10</v>
      </c>
      <c r="U60" s="43">
        <v>-60.645099999999999</v>
      </c>
      <c r="V60" s="28">
        <v>-9.9999999999999995E-7</v>
      </c>
      <c r="W60" s="43" t="s">
        <v>910</v>
      </c>
      <c r="X60" s="43" t="s">
        <v>65</v>
      </c>
    </row>
    <row r="61" spans="2:24" x14ac:dyDescent="0.2">
      <c r="B61" s="43" t="s">
        <v>131</v>
      </c>
      <c r="C61" s="43">
        <v>216</v>
      </c>
      <c r="D61" s="43" t="s">
        <v>458</v>
      </c>
      <c r="E61" s="43" t="s">
        <v>106</v>
      </c>
      <c r="F61" s="43" t="s">
        <v>460</v>
      </c>
      <c r="G61" s="43" t="s">
        <v>382</v>
      </c>
      <c r="H61" s="43">
        <v>60</v>
      </c>
      <c r="I61" s="43">
        <v>-47.438400000000001</v>
      </c>
      <c r="J61" s="28">
        <v>-3.9760000000000001E-7</v>
      </c>
      <c r="K61" s="43" t="s">
        <v>910</v>
      </c>
      <c r="L61" s="43" t="s">
        <v>65</v>
      </c>
      <c r="N61" s="43" t="s">
        <v>131</v>
      </c>
      <c r="O61" s="43">
        <v>216</v>
      </c>
      <c r="P61" s="43" t="s">
        <v>458</v>
      </c>
      <c r="Q61" s="43" t="s">
        <v>376</v>
      </c>
      <c r="R61" s="43" t="s">
        <v>460</v>
      </c>
      <c r="S61" s="43" t="s">
        <v>382</v>
      </c>
      <c r="T61" s="43">
        <v>10</v>
      </c>
      <c r="U61" s="43">
        <v>-47.275399999999998</v>
      </c>
      <c r="V61" s="28">
        <v>-3.9620000000000001E-7</v>
      </c>
      <c r="W61" s="43" t="s">
        <v>910</v>
      </c>
      <c r="X61" s="43" t="s">
        <v>65</v>
      </c>
    </row>
    <row r="62" spans="2:24" x14ac:dyDescent="0.2">
      <c r="B62" s="43" t="s">
        <v>131</v>
      </c>
      <c r="C62" s="43">
        <v>219</v>
      </c>
      <c r="D62" s="43" t="s">
        <v>461</v>
      </c>
      <c r="E62" s="43" t="s">
        <v>106</v>
      </c>
      <c r="F62" s="43" t="s">
        <v>462</v>
      </c>
      <c r="G62" s="43" t="s">
        <v>380</v>
      </c>
      <c r="H62" s="43">
        <v>60</v>
      </c>
      <c r="I62" s="43">
        <v>-50.269799999999996</v>
      </c>
      <c r="J62" s="28">
        <v>-4.1829999999999998E-7</v>
      </c>
      <c r="K62" s="43" t="s">
        <v>910</v>
      </c>
      <c r="L62" s="43" t="s">
        <v>65</v>
      </c>
      <c r="N62" s="43" t="s">
        <v>131</v>
      </c>
      <c r="O62" s="43">
        <v>219</v>
      </c>
      <c r="P62" s="43" t="s">
        <v>461</v>
      </c>
      <c r="Q62" s="43" t="s">
        <v>376</v>
      </c>
      <c r="R62" s="43" t="s">
        <v>462</v>
      </c>
      <c r="S62" s="43" t="s">
        <v>380</v>
      </c>
      <c r="T62" s="43">
        <v>10</v>
      </c>
      <c r="U62" s="43">
        <v>-50.4313</v>
      </c>
      <c r="V62" s="28">
        <v>-4.1969999999999998E-7</v>
      </c>
      <c r="W62" s="43" t="s">
        <v>910</v>
      </c>
      <c r="X62" s="43" t="s">
        <v>65</v>
      </c>
    </row>
    <row r="63" spans="2:24" x14ac:dyDescent="0.2">
      <c r="B63" s="43" t="s">
        <v>131</v>
      </c>
      <c r="C63" s="43">
        <v>219</v>
      </c>
      <c r="D63" s="43" t="s">
        <v>461</v>
      </c>
      <c r="E63" s="43" t="s">
        <v>106</v>
      </c>
      <c r="F63" s="43" t="s">
        <v>463</v>
      </c>
      <c r="G63" s="43" t="s">
        <v>382</v>
      </c>
      <c r="H63" s="43">
        <v>60</v>
      </c>
      <c r="I63" s="43">
        <v>-52.123800000000003</v>
      </c>
      <c r="J63" s="28">
        <v>-4.3370000000000003E-7</v>
      </c>
      <c r="K63" s="43" t="s">
        <v>910</v>
      </c>
      <c r="L63" s="43" t="s">
        <v>65</v>
      </c>
      <c r="N63" s="43" t="s">
        <v>131</v>
      </c>
      <c r="O63" s="43">
        <v>219</v>
      </c>
      <c r="P63" s="43" t="s">
        <v>461</v>
      </c>
      <c r="Q63" s="43" t="s">
        <v>376</v>
      </c>
      <c r="R63" s="43" t="s">
        <v>463</v>
      </c>
      <c r="S63" s="43" t="s">
        <v>382</v>
      </c>
      <c r="T63" s="43">
        <v>10</v>
      </c>
      <c r="U63" s="43">
        <v>-51.963200000000001</v>
      </c>
      <c r="V63" s="28">
        <v>-4.3239999999999998E-7</v>
      </c>
      <c r="W63" s="43" t="s">
        <v>910</v>
      </c>
      <c r="X63" s="43" t="s">
        <v>65</v>
      </c>
    </row>
    <row r="64" spans="2:24" x14ac:dyDescent="0.2">
      <c r="B64" s="43" t="s">
        <v>131</v>
      </c>
      <c r="C64" s="43">
        <v>222</v>
      </c>
      <c r="D64" s="43" t="s">
        <v>464</v>
      </c>
      <c r="E64" s="43" t="s">
        <v>106</v>
      </c>
      <c r="F64" s="43" t="s">
        <v>465</v>
      </c>
      <c r="G64" s="43" t="s">
        <v>380</v>
      </c>
      <c r="H64" s="43">
        <v>60</v>
      </c>
      <c r="I64" s="43">
        <v>-50.3538</v>
      </c>
      <c r="J64" s="28">
        <v>-4.1899999999999998E-7</v>
      </c>
      <c r="K64" s="43" t="s">
        <v>910</v>
      </c>
      <c r="L64" s="43" t="s">
        <v>65</v>
      </c>
      <c r="N64" s="43" t="s">
        <v>131</v>
      </c>
      <c r="O64" s="43">
        <v>222</v>
      </c>
      <c r="P64" s="43" t="s">
        <v>464</v>
      </c>
      <c r="Q64" s="43" t="s">
        <v>376</v>
      </c>
      <c r="R64" s="43" t="s">
        <v>465</v>
      </c>
      <c r="S64" s="43" t="s">
        <v>380</v>
      </c>
      <c r="T64" s="43">
        <v>10</v>
      </c>
      <c r="U64" s="43">
        <v>-50.515099999999997</v>
      </c>
      <c r="V64" s="28">
        <v>-4.2039999999999998E-7</v>
      </c>
      <c r="W64" s="43" t="s">
        <v>910</v>
      </c>
      <c r="X64" s="43" t="s">
        <v>65</v>
      </c>
    </row>
    <row r="65" spans="2:24" x14ac:dyDescent="0.2">
      <c r="B65" s="43" t="s">
        <v>131</v>
      </c>
      <c r="C65" s="43">
        <v>222</v>
      </c>
      <c r="D65" s="43" t="s">
        <v>464</v>
      </c>
      <c r="E65" s="43" t="s">
        <v>106</v>
      </c>
      <c r="F65" s="43" t="s">
        <v>466</v>
      </c>
      <c r="G65" s="43" t="s">
        <v>382</v>
      </c>
      <c r="H65" s="43">
        <v>60</v>
      </c>
      <c r="I65" s="43">
        <v>-52.012900000000002</v>
      </c>
      <c r="J65" s="28">
        <v>-4.3280000000000001E-7</v>
      </c>
      <c r="K65" s="43" t="s">
        <v>910</v>
      </c>
      <c r="L65" s="43" t="s">
        <v>65</v>
      </c>
      <c r="N65" s="43" t="s">
        <v>131</v>
      </c>
      <c r="O65" s="43">
        <v>222</v>
      </c>
      <c r="P65" s="43" t="s">
        <v>464</v>
      </c>
      <c r="Q65" s="43" t="s">
        <v>376</v>
      </c>
      <c r="R65" s="43" t="s">
        <v>466</v>
      </c>
      <c r="S65" s="43" t="s">
        <v>382</v>
      </c>
      <c r="T65" s="43">
        <v>10</v>
      </c>
      <c r="U65" s="43">
        <v>-51.8523</v>
      </c>
      <c r="V65" s="28">
        <v>-4.3150000000000002E-7</v>
      </c>
      <c r="W65" s="43" t="s">
        <v>910</v>
      </c>
      <c r="X65" s="43" t="s">
        <v>65</v>
      </c>
    </row>
    <row r="66" spans="2:24" x14ac:dyDescent="0.2">
      <c r="B66" s="43" t="s">
        <v>131</v>
      </c>
      <c r="C66" s="43">
        <v>225</v>
      </c>
      <c r="D66" s="43" t="s">
        <v>467</v>
      </c>
      <c r="E66" s="43" t="s">
        <v>106</v>
      </c>
      <c r="F66" s="43" t="s">
        <v>468</v>
      </c>
      <c r="G66" s="43" t="s">
        <v>380</v>
      </c>
      <c r="H66" s="43">
        <v>60</v>
      </c>
      <c r="I66" s="43">
        <v>-60.1023</v>
      </c>
      <c r="J66" s="28">
        <v>-9.9999999999999995E-7</v>
      </c>
      <c r="K66" s="43" t="s">
        <v>910</v>
      </c>
      <c r="L66" s="43" t="s">
        <v>65</v>
      </c>
      <c r="N66" s="43" t="s">
        <v>131</v>
      </c>
      <c r="O66" s="43">
        <v>225</v>
      </c>
      <c r="P66" s="43" t="s">
        <v>467</v>
      </c>
      <c r="Q66" s="43" t="s">
        <v>376</v>
      </c>
      <c r="R66" s="43" t="s">
        <v>468</v>
      </c>
      <c r="S66" s="43" t="s">
        <v>380</v>
      </c>
      <c r="T66" s="43">
        <v>10</v>
      </c>
      <c r="U66" s="43">
        <v>-60.253100000000003</v>
      </c>
      <c r="V66" s="28">
        <v>-9.9999999999999995E-7</v>
      </c>
      <c r="W66" s="43" t="s">
        <v>910</v>
      </c>
      <c r="X66" s="43" t="s">
        <v>65</v>
      </c>
    </row>
    <row r="67" spans="2:24" x14ac:dyDescent="0.2">
      <c r="B67" s="43" t="s">
        <v>131</v>
      </c>
      <c r="C67" s="43">
        <v>225</v>
      </c>
      <c r="D67" s="43" t="s">
        <v>467</v>
      </c>
      <c r="E67" s="43" t="s">
        <v>106</v>
      </c>
      <c r="F67" s="43" t="s">
        <v>469</v>
      </c>
      <c r="G67" s="43" t="s">
        <v>382</v>
      </c>
      <c r="H67" s="43">
        <v>60</v>
      </c>
      <c r="I67" s="43">
        <v>-47.114699999999999</v>
      </c>
      <c r="J67" s="28">
        <v>-3.9490000000000002E-7</v>
      </c>
      <c r="K67" s="43" t="s">
        <v>910</v>
      </c>
      <c r="L67" s="43" t="s">
        <v>65</v>
      </c>
      <c r="N67" s="43" t="s">
        <v>131</v>
      </c>
      <c r="O67" s="43">
        <v>225</v>
      </c>
      <c r="P67" s="43" t="s">
        <v>467</v>
      </c>
      <c r="Q67" s="43" t="s">
        <v>376</v>
      </c>
      <c r="R67" s="43" t="s">
        <v>469</v>
      </c>
      <c r="S67" s="43" t="s">
        <v>382</v>
      </c>
      <c r="T67" s="43">
        <v>10</v>
      </c>
      <c r="U67" s="43">
        <v>-46.952100000000002</v>
      </c>
      <c r="V67" s="28">
        <v>-3.9350000000000002E-7</v>
      </c>
      <c r="W67" s="43" t="s">
        <v>910</v>
      </c>
      <c r="X67" s="43" t="s">
        <v>65</v>
      </c>
    </row>
    <row r="68" spans="2:24" x14ac:dyDescent="0.2">
      <c r="B68" s="43" t="s">
        <v>131</v>
      </c>
      <c r="C68" s="43">
        <v>228</v>
      </c>
      <c r="D68" s="43" t="s">
        <v>470</v>
      </c>
      <c r="E68" s="43" t="s">
        <v>106</v>
      </c>
      <c r="F68" s="43" t="s">
        <v>471</v>
      </c>
      <c r="G68" s="43" t="s">
        <v>380</v>
      </c>
      <c r="H68" s="43">
        <v>60</v>
      </c>
      <c r="I68" s="43">
        <v>-30.797699999999999</v>
      </c>
      <c r="J68" s="28">
        <v>-3.3770000000000001E-7</v>
      </c>
      <c r="K68" s="43" t="s">
        <v>910</v>
      </c>
      <c r="L68" s="43" t="s">
        <v>65</v>
      </c>
      <c r="N68" s="43" t="s">
        <v>131</v>
      </c>
      <c r="O68" s="43">
        <v>228</v>
      </c>
      <c r="P68" s="43" t="s">
        <v>470</v>
      </c>
      <c r="Q68" s="43" t="s">
        <v>376</v>
      </c>
      <c r="R68" s="43" t="s">
        <v>471</v>
      </c>
      <c r="S68" s="43" t="s">
        <v>380</v>
      </c>
      <c r="T68" s="43">
        <v>10</v>
      </c>
      <c r="U68" s="43">
        <v>-30.923999999999999</v>
      </c>
      <c r="V68" s="28">
        <v>-3.3910000000000001E-7</v>
      </c>
      <c r="W68" s="43" t="s">
        <v>910</v>
      </c>
      <c r="X68" s="43" t="s">
        <v>65</v>
      </c>
    </row>
    <row r="69" spans="2:24" x14ac:dyDescent="0.2">
      <c r="B69" s="43" t="s">
        <v>131</v>
      </c>
      <c r="C69" s="43">
        <v>228</v>
      </c>
      <c r="D69" s="43" t="s">
        <v>470</v>
      </c>
      <c r="E69" s="43" t="s">
        <v>106</v>
      </c>
      <c r="F69" s="43" t="s">
        <v>472</v>
      </c>
      <c r="G69" s="43" t="s">
        <v>382</v>
      </c>
      <c r="H69" s="43">
        <v>60</v>
      </c>
      <c r="I69" s="43">
        <v>-28.5015</v>
      </c>
      <c r="J69" s="28">
        <v>-3.1250000000000003E-7</v>
      </c>
      <c r="K69" s="43" t="s">
        <v>910</v>
      </c>
      <c r="L69" s="43" t="s">
        <v>65</v>
      </c>
      <c r="N69" s="43" t="s">
        <v>131</v>
      </c>
      <c r="O69" s="43">
        <v>228</v>
      </c>
      <c r="P69" s="43" t="s">
        <v>470</v>
      </c>
      <c r="Q69" s="43" t="s">
        <v>376</v>
      </c>
      <c r="R69" s="43" t="s">
        <v>472</v>
      </c>
      <c r="S69" s="43" t="s">
        <v>382</v>
      </c>
      <c r="T69" s="43">
        <v>10</v>
      </c>
      <c r="U69" s="43">
        <v>-28.384399999999999</v>
      </c>
      <c r="V69" s="28">
        <v>-3.1129999999999999E-7</v>
      </c>
      <c r="W69" s="43" t="s">
        <v>910</v>
      </c>
      <c r="X69" s="43" t="s">
        <v>65</v>
      </c>
    </row>
    <row r="70" spans="2:24" x14ac:dyDescent="0.2">
      <c r="B70" s="43" t="s">
        <v>131</v>
      </c>
      <c r="C70" s="43">
        <v>244</v>
      </c>
      <c r="D70" s="43" t="s">
        <v>473</v>
      </c>
      <c r="E70" s="43" t="s">
        <v>106</v>
      </c>
      <c r="F70" s="43" t="s">
        <v>474</v>
      </c>
      <c r="G70" s="43" t="s">
        <v>380</v>
      </c>
      <c r="H70" s="43">
        <v>60</v>
      </c>
      <c r="I70" s="43">
        <v>-21.6081</v>
      </c>
      <c r="J70" s="28">
        <v>-2.4719999999999999E-7</v>
      </c>
      <c r="K70" s="43" t="s">
        <v>910</v>
      </c>
      <c r="L70" s="43" t="s">
        <v>65</v>
      </c>
      <c r="N70" s="43" t="s">
        <v>131</v>
      </c>
      <c r="O70" s="43">
        <v>244</v>
      </c>
      <c r="P70" s="43" t="s">
        <v>473</v>
      </c>
      <c r="Q70" s="43" t="s">
        <v>376</v>
      </c>
      <c r="R70" s="43" t="s">
        <v>474</v>
      </c>
      <c r="S70" s="43" t="s">
        <v>380</v>
      </c>
      <c r="T70" s="43">
        <v>10</v>
      </c>
      <c r="U70" s="43">
        <v>-21.5914</v>
      </c>
      <c r="V70" s="28">
        <v>-2.4699999999999998E-7</v>
      </c>
      <c r="W70" s="43" t="s">
        <v>910</v>
      </c>
      <c r="X70" s="43" t="s">
        <v>65</v>
      </c>
    </row>
    <row r="71" spans="2:24" x14ac:dyDescent="0.2">
      <c r="B71" s="43" t="s">
        <v>131</v>
      </c>
      <c r="C71" s="43">
        <v>244</v>
      </c>
      <c r="D71" s="43" t="s">
        <v>473</v>
      </c>
      <c r="E71" s="43" t="s">
        <v>106</v>
      </c>
      <c r="F71" s="43" t="s">
        <v>475</v>
      </c>
      <c r="G71" s="43" t="s">
        <v>382</v>
      </c>
      <c r="H71" s="43">
        <v>60</v>
      </c>
      <c r="I71" s="43">
        <v>-6.0057999999999998</v>
      </c>
      <c r="J71" s="28">
        <v>-6.87E-8</v>
      </c>
      <c r="K71" s="43" t="s">
        <v>910</v>
      </c>
      <c r="L71" s="43" t="s">
        <v>65</v>
      </c>
      <c r="N71" s="43" t="s">
        <v>131</v>
      </c>
      <c r="O71" s="43">
        <v>244</v>
      </c>
      <c r="P71" s="43" t="s">
        <v>473</v>
      </c>
      <c r="Q71" s="43" t="s">
        <v>376</v>
      </c>
      <c r="R71" s="43" t="s">
        <v>475</v>
      </c>
      <c r="S71" s="43" t="s">
        <v>382</v>
      </c>
      <c r="T71" s="43">
        <v>10</v>
      </c>
      <c r="U71" s="43">
        <v>-6.0189000000000004</v>
      </c>
      <c r="V71" s="28">
        <v>-6.8849999999999998E-8</v>
      </c>
      <c r="W71" s="43" t="s">
        <v>910</v>
      </c>
      <c r="X71" s="43" t="s">
        <v>65</v>
      </c>
    </row>
    <row r="72" spans="2:24" x14ac:dyDescent="0.2">
      <c r="B72" s="43" t="s">
        <v>131</v>
      </c>
      <c r="C72" s="43">
        <v>245</v>
      </c>
      <c r="D72" s="43" t="s">
        <v>476</v>
      </c>
      <c r="E72" s="43" t="s">
        <v>106</v>
      </c>
      <c r="F72" s="43" t="s">
        <v>477</v>
      </c>
      <c r="G72" s="43" t="s">
        <v>380</v>
      </c>
      <c r="H72" s="43">
        <v>60</v>
      </c>
      <c r="I72" s="43">
        <v>-28.892199999999999</v>
      </c>
      <c r="J72" s="28">
        <v>-3.1259999999999998E-7</v>
      </c>
      <c r="K72" s="43" t="s">
        <v>910</v>
      </c>
      <c r="L72" s="43" t="s">
        <v>65</v>
      </c>
      <c r="N72" s="43" t="s">
        <v>131</v>
      </c>
      <c r="O72" s="43">
        <v>245</v>
      </c>
      <c r="P72" s="43" t="s">
        <v>476</v>
      </c>
      <c r="Q72" s="43" t="s">
        <v>376</v>
      </c>
      <c r="R72" s="43" t="s">
        <v>477</v>
      </c>
      <c r="S72" s="43" t="s">
        <v>380</v>
      </c>
      <c r="T72" s="43">
        <v>10</v>
      </c>
      <c r="U72" s="43">
        <v>-28.870100000000001</v>
      </c>
      <c r="V72" s="28">
        <v>-3.1240000000000002E-7</v>
      </c>
      <c r="W72" s="43" t="s">
        <v>910</v>
      </c>
      <c r="X72" s="43" t="s">
        <v>65</v>
      </c>
    </row>
    <row r="73" spans="2:24" x14ac:dyDescent="0.2">
      <c r="B73" s="43" t="s">
        <v>131</v>
      </c>
      <c r="C73" s="43">
        <v>245</v>
      </c>
      <c r="D73" s="43" t="s">
        <v>476</v>
      </c>
      <c r="E73" s="43" t="s">
        <v>106</v>
      </c>
      <c r="F73" s="43" t="s">
        <v>478</v>
      </c>
      <c r="G73" s="43" t="s">
        <v>382</v>
      </c>
      <c r="H73" s="43">
        <v>60</v>
      </c>
      <c r="I73" s="43">
        <v>3.3226</v>
      </c>
      <c r="J73" s="28">
        <v>3.5950000000000001E-8</v>
      </c>
      <c r="K73" s="43" t="s">
        <v>910</v>
      </c>
      <c r="L73" s="43" t="s">
        <v>65</v>
      </c>
      <c r="N73" s="43" t="s">
        <v>131</v>
      </c>
      <c r="O73" s="43">
        <v>245</v>
      </c>
      <c r="P73" s="43" t="s">
        <v>476</v>
      </c>
      <c r="Q73" s="43" t="s">
        <v>376</v>
      </c>
      <c r="R73" s="43" t="s">
        <v>478</v>
      </c>
      <c r="S73" s="43" t="s">
        <v>382</v>
      </c>
      <c r="T73" s="43">
        <v>10</v>
      </c>
      <c r="U73" s="43">
        <v>3.3058000000000001</v>
      </c>
      <c r="V73" s="28">
        <v>3.5770000000000002E-8</v>
      </c>
      <c r="W73" s="43" t="s">
        <v>910</v>
      </c>
      <c r="X73" s="43" t="s">
        <v>65</v>
      </c>
    </row>
    <row r="74" spans="2:24" x14ac:dyDescent="0.2">
      <c r="B74" s="43" t="s">
        <v>131</v>
      </c>
      <c r="C74" s="43">
        <v>246</v>
      </c>
      <c r="D74" s="43" t="s">
        <v>476</v>
      </c>
      <c r="E74" s="43" t="s">
        <v>106</v>
      </c>
      <c r="F74" s="43" t="s">
        <v>479</v>
      </c>
      <c r="G74" s="43" t="s">
        <v>380</v>
      </c>
      <c r="H74" s="43">
        <v>60</v>
      </c>
      <c r="I74" s="43">
        <v>-24.277899999999999</v>
      </c>
      <c r="J74" s="28">
        <v>-2.4769999999999997E-7</v>
      </c>
      <c r="K74" s="43" t="s">
        <v>910</v>
      </c>
      <c r="L74" s="43" t="s">
        <v>65</v>
      </c>
      <c r="N74" s="43" t="s">
        <v>131</v>
      </c>
      <c r="O74" s="43">
        <v>246</v>
      </c>
      <c r="P74" s="43" t="s">
        <v>476</v>
      </c>
      <c r="Q74" s="43" t="s">
        <v>376</v>
      </c>
      <c r="R74" s="43" t="s">
        <v>479</v>
      </c>
      <c r="S74" s="43" t="s">
        <v>380</v>
      </c>
      <c r="T74" s="43">
        <v>10</v>
      </c>
      <c r="U74" s="43">
        <v>-24.2563</v>
      </c>
      <c r="V74" s="28">
        <v>-2.4750000000000001E-7</v>
      </c>
      <c r="W74" s="43" t="s">
        <v>910</v>
      </c>
      <c r="X74" s="43" t="s">
        <v>65</v>
      </c>
    </row>
    <row r="75" spans="2:24" x14ac:dyDescent="0.2">
      <c r="B75" s="43" t="s">
        <v>131</v>
      </c>
      <c r="C75" s="43">
        <v>246</v>
      </c>
      <c r="D75" s="43" t="s">
        <v>476</v>
      </c>
      <c r="E75" s="43" t="s">
        <v>106</v>
      </c>
      <c r="F75" s="43" t="s">
        <v>480</v>
      </c>
      <c r="G75" s="43" t="s">
        <v>382</v>
      </c>
      <c r="H75" s="43">
        <v>60</v>
      </c>
      <c r="I75" s="43">
        <v>4.2233000000000001</v>
      </c>
      <c r="J75" s="28">
        <v>4.3089999999999997E-8</v>
      </c>
      <c r="K75" s="43" t="s">
        <v>910</v>
      </c>
      <c r="L75" s="43" t="s">
        <v>65</v>
      </c>
      <c r="N75" s="43" t="s">
        <v>131</v>
      </c>
      <c r="O75" s="43">
        <v>246</v>
      </c>
      <c r="P75" s="43" t="s">
        <v>476</v>
      </c>
      <c r="Q75" s="43" t="s">
        <v>376</v>
      </c>
      <c r="R75" s="43" t="s">
        <v>480</v>
      </c>
      <c r="S75" s="43" t="s">
        <v>382</v>
      </c>
      <c r="T75" s="43">
        <v>10</v>
      </c>
      <c r="U75" s="43">
        <v>4.2058999999999997</v>
      </c>
      <c r="V75" s="28">
        <v>4.2909999999999998E-8</v>
      </c>
      <c r="W75" s="43" t="s">
        <v>910</v>
      </c>
      <c r="X75" s="43" t="s">
        <v>65</v>
      </c>
    </row>
    <row r="76" spans="2:24" x14ac:dyDescent="0.2">
      <c r="B76" s="43" t="s">
        <v>131</v>
      </c>
      <c r="C76" s="43">
        <v>247</v>
      </c>
      <c r="D76" s="43" t="s">
        <v>476</v>
      </c>
      <c r="E76" s="43" t="s">
        <v>106</v>
      </c>
      <c r="F76" s="43" t="s">
        <v>481</v>
      </c>
      <c r="G76" s="43" t="s">
        <v>380</v>
      </c>
      <c r="H76" s="43">
        <v>60</v>
      </c>
      <c r="I76" s="43">
        <v>-23.592300000000002</v>
      </c>
      <c r="J76" s="28">
        <v>-2.5530000000000002E-7</v>
      </c>
      <c r="K76" s="43" t="s">
        <v>910</v>
      </c>
      <c r="L76" s="43" t="s">
        <v>65</v>
      </c>
      <c r="N76" s="43" t="s">
        <v>131</v>
      </c>
      <c r="O76" s="43">
        <v>247</v>
      </c>
      <c r="P76" s="43" t="s">
        <v>476</v>
      </c>
      <c r="Q76" s="43" t="s">
        <v>376</v>
      </c>
      <c r="R76" s="43" t="s">
        <v>481</v>
      </c>
      <c r="S76" s="43" t="s">
        <v>380</v>
      </c>
      <c r="T76" s="43">
        <v>10</v>
      </c>
      <c r="U76" s="43">
        <v>-23.571999999999999</v>
      </c>
      <c r="V76" s="28">
        <v>-2.551E-7</v>
      </c>
      <c r="W76" s="43" t="s">
        <v>910</v>
      </c>
      <c r="X76" s="43" t="s">
        <v>65</v>
      </c>
    </row>
    <row r="77" spans="2:24" x14ac:dyDescent="0.2">
      <c r="B77" s="43" t="s">
        <v>131</v>
      </c>
      <c r="C77" s="43">
        <v>247</v>
      </c>
      <c r="D77" s="43" t="s">
        <v>476</v>
      </c>
      <c r="E77" s="43" t="s">
        <v>106</v>
      </c>
      <c r="F77" s="43" t="s">
        <v>482</v>
      </c>
      <c r="G77" s="43" t="s">
        <v>382</v>
      </c>
      <c r="H77" s="43">
        <v>60</v>
      </c>
      <c r="I77" s="43">
        <v>-1.8424</v>
      </c>
      <c r="J77" s="28">
        <v>-1.9939999999999999E-8</v>
      </c>
      <c r="K77" s="43" t="s">
        <v>910</v>
      </c>
      <c r="L77" s="43" t="s">
        <v>65</v>
      </c>
      <c r="N77" s="43" t="s">
        <v>131</v>
      </c>
      <c r="O77" s="43">
        <v>247</v>
      </c>
      <c r="P77" s="43" t="s">
        <v>476</v>
      </c>
      <c r="Q77" s="43" t="s">
        <v>376</v>
      </c>
      <c r="R77" s="43" t="s">
        <v>482</v>
      </c>
      <c r="S77" s="43" t="s">
        <v>382</v>
      </c>
      <c r="T77" s="43">
        <v>10</v>
      </c>
      <c r="U77" s="43">
        <v>-1.8577999999999999</v>
      </c>
      <c r="V77" s="28">
        <v>-2.0100000000000001E-8</v>
      </c>
      <c r="W77" s="43" t="s">
        <v>910</v>
      </c>
      <c r="X77" s="43" t="s">
        <v>65</v>
      </c>
    </row>
    <row r="78" spans="2:24" x14ac:dyDescent="0.2">
      <c r="B78" s="43" t="s">
        <v>131</v>
      </c>
      <c r="C78" s="43">
        <v>248</v>
      </c>
      <c r="D78" s="43" t="s">
        <v>483</v>
      </c>
      <c r="E78" s="43" t="s">
        <v>106</v>
      </c>
      <c r="F78" s="43" t="s">
        <v>484</v>
      </c>
      <c r="G78" s="43" t="s">
        <v>380</v>
      </c>
      <c r="H78" s="43">
        <v>60</v>
      </c>
      <c r="I78" s="43">
        <v>-29.944199999999999</v>
      </c>
      <c r="J78" s="28">
        <v>-3.4260000000000001E-7</v>
      </c>
      <c r="K78" s="43" t="s">
        <v>910</v>
      </c>
      <c r="L78" s="43" t="s">
        <v>65</v>
      </c>
      <c r="N78" s="43" t="s">
        <v>131</v>
      </c>
      <c r="O78" s="43">
        <v>248</v>
      </c>
      <c r="P78" s="43" t="s">
        <v>483</v>
      </c>
      <c r="Q78" s="43" t="s">
        <v>376</v>
      </c>
      <c r="R78" s="43" t="s">
        <v>484</v>
      </c>
      <c r="S78" s="43" t="s">
        <v>380</v>
      </c>
      <c r="T78" s="43">
        <v>10</v>
      </c>
      <c r="U78" s="43">
        <v>-29.923200000000001</v>
      </c>
      <c r="V78" s="28">
        <v>-3.4229999999999999E-7</v>
      </c>
      <c r="W78" s="43" t="s">
        <v>910</v>
      </c>
      <c r="X78" s="43" t="s">
        <v>65</v>
      </c>
    </row>
    <row r="79" spans="2:24" x14ac:dyDescent="0.2">
      <c r="B79" s="43" t="s">
        <v>131</v>
      </c>
      <c r="C79" s="43">
        <v>248</v>
      </c>
      <c r="D79" s="43" t="s">
        <v>483</v>
      </c>
      <c r="E79" s="43" t="s">
        <v>106</v>
      </c>
      <c r="F79" s="43" t="s">
        <v>485</v>
      </c>
      <c r="G79" s="43" t="s">
        <v>382</v>
      </c>
      <c r="H79" s="43">
        <v>60</v>
      </c>
      <c r="I79" s="43">
        <v>1.7887</v>
      </c>
      <c r="J79" s="28">
        <v>2.0459999999999999E-8</v>
      </c>
      <c r="K79" s="43" t="s">
        <v>910</v>
      </c>
      <c r="L79" s="43" t="s">
        <v>65</v>
      </c>
      <c r="N79" s="43" t="s">
        <v>131</v>
      </c>
      <c r="O79" s="43">
        <v>248</v>
      </c>
      <c r="P79" s="43" t="s">
        <v>483</v>
      </c>
      <c r="Q79" s="43" t="s">
        <v>376</v>
      </c>
      <c r="R79" s="43" t="s">
        <v>485</v>
      </c>
      <c r="S79" s="43" t="s">
        <v>382</v>
      </c>
      <c r="T79" s="43">
        <v>10</v>
      </c>
      <c r="U79" s="43">
        <v>1.7734000000000001</v>
      </c>
      <c r="V79" s="28">
        <v>2.0289999999999998E-8</v>
      </c>
      <c r="W79" s="43" t="s">
        <v>910</v>
      </c>
      <c r="X79" s="43" t="s">
        <v>65</v>
      </c>
    </row>
    <row r="80" spans="2:24" x14ac:dyDescent="0.2">
      <c r="B80" s="43" t="s">
        <v>180</v>
      </c>
      <c r="C80" s="43">
        <v>291</v>
      </c>
      <c r="D80" s="43" t="s">
        <v>486</v>
      </c>
      <c r="E80" s="43" t="s">
        <v>106</v>
      </c>
      <c r="F80" s="43" t="s">
        <v>487</v>
      </c>
      <c r="G80" s="43" t="s">
        <v>380</v>
      </c>
      <c r="H80" s="43">
        <v>60</v>
      </c>
      <c r="I80" s="43">
        <v>-38.570700000000002</v>
      </c>
      <c r="J80" s="28">
        <v>-3.9540000000000001E-7</v>
      </c>
      <c r="K80" s="43" t="s">
        <v>910</v>
      </c>
      <c r="L80" s="43" t="s">
        <v>65</v>
      </c>
      <c r="N80" s="43" t="s">
        <v>180</v>
      </c>
      <c r="O80" s="43">
        <v>291</v>
      </c>
      <c r="P80" s="43" t="s">
        <v>486</v>
      </c>
      <c r="Q80" s="43" t="s">
        <v>376</v>
      </c>
      <c r="R80" s="43" t="s">
        <v>487</v>
      </c>
      <c r="S80" s="43" t="s">
        <v>380</v>
      </c>
      <c r="T80" s="43">
        <v>10</v>
      </c>
      <c r="U80" s="43">
        <v>-38.548999999999999</v>
      </c>
      <c r="V80" s="28">
        <v>-3.9519999999999999E-7</v>
      </c>
      <c r="W80" s="43" t="s">
        <v>910</v>
      </c>
      <c r="X80" s="43" t="s">
        <v>65</v>
      </c>
    </row>
    <row r="81" spans="2:24" x14ac:dyDescent="0.2">
      <c r="B81" s="43" t="s">
        <v>180</v>
      </c>
      <c r="C81" s="43">
        <v>291</v>
      </c>
      <c r="D81" s="43" t="s">
        <v>486</v>
      </c>
      <c r="E81" s="43" t="s">
        <v>106</v>
      </c>
      <c r="F81" s="43" t="s">
        <v>488</v>
      </c>
      <c r="G81" s="43" t="s">
        <v>382</v>
      </c>
      <c r="H81" s="43">
        <v>60</v>
      </c>
      <c r="I81" s="43">
        <v>-3.5203000000000002</v>
      </c>
      <c r="J81" s="28">
        <v>-3.6090000000000001E-8</v>
      </c>
      <c r="K81" s="43" t="s">
        <v>910</v>
      </c>
      <c r="L81" s="43" t="s">
        <v>65</v>
      </c>
      <c r="N81" s="43" t="s">
        <v>180</v>
      </c>
      <c r="O81" s="43">
        <v>291</v>
      </c>
      <c r="P81" s="43" t="s">
        <v>486</v>
      </c>
      <c r="Q81" s="43" t="s">
        <v>376</v>
      </c>
      <c r="R81" s="43" t="s">
        <v>488</v>
      </c>
      <c r="S81" s="43" t="s">
        <v>382</v>
      </c>
      <c r="T81" s="43">
        <v>10</v>
      </c>
      <c r="U81" s="43">
        <v>-3.5487000000000002</v>
      </c>
      <c r="V81" s="28">
        <v>-3.6379999999999999E-8</v>
      </c>
      <c r="W81" s="43" t="s">
        <v>910</v>
      </c>
      <c r="X81" s="43" t="s">
        <v>65</v>
      </c>
    </row>
    <row r="82" spans="2:24" x14ac:dyDescent="0.2">
      <c r="B82" s="43" t="s">
        <v>180</v>
      </c>
      <c r="C82" s="43">
        <v>292</v>
      </c>
      <c r="D82" s="43" t="s">
        <v>489</v>
      </c>
      <c r="E82" s="43" t="s">
        <v>106</v>
      </c>
      <c r="F82" s="43" t="s">
        <v>490</v>
      </c>
      <c r="G82" s="43" t="s">
        <v>380</v>
      </c>
      <c r="H82" s="43">
        <v>60</v>
      </c>
      <c r="I82" s="43">
        <v>-45.762799999999999</v>
      </c>
      <c r="J82" s="28">
        <v>-4.0680000000000002E-7</v>
      </c>
      <c r="K82" s="43" t="s">
        <v>910</v>
      </c>
      <c r="L82" s="43" t="s">
        <v>65</v>
      </c>
      <c r="N82" s="43" t="s">
        <v>180</v>
      </c>
      <c r="O82" s="43">
        <v>292</v>
      </c>
      <c r="P82" s="43" t="s">
        <v>489</v>
      </c>
      <c r="Q82" s="43" t="s">
        <v>376</v>
      </c>
      <c r="R82" s="43" t="s">
        <v>490</v>
      </c>
      <c r="S82" s="43" t="s">
        <v>380</v>
      </c>
      <c r="T82" s="43">
        <v>10</v>
      </c>
      <c r="U82" s="43">
        <v>-45.74</v>
      </c>
      <c r="V82" s="28">
        <v>-4.066E-7</v>
      </c>
      <c r="W82" s="43" t="s">
        <v>910</v>
      </c>
      <c r="X82" s="43" t="s">
        <v>65</v>
      </c>
    </row>
    <row r="83" spans="2:24" x14ac:dyDescent="0.2">
      <c r="B83" s="43" t="s">
        <v>180</v>
      </c>
      <c r="C83" s="43">
        <v>292</v>
      </c>
      <c r="D83" s="43" t="s">
        <v>489</v>
      </c>
      <c r="E83" s="43" t="s">
        <v>106</v>
      </c>
      <c r="F83" s="43" t="s">
        <v>491</v>
      </c>
      <c r="G83" s="43" t="s">
        <v>382</v>
      </c>
      <c r="H83" s="43">
        <v>60</v>
      </c>
      <c r="I83" s="43">
        <v>7.2093999999999996</v>
      </c>
      <c r="J83" s="28">
        <v>6.4080000000000002E-8</v>
      </c>
      <c r="K83" s="43" t="s">
        <v>910</v>
      </c>
      <c r="L83" s="43" t="s">
        <v>65</v>
      </c>
      <c r="N83" s="43" t="s">
        <v>180</v>
      </c>
      <c r="O83" s="43">
        <v>292</v>
      </c>
      <c r="P83" s="43" t="s">
        <v>489</v>
      </c>
      <c r="Q83" s="43" t="s">
        <v>376</v>
      </c>
      <c r="R83" s="43" t="s">
        <v>491</v>
      </c>
      <c r="S83" s="43" t="s">
        <v>382</v>
      </c>
      <c r="T83" s="43">
        <v>10</v>
      </c>
      <c r="U83" s="43">
        <v>7.1814999999999998</v>
      </c>
      <c r="V83" s="28">
        <v>6.3839999999999995E-8</v>
      </c>
      <c r="W83" s="43" t="s">
        <v>910</v>
      </c>
      <c r="X83" s="43" t="s">
        <v>65</v>
      </c>
    </row>
    <row r="84" spans="2:24" x14ac:dyDescent="0.2">
      <c r="B84" s="43" t="s">
        <v>180</v>
      </c>
      <c r="C84" s="43">
        <v>293</v>
      </c>
      <c r="D84" s="43" t="s">
        <v>489</v>
      </c>
      <c r="E84" s="43" t="s">
        <v>106</v>
      </c>
      <c r="F84" s="43" t="s">
        <v>492</v>
      </c>
      <c r="G84" s="43" t="s">
        <v>380</v>
      </c>
      <c r="H84" s="43">
        <v>60</v>
      </c>
      <c r="I84" s="43">
        <v>-37.742600000000003</v>
      </c>
      <c r="J84" s="28">
        <v>-3.1629999999999999E-7</v>
      </c>
      <c r="K84" s="43" t="s">
        <v>910</v>
      </c>
      <c r="L84" s="43" t="s">
        <v>65</v>
      </c>
      <c r="N84" s="43" t="s">
        <v>180</v>
      </c>
      <c r="O84" s="43">
        <v>293</v>
      </c>
      <c r="P84" s="43" t="s">
        <v>489</v>
      </c>
      <c r="Q84" s="43" t="s">
        <v>376</v>
      </c>
      <c r="R84" s="43" t="s">
        <v>492</v>
      </c>
      <c r="S84" s="43" t="s">
        <v>380</v>
      </c>
      <c r="T84" s="43">
        <v>10</v>
      </c>
      <c r="U84" s="43">
        <v>-37.720399999999998</v>
      </c>
      <c r="V84" s="28">
        <v>-3.1609999999999998E-7</v>
      </c>
      <c r="W84" s="43" t="s">
        <v>910</v>
      </c>
      <c r="X84" s="43" t="s">
        <v>65</v>
      </c>
    </row>
    <row r="85" spans="2:24" x14ac:dyDescent="0.2">
      <c r="B85" s="43" t="s">
        <v>180</v>
      </c>
      <c r="C85" s="43">
        <v>293</v>
      </c>
      <c r="D85" s="43" t="s">
        <v>489</v>
      </c>
      <c r="E85" s="43" t="s">
        <v>106</v>
      </c>
      <c r="F85" s="43" t="s">
        <v>493</v>
      </c>
      <c r="G85" s="43" t="s">
        <v>382</v>
      </c>
      <c r="H85" s="43">
        <v>60</v>
      </c>
      <c r="I85" s="43">
        <v>8.0107999999999997</v>
      </c>
      <c r="J85" s="28">
        <v>6.7140000000000004E-8</v>
      </c>
      <c r="K85" s="43" t="s">
        <v>910</v>
      </c>
      <c r="L85" s="43" t="s">
        <v>65</v>
      </c>
      <c r="N85" s="43" t="s">
        <v>180</v>
      </c>
      <c r="O85" s="43">
        <v>293</v>
      </c>
      <c r="P85" s="43" t="s">
        <v>489</v>
      </c>
      <c r="Q85" s="43" t="s">
        <v>376</v>
      </c>
      <c r="R85" s="43" t="s">
        <v>493</v>
      </c>
      <c r="S85" s="43" t="s">
        <v>382</v>
      </c>
      <c r="T85" s="43">
        <v>10</v>
      </c>
      <c r="U85" s="43">
        <v>7.9828000000000001</v>
      </c>
      <c r="V85" s="28">
        <v>6.6899999999999997E-8</v>
      </c>
      <c r="W85" s="43" t="s">
        <v>910</v>
      </c>
      <c r="X85" s="43" t="s">
        <v>65</v>
      </c>
    </row>
    <row r="86" spans="2:24" x14ac:dyDescent="0.2">
      <c r="B86" s="43" t="s">
        <v>180</v>
      </c>
      <c r="C86" s="43">
        <v>294</v>
      </c>
      <c r="D86" s="43" t="s">
        <v>489</v>
      </c>
      <c r="E86" s="43" t="s">
        <v>106</v>
      </c>
      <c r="F86" s="43" t="s">
        <v>494</v>
      </c>
      <c r="G86" s="43" t="s">
        <v>380</v>
      </c>
      <c r="H86" s="43">
        <v>60</v>
      </c>
      <c r="I86" s="43">
        <v>-37.137</v>
      </c>
      <c r="J86" s="28">
        <v>-3.3010000000000002E-7</v>
      </c>
      <c r="K86" s="43" t="s">
        <v>910</v>
      </c>
      <c r="L86" s="43" t="s">
        <v>65</v>
      </c>
      <c r="N86" s="43" t="s">
        <v>180</v>
      </c>
      <c r="O86" s="43">
        <v>294</v>
      </c>
      <c r="P86" s="43" t="s">
        <v>489</v>
      </c>
      <c r="Q86" s="43" t="s">
        <v>376</v>
      </c>
      <c r="R86" s="43" t="s">
        <v>494</v>
      </c>
      <c r="S86" s="43" t="s">
        <v>380</v>
      </c>
      <c r="T86" s="43">
        <v>10</v>
      </c>
      <c r="U86" s="43">
        <v>-37.116</v>
      </c>
      <c r="V86" s="28">
        <v>-3.2990000000000001E-7</v>
      </c>
      <c r="W86" s="43" t="s">
        <v>910</v>
      </c>
      <c r="X86" s="43" t="s">
        <v>65</v>
      </c>
    </row>
    <row r="87" spans="2:24" x14ac:dyDescent="0.2">
      <c r="B87" s="43" t="s">
        <v>180</v>
      </c>
      <c r="C87" s="43">
        <v>294</v>
      </c>
      <c r="D87" s="43" t="s">
        <v>489</v>
      </c>
      <c r="E87" s="43" t="s">
        <v>106</v>
      </c>
      <c r="F87" s="43" t="s">
        <v>495</v>
      </c>
      <c r="G87" s="43" t="s">
        <v>382</v>
      </c>
      <c r="H87" s="43">
        <v>60</v>
      </c>
      <c r="I87" s="43">
        <v>1.2376</v>
      </c>
      <c r="J87" s="28">
        <v>1.0999999999999999E-8</v>
      </c>
      <c r="K87" s="43" t="s">
        <v>910</v>
      </c>
      <c r="L87" s="43" t="s">
        <v>65</v>
      </c>
      <c r="N87" s="43" t="s">
        <v>180</v>
      </c>
      <c r="O87" s="43">
        <v>294</v>
      </c>
      <c r="P87" s="43" t="s">
        <v>489</v>
      </c>
      <c r="Q87" s="43" t="s">
        <v>376</v>
      </c>
      <c r="R87" s="43" t="s">
        <v>495</v>
      </c>
      <c r="S87" s="43" t="s">
        <v>382</v>
      </c>
      <c r="T87" s="43">
        <v>10</v>
      </c>
      <c r="U87" s="43">
        <v>1.2081</v>
      </c>
      <c r="V87" s="28">
        <v>1.0740000000000001E-8</v>
      </c>
      <c r="W87" s="43" t="s">
        <v>910</v>
      </c>
      <c r="X87" s="43" t="s">
        <v>65</v>
      </c>
    </row>
    <row r="88" spans="2:24" x14ac:dyDescent="0.2">
      <c r="B88" s="43" t="s">
        <v>180</v>
      </c>
      <c r="C88" s="43">
        <v>295</v>
      </c>
      <c r="D88" s="43" t="s">
        <v>496</v>
      </c>
      <c r="E88" s="43" t="s">
        <v>106</v>
      </c>
      <c r="F88" s="43" t="s">
        <v>497</v>
      </c>
      <c r="G88" s="43" t="s">
        <v>380</v>
      </c>
      <c r="H88" s="43">
        <v>60</v>
      </c>
      <c r="I88" s="43">
        <v>-45.493299999999998</v>
      </c>
      <c r="J88" s="28">
        <v>-4.6639999999999999E-7</v>
      </c>
      <c r="K88" s="43" t="s">
        <v>910</v>
      </c>
      <c r="L88" s="43" t="s">
        <v>65</v>
      </c>
      <c r="N88" s="43" t="s">
        <v>180</v>
      </c>
      <c r="O88" s="43">
        <v>295</v>
      </c>
      <c r="P88" s="43" t="s">
        <v>496</v>
      </c>
      <c r="Q88" s="43" t="s">
        <v>376</v>
      </c>
      <c r="R88" s="43" t="s">
        <v>497</v>
      </c>
      <c r="S88" s="43" t="s">
        <v>380</v>
      </c>
      <c r="T88" s="43">
        <v>10</v>
      </c>
      <c r="U88" s="43">
        <v>-45.475200000000001</v>
      </c>
      <c r="V88" s="28">
        <v>-4.6619999999999998E-7</v>
      </c>
      <c r="W88" s="43" t="s">
        <v>910</v>
      </c>
      <c r="X88" s="43" t="s">
        <v>65</v>
      </c>
    </row>
    <row r="89" spans="2:24" x14ac:dyDescent="0.2">
      <c r="B89" s="43" t="s">
        <v>180</v>
      </c>
      <c r="C89" s="43">
        <v>295</v>
      </c>
      <c r="D89" s="43" t="s">
        <v>496</v>
      </c>
      <c r="E89" s="43" t="s">
        <v>106</v>
      </c>
      <c r="F89" s="43" t="s">
        <v>498</v>
      </c>
      <c r="G89" s="43" t="s">
        <v>382</v>
      </c>
      <c r="H89" s="43">
        <v>60</v>
      </c>
      <c r="I89" s="43">
        <v>1.1797</v>
      </c>
      <c r="J89" s="28">
        <v>1.2089999999999999E-8</v>
      </c>
      <c r="K89" s="43" t="s">
        <v>910</v>
      </c>
      <c r="L89" s="43" t="s">
        <v>65</v>
      </c>
      <c r="N89" s="43" t="s">
        <v>180</v>
      </c>
      <c r="O89" s="43">
        <v>295</v>
      </c>
      <c r="P89" s="43" t="s">
        <v>496</v>
      </c>
      <c r="Q89" s="43" t="s">
        <v>376</v>
      </c>
      <c r="R89" s="43" t="s">
        <v>498</v>
      </c>
      <c r="S89" s="43" t="s">
        <v>382</v>
      </c>
      <c r="T89" s="43">
        <v>10</v>
      </c>
      <c r="U89" s="43">
        <v>1.1541999999999999</v>
      </c>
      <c r="V89" s="28">
        <v>1.1830000000000001E-8</v>
      </c>
      <c r="W89" s="43" t="s">
        <v>910</v>
      </c>
      <c r="X89" s="43" t="s">
        <v>65</v>
      </c>
    </row>
    <row r="90" spans="2:24" x14ac:dyDescent="0.2">
      <c r="B90" s="43" t="s">
        <v>180</v>
      </c>
      <c r="C90" s="43">
        <v>273</v>
      </c>
      <c r="D90" s="43" t="s">
        <v>499</v>
      </c>
      <c r="E90" s="43" t="s">
        <v>106</v>
      </c>
      <c r="F90" s="43" t="s">
        <v>500</v>
      </c>
      <c r="G90" s="43" t="s">
        <v>380</v>
      </c>
      <c r="H90" s="43">
        <v>60</v>
      </c>
      <c r="I90" s="43">
        <v>-49.633800000000001</v>
      </c>
      <c r="J90" s="28">
        <v>-4.6969999999999998E-7</v>
      </c>
      <c r="K90" s="43" t="s">
        <v>910</v>
      </c>
      <c r="L90" s="43" t="s">
        <v>65</v>
      </c>
      <c r="N90" s="43" t="s">
        <v>180</v>
      </c>
      <c r="O90" s="43">
        <v>273</v>
      </c>
      <c r="P90" s="43" t="s">
        <v>499</v>
      </c>
      <c r="Q90" s="43" t="s">
        <v>376</v>
      </c>
      <c r="R90" s="43" t="s">
        <v>500</v>
      </c>
      <c r="S90" s="43" t="s">
        <v>380</v>
      </c>
      <c r="T90" s="43">
        <v>10</v>
      </c>
      <c r="U90" s="43">
        <v>-49.8127</v>
      </c>
      <c r="V90" s="28">
        <v>-4.7129999999999999E-7</v>
      </c>
      <c r="W90" s="43" t="s">
        <v>910</v>
      </c>
      <c r="X90" s="43" t="s">
        <v>65</v>
      </c>
    </row>
    <row r="91" spans="2:24" x14ac:dyDescent="0.2">
      <c r="B91" s="43" t="s">
        <v>180</v>
      </c>
      <c r="C91" s="43">
        <v>273</v>
      </c>
      <c r="D91" s="43" t="s">
        <v>499</v>
      </c>
      <c r="E91" s="43" t="s">
        <v>106</v>
      </c>
      <c r="F91" s="43" t="s">
        <v>501</v>
      </c>
      <c r="G91" s="43" t="s">
        <v>382</v>
      </c>
      <c r="H91" s="43">
        <v>60</v>
      </c>
      <c r="I91" s="43">
        <v>-47.889200000000002</v>
      </c>
      <c r="J91" s="28">
        <v>-4.531E-7</v>
      </c>
      <c r="K91" s="43" t="s">
        <v>910</v>
      </c>
      <c r="L91" s="43" t="s">
        <v>65</v>
      </c>
      <c r="N91" s="43" t="s">
        <v>180</v>
      </c>
      <c r="O91" s="43">
        <v>273</v>
      </c>
      <c r="P91" s="43" t="s">
        <v>499</v>
      </c>
      <c r="Q91" s="43" t="s">
        <v>376</v>
      </c>
      <c r="R91" s="43" t="s">
        <v>501</v>
      </c>
      <c r="S91" s="43" t="s">
        <v>382</v>
      </c>
      <c r="T91" s="43">
        <v>10</v>
      </c>
      <c r="U91" s="43">
        <v>-47.706400000000002</v>
      </c>
      <c r="V91" s="28">
        <v>-4.5139999999999998E-7</v>
      </c>
      <c r="W91" s="43" t="s">
        <v>910</v>
      </c>
      <c r="X91" s="43" t="s">
        <v>65</v>
      </c>
    </row>
    <row r="92" spans="2:24" x14ac:dyDescent="0.2">
      <c r="B92" s="43" t="s">
        <v>180</v>
      </c>
      <c r="C92" s="43">
        <v>276</v>
      </c>
      <c r="D92" s="43" t="s">
        <v>502</v>
      </c>
      <c r="E92" s="43" t="s">
        <v>106</v>
      </c>
      <c r="F92" s="43" t="s">
        <v>503</v>
      </c>
      <c r="G92" s="43" t="s">
        <v>380</v>
      </c>
      <c r="H92" s="43">
        <v>60</v>
      </c>
      <c r="I92" s="43">
        <v>-58.548400000000001</v>
      </c>
      <c r="J92" s="28">
        <v>-3.9480000000000001E-7</v>
      </c>
      <c r="K92" s="43" t="s">
        <v>910</v>
      </c>
      <c r="L92" s="43" t="s">
        <v>65</v>
      </c>
      <c r="N92" s="43" t="s">
        <v>180</v>
      </c>
      <c r="O92" s="43">
        <v>276</v>
      </c>
      <c r="P92" s="43" t="s">
        <v>502</v>
      </c>
      <c r="Q92" s="43" t="s">
        <v>376</v>
      </c>
      <c r="R92" s="43" t="s">
        <v>503</v>
      </c>
      <c r="S92" s="43" t="s">
        <v>380</v>
      </c>
      <c r="T92" s="43">
        <v>10</v>
      </c>
      <c r="U92" s="43">
        <v>-58.7988</v>
      </c>
      <c r="V92" s="28">
        <v>-3.9649999999999998E-7</v>
      </c>
      <c r="W92" s="43" t="s">
        <v>910</v>
      </c>
      <c r="X92" s="43" t="s">
        <v>65</v>
      </c>
    </row>
    <row r="93" spans="2:24" x14ac:dyDescent="0.2">
      <c r="B93" s="43" t="s">
        <v>180</v>
      </c>
      <c r="C93" s="43">
        <v>276</v>
      </c>
      <c r="D93" s="43" t="s">
        <v>502</v>
      </c>
      <c r="E93" s="43" t="s">
        <v>106</v>
      </c>
      <c r="F93" s="43" t="s">
        <v>504</v>
      </c>
      <c r="G93" s="43" t="s">
        <v>382</v>
      </c>
      <c r="H93" s="43">
        <v>60</v>
      </c>
      <c r="I93" s="43">
        <v>-71.949200000000005</v>
      </c>
      <c r="J93" s="28">
        <v>-4.8520000000000003E-7</v>
      </c>
      <c r="K93" s="43" t="s">
        <v>910</v>
      </c>
      <c r="L93" s="43" t="s">
        <v>65</v>
      </c>
      <c r="N93" s="43" t="s">
        <v>180</v>
      </c>
      <c r="O93" s="43">
        <v>276</v>
      </c>
      <c r="P93" s="43" t="s">
        <v>502</v>
      </c>
      <c r="Q93" s="43" t="s">
        <v>376</v>
      </c>
      <c r="R93" s="43" t="s">
        <v>504</v>
      </c>
      <c r="S93" s="43" t="s">
        <v>382</v>
      </c>
      <c r="T93" s="43">
        <v>10</v>
      </c>
      <c r="U93" s="43">
        <v>-71.700599999999994</v>
      </c>
      <c r="V93" s="28">
        <v>-4.8350000000000001E-7</v>
      </c>
      <c r="W93" s="43" t="s">
        <v>910</v>
      </c>
      <c r="X93" s="43" t="s">
        <v>65</v>
      </c>
    </row>
    <row r="94" spans="2:24" x14ac:dyDescent="0.2">
      <c r="B94" s="43" t="s">
        <v>180</v>
      </c>
      <c r="C94" s="43">
        <v>279</v>
      </c>
      <c r="D94" s="43" t="s">
        <v>505</v>
      </c>
      <c r="E94" s="43" t="s">
        <v>106</v>
      </c>
      <c r="F94" s="43" t="s">
        <v>506</v>
      </c>
      <c r="G94" s="43" t="s">
        <v>380</v>
      </c>
      <c r="H94" s="43">
        <v>60</v>
      </c>
      <c r="I94" s="43">
        <v>-67.732900000000001</v>
      </c>
      <c r="J94" s="28">
        <v>-4.7879999999999997E-7</v>
      </c>
      <c r="K94" s="43" t="s">
        <v>910</v>
      </c>
      <c r="L94" s="43" t="s">
        <v>65</v>
      </c>
      <c r="N94" s="43" t="s">
        <v>180</v>
      </c>
      <c r="O94" s="43">
        <v>279</v>
      </c>
      <c r="P94" s="43" t="s">
        <v>505</v>
      </c>
      <c r="Q94" s="43" t="s">
        <v>376</v>
      </c>
      <c r="R94" s="43" t="s">
        <v>506</v>
      </c>
      <c r="S94" s="43" t="s">
        <v>380</v>
      </c>
      <c r="T94" s="43">
        <v>10</v>
      </c>
      <c r="U94" s="43">
        <v>-67.9846</v>
      </c>
      <c r="V94" s="28">
        <v>-4.8049999999999999E-7</v>
      </c>
      <c r="W94" s="43" t="s">
        <v>910</v>
      </c>
      <c r="X94" s="43" t="s">
        <v>65</v>
      </c>
    </row>
    <row r="95" spans="2:24" x14ac:dyDescent="0.2">
      <c r="B95" s="43" t="s">
        <v>180</v>
      </c>
      <c r="C95" s="43">
        <v>279</v>
      </c>
      <c r="D95" s="43" t="s">
        <v>505</v>
      </c>
      <c r="E95" s="43" t="s">
        <v>106</v>
      </c>
      <c r="F95" s="43" t="s">
        <v>507</v>
      </c>
      <c r="G95" s="43" t="s">
        <v>382</v>
      </c>
      <c r="H95" s="43">
        <v>60</v>
      </c>
      <c r="I95" s="43">
        <v>-56.506700000000002</v>
      </c>
      <c r="J95" s="28">
        <v>-3.9939999999999999E-7</v>
      </c>
      <c r="K95" s="43" t="s">
        <v>910</v>
      </c>
      <c r="L95" s="43" t="s">
        <v>65</v>
      </c>
      <c r="N95" s="43" t="s">
        <v>180</v>
      </c>
      <c r="O95" s="43">
        <v>279</v>
      </c>
      <c r="P95" s="43" t="s">
        <v>505</v>
      </c>
      <c r="Q95" s="43" t="s">
        <v>376</v>
      </c>
      <c r="R95" s="43" t="s">
        <v>507</v>
      </c>
      <c r="S95" s="43" t="s">
        <v>382</v>
      </c>
      <c r="T95" s="43">
        <v>10</v>
      </c>
      <c r="U95" s="43">
        <v>-56.2639</v>
      </c>
      <c r="V95" s="28">
        <v>-3.9770000000000002E-7</v>
      </c>
      <c r="W95" s="43" t="s">
        <v>910</v>
      </c>
      <c r="X95" s="43" t="s">
        <v>65</v>
      </c>
    </row>
    <row r="96" spans="2:24" x14ac:dyDescent="0.2">
      <c r="B96" s="43" t="s">
        <v>180</v>
      </c>
      <c r="C96" s="43">
        <v>282</v>
      </c>
      <c r="D96" s="43" t="s">
        <v>508</v>
      </c>
      <c r="E96" s="43" t="s">
        <v>106</v>
      </c>
      <c r="F96" s="43" t="s">
        <v>509</v>
      </c>
      <c r="G96" s="43" t="s">
        <v>380</v>
      </c>
      <c r="H96" s="43">
        <v>60</v>
      </c>
      <c r="I96" s="43">
        <v>-67.764499999999998</v>
      </c>
      <c r="J96" s="28">
        <v>-4.7899999999999999E-7</v>
      </c>
      <c r="K96" s="43" t="s">
        <v>910</v>
      </c>
      <c r="L96" s="43" t="s">
        <v>65</v>
      </c>
      <c r="N96" s="43" t="s">
        <v>180</v>
      </c>
      <c r="O96" s="43">
        <v>282</v>
      </c>
      <c r="P96" s="43" t="s">
        <v>508</v>
      </c>
      <c r="Q96" s="43" t="s">
        <v>376</v>
      </c>
      <c r="R96" s="43" t="s">
        <v>509</v>
      </c>
      <c r="S96" s="43" t="s">
        <v>380</v>
      </c>
      <c r="T96" s="43">
        <v>10</v>
      </c>
      <c r="U96" s="43">
        <v>-68.016499999999994</v>
      </c>
      <c r="V96" s="28">
        <v>-4.8080000000000002E-7</v>
      </c>
      <c r="W96" s="43" t="s">
        <v>910</v>
      </c>
      <c r="X96" s="43" t="s">
        <v>65</v>
      </c>
    </row>
    <row r="97" spans="2:24" x14ac:dyDescent="0.2">
      <c r="B97" s="43" t="s">
        <v>180</v>
      </c>
      <c r="C97" s="43">
        <v>282</v>
      </c>
      <c r="D97" s="43" t="s">
        <v>508</v>
      </c>
      <c r="E97" s="43" t="s">
        <v>106</v>
      </c>
      <c r="F97" s="43" t="s">
        <v>510</v>
      </c>
      <c r="G97" s="43" t="s">
        <v>382</v>
      </c>
      <c r="H97" s="43">
        <v>60</v>
      </c>
      <c r="I97" s="43">
        <v>-56.6173</v>
      </c>
      <c r="J97" s="28">
        <v>-4.002E-7</v>
      </c>
      <c r="K97" s="43" t="s">
        <v>910</v>
      </c>
      <c r="L97" s="43" t="s">
        <v>65</v>
      </c>
      <c r="N97" s="43" t="s">
        <v>180</v>
      </c>
      <c r="O97" s="43">
        <v>282</v>
      </c>
      <c r="P97" s="43" t="s">
        <v>508</v>
      </c>
      <c r="Q97" s="43" t="s">
        <v>376</v>
      </c>
      <c r="R97" s="43" t="s">
        <v>510</v>
      </c>
      <c r="S97" s="43" t="s">
        <v>382</v>
      </c>
      <c r="T97" s="43">
        <v>10</v>
      </c>
      <c r="U97" s="43">
        <v>-56.374299999999998</v>
      </c>
      <c r="V97" s="28">
        <v>-3.9849999999999998E-7</v>
      </c>
      <c r="W97" s="43" t="s">
        <v>910</v>
      </c>
      <c r="X97" s="43" t="s">
        <v>65</v>
      </c>
    </row>
    <row r="98" spans="2:24" x14ac:dyDescent="0.2">
      <c r="B98" s="43" t="s">
        <v>180</v>
      </c>
      <c r="C98" s="43">
        <v>285</v>
      </c>
      <c r="D98" s="43" t="s">
        <v>511</v>
      </c>
      <c r="E98" s="43" t="s">
        <v>106</v>
      </c>
      <c r="F98" s="43" t="s">
        <v>512</v>
      </c>
      <c r="G98" s="43" t="s">
        <v>380</v>
      </c>
      <c r="H98" s="43">
        <v>60</v>
      </c>
      <c r="I98" s="43">
        <v>-60.257399999999997</v>
      </c>
      <c r="J98" s="28">
        <v>-4.0629999999999998E-7</v>
      </c>
      <c r="K98" s="43" t="s">
        <v>910</v>
      </c>
      <c r="L98" s="43" t="s">
        <v>65</v>
      </c>
      <c r="N98" s="43" t="s">
        <v>180</v>
      </c>
      <c r="O98" s="43">
        <v>285</v>
      </c>
      <c r="P98" s="43" t="s">
        <v>511</v>
      </c>
      <c r="Q98" s="43" t="s">
        <v>376</v>
      </c>
      <c r="R98" s="43" t="s">
        <v>512</v>
      </c>
      <c r="S98" s="43" t="s">
        <v>380</v>
      </c>
      <c r="T98" s="43">
        <v>10</v>
      </c>
      <c r="U98" s="43">
        <v>-60.508600000000001</v>
      </c>
      <c r="V98" s="28">
        <v>-4.08E-7</v>
      </c>
      <c r="W98" s="43" t="s">
        <v>910</v>
      </c>
      <c r="X98" s="43" t="s">
        <v>65</v>
      </c>
    </row>
    <row r="99" spans="2:24" x14ac:dyDescent="0.2">
      <c r="B99" s="43" t="s">
        <v>180</v>
      </c>
      <c r="C99" s="43">
        <v>285</v>
      </c>
      <c r="D99" s="43" t="s">
        <v>511</v>
      </c>
      <c r="E99" s="43" t="s">
        <v>106</v>
      </c>
      <c r="F99" s="43" t="s">
        <v>513</v>
      </c>
      <c r="G99" s="43" t="s">
        <v>382</v>
      </c>
      <c r="H99" s="43">
        <v>60</v>
      </c>
      <c r="I99" s="43">
        <v>-73.765000000000001</v>
      </c>
      <c r="J99" s="28">
        <v>-4.9739999999999999E-7</v>
      </c>
      <c r="K99" s="43" t="s">
        <v>910</v>
      </c>
      <c r="L99" s="43" t="s">
        <v>65</v>
      </c>
      <c r="N99" s="43" t="s">
        <v>180</v>
      </c>
      <c r="O99" s="43">
        <v>285</v>
      </c>
      <c r="P99" s="43" t="s">
        <v>511</v>
      </c>
      <c r="Q99" s="43" t="s">
        <v>376</v>
      </c>
      <c r="R99" s="43" t="s">
        <v>513</v>
      </c>
      <c r="S99" s="43" t="s">
        <v>382</v>
      </c>
      <c r="T99" s="43">
        <v>10</v>
      </c>
      <c r="U99" s="43">
        <v>-73.516099999999994</v>
      </c>
      <c r="V99" s="28">
        <v>-4.9569999999999997E-7</v>
      </c>
      <c r="W99" s="43" t="s">
        <v>910</v>
      </c>
      <c r="X99" s="43" t="s">
        <v>65</v>
      </c>
    </row>
    <row r="100" spans="2:24" x14ac:dyDescent="0.2">
      <c r="B100" s="43" t="s">
        <v>180</v>
      </c>
      <c r="C100" s="43">
        <v>288</v>
      </c>
      <c r="D100" s="43" t="s">
        <v>514</v>
      </c>
      <c r="E100" s="43" t="s">
        <v>106</v>
      </c>
      <c r="F100" s="43" t="s">
        <v>515</v>
      </c>
      <c r="G100" s="43" t="s">
        <v>380</v>
      </c>
      <c r="H100" s="43">
        <v>60</v>
      </c>
      <c r="I100" s="43">
        <v>-47.320099999999996</v>
      </c>
      <c r="J100" s="28">
        <v>-4.4780000000000003E-7</v>
      </c>
      <c r="K100" s="43" t="s">
        <v>910</v>
      </c>
      <c r="L100" s="43" t="s">
        <v>65</v>
      </c>
      <c r="N100" s="43" t="s">
        <v>180</v>
      </c>
      <c r="O100" s="43">
        <v>288</v>
      </c>
      <c r="P100" s="43" t="s">
        <v>514</v>
      </c>
      <c r="Q100" s="43" t="s">
        <v>376</v>
      </c>
      <c r="R100" s="43" t="s">
        <v>515</v>
      </c>
      <c r="S100" s="43" t="s">
        <v>380</v>
      </c>
      <c r="T100" s="43">
        <v>10</v>
      </c>
      <c r="U100" s="43">
        <v>-47.505499999999998</v>
      </c>
      <c r="V100" s="28">
        <v>-4.495E-7</v>
      </c>
      <c r="W100" s="43" t="s">
        <v>910</v>
      </c>
      <c r="X100" s="43" t="s">
        <v>65</v>
      </c>
    </row>
    <row r="101" spans="2:24" x14ac:dyDescent="0.2">
      <c r="B101" s="43" t="s">
        <v>180</v>
      </c>
      <c r="C101" s="43">
        <v>288</v>
      </c>
      <c r="D101" s="43" t="s">
        <v>514</v>
      </c>
      <c r="E101" s="43" t="s">
        <v>106</v>
      </c>
      <c r="F101" s="43" t="s">
        <v>516</v>
      </c>
      <c r="G101" s="43" t="s">
        <v>382</v>
      </c>
      <c r="H101" s="43">
        <v>60</v>
      </c>
      <c r="I101" s="43">
        <v>-45.336599999999997</v>
      </c>
      <c r="J101" s="28">
        <v>-4.2899999999999999E-7</v>
      </c>
      <c r="K101" s="43" t="s">
        <v>910</v>
      </c>
      <c r="L101" s="43" t="s">
        <v>65</v>
      </c>
      <c r="N101" s="43" t="s">
        <v>180</v>
      </c>
      <c r="O101" s="43">
        <v>288</v>
      </c>
      <c r="P101" s="43" t="s">
        <v>514</v>
      </c>
      <c r="Q101" s="43" t="s">
        <v>376</v>
      </c>
      <c r="R101" s="43" t="s">
        <v>516</v>
      </c>
      <c r="S101" s="43" t="s">
        <v>382</v>
      </c>
      <c r="T101" s="43">
        <v>10</v>
      </c>
      <c r="U101" s="43">
        <v>-45.158299999999997</v>
      </c>
      <c r="V101" s="28">
        <v>-4.2730000000000002E-7</v>
      </c>
      <c r="W101" s="43" t="s">
        <v>910</v>
      </c>
      <c r="X101" s="43" t="s">
        <v>65</v>
      </c>
    </row>
    <row r="102" spans="2:24" x14ac:dyDescent="0.2">
      <c r="B102" s="43" t="s">
        <v>180</v>
      </c>
      <c r="C102" s="43">
        <v>296</v>
      </c>
      <c r="D102" s="43" t="s">
        <v>517</v>
      </c>
      <c r="E102" s="43" t="s">
        <v>106</v>
      </c>
      <c r="F102" s="43" t="s">
        <v>518</v>
      </c>
      <c r="G102" s="43" t="s">
        <v>380</v>
      </c>
      <c r="H102" s="43">
        <v>60</v>
      </c>
      <c r="I102" s="43">
        <v>-55.863199999999999</v>
      </c>
      <c r="J102" s="28">
        <v>-4.171E-7</v>
      </c>
      <c r="K102" s="43" t="s">
        <v>910</v>
      </c>
      <c r="L102" s="43" t="s">
        <v>65</v>
      </c>
      <c r="N102" s="43" t="s">
        <v>180</v>
      </c>
      <c r="O102" s="43">
        <v>296</v>
      </c>
      <c r="P102" s="43" t="s">
        <v>517</v>
      </c>
      <c r="Q102" s="43" t="s">
        <v>376</v>
      </c>
      <c r="R102" s="43" t="s">
        <v>518</v>
      </c>
      <c r="S102" s="43" t="s">
        <v>380</v>
      </c>
      <c r="T102" s="43">
        <v>10</v>
      </c>
      <c r="U102" s="43">
        <v>-55.830500000000001</v>
      </c>
      <c r="V102" s="28">
        <v>-4.1689999999999998E-7</v>
      </c>
      <c r="W102" s="43" t="s">
        <v>910</v>
      </c>
      <c r="X102" s="43" t="s">
        <v>65</v>
      </c>
    </row>
    <row r="103" spans="2:24" x14ac:dyDescent="0.2">
      <c r="B103" s="43" t="s">
        <v>180</v>
      </c>
      <c r="C103" s="43">
        <v>296</v>
      </c>
      <c r="D103" s="43" t="s">
        <v>517</v>
      </c>
      <c r="E103" s="43" t="s">
        <v>106</v>
      </c>
      <c r="F103" s="43" t="s">
        <v>519</v>
      </c>
      <c r="G103" s="43" t="s">
        <v>382</v>
      </c>
      <c r="H103" s="43">
        <v>60</v>
      </c>
      <c r="I103" s="43">
        <v>7.8613999999999997</v>
      </c>
      <c r="J103" s="28">
        <v>5.8700000000000003E-8</v>
      </c>
      <c r="K103" s="43" t="s">
        <v>910</v>
      </c>
      <c r="L103" s="43" t="s">
        <v>65</v>
      </c>
      <c r="N103" s="43" t="s">
        <v>180</v>
      </c>
      <c r="O103" s="43">
        <v>296</v>
      </c>
      <c r="P103" s="43" t="s">
        <v>517</v>
      </c>
      <c r="Q103" s="43" t="s">
        <v>376</v>
      </c>
      <c r="R103" s="43" t="s">
        <v>519</v>
      </c>
      <c r="S103" s="43" t="s">
        <v>382</v>
      </c>
      <c r="T103" s="43">
        <v>10</v>
      </c>
      <c r="U103" s="43">
        <v>7.8310000000000004</v>
      </c>
      <c r="V103" s="28">
        <v>5.847E-8</v>
      </c>
      <c r="W103" s="43" t="s">
        <v>910</v>
      </c>
      <c r="X103" s="43" t="s">
        <v>65</v>
      </c>
    </row>
    <row r="104" spans="2:24" x14ac:dyDescent="0.2">
      <c r="B104" s="43" t="s">
        <v>180</v>
      </c>
      <c r="C104" s="43">
        <v>297</v>
      </c>
      <c r="D104" s="43" t="s">
        <v>520</v>
      </c>
      <c r="E104" s="43" t="s">
        <v>106</v>
      </c>
      <c r="F104" s="43" t="s">
        <v>521</v>
      </c>
      <c r="G104" s="43" t="s">
        <v>380</v>
      </c>
      <c r="H104" s="43">
        <v>60</v>
      </c>
      <c r="I104" s="43">
        <v>-44.399500000000003</v>
      </c>
      <c r="J104" s="28">
        <v>-3.3150000000000002E-7</v>
      </c>
      <c r="K104" s="43" t="s">
        <v>910</v>
      </c>
      <c r="L104" s="43" t="s">
        <v>65</v>
      </c>
      <c r="N104" s="43" t="s">
        <v>180</v>
      </c>
      <c r="O104" s="43">
        <v>297</v>
      </c>
      <c r="P104" s="43" t="s">
        <v>520</v>
      </c>
      <c r="Q104" s="43" t="s">
        <v>376</v>
      </c>
      <c r="R104" s="43" t="s">
        <v>521</v>
      </c>
      <c r="S104" s="43" t="s">
        <v>380</v>
      </c>
      <c r="T104" s="43">
        <v>10</v>
      </c>
      <c r="U104" s="43">
        <v>-44.371299999999998</v>
      </c>
      <c r="V104" s="28">
        <v>-3.3130000000000001E-7</v>
      </c>
      <c r="W104" s="43" t="s">
        <v>910</v>
      </c>
      <c r="X104" s="43" t="s">
        <v>65</v>
      </c>
    </row>
    <row r="105" spans="2:24" x14ac:dyDescent="0.2">
      <c r="B105" s="43" t="s">
        <v>180</v>
      </c>
      <c r="C105" s="43">
        <v>297</v>
      </c>
      <c r="D105" s="43" t="s">
        <v>520</v>
      </c>
      <c r="E105" s="43" t="s">
        <v>106</v>
      </c>
      <c r="F105" s="43" t="s">
        <v>522</v>
      </c>
      <c r="G105" s="43" t="s">
        <v>382</v>
      </c>
      <c r="H105" s="43">
        <v>60</v>
      </c>
      <c r="I105" s="43">
        <v>-0.96460000000000001</v>
      </c>
      <c r="J105" s="28">
        <v>-7.2019999999999997E-9</v>
      </c>
      <c r="K105" s="43" t="s">
        <v>910</v>
      </c>
      <c r="L105" s="43" t="s">
        <v>65</v>
      </c>
      <c r="N105" s="43" t="s">
        <v>180</v>
      </c>
      <c r="O105" s="43">
        <v>297</v>
      </c>
      <c r="P105" s="43" t="s">
        <v>520</v>
      </c>
      <c r="Q105" s="43" t="s">
        <v>376</v>
      </c>
      <c r="R105" s="43" t="s">
        <v>522</v>
      </c>
      <c r="S105" s="43" t="s">
        <v>382</v>
      </c>
      <c r="T105" s="43">
        <v>10</v>
      </c>
      <c r="U105" s="43">
        <v>-0.99429999999999996</v>
      </c>
      <c r="V105" s="28">
        <v>-7.424E-9</v>
      </c>
      <c r="W105" s="43" t="s">
        <v>910</v>
      </c>
      <c r="X105" s="43" t="s">
        <v>65</v>
      </c>
    </row>
    <row r="106" spans="2:24" x14ac:dyDescent="0.2">
      <c r="B106" s="43" t="s">
        <v>180</v>
      </c>
      <c r="C106" s="43">
        <v>298</v>
      </c>
      <c r="D106" s="43" t="s">
        <v>520</v>
      </c>
      <c r="E106" s="43" t="s">
        <v>106</v>
      </c>
      <c r="F106" s="43" t="s">
        <v>523</v>
      </c>
      <c r="G106" s="43" t="s">
        <v>380</v>
      </c>
      <c r="H106" s="43">
        <v>60</v>
      </c>
      <c r="I106" s="43">
        <v>-54.229599999999998</v>
      </c>
      <c r="J106" s="28">
        <v>-4.2809999999999998E-7</v>
      </c>
      <c r="K106" s="43" t="s">
        <v>910</v>
      </c>
      <c r="L106" s="43" t="s">
        <v>65</v>
      </c>
      <c r="N106" s="43" t="s">
        <v>180</v>
      </c>
      <c r="O106" s="43">
        <v>298</v>
      </c>
      <c r="P106" s="43" t="s">
        <v>520</v>
      </c>
      <c r="Q106" s="43" t="s">
        <v>376</v>
      </c>
      <c r="R106" s="43" t="s">
        <v>523</v>
      </c>
      <c r="S106" s="43" t="s">
        <v>380</v>
      </c>
      <c r="T106" s="43">
        <v>10</v>
      </c>
      <c r="U106" s="43">
        <v>-54.201099999999997</v>
      </c>
      <c r="V106" s="28">
        <v>-4.2780000000000001E-7</v>
      </c>
      <c r="W106" s="43" t="s">
        <v>910</v>
      </c>
      <c r="X106" s="43" t="s">
        <v>65</v>
      </c>
    </row>
    <row r="107" spans="2:24" x14ac:dyDescent="0.2">
      <c r="B107" s="43" t="s">
        <v>180</v>
      </c>
      <c r="C107" s="43">
        <v>298</v>
      </c>
      <c r="D107" s="43" t="s">
        <v>520</v>
      </c>
      <c r="E107" s="43" t="s">
        <v>106</v>
      </c>
      <c r="F107" s="43" t="s">
        <v>524</v>
      </c>
      <c r="G107" s="43" t="s">
        <v>382</v>
      </c>
      <c r="H107" s="43">
        <v>60</v>
      </c>
      <c r="I107" s="43">
        <v>-2.7336999999999998</v>
      </c>
      <c r="J107" s="28">
        <v>-2.1579999999999999E-8</v>
      </c>
      <c r="K107" s="43" t="s">
        <v>910</v>
      </c>
      <c r="L107" s="43" t="s">
        <v>65</v>
      </c>
      <c r="N107" s="43" t="s">
        <v>180</v>
      </c>
      <c r="O107" s="43">
        <v>298</v>
      </c>
      <c r="P107" s="43" t="s">
        <v>520</v>
      </c>
      <c r="Q107" s="43" t="s">
        <v>376</v>
      </c>
      <c r="R107" s="43" t="s">
        <v>524</v>
      </c>
      <c r="S107" s="43" t="s">
        <v>382</v>
      </c>
      <c r="T107" s="43">
        <v>10</v>
      </c>
      <c r="U107" s="43">
        <v>-2.7629000000000001</v>
      </c>
      <c r="V107" s="28">
        <v>-2.1810000000000001E-8</v>
      </c>
      <c r="W107" s="43" t="s">
        <v>910</v>
      </c>
      <c r="X107" s="43" t="s">
        <v>65</v>
      </c>
    </row>
    <row r="108" spans="2:24" x14ac:dyDescent="0.2">
      <c r="B108" s="43" t="s">
        <v>180</v>
      </c>
      <c r="C108" s="43">
        <v>299</v>
      </c>
      <c r="D108" s="43" t="s">
        <v>520</v>
      </c>
      <c r="E108" s="43" t="s">
        <v>106</v>
      </c>
      <c r="F108" s="43" t="s">
        <v>525</v>
      </c>
      <c r="G108" s="43" t="s">
        <v>380</v>
      </c>
      <c r="H108" s="43">
        <v>60</v>
      </c>
      <c r="I108" s="43">
        <v>-54.792499999999997</v>
      </c>
      <c r="J108" s="28">
        <v>-4.0909999999999998E-7</v>
      </c>
      <c r="K108" s="43" t="s">
        <v>910</v>
      </c>
      <c r="L108" s="43" t="s">
        <v>65</v>
      </c>
      <c r="N108" s="43" t="s">
        <v>180</v>
      </c>
      <c r="O108" s="43">
        <v>299</v>
      </c>
      <c r="P108" s="43" t="s">
        <v>520</v>
      </c>
      <c r="Q108" s="43" t="s">
        <v>376</v>
      </c>
      <c r="R108" s="43" t="s">
        <v>525</v>
      </c>
      <c r="S108" s="43" t="s">
        <v>380</v>
      </c>
      <c r="T108" s="43">
        <v>10</v>
      </c>
      <c r="U108" s="43">
        <v>-54.761699999999998</v>
      </c>
      <c r="V108" s="28">
        <v>-4.0890000000000002E-7</v>
      </c>
      <c r="W108" s="43" t="s">
        <v>910</v>
      </c>
      <c r="X108" s="43" t="s">
        <v>65</v>
      </c>
    </row>
    <row r="109" spans="2:24" x14ac:dyDescent="0.2">
      <c r="B109" s="43" t="s">
        <v>180</v>
      </c>
      <c r="C109" s="43">
        <v>299</v>
      </c>
      <c r="D109" s="43" t="s">
        <v>520</v>
      </c>
      <c r="E109" s="43" t="s">
        <v>106</v>
      </c>
      <c r="F109" s="43" t="s">
        <v>526</v>
      </c>
      <c r="G109" s="43" t="s">
        <v>382</v>
      </c>
      <c r="H109" s="43">
        <v>60</v>
      </c>
      <c r="I109" s="43">
        <v>7.1012000000000004</v>
      </c>
      <c r="J109" s="28">
        <v>5.3020000000000001E-8</v>
      </c>
      <c r="K109" s="43" t="s">
        <v>910</v>
      </c>
      <c r="L109" s="43" t="s">
        <v>65</v>
      </c>
      <c r="N109" s="43" t="s">
        <v>180</v>
      </c>
      <c r="O109" s="43">
        <v>299</v>
      </c>
      <c r="P109" s="43" t="s">
        <v>520</v>
      </c>
      <c r="Q109" s="43" t="s">
        <v>376</v>
      </c>
      <c r="R109" s="43" t="s">
        <v>526</v>
      </c>
      <c r="S109" s="43" t="s">
        <v>382</v>
      </c>
      <c r="T109" s="43">
        <v>10</v>
      </c>
      <c r="U109" s="43">
        <v>7.0715000000000003</v>
      </c>
      <c r="V109" s="28">
        <v>5.2800000000000003E-8</v>
      </c>
      <c r="W109" s="43" t="s">
        <v>910</v>
      </c>
      <c r="X109" s="43" t="s">
        <v>65</v>
      </c>
    </row>
    <row r="110" spans="2:24" x14ac:dyDescent="0.2">
      <c r="B110" s="43" t="s">
        <v>180</v>
      </c>
      <c r="C110" s="43">
        <v>300</v>
      </c>
      <c r="D110" s="43" t="s">
        <v>527</v>
      </c>
      <c r="E110" s="43" t="s">
        <v>106</v>
      </c>
      <c r="F110" s="43" t="s">
        <v>528</v>
      </c>
      <c r="G110" s="43" t="s">
        <v>380</v>
      </c>
      <c r="H110" s="43">
        <v>60</v>
      </c>
      <c r="I110" s="43">
        <v>-44.9054</v>
      </c>
      <c r="J110" s="28">
        <v>-3.3529999999999999E-7</v>
      </c>
      <c r="K110" s="43" t="s">
        <v>910</v>
      </c>
      <c r="L110" s="43" t="s">
        <v>65</v>
      </c>
      <c r="N110" s="43" t="s">
        <v>180</v>
      </c>
      <c r="O110" s="43">
        <v>300</v>
      </c>
      <c r="P110" s="43" t="s">
        <v>527</v>
      </c>
      <c r="Q110" s="43" t="s">
        <v>376</v>
      </c>
      <c r="R110" s="43" t="s">
        <v>528</v>
      </c>
      <c r="S110" s="43" t="s">
        <v>380</v>
      </c>
      <c r="T110" s="43">
        <v>10</v>
      </c>
      <c r="U110" s="43">
        <v>-44.876600000000003</v>
      </c>
      <c r="V110" s="28">
        <v>-3.3509999999999998E-7</v>
      </c>
      <c r="W110" s="43" t="s">
        <v>910</v>
      </c>
      <c r="X110" s="43" t="s">
        <v>65</v>
      </c>
    </row>
    <row r="111" spans="2:24" x14ac:dyDescent="0.2">
      <c r="B111" s="43" t="s">
        <v>180</v>
      </c>
      <c r="C111" s="43">
        <v>300</v>
      </c>
      <c r="D111" s="43" t="s">
        <v>527</v>
      </c>
      <c r="E111" s="43" t="s">
        <v>106</v>
      </c>
      <c r="F111" s="43" t="s">
        <v>529</v>
      </c>
      <c r="G111" s="43" t="s">
        <v>382</v>
      </c>
      <c r="H111" s="43">
        <v>60</v>
      </c>
      <c r="I111" s="43">
        <v>-0.2631</v>
      </c>
      <c r="J111" s="28">
        <v>-1.9650000000000001E-9</v>
      </c>
      <c r="K111" s="43" t="s">
        <v>910</v>
      </c>
      <c r="L111" s="43" t="s">
        <v>65</v>
      </c>
      <c r="N111" s="43" t="s">
        <v>180</v>
      </c>
      <c r="O111" s="43">
        <v>300</v>
      </c>
      <c r="P111" s="43" t="s">
        <v>527</v>
      </c>
      <c r="Q111" s="43" t="s">
        <v>376</v>
      </c>
      <c r="R111" s="43" t="s">
        <v>529</v>
      </c>
      <c r="S111" s="43" t="s">
        <v>382</v>
      </c>
      <c r="T111" s="43">
        <v>10</v>
      </c>
      <c r="U111" s="43">
        <v>-0.29480000000000001</v>
      </c>
      <c r="V111" s="28">
        <v>-2.2010000000000002E-9</v>
      </c>
      <c r="W111" s="43" t="s">
        <v>910</v>
      </c>
      <c r="X111" s="43" t="s">
        <v>65</v>
      </c>
    </row>
    <row r="112" spans="2:24" x14ac:dyDescent="0.2">
      <c r="B112" s="43" t="s">
        <v>180</v>
      </c>
      <c r="C112" s="43">
        <v>274</v>
      </c>
      <c r="D112" s="43" t="s">
        <v>530</v>
      </c>
      <c r="E112" s="43" t="s">
        <v>106</v>
      </c>
      <c r="F112" s="43" t="s">
        <v>531</v>
      </c>
      <c r="G112" s="43" t="s">
        <v>380</v>
      </c>
      <c r="H112" s="43">
        <v>60</v>
      </c>
      <c r="I112" s="43">
        <v>-45.545900000000003</v>
      </c>
      <c r="J112" s="28">
        <v>-3.9009999999999998E-7</v>
      </c>
      <c r="K112" s="43" t="s">
        <v>910</v>
      </c>
      <c r="L112" s="43" t="s">
        <v>65</v>
      </c>
      <c r="N112" s="43" t="s">
        <v>180</v>
      </c>
      <c r="O112" s="43">
        <v>274</v>
      </c>
      <c r="P112" s="43" t="s">
        <v>530</v>
      </c>
      <c r="Q112" s="43" t="s">
        <v>376</v>
      </c>
      <c r="R112" s="43" t="s">
        <v>531</v>
      </c>
      <c r="S112" s="43" t="s">
        <v>380</v>
      </c>
      <c r="T112" s="43">
        <v>10</v>
      </c>
      <c r="U112" s="43">
        <v>-45.741500000000002</v>
      </c>
      <c r="V112" s="28">
        <v>-3.918E-7</v>
      </c>
      <c r="W112" s="43" t="s">
        <v>910</v>
      </c>
      <c r="X112" s="43" t="s">
        <v>65</v>
      </c>
    </row>
    <row r="113" spans="2:24" x14ac:dyDescent="0.2">
      <c r="B113" s="43" t="s">
        <v>180</v>
      </c>
      <c r="C113" s="43">
        <v>274</v>
      </c>
      <c r="D113" s="43" t="s">
        <v>530</v>
      </c>
      <c r="E113" s="43" t="s">
        <v>106</v>
      </c>
      <c r="F113" s="43" t="s">
        <v>532</v>
      </c>
      <c r="G113" s="43" t="s">
        <v>382</v>
      </c>
      <c r="H113" s="43">
        <v>60</v>
      </c>
      <c r="I113" s="43">
        <v>-45.454000000000001</v>
      </c>
      <c r="J113" s="28">
        <v>-3.8930000000000003E-7</v>
      </c>
      <c r="K113" s="43" t="s">
        <v>910</v>
      </c>
      <c r="L113" s="43" t="s">
        <v>65</v>
      </c>
      <c r="N113" s="43" t="s">
        <v>180</v>
      </c>
      <c r="O113" s="43">
        <v>274</v>
      </c>
      <c r="P113" s="43" t="s">
        <v>530</v>
      </c>
      <c r="Q113" s="43" t="s">
        <v>376</v>
      </c>
      <c r="R113" s="43" t="s">
        <v>532</v>
      </c>
      <c r="S113" s="43" t="s">
        <v>382</v>
      </c>
      <c r="T113" s="43">
        <v>10</v>
      </c>
      <c r="U113" s="43">
        <v>-45.253100000000003</v>
      </c>
      <c r="V113" s="28">
        <v>-3.876E-7</v>
      </c>
      <c r="W113" s="43" t="s">
        <v>910</v>
      </c>
      <c r="X113" s="43" t="s">
        <v>65</v>
      </c>
    </row>
    <row r="114" spans="2:24" x14ac:dyDescent="0.2">
      <c r="B114" s="43" t="s">
        <v>180</v>
      </c>
      <c r="C114" s="43">
        <v>277</v>
      </c>
      <c r="D114" s="43" t="s">
        <v>533</v>
      </c>
      <c r="E114" s="43" t="s">
        <v>106</v>
      </c>
      <c r="F114" s="43" t="s">
        <v>534</v>
      </c>
      <c r="G114" s="43" t="s">
        <v>380</v>
      </c>
      <c r="H114" s="43">
        <v>60</v>
      </c>
      <c r="I114" s="43">
        <v>-72.884600000000006</v>
      </c>
      <c r="J114" s="28">
        <v>-4.8699999999999995E-7</v>
      </c>
      <c r="K114" s="43" t="s">
        <v>910</v>
      </c>
      <c r="L114" s="43" t="s">
        <v>65</v>
      </c>
      <c r="N114" s="43" t="s">
        <v>180</v>
      </c>
      <c r="O114" s="43">
        <v>277</v>
      </c>
      <c r="P114" s="43" t="s">
        <v>533</v>
      </c>
      <c r="Q114" s="43" t="s">
        <v>376</v>
      </c>
      <c r="R114" s="43" t="s">
        <v>534</v>
      </c>
      <c r="S114" s="43" t="s">
        <v>380</v>
      </c>
      <c r="T114" s="43">
        <v>10</v>
      </c>
      <c r="U114" s="43">
        <v>-73.135599999999997</v>
      </c>
      <c r="V114" s="28">
        <v>-4.8859999999999997E-7</v>
      </c>
      <c r="W114" s="43" t="s">
        <v>910</v>
      </c>
      <c r="X114" s="43" t="s">
        <v>65</v>
      </c>
    </row>
    <row r="115" spans="2:24" x14ac:dyDescent="0.2">
      <c r="B115" s="43" t="s">
        <v>180</v>
      </c>
      <c r="C115" s="43">
        <v>277</v>
      </c>
      <c r="D115" s="43" t="s">
        <v>533</v>
      </c>
      <c r="E115" s="43" t="s">
        <v>106</v>
      </c>
      <c r="F115" s="43" t="s">
        <v>535</v>
      </c>
      <c r="G115" s="43" t="s">
        <v>382</v>
      </c>
      <c r="H115" s="43">
        <v>60</v>
      </c>
      <c r="I115" s="43">
        <v>-72.821200000000005</v>
      </c>
      <c r="J115" s="28">
        <v>-4.8650000000000002E-7</v>
      </c>
      <c r="K115" s="43" t="s">
        <v>910</v>
      </c>
      <c r="L115" s="43" t="s">
        <v>65</v>
      </c>
      <c r="N115" s="43" t="s">
        <v>180</v>
      </c>
      <c r="O115" s="43">
        <v>277</v>
      </c>
      <c r="P115" s="43" t="s">
        <v>533</v>
      </c>
      <c r="Q115" s="43" t="s">
        <v>376</v>
      </c>
      <c r="R115" s="43" t="s">
        <v>535</v>
      </c>
      <c r="S115" s="43" t="s">
        <v>382</v>
      </c>
      <c r="T115" s="43">
        <v>10</v>
      </c>
      <c r="U115" s="43">
        <v>-72.570300000000003</v>
      </c>
      <c r="V115" s="28">
        <v>-4.8490000000000001E-7</v>
      </c>
      <c r="W115" s="43" t="s">
        <v>910</v>
      </c>
      <c r="X115" s="43" t="s">
        <v>65</v>
      </c>
    </row>
    <row r="116" spans="2:24" x14ac:dyDescent="0.2">
      <c r="B116" s="43" t="s">
        <v>180</v>
      </c>
      <c r="C116" s="43">
        <v>280</v>
      </c>
      <c r="D116" s="43" t="s">
        <v>536</v>
      </c>
      <c r="E116" s="43" t="s">
        <v>106</v>
      </c>
      <c r="F116" s="43" t="s">
        <v>537</v>
      </c>
      <c r="G116" s="43" t="s">
        <v>380</v>
      </c>
      <c r="H116" s="43">
        <v>60</v>
      </c>
      <c r="I116" s="43">
        <v>-56.927599999999998</v>
      </c>
      <c r="J116" s="28">
        <v>-3.8770000000000001E-7</v>
      </c>
      <c r="K116" s="43" t="s">
        <v>910</v>
      </c>
      <c r="L116" s="43" t="s">
        <v>65</v>
      </c>
      <c r="N116" s="43" t="s">
        <v>180</v>
      </c>
      <c r="O116" s="43">
        <v>280</v>
      </c>
      <c r="P116" s="43" t="s">
        <v>536</v>
      </c>
      <c r="Q116" s="43" t="s">
        <v>376</v>
      </c>
      <c r="R116" s="43" t="s">
        <v>537</v>
      </c>
      <c r="S116" s="43" t="s">
        <v>380</v>
      </c>
      <c r="T116" s="43">
        <v>10</v>
      </c>
      <c r="U116" s="43">
        <v>-57.174599999999998</v>
      </c>
      <c r="V116" s="28">
        <v>-3.8939999999999998E-7</v>
      </c>
      <c r="W116" s="43" t="s">
        <v>910</v>
      </c>
      <c r="X116" s="43" t="s">
        <v>65</v>
      </c>
    </row>
    <row r="117" spans="2:24" x14ac:dyDescent="0.2">
      <c r="B117" s="43" t="s">
        <v>180</v>
      </c>
      <c r="C117" s="43">
        <v>280</v>
      </c>
      <c r="D117" s="43" t="s">
        <v>536</v>
      </c>
      <c r="E117" s="43" t="s">
        <v>106</v>
      </c>
      <c r="F117" s="43" t="s">
        <v>538</v>
      </c>
      <c r="G117" s="43" t="s">
        <v>382</v>
      </c>
      <c r="H117" s="43">
        <v>60</v>
      </c>
      <c r="I117" s="43">
        <v>-56.915100000000002</v>
      </c>
      <c r="J117" s="28">
        <v>-3.8770000000000001E-7</v>
      </c>
      <c r="K117" s="43" t="s">
        <v>910</v>
      </c>
      <c r="L117" s="43" t="s">
        <v>65</v>
      </c>
      <c r="N117" s="43" t="s">
        <v>180</v>
      </c>
      <c r="O117" s="43">
        <v>280</v>
      </c>
      <c r="P117" s="43" t="s">
        <v>536</v>
      </c>
      <c r="Q117" s="43" t="s">
        <v>376</v>
      </c>
      <c r="R117" s="43" t="s">
        <v>538</v>
      </c>
      <c r="S117" s="43" t="s">
        <v>382</v>
      </c>
      <c r="T117" s="43">
        <v>10</v>
      </c>
      <c r="U117" s="43">
        <v>-56.668399999999998</v>
      </c>
      <c r="V117" s="28">
        <v>-3.8599999999999999E-7</v>
      </c>
      <c r="W117" s="43" t="s">
        <v>910</v>
      </c>
      <c r="X117" s="43" t="s">
        <v>65</v>
      </c>
    </row>
    <row r="118" spans="2:24" x14ac:dyDescent="0.2">
      <c r="B118" s="43" t="s">
        <v>180</v>
      </c>
      <c r="C118" s="43">
        <v>283</v>
      </c>
      <c r="D118" s="43" t="s">
        <v>539</v>
      </c>
      <c r="E118" s="43" t="s">
        <v>106</v>
      </c>
      <c r="F118" s="43" t="s">
        <v>540</v>
      </c>
      <c r="G118" s="43" t="s">
        <v>380</v>
      </c>
      <c r="H118" s="43">
        <v>60</v>
      </c>
      <c r="I118" s="43">
        <v>-57.2</v>
      </c>
      <c r="J118" s="28">
        <v>-3.8959999999999999E-7</v>
      </c>
      <c r="K118" s="43" t="s">
        <v>910</v>
      </c>
      <c r="L118" s="43" t="s">
        <v>65</v>
      </c>
      <c r="N118" s="43" t="s">
        <v>180</v>
      </c>
      <c r="O118" s="43">
        <v>283</v>
      </c>
      <c r="P118" s="43" t="s">
        <v>539</v>
      </c>
      <c r="Q118" s="43" t="s">
        <v>376</v>
      </c>
      <c r="R118" s="43" t="s">
        <v>540</v>
      </c>
      <c r="S118" s="43" t="s">
        <v>380</v>
      </c>
      <c r="T118" s="43">
        <v>10</v>
      </c>
      <c r="U118" s="43">
        <v>-57.446800000000003</v>
      </c>
      <c r="V118" s="28">
        <v>-3.9130000000000002E-7</v>
      </c>
      <c r="W118" s="43" t="s">
        <v>910</v>
      </c>
      <c r="X118" s="43" t="s">
        <v>65</v>
      </c>
    </row>
    <row r="119" spans="2:24" x14ac:dyDescent="0.2">
      <c r="B119" s="43" t="s">
        <v>180</v>
      </c>
      <c r="C119" s="43">
        <v>283</v>
      </c>
      <c r="D119" s="43" t="s">
        <v>539</v>
      </c>
      <c r="E119" s="43" t="s">
        <v>106</v>
      </c>
      <c r="F119" s="43" t="s">
        <v>541</v>
      </c>
      <c r="G119" s="43" t="s">
        <v>382</v>
      </c>
      <c r="H119" s="43">
        <v>60</v>
      </c>
      <c r="I119" s="43">
        <v>-57.227899999999998</v>
      </c>
      <c r="J119" s="28">
        <v>-3.8980000000000001E-7</v>
      </c>
      <c r="K119" s="43" t="s">
        <v>910</v>
      </c>
      <c r="L119" s="43" t="s">
        <v>65</v>
      </c>
      <c r="N119" s="43" t="s">
        <v>180</v>
      </c>
      <c r="O119" s="43">
        <v>283</v>
      </c>
      <c r="P119" s="43" t="s">
        <v>539</v>
      </c>
      <c r="Q119" s="43" t="s">
        <v>376</v>
      </c>
      <c r="R119" s="43" t="s">
        <v>541</v>
      </c>
      <c r="S119" s="43" t="s">
        <v>382</v>
      </c>
      <c r="T119" s="43">
        <v>10</v>
      </c>
      <c r="U119" s="43">
        <v>-56.980499999999999</v>
      </c>
      <c r="V119" s="28">
        <v>-3.8809999999999999E-7</v>
      </c>
      <c r="W119" s="43" t="s">
        <v>910</v>
      </c>
      <c r="X119" s="43" t="s">
        <v>65</v>
      </c>
    </row>
    <row r="120" spans="2:24" x14ac:dyDescent="0.2">
      <c r="B120" s="43" t="s">
        <v>180</v>
      </c>
      <c r="C120" s="43">
        <v>286</v>
      </c>
      <c r="D120" s="43" t="s">
        <v>542</v>
      </c>
      <c r="E120" s="43" t="s">
        <v>106</v>
      </c>
      <c r="F120" s="43" t="s">
        <v>543</v>
      </c>
      <c r="G120" s="43" t="s">
        <v>380</v>
      </c>
      <c r="H120" s="43">
        <v>60</v>
      </c>
      <c r="I120" s="43">
        <v>-72.991100000000003</v>
      </c>
      <c r="J120" s="28">
        <v>-4.8770000000000001E-7</v>
      </c>
      <c r="K120" s="43" t="s">
        <v>910</v>
      </c>
      <c r="L120" s="43" t="s">
        <v>65</v>
      </c>
      <c r="N120" s="43" t="s">
        <v>180</v>
      </c>
      <c r="O120" s="43">
        <v>286</v>
      </c>
      <c r="P120" s="43" t="s">
        <v>542</v>
      </c>
      <c r="Q120" s="43" t="s">
        <v>376</v>
      </c>
      <c r="R120" s="43" t="s">
        <v>543</v>
      </c>
      <c r="S120" s="43" t="s">
        <v>380</v>
      </c>
      <c r="T120" s="43">
        <v>10</v>
      </c>
      <c r="U120" s="43">
        <v>-73.242999999999995</v>
      </c>
      <c r="V120" s="28">
        <v>-4.8940000000000003E-7</v>
      </c>
      <c r="W120" s="43" t="s">
        <v>910</v>
      </c>
      <c r="X120" s="43" t="s">
        <v>65</v>
      </c>
    </row>
    <row r="121" spans="2:24" x14ac:dyDescent="0.2">
      <c r="B121" s="43" t="s">
        <v>180</v>
      </c>
      <c r="C121" s="43">
        <v>286</v>
      </c>
      <c r="D121" s="43" t="s">
        <v>542</v>
      </c>
      <c r="E121" s="43" t="s">
        <v>106</v>
      </c>
      <c r="F121" s="43" t="s">
        <v>544</v>
      </c>
      <c r="G121" s="43" t="s">
        <v>382</v>
      </c>
      <c r="H121" s="43">
        <v>60</v>
      </c>
      <c r="I121" s="43">
        <v>-72.517799999999994</v>
      </c>
      <c r="J121" s="28">
        <v>-4.8449999999999998E-7</v>
      </c>
      <c r="K121" s="43" t="s">
        <v>910</v>
      </c>
      <c r="L121" s="43" t="s">
        <v>65</v>
      </c>
      <c r="N121" s="43" t="s">
        <v>180</v>
      </c>
      <c r="O121" s="43">
        <v>286</v>
      </c>
      <c r="P121" s="43" t="s">
        <v>542</v>
      </c>
      <c r="Q121" s="43" t="s">
        <v>376</v>
      </c>
      <c r="R121" s="43" t="s">
        <v>544</v>
      </c>
      <c r="S121" s="43" t="s">
        <v>382</v>
      </c>
      <c r="T121" s="43">
        <v>10</v>
      </c>
      <c r="U121" s="43">
        <v>-72.266400000000004</v>
      </c>
      <c r="V121" s="28">
        <v>-4.8279999999999996E-7</v>
      </c>
      <c r="W121" s="43" t="s">
        <v>910</v>
      </c>
      <c r="X121" s="43" t="s">
        <v>65</v>
      </c>
    </row>
    <row r="122" spans="2:24" x14ac:dyDescent="0.2">
      <c r="B122" s="43" t="s">
        <v>180</v>
      </c>
      <c r="C122" s="43">
        <v>289</v>
      </c>
      <c r="D122" s="43" t="s">
        <v>545</v>
      </c>
      <c r="E122" s="43" t="s">
        <v>106</v>
      </c>
      <c r="F122" s="43" t="s">
        <v>546</v>
      </c>
      <c r="G122" s="43" t="s">
        <v>380</v>
      </c>
      <c r="H122" s="43">
        <v>60</v>
      </c>
      <c r="I122" s="43">
        <v>-40.904899999999998</v>
      </c>
      <c r="J122" s="28">
        <v>-3.5040000000000001E-7</v>
      </c>
      <c r="K122" s="43" t="s">
        <v>910</v>
      </c>
      <c r="L122" s="43" t="s">
        <v>65</v>
      </c>
      <c r="N122" s="43" t="s">
        <v>180</v>
      </c>
      <c r="O122" s="43">
        <v>289</v>
      </c>
      <c r="P122" s="43" t="s">
        <v>545</v>
      </c>
      <c r="Q122" s="43" t="s">
        <v>376</v>
      </c>
      <c r="R122" s="43" t="s">
        <v>546</v>
      </c>
      <c r="S122" s="43" t="s">
        <v>380</v>
      </c>
      <c r="T122" s="43">
        <v>10</v>
      </c>
      <c r="U122" s="43">
        <v>-41.106699999999996</v>
      </c>
      <c r="V122" s="28">
        <v>-3.5209999999999998E-7</v>
      </c>
      <c r="W122" s="43" t="s">
        <v>910</v>
      </c>
      <c r="X122" s="43" t="s">
        <v>65</v>
      </c>
    </row>
    <row r="123" spans="2:24" x14ac:dyDescent="0.2">
      <c r="B123" s="43" t="s">
        <v>180</v>
      </c>
      <c r="C123" s="43">
        <v>289</v>
      </c>
      <c r="D123" s="43" t="s">
        <v>545</v>
      </c>
      <c r="E123" s="43" t="s">
        <v>106</v>
      </c>
      <c r="F123" s="43" t="s">
        <v>547</v>
      </c>
      <c r="G123" s="43" t="s">
        <v>382</v>
      </c>
      <c r="H123" s="43">
        <v>60</v>
      </c>
      <c r="I123" s="43">
        <v>-40.882899999999999</v>
      </c>
      <c r="J123" s="28">
        <v>-3.502E-7</v>
      </c>
      <c r="K123" s="43" t="s">
        <v>910</v>
      </c>
      <c r="L123" s="43" t="s">
        <v>65</v>
      </c>
      <c r="N123" s="43" t="s">
        <v>180</v>
      </c>
      <c r="O123" s="43">
        <v>289</v>
      </c>
      <c r="P123" s="43" t="s">
        <v>545</v>
      </c>
      <c r="Q123" s="43" t="s">
        <v>376</v>
      </c>
      <c r="R123" s="43" t="s">
        <v>547</v>
      </c>
      <c r="S123" s="43" t="s">
        <v>382</v>
      </c>
      <c r="T123" s="43">
        <v>10</v>
      </c>
      <c r="U123" s="43">
        <v>-40.686300000000003</v>
      </c>
      <c r="V123" s="28">
        <v>-3.4849999999999998E-7</v>
      </c>
      <c r="W123" s="43" t="s">
        <v>910</v>
      </c>
      <c r="X123" s="43" t="s">
        <v>65</v>
      </c>
    </row>
    <row r="124" spans="2:24" x14ac:dyDescent="0.2">
      <c r="B124" s="43" t="s">
        <v>180</v>
      </c>
      <c r="C124" s="43">
        <v>301</v>
      </c>
      <c r="D124" s="43" t="s">
        <v>548</v>
      </c>
      <c r="E124" s="43" t="s">
        <v>106</v>
      </c>
      <c r="F124" s="43" t="s">
        <v>549</v>
      </c>
      <c r="G124" s="43" t="s">
        <v>380</v>
      </c>
      <c r="H124" s="43">
        <v>60</v>
      </c>
      <c r="I124" s="43">
        <v>-55.896799999999999</v>
      </c>
      <c r="J124" s="28">
        <v>-4.1740000000000002E-7</v>
      </c>
      <c r="K124" s="43" t="s">
        <v>910</v>
      </c>
      <c r="L124" s="43" t="s">
        <v>65</v>
      </c>
      <c r="N124" s="43" t="s">
        <v>180</v>
      </c>
      <c r="O124" s="43">
        <v>301</v>
      </c>
      <c r="P124" s="43" t="s">
        <v>548</v>
      </c>
      <c r="Q124" s="43" t="s">
        <v>376</v>
      </c>
      <c r="R124" s="43" t="s">
        <v>549</v>
      </c>
      <c r="S124" s="43" t="s">
        <v>380</v>
      </c>
      <c r="T124" s="43">
        <v>10</v>
      </c>
      <c r="U124" s="43">
        <v>-55.863700000000001</v>
      </c>
      <c r="V124" s="28">
        <v>-4.171E-7</v>
      </c>
      <c r="W124" s="43" t="s">
        <v>910</v>
      </c>
      <c r="X124" s="43" t="s">
        <v>65</v>
      </c>
    </row>
    <row r="125" spans="2:24" x14ac:dyDescent="0.2">
      <c r="B125" s="43" t="s">
        <v>180</v>
      </c>
      <c r="C125" s="43">
        <v>301</v>
      </c>
      <c r="D125" s="43" t="s">
        <v>548</v>
      </c>
      <c r="E125" s="43" t="s">
        <v>106</v>
      </c>
      <c r="F125" s="43" t="s">
        <v>550</v>
      </c>
      <c r="G125" s="43" t="s">
        <v>382</v>
      </c>
      <c r="H125" s="43">
        <v>60</v>
      </c>
      <c r="I125" s="43">
        <v>7.8929</v>
      </c>
      <c r="J125" s="28">
        <v>5.8929999999999999E-8</v>
      </c>
      <c r="K125" s="43" t="s">
        <v>910</v>
      </c>
      <c r="L125" s="43" t="s">
        <v>65</v>
      </c>
      <c r="N125" s="43" t="s">
        <v>180</v>
      </c>
      <c r="O125" s="43">
        <v>301</v>
      </c>
      <c r="P125" s="43" t="s">
        <v>548</v>
      </c>
      <c r="Q125" s="43" t="s">
        <v>376</v>
      </c>
      <c r="R125" s="43" t="s">
        <v>550</v>
      </c>
      <c r="S125" s="43" t="s">
        <v>382</v>
      </c>
      <c r="T125" s="43">
        <v>10</v>
      </c>
      <c r="U125" s="43">
        <v>7.8628</v>
      </c>
      <c r="V125" s="28">
        <v>5.8710000000000001E-8</v>
      </c>
      <c r="W125" s="43" t="s">
        <v>910</v>
      </c>
      <c r="X125" s="43" t="s">
        <v>65</v>
      </c>
    </row>
    <row r="126" spans="2:24" x14ac:dyDescent="0.2">
      <c r="B126" s="43" t="s">
        <v>180</v>
      </c>
      <c r="C126" s="43">
        <v>302</v>
      </c>
      <c r="D126" s="43" t="s">
        <v>551</v>
      </c>
      <c r="E126" s="43" t="s">
        <v>106</v>
      </c>
      <c r="F126" s="43" t="s">
        <v>552</v>
      </c>
      <c r="G126" s="43" t="s">
        <v>380</v>
      </c>
      <c r="H126" s="43">
        <v>60</v>
      </c>
      <c r="I126" s="43">
        <v>-44.431199999999997</v>
      </c>
      <c r="J126" s="28">
        <v>-3.3179999999999999E-7</v>
      </c>
      <c r="K126" s="43" t="s">
        <v>910</v>
      </c>
      <c r="L126" s="43" t="s">
        <v>65</v>
      </c>
      <c r="N126" s="43" t="s">
        <v>180</v>
      </c>
      <c r="O126" s="43">
        <v>302</v>
      </c>
      <c r="P126" s="43" t="s">
        <v>551</v>
      </c>
      <c r="Q126" s="43" t="s">
        <v>376</v>
      </c>
      <c r="R126" s="43" t="s">
        <v>552</v>
      </c>
      <c r="S126" s="43" t="s">
        <v>380</v>
      </c>
      <c r="T126" s="43">
        <v>10</v>
      </c>
      <c r="U126" s="43">
        <v>-44.4024</v>
      </c>
      <c r="V126" s="28">
        <v>-3.3150000000000002E-7</v>
      </c>
      <c r="W126" s="43" t="s">
        <v>910</v>
      </c>
      <c r="X126" s="43" t="s">
        <v>65</v>
      </c>
    </row>
    <row r="127" spans="2:24" x14ac:dyDescent="0.2">
      <c r="B127" s="43" t="s">
        <v>180</v>
      </c>
      <c r="C127" s="43">
        <v>302</v>
      </c>
      <c r="D127" s="43" t="s">
        <v>551</v>
      </c>
      <c r="E127" s="43" t="s">
        <v>106</v>
      </c>
      <c r="F127" s="43" t="s">
        <v>553</v>
      </c>
      <c r="G127" s="43" t="s">
        <v>382</v>
      </c>
      <c r="H127" s="43">
        <v>60</v>
      </c>
      <c r="I127" s="43">
        <v>-0.93110000000000004</v>
      </c>
      <c r="J127" s="28">
        <v>-6.952E-9</v>
      </c>
      <c r="K127" s="43" t="s">
        <v>910</v>
      </c>
      <c r="L127" s="43" t="s">
        <v>65</v>
      </c>
      <c r="N127" s="43" t="s">
        <v>180</v>
      </c>
      <c r="O127" s="43">
        <v>302</v>
      </c>
      <c r="P127" s="43" t="s">
        <v>551</v>
      </c>
      <c r="Q127" s="43" t="s">
        <v>376</v>
      </c>
      <c r="R127" s="43" t="s">
        <v>553</v>
      </c>
      <c r="S127" s="43" t="s">
        <v>382</v>
      </c>
      <c r="T127" s="43">
        <v>10</v>
      </c>
      <c r="U127" s="43">
        <v>-0.96099999999999997</v>
      </c>
      <c r="V127" s="28">
        <v>-7.176E-9</v>
      </c>
      <c r="W127" s="43" t="s">
        <v>910</v>
      </c>
      <c r="X127" s="43" t="s">
        <v>65</v>
      </c>
    </row>
    <row r="128" spans="2:24" x14ac:dyDescent="0.2">
      <c r="B128" s="43" t="s">
        <v>180</v>
      </c>
      <c r="C128" s="43">
        <v>303</v>
      </c>
      <c r="D128" s="43" t="s">
        <v>551</v>
      </c>
      <c r="E128" s="43" t="s">
        <v>106</v>
      </c>
      <c r="F128" s="43" t="s">
        <v>554</v>
      </c>
      <c r="G128" s="43" t="s">
        <v>380</v>
      </c>
      <c r="H128" s="43">
        <v>60</v>
      </c>
      <c r="I128" s="43">
        <v>-54.2639</v>
      </c>
      <c r="J128" s="28">
        <v>-4.2829999999999999E-7</v>
      </c>
      <c r="K128" s="43" t="s">
        <v>910</v>
      </c>
      <c r="L128" s="43" t="s">
        <v>65</v>
      </c>
      <c r="N128" s="43" t="s">
        <v>180</v>
      </c>
      <c r="O128" s="43">
        <v>303</v>
      </c>
      <c r="P128" s="43" t="s">
        <v>551</v>
      </c>
      <c r="Q128" s="43" t="s">
        <v>376</v>
      </c>
      <c r="R128" s="43" t="s">
        <v>554</v>
      </c>
      <c r="S128" s="43" t="s">
        <v>380</v>
      </c>
      <c r="T128" s="43">
        <v>10</v>
      </c>
      <c r="U128" s="43">
        <v>-54.234400000000001</v>
      </c>
      <c r="V128" s="28">
        <v>-4.2809999999999998E-7</v>
      </c>
      <c r="W128" s="43" t="s">
        <v>910</v>
      </c>
      <c r="X128" s="43" t="s">
        <v>65</v>
      </c>
    </row>
    <row r="129" spans="2:24" x14ac:dyDescent="0.2">
      <c r="B129" s="43" t="s">
        <v>180</v>
      </c>
      <c r="C129" s="43">
        <v>303</v>
      </c>
      <c r="D129" s="43" t="s">
        <v>551</v>
      </c>
      <c r="E129" s="43" t="s">
        <v>106</v>
      </c>
      <c r="F129" s="43" t="s">
        <v>555</v>
      </c>
      <c r="G129" s="43" t="s">
        <v>382</v>
      </c>
      <c r="H129" s="43">
        <v>60</v>
      </c>
      <c r="I129" s="43">
        <v>-2.6970999999999998</v>
      </c>
      <c r="J129" s="28">
        <v>-2.1290000000000001E-8</v>
      </c>
      <c r="K129" s="43" t="s">
        <v>910</v>
      </c>
      <c r="L129" s="43" t="s">
        <v>65</v>
      </c>
      <c r="N129" s="43" t="s">
        <v>180</v>
      </c>
      <c r="O129" s="43">
        <v>303</v>
      </c>
      <c r="P129" s="43" t="s">
        <v>551</v>
      </c>
      <c r="Q129" s="43" t="s">
        <v>376</v>
      </c>
      <c r="R129" s="43" t="s">
        <v>555</v>
      </c>
      <c r="S129" s="43" t="s">
        <v>382</v>
      </c>
      <c r="T129" s="43">
        <v>10</v>
      </c>
      <c r="U129" s="43">
        <v>-2.726</v>
      </c>
      <c r="V129" s="28">
        <v>-2.152E-8</v>
      </c>
      <c r="W129" s="43" t="s">
        <v>910</v>
      </c>
      <c r="X129" s="43" t="s">
        <v>65</v>
      </c>
    </row>
    <row r="130" spans="2:24" x14ac:dyDescent="0.2">
      <c r="B130" s="43" t="s">
        <v>180</v>
      </c>
      <c r="C130" s="43">
        <v>304</v>
      </c>
      <c r="D130" s="43" t="s">
        <v>551</v>
      </c>
      <c r="E130" s="43" t="s">
        <v>106</v>
      </c>
      <c r="F130" s="43" t="s">
        <v>556</v>
      </c>
      <c r="G130" s="43" t="s">
        <v>380</v>
      </c>
      <c r="H130" s="43">
        <v>60</v>
      </c>
      <c r="I130" s="43">
        <v>-54.862699999999997</v>
      </c>
      <c r="J130" s="28">
        <v>-4.0960000000000001E-7</v>
      </c>
      <c r="K130" s="43" t="s">
        <v>910</v>
      </c>
      <c r="L130" s="43" t="s">
        <v>65</v>
      </c>
      <c r="N130" s="43" t="s">
        <v>180</v>
      </c>
      <c r="O130" s="43">
        <v>304</v>
      </c>
      <c r="P130" s="43" t="s">
        <v>551</v>
      </c>
      <c r="Q130" s="43" t="s">
        <v>376</v>
      </c>
      <c r="R130" s="43" t="s">
        <v>556</v>
      </c>
      <c r="S130" s="43" t="s">
        <v>380</v>
      </c>
      <c r="T130" s="43">
        <v>10</v>
      </c>
      <c r="U130" s="43">
        <v>-54.831499999999998</v>
      </c>
      <c r="V130" s="28">
        <v>-4.094E-7</v>
      </c>
      <c r="W130" s="43" t="s">
        <v>910</v>
      </c>
      <c r="X130" s="43" t="s">
        <v>65</v>
      </c>
    </row>
    <row r="131" spans="2:24" x14ac:dyDescent="0.2">
      <c r="B131" s="43" t="s">
        <v>180</v>
      </c>
      <c r="C131" s="43">
        <v>304</v>
      </c>
      <c r="D131" s="43" t="s">
        <v>551</v>
      </c>
      <c r="E131" s="43" t="s">
        <v>106</v>
      </c>
      <c r="F131" s="43" t="s">
        <v>557</v>
      </c>
      <c r="G131" s="43" t="s">
        <v>382</v>
      </c>
      <c r="H131" s="43">
        <v>60</v>
      </c>
      <c r="I131" s="43">
        <v>7.2019000000000002</v>
      </c>
      <c r="J131" s="28">
        <v>5.3769999999999998E-8</v>
      </c>
      <c r="K131" s="43" t="s">
        <v>910</v>
      </c>
      <c r="L131" s="43" t="s">
        <v>65</v>
      </c>
      <c r="N131" s="43" t="s">
        <v>180</v>
      </c>
      <c r="O131" s="43">
        <v>304</v>
      </c>
      <c r="P131" s="43" t="s">
        <v>551</v>
      </c>
      <c r="Q131" s="43" t="s">
        <v>376</v>
      </c>
      <c r="R131" s="43" t="s">
        <v>557</v>
      </c>
      <c r="S131" s="43" t="s">
        <v>382</v>
      </c>
      <c r="T131" s="43">
        <v>10</v>
      </c>
      <c r="U131" s="43">
        <v>7.1722000000000001</v>
      </c>
      <c r="V131" s="28">
        <v>5.355E-8</v>
      </c>
      <c r="W131" s="43" t="s">
        <v>910</v>
      </c>
      <c r="X131" s="43" t="s">
        <v>65</v>
      </c>
    </row>
    <row r="132" spans="2:24" x14ac:dyDescent="0.2">
      <c r="B132" s="43" t="s">
        <v>180</v>
      </c>
      <c r="C132" s="43">
        <v>305</v>
      </c>
      <c r="D132" s="43" t="s">
        <v>558</v>
      </c>
      <c r="E132" s="43" t="s">
        <v>106</v>
      </c>
      <c r="F132" s="43" t="s">
        <v>559</v>
      </c>
      <c r="G132" s="43" t="s">
        <v>380</v>
      </c>
      <c r="H132" s="43">
        <v>60</v>
      </c>
      <c r="I132" s="43">
        <v>-44.253100000000003</v>
      </c>
      <c r="J132" s="28">
        <v>-3.3039999999999999E-7</v>
      </c>
      <c r="K132" s="43" t="s">
        <v>910</v>
      </c>
      <c r="L132" s="43" t="s">
        <v>65</v>
      </c>
      <c r="N132" s="43" t="s">
        <v>180</v>
      </c>
      <c r="O132" s="43">
        <v>305</v>
      </c>
      <c r="P132" s="43" t="s">
        <v>558</v>
      </c>
      <c r="Q132" s="43" t="s">
        <v>376</v>
      </c>
      <c r="R132" s="43" t="s">
        <v>559</v>
      </c>
      <c r="S132" s="43" t="s">
        <v>380</v>
      </c>
      <c r="T132" s="43">
        <v>10</v>
      </c>
      <c r="U132" s="43">
        <v>-44.223599999999998</v>
      </c>
      <c r="V132" s="28">
        <v>-3.3019999999999998E-7</v>
      </c>
      <c r="W132" s="43" t="s">
        <v>910</v>
      </c>
      <c r="X132" s="43" t="s">
        <v>65</v>
      </c>
    </row>
    <row r="133" spans="2:24" x14ac:dyDescent="0.2">
      <c r="B133" s="43" t="s">
        <v>180</v>
      </c>
      <c r="C133" s="43">
        <v>305</v>
      </c>
      <c r="D133" s="43" t="s">
        <v>558</v>
      </c>
      <c r="E133" s="43" t="s">
        <v>106</v>
      </c>
      <c r="F133" s="43" t="s">
        <v>560</v>
      </c>
      <c r="G133" s="43" t="s">
        <v>382</v>
      </c>
      <c r="H133" s="43">
        <v>60</v>
      </c>
      <c r="I133" s="43">
        <v>0.52210000000000001</v>
      </c>
      <c r="J133" s="28">
        <v>3.8980000000000004E-9</v>
      </c>
      <c r="K133" s="43" t="s">
        <v>910</v>
      </c>
      <c r="L133" s="43" t="s">
        <v>65</v>
      </c>
      <c r="N133" s="43" t="s">
        <v>180</v>
      </c>
      <c r="O133" s="43">
        <v>305</v>
      </c>
      <c r="P133" s="43" t="s">
        <v>558</v>
      </c>
      <c r="Q133" s="43" t="s">
        <v>376</v>
      </c>
      <c r="R133" s="43" t="s">
        <v>560</v>
      </c>
      <c r="S133" s="43" t="s">
        <v>382</v>
      </c>
      <c r="T133" s="43">
        <v>10</v>
      </c>
      <c r="U133" s="43">
        <v>0.49020000000000002</v>
      </c>
      <c r="V133" s="28">
        <v>3.6600000000000002E-9</v>
      </c>
      <c r="W133" s="43" t="s">
        <v>910</v>
      </c>
      <c r="X133" s="43" t="s">
        <v>65</v>
      </c>
    </row>
    <row r="134" spans="2:24" x14ac:dyDescent="0.2">
      <c r="B134" s="43" t="s">
        <v>180</v>
      </c>
      <c r="C134" s="43">
        <v>275</v>
      </c>
      <c r="D134" s="43" t="s">
        <v>561</v>
      </c>
      <c r="E134" s="43" t="s">
        <v>106</v>
      </c>
      <c r="F134" s="43" t="s">
        <v>562</v>
      </c>
      <c r="G134" s="43" t="s">
        <v>380</v>
      </c>
      <c r="H134" s="43">
        <v>60</v>
      </c>
      <c r="I134" s="43">
        <v>-47.976799999999997</v>
      </c>
      <c r="J134" s="28">
        <v>-4.5400000000000002E-7</v>
      </c>
      <c r="K134" s="43" t="s">
        <v>910</v>
      </c>
      <c r="L134" s="43" t="s">
        <v>65</v>
      </c>
      <c r="N134" s="43" t="s">
        <v>180</v>
      </c>
      <c r="O134" s="43">
        <v>275</v>
      </c>
      <c r="P134" s="43" t="s">
        <v>561</v>
      </c>
      <c r="Q134" s="43" t="s">
        <v>376</v>
      </c>
      <c r="R134" s="43" t="s">
        <v>562</v>
      </c>
      <c r="S134" s="43" t="s">
        <v>380</v>
      </c>
      <c r="T134" s="43">
        <v>10</v>
      </c>
      <c r="U134" s="43">
        <v>-48.154000000000003</v>
      </c>
      <c r="V134" s="28">
        <v>-4.5569999999999998E-7</v>
      </c>
      <c r="W134" s="43" t="s">
        <v>910</v>
      </c>
      <c r="X134" s="43" t="s">
        <v>65</v>
      </c>
    </row>
    <row r="135" spans="2:24" x14ac:dyDescent="0.2">
      <c r="B135" s="43" t="s">
        <v>180</v>
      </c>
      <c r="C135" s="43">
        <v>275</v>
      </c>
      <c r="D135" s="43" t="s">
        <v>561</v>
      </c>
      <c r="E135" s="43" t="s">
        <v>106</v>
      </c>
      <c r="F135" s="43" t="s">
        <v>563</v>
      </c>
      <c r="G135" s="43" t="s">
        <v>382</v>
      </c>
      <c r="H135" s="43">
        <v>60</v>
      </c>
      <c r="I135" s="43">
        <v>-49.556699999999999</v>
      </c>
      <c r="J135" s="28">
        <v>-4.6890000000000002E-7</v>
      </c>
      <c r="K135" s="43" t="s">
        <v>910</v>
      </c>
      <c r="L135" s="43" t="s">
        <v>65</v>
      </c>
      <c r="N135" s="43" t="s">
        <v>180</v>
      </c>
      <c r="O135" s="43">
        <v>275</v>
      </c>
      <c r="P135" s="43" t="s">
        <v>561</v>
      </c>
      <c r="Q135" s="43" t="s">
        <v>376</v>
      </c>
      <c r="R135" s="43" t="s">
        <v>563</v>
      </c>
      <c r="S135" s="43" t="s">
        <v>382</v>
      </c>
      <c r="T135" s="43">
        <v>10</v>
      </c>
      <c r="U135" s="43">
        <v>-49.373899999999999</v>
      </c>
      <c r="V135" s="28">
        <v>-4.672E-7</v>
      </c>
      <c r="W135" s="43" t="s">
        <v>910</v>
      </c>
      <c r="X135" s="43" t="s">
        <v>65</v>
      </c>
    </row>
    <row r="136" spans="2:24" x14ac:dyDescent="0.2">
      <c r="B136" s="43" t="s">
        <v>180</v>
      </c>
      <c r="C136" s="43">
        <v>278</v>
      </c>
      <c r="D136" s="43" t="s">
        <v>564</v>
      </c>
      <c r="E136" s="43" t="s">
        <v>106</v>
      </c>
      <c r="F136" s="43" t="s">
        <v>565</v>
      </c>
      <c r="G136" s="43" t="s">
        <v>380</v>
      </c>
      <c r="H136" s="43">
        <v>60</v>
      </c>
      <c r="I136" s="43">
        <v>-72.007300000000001</v>
      </c>
      <c r="J136" s="28">
        <v>-4.8559999999999995E-7</v>
      </c>
      <c r="K136" s="43" t="s">
        <v>910</v>
      </c>
      <c r="L136" s="43" t="s">
        <v>65</v>
      </c>
      <c r="N136" s="43" t="s">
        <v>180</v>
      </c>
      <c r="O136" s="43">
        <v>278</v>
      </c>
      <c r="P136" s="43" t="s">
        <v>564</v>
      </c>
      <c r="Q136" s="43" t="s">
        <v>376</v>
      </c>
      <c r="R136" s="43" t="s">
        <v>565</v>
      </c>
      <c r="S136" s="43" t="s">
        <v>380</v>
      </c>
      <c r="T136" s="43">
        <v>10</v>
      </c>
      <c r="U136" s="43">
        <v>-72.256600000000006</v>
      </c>
      <c r="V136" s="28">
        <v>-4.8719999999999997E-7</v>
      </c>
      <c r="W136" s="43" t="s">
        <v>910</v>
      </c>
      <c r="X136" s="43" t="s">
        <v>65</v>
      </c>
    </row>
    <row r="137" spans="2:24" x14ac:dyDescent="0.2">
      <c r="B137" s="43" t="s">
        <v>180</v>
      </c>
      <c r="C137" s="43">
        <v>278</v>
      </c>
      <c r="D137" s="43" t="s">
        <v>564</v>
      </c>
      <c r="E137" s="43" t="s">
        <v>106</v>
      </c>
      <c r="F137" s="43" t="s">
        <v>566</v>
      </c>
      <c r="G137" s="43" t="s">
        <v>382</v>
      </c>
      <c r="H137" s="43">
        <v>60</v>
      </c>
      <c r="I137" s="43">
        <v>-58.481299999999997</v>
      </c>
      <c r="J137" s="28">
        <v>-3.9439999999999998E-7</v>
      </c>
      <c r="K137" s="43" t="s">
        <v>910</v>
      </c>
      <c r="L137" s="43" t="s">
        <v>65</v>
      </c>
      <c r="N137" s="43" t="s">
        <v>180</v>
      </c>
      <c r="O137" s="43">
        <v>278</v>
      </c>
      <c r="P137" s="43" t="s">
        <v>564</v>
      </c>
      <c r="Q137" s="43" t="s">
        <v>376</v>
      </c>
      <c r="R137" s="43" t="s">
        <v>566</v>
      </c>
      <c r="S137" s="43" t="s">
        <v>382</v>
      </c>
      <c r="T137" s="43">
        <v>10</v>
      </c>
      <c r="U137" s="43">
        <v>-58.229500000000002</v>
      </c>
      <c r="V137" s="28">
        <v>-3.9270000000000002E-7</v>
      </c>
      <c r="W137" s="43" t="s">
        <v>910</v>
      </c>
      <c r="X137" s="43" t="s">
        <v>65</v>
      </c>
    </row>
    <row r="138" spans="2:24" x14ac:dyDescent="0.2">
      <c r="B138" s="43" t="s">
        <v>180</v>
      </c>
      <c r="C138" s="43">
        <v>281</v>
      </c>
      <c r="D138" s="43" t="s">
        <v>567</v>
      </c>
      <c r="E138" s="43" t="s">
        <v>106</v>
      </c>
      <c r="F138" s="43" t="s">
        <v>568</v>
      </c>
      <c r="G138" s="43" t="s">
        <v>380</v>
      </c>
      <c r="H138" s="43">
        <v>60</v>
      </c>
      <c r="I138" s="43">
        <v>-56.499699999999997</v>
      </c>
      <c r="J138" s="28">
        <v>-3.9939999999999999E-7</v>
      </c>
      <c r="K138" s="43" t="s">
        <v>910</v>
      </c>
      <c r="L138" s="43" t="s">
        <v>65</v>
      </c>
      <c r="N138" s="43" t="s">
        <v>180</v>
      </c>
      <c r="O138" s="43">
        <v>281</v>
      </c>
      <c r="P138" s="43" t="s">
        <v>567</v>
      </c>
      <c r="Q138" s="43" t="s">
        <v>376</v>
      </c>
      <c r="R138" s="43" t="s">
        <v>568</v>
      </c>
      <c r="S138" s="43" t="s">
        <v>380</v>
      </c>
      <c r="T138" s="43">
        <v>10</v>
      </c>
      <c r="U138" s="43">
        <v>-56.741599999999998</v>
      </c>
      <c r="V138" s="28">
        <v>-4.0110000000000001E-7</v>
      </c>
      <c r="W138" s="43" t="s">
        <v>910</v>
      </c>
      <c r="X138" s="43" t="s">
        <v>65</v>
      </c>
    </row>
    <row r="139" spans="2:24" x14ac:dyDescent="0.2">
      <c r="B139" s="43" t="s">
        <v>180</v>
      </c>
      <c r="C139" s="43">
        <v>281</v>
      </c>
      <c r="D139" s="43" t="s">
        <v>567</v>
      </c>
      <c r="E139" s="43" t="s">
        <v>106</v>
      </c>
      <c r="F139" s="43" t="s">
        <v>569</v>
      </c>
      <c r="G139" s="43" t="s">
        <v>382</v>
      </c>
      <c r="H139" s="43">
        <v>60</v>
      </c>
      <c r="I139" s="43">
        <v>-67.694400000000002</v>
      </c>
      <c r="J139" s="28">
        <v>-4.7849999999999995E-7</v>
      </c>
      <c r="K139" s="43" t="s">
        <v>910</v>
      </c>
      <c r="L139" s="43" t="s">
        <v>65</v>
      </c>
      <c r="N139" s="43" t="s">
        <v>180</v>
      </c>
      <c r="O139" s="43">
        <v>281</v>
      </c>
      <c r="P139" s="43" t="s">
        <v>567</v>
      </c>
      <c r="Q139" s="43" t="s">
        <v>376</v>
      </c>
      <c r="R139" s="43" t="s">
        <v>569</v>
      </c>
      <c r="S139" s="43" t="s">
        <v>382</v>
      </c>
      <c r="T139" s="43">
        <v>10</v>
      </c>
      <c r="U139" s="43">
        <v>-67.443399999999997</v>
      </c>
      <c r="V139" s="28">
        <v>-4.7669999999999997E-7</v>
      </c>
      <c r="W139" s="43" t="s">
        <v>910</v>
      </c>
      <c r="X139" s="43" t="s">
        <v>65</v>
      </c>
    </row>
    <row r="140" spans="2:24" x14ac:dyDescent="0.2">
      <c r="B140" s="43" t="s">
        <v>180</v>
      </c>
      <c r="C140" s="43">
        <v>284</v>
      </c>
      <c r="D140" s="43" t="s">
        <v>570</v>
      </c>
      <c r="E140" s="43" t="s">
        <v>106</v>
      </c>
      <c r="F140" s="43" t="s">
        <v>571</v>
      </c>
      <c r="G140" s="43" t="s">
        <v>380</v>
      </c>
      <c r="H140" s="43">
        <v>60</v>
      </c>
      <c r="I140" s="43">
        <v>-56.464799999999997</v>
      </c>
      <c r="J140" s="28">
        <v>-3.9910000000000002E-7</v>
      </c>
      <c r="K140" s="43" t="s">
        <v>910</v>
      </c>
      <c r="L140" s="43" t="s">
        <v>65</v>
      </c>
      <c r="N140" s="43" t="s">
        <v>180</v>
      </c>
      <c r="O140" s="43">
        <v>284</v>
      </c>
      <c r="P140" s="43" t="s">
        <v>570</v>
      </c>
      <c r="Q140" s="43" t="s">
        <v>376</v>
      </c>
      <c r="R140" s="43" t="s">
        <v>571</v>
      </c>
      <c r="S140" s="43" t="s">
        <v>380</v>
      </c>
      <c r="T140" s="43">
        <v>10</v>
      </c>
      <c r="U140" s="43">
        <v>-56.706899999999997</v>
      </c>
      <c r="V140" s="28">
        <v>-4.0079999999999999E-7</v>
      </c>
      <c r="W140" s="43" t="s">
        <v>910</v>
      </c>
      <c r="X140" s="43" t="s">
        <v>65</v>
      </c>
    </row>
    <row r="141" spans="2:24" x14ac:dyDescent="0.2">
      <c r="B141" s="43" t="s">
        <v>180</v>
      </c>
      <c r="C141" s="43">
        <v>284</v>
      </c>
      <c r="D141" s="43" t="s">
        <v>570</v>
      </c>
      <c r="E141" s="43" t="s">
        <v>106</v>
      </c>
      <c r="F141" s="43" t="s">
        <v>572</v>
      </c>
      <c r="G141" s="43" t="s">
        <v>382</v>
      </c>
      <c r="H141" s="43">
        <v>60</v>
      </c>
      <c r="I141" s="43">
        <v>-67.634399999999999</v>
      </c>
      <c r="J141" s="28">
        <v>-4.7810000000000003E-7</v>
      </c>
      <c r="K141" s="43" t="s">
        <v>910</v>
      </c>
      <c r="L141" s="43" t="s">
        <v>65</v>
      </c>
      <c r="N141" s="43" t="s">
        <v>180</v>
      </c>
      <c r="O141" s="43">
        <v>284</v>
      </c>
      <c r="P141" s="43" t="s">
        <v>570</v>
      </c>
      <c r="Q141" s="43" t="s">
        <v>376</v>
      </c>
      <c r="R141" s="43" t="s">
        <v>572</v>
      </c>
      <c r="S141" s="43" t="s">
        <v>382</v>
      </c>
      <c r="T141" s="43">
        <v>10</v>
      </c>
      <c r="U141" s="43">
        <v>-67.383200000000002</v>
      </c>
      <c r="V141" s="28">
        <v>-4.763E-7</v>
      </c>
      <c r="W141" s="43" t="s">
        <v>910</v>
      </c>
      <c r="X141" s="43" t="s">
        <v>65</v>
      </c>
    </row>
    <row r="142" spans="2:24" x14ac:dyDescent="0.2">
      <c r="B142" s="43" t="s">
        <v>180</v>
      </c>
      <c r="C142" s="43">
        <v>287</v>
      </c>
      <c r="D142" s="43" t="s">
        <v>573</v>
      </c>
      <c r="E142" s="43" t="s">
        <v>106</v>
      </c>
      <c r="F142" s="43" t="s">
        <v>574</v>
      </c>
      <c r="G142" s="43" t="s">
        <v>380</v>
      </c>
      <c r="H142" s="43">
        <v>60</v>
      </c>
      <c r="I142" s="43">
        <v>-71.391199999999998</v>
      </c>
      <c r="J142" s="28">
        <v>-4.8139999999999996E-7</v>
      </c>
      <c r="K142" s="43" t="s">
        <v>910</v>
      </c>
      <c r="L142" s="43" t="s">
        <v>65</v>
      </c>
      <c r="N142" s="43" t="s">
        <v>180</v>
      </c>
      <c r="O142" s="43">
        <v>287</v>
      </c>
      <c r="P142" s="43" t="s">
        <v>573</v>
      </c>
      <c r="Q142" s="43" t="s">
        <v>376</v>
      </c>
      <c r="R142" s="43" t="s">
        <v>574</v>
      </c>
      <c r="S142" s="43" t="s">
        <v>380</v>
      </c>
      <c r="T142" s="43">
        <v>10</v>
      </c>
      <c r="U142" s="43">
        <v>-71.641800000000003</v>
      </c>
      <c r="V142" s="28">
        <v>-4.8309999999999998E-7</v>
      </c>
      <c r="W142" s="43" t="s">
        <v>910</v>
      </c>
      <c r="X142" s="43" t="s">
        <v>65</v>
      </c>
    </row>
    <row r="143" spans="2:24" x14ac:dyDescent="0.2">
      <c r="B143" s="43" t="s">
        <v>180</v>
      </c>
      <c r="C143" s="43">
        <v>287</v>
      </c>
      <c r="D143" s="43" t="s">
        <v>573</v>
      </c>
      <c r="E143" s="43" t="s">
        <v>106</v>
      </c>
      <c r="F143" s="43" t="s">
        <v>575</v>
      </c>
      <c r="G143" s="43" t="s">
        <v>382</v>
      </c>
      <c r="H143" s="43">
        <v>60</v>
      </c>
      <c r="I143" s="43">
        <v>-58.238799999999998</v>
      </c>
      <c r="J143" s="28">
        <v>-3.9270000000000002E-7</v>
      </c>
      <c r="K143" s="43" t="s">
        <v>910</v>
      </c>
      <c r="L143" s="43" t="s">
        <v>65</v>
      </c>
      <c r="N143" s="43" t="s">
        <v>180</v>
      </c>
      <c r="O143" s="43">
        <v>287</v>
      </c>
      <c r="P143" s="43" t="s">
        <v>573</v>
      </c>
      <c r="Q143" s="43" t="s">
        <v>376</v>
      </c>
      <c r="R143" s="43" t="s">
        <v>575</v>
      </c>
      <c r="S143" s="43" t="s">
        <v>382</v>
      </c>
      <c r="T143" s="43">
        <v>10</v>
      </c>
      <c r="U143" s="43">
        <v>-57.986800000000002</v>
      </c>
      <c r="V143" s="28">
        <v>-3.9099999999999999E-7</v>
      </c>
      <c r="W143" s="43" t="s">
        <v>910</v>
      </c>
      <c r="X143" s="43" t="s">
        <v>65</v>
      </c>
    </row>
    <row r="144" spans="2:24" x14ac:dyDescent="0.2">
      <c r="B144" s="43" t="s">
        <v>180</v>
      </c>
      <c r="C144" s="43">
        <v>290</v>
      </c>
      <c r="D144" s="43" t="s">
        <v>576</v>
      </c>
      <c r="E144" s="43" t="s">
        <v>106</v>
      </c>
      <c r="F144" s="43" t="s">
        <v>577</v>
      </c>
      <c r="G144" s="43" t="s">
        <v>380</v>
      </c>
      <c r="H144" s="43">
        <v>60</v>
      </c>
      <c r="I144" s="43">
        <v>-42.926600000000001</v>
      </c>
      <c r="J144" s="28">
        <v>-4.0620000000000002E-7</v>
      </c>
      <c r="K144" s="43" t="s">
        <v>910</v>
      </c>
      <c r="L144" s="43" t="s">
        <v>65</v>
      </c>
      <c r="N144" s="43" t="s">
        <v>180</v>
      </c>
      <c r="O144" s="43">
        <v>290</v>
      </c>
      <c r="P144" s="43" t="s">
        <v>576</v>
      </c>
      <c r="Q144" s="43" t="s">
        <v>376</v>
      </c>
      <c r="R144" s="43" t="s">
        <v>577</v>
      </c>
      <c r="S144" s="43" t="s">
        <v>380</v>
      </c>
      <c r="T144" s="43">
        <v>10</v>
      </c>
      <c r="U144" s="43">
        <v>-43.110500000000002</v>
      </c>
      <c r="V144" s="28">
        <v>-4.0789999999999999E-7</v>
      </c>
      <c r="W144" s="43" t="s">
        <v>910</v>
      </c>
      <c r="X144" s="43" t="s">
        <v>65</v>
      </c>
    </row>
    <row r="145" spans="2:24" x14ac:dyDescent="0.2">
      <c r="B145" s="43" t="s">
        <v>180</v>
      </c>
      <c r="C145" s="43">
        <v>290</v>
      </c>
      <c r="D145" s="43" t="s">
        <v>576</v>
      </c>
      <c r="E145" s="43" t="s">
        <v>106</v>
      </c>
      <c r="F145" s="43" t="s">
        <v>578</v>
      </c>
      <c r="G145" s="43" t="s">
        <v>382</v>
      </c>
      <c r="H145" s="43">
        <v>60</v>
      </c>
      <c r="I145" s="43">
        <v>-45.404800000000002</v>
      </c>
      <c r="J145" s="28">
        <v>-4.2959999999999998E-7</v>
      </c>
      <c r="K145" s="43" t="s">
        <v>910</v>
      </c>
      <c r="L145" s="43" t="s">
        <v>65</v>
      </c>
      <c r="N145" s="43" t="s">
        <v>180</v>
      </c>
      <c r="O145" s="43">
        <v>290</v>
      </c>
      <c r="P145" s="43" t="s">
        <v>576</v>
      </c>
      <c r="Q145" s="43" t="s">
        <v>376</v>
      </c>
      <c r="R145" s="43" t="s">
        <v>578</v>
      </c>
      <c r="S145" s="43" t="s">
        <v>382</v>
      </c>
      <c r="T145" s="43">
        <v>10</v>
      </c>
      <c r="U145" s="43">
        <v>-45.2239</v>
      </c>
      <c r="V145" s="28">
        <v>-4.2790000000000001E-7</v>
      </c>
      <c r="W145" s="43" t="s">
        <v>910</v>
      </c>
      <c r="X145" s="43" t="s">
        <v>65</v>
      </c>
    </row>
    <row r="146" spans="2:24" x14ac:dyDescent="0.2">
      <c r="B146" s="43" t="s">
        <v>180</v>
      </c>
      <c r="C146" s="43">
        <v>306</v>
      </c>
      <c r="D146" s="43" t="s">
        <v>579</v>
      </c>
      <c r="E146" s="43" t="s">
        <v>106</v>
      </c>
      <c r="F146" s="43" t="s">
        <v>580</v>
      </c>
      <c r="G146" s="43" t="s">
        <v>380</v>
      </c>
      <c r="H146" s="43">
        <v>60</v>
      </c>
      <c r="I146" s="43">
        <v>-38.640799999999999</v>
      </c>
      <c r="J146" s="28">
        <v>-3.9610000000000001E-7</v>
      </c>
      <c r="K146" s="43" t="s">
        <v>910</v>
      </c>
      <c r="L146" s="43" t="s">
        <v>65</v>
      </c>
      <c r="N146" s="43" t="s">
        <v>180</v>
      </c>
      <c r="O146" s="43">
        <v>306</v>
      </c>
      <c r="P146" s="43" t="s">
        <v>579</v>
      </c>
      <c r="Q146" s="43" t="s">
        <v>376</v>
      </c>
      <c r="R146" s="43" t="s">
        <v>580</v>
      </c>
      <c r="S146" s="43" t="s">
        <v>380</v>
      </c>
      <c r="T146" s="43">
        <v>10</v>
      </c>
      <c r="U146" s="43">
        <v>-38.616900000000001</v>
      </c>
      <c r="V146" s="28">
        <v>-3.9589999999999999E-7</v>
      </c>
      <c r="W146" s="43" t="s">
        <v>910</v>
      </c>
      <c r="X146" s="43" t="s">
        <v>65</v>
      </c>
    </row>
    <row r="147" spans="2:24" x14ac:dyDescent="0.2">
      <c r="B147" s="43" t="s">
        <v>180</v>
      </c>
      <c r="C147" s="43">
        <v>306</v>
      </c>
      <c r="D147" s="43" t="s">
        <v>579</v>
      </c>
      <c r="E147" s="43" t="s">
        <v>106</v>
      </c>
      <c r="F147" s="43" t="s">
        <v>581</v>
      </c>
      <c r="G147" s="43" t="s">
        <v>382</v>
      </c>
      <c r="H147" s="43">
        <v>60</v>
      </c>
      <c r="I147" s="43">
        <v>-3.4464999999999999</v>
      </c>
      <c r="J147" s="28">
        <v>-3.5329999999999999E-8</v>
      </c>
      <c r="K147" s="43" t="s">
        <v>910</v>
      </c>
      <c r="L147" s="43" t="s">
        <v>65</v>
      </c>
      <c r="N147" s="43" t="s">
        <v>180</v>
      </c>
      <c r="O147" s="43">
        <v>306</v>
      </c>
      <c r="P147" s="43" t="s">
        <v>579</v>
      </c>
      <c r="Q147" s="43" t="s">
        <v>376</v>
      </c>
      <c r="R147" s="43" t="s">
        <v>581</v>
      </c>
      <c r="S147" s="43" t="s">
        <v>382</v>
      </c>
      <c r="T147" s="43">
        <v>10</v>
      </c>
      <c r="U147" s="43">
        <v>-3.4647999999999999</v>
      </c>
      <c r="V147" s="28">
        <v>-3.5520000000000003E-8</v>
      </c>
      <c r="W147" s="43" t="s">
        <v>910</v>
      </c>
      <c r="X147" s="43" t="s">
        <v>65</v>
      </c>
    </row>
    <row r="148" spans="2:24" x14ac:dyDescent="0.2">
      <c r="B148" s="43" t="s">
        <v>180</v>
      </c>
      <c r="C148" s="43">
        <v>307</v>
      </c>
      <c r="D148" s="43" t="s">
        <v>582</v>
      </c>
      <c r="E148" s="43" t="s">
        <v>106</v>
      </c>
      <c r="F148" s="43" t="s">
        <v>583</v>
      </c>
      <c r="G148" s="43" t="s">
        <v>380</v>
      </c>
      <c r="H148" s="43">
        <v>60</v>
      </c>
      <c r="I148" s="43">
        <v>-45.844799999999999</v>
      </c>
      <c r="J148" s="28">
        <v>-4.0750000000000002E-7</v>
      </c>
      <c r="K148" s="43" t="s">
        <v>910</v>
      </c>
      <c r="L148" s="43" t="s">
        <v>65</v>
      </c>
      <c r="N148" s="43" t="s">
        <v>180</v>
      </c>
      <c r="O148" s="43">
        <v>307</v>
      </c>
      <c r="P148" s="43" t="s">
        <v>582</v>
      </c>
      <c r="Q148" s="43" t="s">
        <v>376</v>
      </c>
      <c r="R148" s="43" t="s">
        <v>583</v>
      </c>
      <c r="S148" s="43" t="s">
        <v>380</v>
      </c>
      <c r="T148" s="43">
        <v>10</v>
      </c>
      <c r="U148" s="43">
        <v>-45.813000000000002</v>
      </c>
      <c r="V148" s="28">
        <v>-4.0719999999999999E-7</v>
      </c>
      <c r="W148" s="43" t="s">
        <v>910</v>
      </c>
      <c r="X148" s="43" t="s">
        <v>65</v>
      </c>
    </row>
    <row r="149" spans="2:24" x14ac:dyDescent="0.2">
      <c r="B149" s="43" t="s">
        <v>180</v>
      </c>
      <c r="C149" s="43">
        <v>307</v>
      </c>
      <c r="D149" s="43" t="s">
        <v>582</v>
      </c>
      <c r="E149" s="43" t="s">
        <v>106</v>
      </c>
      <c r="F149" s="43" t="s">
        <v>584</v>
      </c>
      <c r="G149" s="43" t="s">
        <v>382</v>
      </c>
      <c r="H149" s="43">
        <v>60</v>
      </c>
      <c r="I149" s="43">
        <v>7.2893999999999997</v>
      </c>
      <c r="J149" s="28">
        <v>6.479E-8</v>
      </c>
      <c r="K149" s="43" t="s">
        <v>910</v>
      </c>
      <c r="L149" s="43" t="s">
        <v>65</v>
      </c>
      <c r="N149" s="43" t="s">
        <v>180</v>
      </c>
      <c r="O149" s="43">
        <v>307</v>
      </c>
      <c r="P149" s="43" t="s">
        <v>582</v>
      </c>
      <c r="Q149" s="43" t="s">
        <v>376</v>
      </c>
      <c r="R149" s="43" t="s">
        <v>584</v>
      </c>
      <c r="S149" s="43" t="s">
        <v>382</v>
      </c>
      <c r="T149" s="43">
        <v>10</v>
      </c>
      <c r="U149" s="43">
        <v>7.2660999999999998</v>
      </c>
      <c r="V149" s="28">
        <v>6.4589999999999998E-8</v>
      </c>
      <c r="W149" s="43" t="s">
        <v>910</v>
      </c>
      <c r="X149" s="43" t="s">
        <v>65</v>
      </c>
    </row>
    <row r="150" spans="2:24" x14ac:dyDescent="0.2">
      <c r="B150" s="43" t="s">
        <v>180</v>
      </c>
      <c r="C150" s="43">
        <v>308</v>
      </c>
      <c r="D150" s="43" t="s">
        <v>582</v>
      </c>
      <c r="E150" s="43" t="s">
        <v>106</v>
      </c>
      <c r="F150" s="43" t="s">
        <v>585</v>
      </c>
      <c r="G150" s="43" t="s">
        <v>380</v>
      </c>
      <c r="H150" s="43">
        <v>60</v>
      </c>
      <c r="I150" s="43">
        <v>-37.825200000000002</v>
      </c>
      <c r="J150" s="28">
        <v>-3.1699999999999999E-7</v>
      </c>
      <c r="K150" s="43" t="s">
        <v>910</v>
      </c>
      <c r="L150" s="43" t="s">
        <v>65</v>
      </c>
      <c r="N150" s="43" t="s">
        <v>180</v>
      </c>
      <c r="O150" s="43">
        <v>308</v>
      </c>
      <c r="P150" s="43" t="s">
        <v>582</v>
      </c>
      <c r="Q150" s="43" t="s">
        <v>376</v>
      </c>
      <c r="R150" s="43" t="s">
        <v>585</v>
      </c>
      <c r="S150" s="43" t="s">
        <v>380</v>
      </c>
      <c r="T150" s="43">
        <v>10</v>
      </c>
      <c r="U150" s="43">
        <v>-37.795999999999999</v>
      </c>
      <c r="V150" s="28">
        <v>-3.1679999999999998E-7</v>
      </c>
      <c r="W150" s="43" t="s">
        <v>910</v>
      </c>
      <c r="X150" s="43" t="s">
        <v>65</v>
      </c>
    </row>
    <row r="151" spans="2:24" x14ac:dyDescent="0.2">
      <c r="B151" s="43" t="s">
        <v>180</v>
      </c>
      <c r="C151" s="43">
        <v>308</v>
      </c>
      <c r="D151" s="43" t="s">
        <v>582</v>
      </c>
      <c r="E151" s="43" t="s">
        <v>106</v>
      </c>
      <c r="F151" s="43" t="s">
        <v>586</v>
      </c>
      <c r="G151" s="43" t="s">
        <v>382</v>
      </c>
      <c r="H151" s="43">
        <v>60</v>
      </c>
      <c r="I151" s="43">
        <v>8.0920000000000005</v>
      </c>
      <c r="J151" s="28">
        <v>6.7819999999999995E-8</v>
      </c>
      <c r="K151" s="43" t="s">
        <v>910</v>
      </c>
      <c r="L151" s="43" t="s">
        <v>65</v>
      </c>
      <c r="N151" s="43" t="s">
        <v>180</v>
      </c>
      <c r="O151" s="43">
        <v>308</v>
      </c>
      <c r="P151" s="43" t="s">
        <v>582</v>
      </c>
      <c r="Q151" s="43" t="s">
        <v>376</v>
      </c>
      <c r="R151" s="43" t="s">
        <v>586</v>
      </c>
      <c r="S151" s="43" t="s">
        <v>382</v>
      </c>
      <c r="T151" s="43">
        <v>10</v>
      </c>
      <c r="U151" s="43">
        <v>8.0685000000000002</v>
      </c>
      <c r="V151" s="28">
        <v>6.7620000000000006E-8</v>
      </c>
      <c r="W151" s="43" t="s">
        <v>910</v>
      </c>
      <c r="X151" s="43" t="s">
        <v>65</v>
      </c>
    </row>
    <row r="152" spans="2:24" x14ac:dyDescent="0.2">
      <c r="B152" s="43" t="s">
        <v>180</v>
      </c>
      <c r="C152" s="43">
        <v>309</v>
      </c>
      <c r="D152" s="43" t="s">
        <v>582</v>
      </c>
      <c r="E152" s="43" t="s">
        <v>106</v>
      </c>
      <c r="F152" s="43" t="s">
        <v>587</v>
      </c>
      <c r="G152" s="43" t="s">
        <v>380</v>
      </c>
      <c r="H152" s="43">
        <v>60</v>
      </c>
      <c r="I152" s="43">
        <v>-37.301299999999998</v>
      </c>
      <c r="J152" s="28">
        <v>-3.3159999999999998E-7</v>
      </c>
      <c r="K152" s="43" t="s">
        <v>910</v>
      </c>
      <c r="L152" s="43" t="s">
        <v>65</v>
      </c>
      <c r="N152" s="43" t="s">
        <v>180</v>
      </c>
      <c r="O152" s="43">
        <v>309</v>
      </c>
      <c r="P152" s="43" t="s">
        <v>582</v>
      </c>
      <c r="Q152" s="43" t="s">
        <v>376</v>
      </c>
      <c r="R152" s="43" t="s">
        <v>587</v>
      </c>
      <c r="S152" s="43" t="s">
        <v>380</v>
      </c>
      <c r="T152" s="43">
        <v>10</v>
      </c>
      <c r="U152" s="43">
        <v>-37.273499999999999</v>
      </c>
      <c r="V152" s="28">
        <v>-3.3130000000000001E-7</v>
      </c>
      <c r="W152" s="43" t="s">
        <v>910</v>
      </c>
      <c r="X152" s="43" t="s">
        <v>65</v>
      </c>
    </row>
    <row r="153" spans="2:24" x14ac:dyDescent="0.2">
      <c r="B153" s="43" t="s">
        <v>180</v>
      </c>
      <c r="C153" s="43">
        <v>309</v>
      </c>
      <c r="D153" s="43" t="s">
        <v>582</v>
      </c>
      <c r="E153" s="43" t="s">
        <v>106</v>
      </c>
      <c r="F153" s="43" t="s">
        <v>588</v>
      </c>
      <c r="G153" s="43" t="s">
        <v>382</v>
      </c>
      <c r="H153" s="43">
        <v>60</v>
      </c>
      <c r="I153" s="43">
        <v>1.5730999999999999</v>
      </c>
      <c r="J153" s="28">
        <v>1.398E-8</v>
      </c>
      <c r="K153" s="43" t="s">
        <v>910</v>
      </c>
      <c r="L153" s="43" t="s">
        <v>65</v>
      </c>
      <c r="N153" s="43" t="s">
        <v>180</v>
      </c>
      <c r="O153" s="43">
        <v>309</v>
      </c>
      <c r="P153" s="43" t="s">
        <v>582</v>
      </c>
      <c r="Q153" s="43" t="s">
        <v>376</v>
      </c>
      <c r="R153" s="43" t="s">
        <v>588</v>
      </c>
      <c r="S153" s="43" t="s">
        <v>382</v>
      </c>
      <c r="T153" s="43">
        <v>10</v>
      </c>
      <c r="U153" s="43">
        <v>1.5505</v>
      </c>
      <c r="V153" s="28">
        <v>1.378E-8</v>
      </c>
      <c r="W153" s="43" t="s">
        <v>910</v>
      </c>
      <c r="X153" s="43" t="s">
        <v>65</v>
      </c>
    </row>
    <row r="154" spans="2:24" x14ac:dyDescent="0.2">
      <c r="B154" s="43" t="s">
        <v>180</v>
      </c>
      <c r="C154" s="43">
        <v>310</v>
      </c>
      <c r="D154" s="43" t="s">
        <v>589</v>
      </c>
      <c r="E154" s="43" t="s">
        <v>106</v>
      </c>
      <c r="F154" s="43" t="s">
        <v>590</v>
      </c>
      <c r="G154" s="43" t="s">
        <v>380</v>
      </c>
      <c r="H154" s="43">
        <v>60</v>
      </c>
      <c r="I154" s="43">
        <v>-44.481400000000001</v>
      </c>
      <c r="J154" s="28">
        <v>-4.5600000000000001E-7</v>
      </c>
      <c r="K154" s="43" t="s">
        <v>910</v>
      </c>
      <c r="L154" s="43" t="s">
        <v>65</v>
      </c>
      <c r="N154" s="43" t="s">
        <v>180</v>
      </c>
      <c r="O154" s="43">
        <v>310</v>
      </c>
      <c r="P154" s="43" t="s">
        <v>589</v>
      </c>
      <c r="Q154" s="43" t="s">
        <v>376</v>
      </c>
      <c r="R154" s="43" t="s">
        <v>590</v>
      </c>
      <c r="S154" s="43" t="s">
        <v>380</v>
      </c>
      <c r="T154" s="43">
        <v>10</v>
      </c>
      <c r="U154" s="43">
        <v>-44.452500000000001</v>
      </c>
      <c r="V154" s="28">
        <v>-4.5569999999999998E-7</v>
      </c>
      <c r="W154" s="43" t="s">
        <v>910</v>
      </c>
      <c r="X154" s="43" t="s">
        <v>65</v>
      </c>
    </row>
    <row r="155" spans="2:24" x14ac:dyDescent="0.2">
      <c r="B155" s="43" t="s">
        <v>180</v>
      </c>
      <c r="C155" s="43">
        <v>310</v>
      </c>
      <c r="D155" s="43" t="s">
        <v>589</v>
      </c>
      <c r="E155" s="43" t="s">
        <v>106</v>
      </c>
      <c r="F155" s="43" t="s">
        <v>591</v>
      </c>
      <c r="G155" s="43" t="s">
        <v>382</v>
      </c>
      <c r="H155" s="43">
        <v>60</v>
      </c>
      <c r="I155" s="43">
        <v>2.0346000000000002</v>
      </c>
      <c r="J155" s="28">
        <v>2.086E-8</v>
      </c>
      <c r="K155" s="43" t="s">
        <v>910</v>
      </c>
      <c r="L155" s="43" t="s">
        <v>65</v>
      </c>
      <c r="N155" s="43" t="s">
        <v>180</v>
      </c>
      <c r="O155" s="43">
        <v>310</v>
      </c>
      <c r="P155" s="43" t="s">
        <v>589</v>
      </c>
      <c r="Q155" s="43" t="s">
        <v>376</v>
      </c>
      <c r="R155" s="43" t="s">
        <v>591</v>
      </c>
      <c r="S155" s="43" t="s">
        <v>382</v>
      </c>
      <c r="T155" s="43">
        <v>10</v>
      </c>
      <c r="U155" s="43">
        <v>2.0131999999999999</v>
      </c>
      <c r="V155" s="28">
        <v>2.0640000000000002E-8</v>
      </c>
      <c r="W155" s="43" t="s">
        <v>910</v>
      </c>
      <c r="X155" s="43" t="s">
        <v>65</v>
      </c>
    </row>
    <row r="156" spans="2:24" x14ac:dyDescent="0.2">
      <c r="B156" s="43" t="s">
        <v>229</v>
      </c>
      <c r="C156" s="43">
        <v>105</v>
      </c>
      <c r="D156" s="43" t="s">
        <v>592</v>
      </c>
      <c r="E156" s="43" t="s">
        <v>106</v>
      </c>
      <c r="F156" s="43" t="s">
        <v>593</v>
      </c>
      <c r="G156" s="43" t="s">
        <v>380</v>
      </c>
      <c r="H156" s="43">
        <v>60</v>
      </c>
      <c r="I156" s="43">
        <v>-44.706499999999998</v>
      </c>
      <c r="J156" s="28">
        <v>-4.5830000000000002E-7</v>
      </c>
      <c r="K156" s="43" t="s">
        <v>910</v>
      </c>
      <c r="L156" s="43" t="s">
        <v>65</v>
      </c>
      <c r="N156" s="43" t="s">
        <v>229</v>
      </c>
      <c r="O156" s="43">
        <v>105</v>
      </c>
      <c r="P156" s="43" t="s">
        <v>592</v>
      </c>
      <c r="Q156" s="43" t="s">
        <v>376</v>
      </c>
      <c r="R156" s="43" t="s">
        <v>593</v>
      </c>
      <c r="S156" s="43" t="s">
        <v>380</v>
      </c>
      <c r="T156" s="43">
        <v>10</v>
      </c>
      <c r="U156" s="43">
        <v>-44.696800000000003</v>
      </c>
      <c r="V156" s="28">
        <v>-4.5820000000000001E-7</v>
      </c>
      <c r="W156" s="43" t="s">
        <v>910</v>
      </c>
      <c r="X156" s="43" t="s">
        <v>65</v>
      </c>
    </row>
    <row r="157" spans="2:24" x14ac:dyDescent="0.2">
      <c r="B157" s="43" t="s">
        <v>229</v>
      </c>
      <c r="C157" s="43">
        <v>105</v>
      </c>
      <c r="D157" s="43" t="s">
        <v>592</v>
      </c>
      <c r="E157" s="43" t="s">
        <v>106</v>
      </c>
      <c r="F157" s="43" t="s">
        <v>594</v>
      </c>
      <c r="G157" s="43" t="s">
        <v>382</v>
      </c>
      <c r="H157" s="43">
        <v>60</v>
      </c>
      <c r="I157" s="43">
        <v>2.8773</v>
      </c>
      <c r="J157" s="28">
        <v>2.9499999999999999E-8</v>
      </c>
      <c r="K157" s="43" t="s">
        <v>910</v>
      </c>
      <c r="L157" s="43" t="s">
        <v>65</v>
      </c>
      <c r="N157" s="43" t="s">
        <v>229</v>
      </c>
      <c r="O157" s="43">
        <v>105</v>
      </c>
      <c r="P157" s="43" t="s">
        <v>592</v>
      </c>
      <c r="Q157" s="43" t="s">
        <v>376</v>
      </c>
      <c r="R157" s="43" t="s">
        <v>594</v>
      </c>
      <c r="S157" s="43" t="s">
        <v>382</v>
      </c>
      <c r="T157" s="43">
        <v>10</v>
      </c>
      <c r="U157" s="43">
        <v>2.8589000000000002</v>
      </c>
      <c r="V157" s="28">
        <v>2.9309999999999999E-8</v>
      </c>
      <c r="W157" s="43" t="s">
        <v>910</v>
      </c>
      <c r="X157" s="43" t="s">
        <v>65</v>
      </c>
    </row>
    <row r="158" spans="2:24" x14ac:dyDescent="0.2">
      <c r="B158" s="43" t="s">
        <v>229</v>
      </c>
      <c r="C158" s="43">
        <v>106</v>
      </c>
      <c r="D158" s="43" t="s">
        <v>595</v>
      </c>
      <c r="E158" s="43" t="s">
        <v>106</v>
      </c>
      <c r="F158" s="43" t="s">
        <v>596</v>
      </c>
      <c r="G158" s="43" t="s">
        <v>380</v>
      </c>
      <c r="H158" s="43">
        <v>60</v>
      </c>
      <c r="I158" s="43">
        <v>-53.179600000000001</v>
      </c>
      <c r="J158" s="28">
        <v>-4.7269999999999999E-7</v>
      </c>
      <c r="K158" s="43" t="s">
        <v>910</v>
      </c>
      <c r="L158" s="43" t="s">
        <v>65</v>
      </c>
      <c r="N158" s="43" t="s">
        <v>229</v>
      </c>
      <c r="O158" s="43">
        <v>106</v>
      </c>
      <c r="P158" s="43" t="s">
        <v>595</v>
      </c>
      <c r="Q158" s="43" t="s">
        <v>376</v>
      </c>
      <c r="R158" s="43" t="s">
        <v>596</v>
      </c>
      <c r="S158" s="43" t="s">
        <v>380</v>
      </c>
      <c r="T158" s="43">
        <v>10</v>
      </c>
      <c r="U158" s="43">
        <v>-53.169400000000003</v>
      </c>
      <c r="V158" s="28">
        <v>-4.7259999999999998E-7</v>
      </c>
      <c r="W158" s="43" t="s">
        <v>910</v>
      </c>
      <c r="X158" s="43" t="s">
        <v>65</v>
      </c>
    </row>
    <row r="159" spans="2:24" x14ac:dyDescent="0.2">
      <c r="B159" s="43" t="s">
        <v>229</v>
      </c>
      <c r="C159" s="43">
        <v>106</v>
      </c>
      <c r="D159" s="43" t="s">
        <v>595</v>
      </c>
      <c r="E159" s="43" t="s">
        <v>106</v>
      </c>
      <c r="F159" s="43" t="s">
        <v>597</v>
      </c>
      <c r="G159" s="43" t="s">
        <v>382</v>
      </c>
      <c r="H159" s="43">
        <v>60</v>
      </c>
      <c r="I159" s="43">
        <v>14.3697</v>
      </c>
      <c r="J159" s="28">
        <v>1.2770000000000001E-7</v>
      </c>
      <c r="K159" s="43" t="s">
        <v>910</v>
      </c>
      <c r="L159" s="43" t="s">
        <v>65</v>
      </c>
      <c r="N159" s="43" t="s">
        <v>229</v>
      </c>
      <c r="O159" s="43">
        <v>106</v>
      </c>
      <c r="P159" s="43" t="s">
        <v>595</v>
      </c>
      <c r="Q159" s="43" t="s">
        <v>376</v>
      </c>
      <c r="R159" s="43" t="s">
        <v>597</v>
      </c>
      <c r="S159" s="43" t="s">
        <v>382</v>
      </c>
      <c r="T159" s="43">
        <v>10</v>
      </c>
      <c r="U159" s="43">
        <v>14.351900000000001</v>
      </c>
      <c r="V159" s="28">
        <v>1.276E-7</v>
      </c>
      <c r="W159" s="43" t="s">
        <v>910</v>
      </c>
      <c r="X159" s="43" t="s">
        <v>65</v>
      </c>
    </row>
    <row r="160" spans="2:24" x14ac:dyDescent="0.2">
      <c r="B160" s="43" t="s">
        <v>229</v>
      </c>
      <c r="C160" s="43">
        <v>107</v>
      </c>
      <c r="D160" s="43" t="s">
        <v>595</v>
      </c>
      <c r="E160" s="43" t="s">
        <v>106</v>
      </c>
      <c r="F160" s="43" t="s">
        <v>598</v>
      </c>
      <c r="G160" s="43" t="s">
        <v>380</v>
      </c>
      <c r="H160" s="43">
        <v>60</v>
      </c>
      <c r="I160" s="43">
        <v>-45.1935</v>
      </c>
      <c r="J160" s="28">
        <v>-3.7879999999999998E-7</v>
      </c>
      <c r="K160" s="43" t="s">
        <v>910</v>
      </c>
      <c r="L160" s="43" t="s">
        <v>65</v>
      </c>
      <c r="N160" s="43" t="s">
        <v>229</v>
      </c>
      <c r="O160" s="43">
        <v>107</v>
      </c>
      <c r="P160" s="43" t="s">
        <v>595</v>
      </c>
      <c r="Q160" s="43" t="s">
        <v>376</v>
      </c>
      <c r="R160" s="43" t="s">
        <v>598</v>
      </c>
      <c r="S160" s="43" t="s">
        <v>380</v>
      </c>
      <c r="T160" s="43">
        <v>10</v>
      </c>
      <c r="U160" s="43">
        <v>-45.1828</v>
      </c>
      <c r="V160" s="28">
        <v>-3.7870000000000002E-7</v>
      </c>
      <c r="W160" s="43" t="s">
        <v>910</v>
      </c>
      <c r="X160" s="43" t="s">
        <v>65</v>
      </c>
    </row>
    <row r="161" spans="2:24" x14ac:dyDescent="0.2">
      <c r="B161" s="43" t="s">
        <v>229</v>
      </c>
      <c r="C161" s="43">
        <v>107</v>
      </c>
      <c r="D161" s="43" t="s">
        <v>595</v>
      </c>
      <c r="E161" s="43" t="s">
        <v>106</v>
      </c>
      <c r="F161" s="43" t="s">
        <v>599</v>
      </c>
      <c r="G161" s="43" t="s">
        <v>382</v>
      </c>
      <c r="H161" s="43">
        <v>60</v>
      </c>
      <c r="I161" s="43">
        <v>15.4819</v>
      </c>
      <c r="J161" s="28">
        <v>1.2980000000000001E-7</v>
      </c>
      <c r="K161" s="43" t="s">
        <v>910</v>
      </c>
      <c r="L161" s="43" t="s">
        <v>65</v>
      </c>
      <c r="N161" s="43" t="s">
        <v>229</v>
      </c>
      <c r="O161" s="43">
        <v>107</v>
      </c>
      <c r="P161" s="43" t="s">
        <v>595</v>
      </c>
      <c r="Q161" s="43" t="s">
        <v>376</v>
      </c>
      <c r="R161" s="43" t="s">
        <v>599</v>
      </c>
      <c r="S161" s="43" t="s">
        <v>382</v>
      </c>
      <c r="T161" s="43">
        <v>10</v>
      </c>
      <c r="U161" s="43">
        <v>15.464</v>
      </c>
      <c r="V161" s="28">
        <v>1.296E-7</v>
      </c>
      <c r="W161" s="43" t="s">
        <v>910</v>
      </c>
      <c r="X161" s="43" t="s">
        <v>65</v>
      </c>
    </row>
    <row r="162" spans="2:24" x14ac:dyDescent="0.2">
      <c r="B162" s="43" t="s">
        <v>229</v>
      </c>
      <c r="C162" s="43">
        <v>108</v>
      </c>
      <c r="D162" s="43" t="s">
        <v>595</v>
      </c>
      <c r="E162" s="43" t="s">
        <v>106</v>
      </c>
      <c r="F162" s="43" t="s">
        <v>600</v>
      </c>
      <c r="G162" s="43" t="s">
        <v>380</v>
      </c>
      <c r="H162" s="43">
        <v>60</v>
      </c>
      <c r="I162" s="43">
        <v>-44.304099999999998</v>
      </c>
      <c r="J162" s="28">
        <v>-3.9379999999999999E-7</v>
      </c>
      <c r="K162" s="43" t="s">
        <v>910</v>
      </c>
      <c r="L162" s="43" t="s">
        <v>65</v>
      </c>
      <c r="N162" s="43" t="s">
        <v>229</v>
      </c>
      <c r="O162" s="43">
        <v>108</v>
      </c>
      <c r="P162" s="43" t="s">
        <v>595</v>
      </c>
      <c r="Q162" s="43" t="s">
        <v>376</v>
      </c>
      <c r="R162" s="43" t="s">
        <v>600</v>
      </c>
      <c r="S162" s="43" t="s">
        <v>380</v>
      </c>
      <c r="T162" s="43">
        <v>10</v>
      </c>
      <c r="U162" s="43">
        <v>-44.2943</v>
      </c>
      <c r="V162" s="28">
        <v>-3.9369999999999999E-7</v>
      </c>
      <c r="W162" s="43" t="s">
        <v>910</v>
      </c>
      <c r="X162" s="43" t="s">
        <v>65</v>
      </c>
    </row>
    <row r="163" spans="2:24" x14ac:dyDescent="0.2">
      <c r="B163" s="43" t="s">
        <v>229</v>
      </c>
      <c r="C163" s="43">
        <v>108</v>
      </c>
      <c r="D163" s="43" t="s">
        <v>595</v>
      </c>
      <c r="E163" s="43" t="s">
        <v>106</v>
      </c>
      <c r="F163" s="43" t="s">
        <v>601</v>
      </c>
      <c r="G163" s="43" t="s">
        <v>382</v>
      </c>
      <c r="H163" s="43">
        <v>60</v>
      </c>
      <c r="I163" s="43">
        <v>8.7919</v>
      </c>
      <c r="J163" s="28">
        <v>7.8149999999999995E-8</v>
      </c>
      <c r="K163" s="43" t="s">
        <v>910</v>
      </c>
      <c r="L163" s="43" t="s">
        <v>65</v>
      </c>
      <c r="N163" s="43" t="s">
        <v>229</v>
      </c>
      <c r="O163" s="43">
        <v>108</v>
      </c>
      <c r="P163" s="43" t="s">
        <v>595</v>
      </c>
      <c r="Q163" s="43" t="s">
        <v>376</v>
      </c>
      <c r="R163" s="43" t="s">
        <v>601</v>
      </c>
      <c r="S163" s="43" t="s">
        <v>382</v>
      </c>
      <c r="T163" s="43">
        <v>10</v>
      </c>
      <c r="U163" s="43">
        <v>8.7729999999999997</v>
      </c>
      <c r="V163" s="28">
        <v>7.7980000000000001E-8</v>
      </c>
      <c r="W163" s="43" t="s">
        <v>910</v>
      </c>
      <c r="X163" s="43" t="s">
        <v>65</v>
      </c>
    </row>
    <row r="164" spans="2:24" x14ac:dyDescent="0.2">
      <c r="B164" s="43" t="s">
        <v>229</v>
      </c>
      <c r="C164" s="43">
        <v>109</v>
      </c>
      <c r="D164" s="43" t="s">
        <v>602</v>
      </c>
      <c r="E164" s="43" t="s">
        <v>106</v>
      </c>
      <c r="F164" s="43" t="s">
        <v>603</v>
      </c>
      <c r="G164" s="43" t="s">
        <v>380</v>
      </c>
      <c r="H164" s="43">
        <v>60</v>
      </c>
      <c r="I164" s="43">
        <v>-50.870199999999997</v>
      </c>
      <c r="J164" s="28">
        <v>-9.9999999999999995E-7</v>
      </c>
      <c r="K164" s="43" t="s">
        <v>910</v>
      </c>
      <c r="L164" s="43" t="s">
        <v>65</v>
      </c>
      <c r="N164" s="43" t="s">
        <v>229</v>
      </c>
      <c r="O164" s="43">
        <v>109</v>
      </c>
      <c r="P164" s="43" t="s">
        <v>602</v>
      </c>
      <c r="Q164" s="43" t="s">
        <v>376</v>
      </c>
      <c r="R164" s="43" t="s">
        <v>603</v>
      </c>
      <c r="S164" s="43" t="s">
        <v>380</v>
      </c>
      <c r="T164" s="43">
        <v>10</v>
      </c>
      <c r="U164" s="43">
        <v>-50.863399999999999</v>
      </c>
      <c r="V164" s="28">
        <v>-9.9999999999999995E-7</v>
      </c>
      <c r="W164" s="43" t="s">
        <v>910</v>
      </c>
      <c r="X164" s="43" t="s">
        <v>65</v>
      </c>
    </row>
    <row r="165" spans="2:24" x14ac:dyDescent="0.2">
      <c r="B165" s="43" t="s">
        <v>229</v>
      </c>
      <c r="C165" s="43">
        <v>109</v>
      </c>
      <c r="D165" s="43" t="s">
        <v>602</v>
      </c>
      <c r="E165" s="43" t="s">
        <v>106</v>
      </c>
      <c r="F165" s="43" t="s">
        <v>604</v>
      </c>
      <c r="G165" s="43" t="s">
        <v>382</v>
      </c>
      <c r="H165" s="43">
        <v>60</v>
      </c>
      <c r="I165" s="43">
        <v>8.5855999999999995</v>
      </c>
      <c r="J165" s="28">
        <v>8.8010000000000005E-8</v>
      </c>
      <c r="K165" s="43" t="s">
        <v>910</v>
      </c>
      <c r="L165" s="43" t="s">
        <v>65</v>
      </c>
      <c r="N165" s="43" t="s">
        <v>229</v>
      </c>
      <c r="O165" s="43">
        <v>109</v>
      </c>
      <c r="P165" s="43" t="s">
        <v>602</v>
      </c>
      <c r="Q165" s="43" t="s">
        <v>376</v>
      </c>
      <c r="R165" s="43" t="s">
        <v>604</v>
      </c>
      <c r="S165" s="43" t="s">
        <v>382</v>
      </c>
      <c r="T165" s="43">
        <v>10</v>
      </c>
      <c r="U165" s="43">
        <v>8.5699000000000005</v>
      </c>
      <c r="V165" s="28">
        <v>8.7849999999999996E-8</v>
      </c>
      <c r="W165" s="43" t="s">
        <v>910</v>
      </c>
      <c r="X165" s="43" t="s">
        <v>65</v>
      </c>
    </row>
    <row r="166" spans="2:24" x14ac:dyDescent="0.2">
      <c r="B166" s="43" t="s">
        <v>229</v>
      </c>
      <c r="C166" s="43">
        <v>87</v>
      </c>
      <c r="D166" s="43" t="s">
        <v>605</v>
      </c>
      <c r="E166" s="43" t="s">
        <v>106</v>
      </c>
      <c r="F166" s="43" t="s">
        <v>606</v>
      </c>
      <c r="G166" s="43" t="s">
        <v>380</v>
      </c>
      <c r="H166" s="43">
        <v>60</v>
      </c>
      <c r="I166" s="43">
        <v>-50.090600000000002</v>
      </c>
      <c r="J166" s="28">
        <v>-4.7399999999999998E-7</v>
      </c>
      <c r="K166" s="43" t="s">
        <v>910</v>
      </c>
      <c r="L166" s="43" t="s">
        <v>65</v>
      </c>
      <c r="N166" s="43" t="s">
        <v>229</v>
      </c>
      <c r="O166" s="43">
        <v>87</v>
      </c>
      <c r="P166" s="43" t="s">
        <v>605</v>
      </c>
      <c r="Q166" s="43" t="s">
        <v>376</v>
      </c>
      <c r="R166" s="43" t="s">
        <v>606</v>
      </c>
      <c r="S166" s="43" t="s">
        <v>380</v>
      </c>
      <c r="T166" s="43">
        <v>10</v>
      </c>
      <c r="U166" s="43">
        <v>-50.310099999999998</v>
      </c>
      <c r="V166" s="28">
        <v>-4.7609999999999998E-7</v>
      </c>
      <c r="W166" s="43" t="s">
        <v>910</v>
      </c>
      <c r="X166" s="43" t="s">
        <v>65</v>
      </c>
    </row>
    <row r="167" spans="2:24" x14ac:dyDescent="0.2">
      <c r="B167" s="43" t="s">
        <v>229</v>
      </c>
      <c r="C167" s="43">
        <v>87</v>
      </c>
      <c r="D167" s="43" t="s">
        <v>605</v>
      </c>
      <c r="E167" s="43" t="s">
        <v>106</v>
      </c>
      <c r="F167" s="43" t="s">
        <v>607</v>
      </c>
      <c r="G167" s="43" t="s">
        <v>382</v>
      </c>
      <c r="H167" s="43">
        <v>60</v>
      </c>
      <c r="I167" s="43">
        <v>-48.652500000000003</v>
      </c>
      <c r="J167" s="28">
        <v>-4.6040000000000002E-7</v>
      </c>
      <c r="K167" s="43" t="s">
        <v>910</v>
      </c>
      <c r="L167" s="43" t="s">
        <v>65</v>
      </c>
      <c r="N167" s="43" t="s">
        <v>229</v>
      </c>
      <c r="O167" s="43">
        <v>87</v>
      </c>
      <c r="P167" s="43" t="s">
        <v>605</v>
      </c>
      <c r="Q167" s="43" t="s">
        <v>376</v>
      </c>
      <c r="R167" s="43" t="s">
        <v>607</v>
      </c>
      <c r="S167" s="43" t="s">
        <v>382</v>
      </c>
      <c r="T167" s="43">
        <v>10</v>
      </c>
      <c r="U167" s="43">
        <v>-48.430799999999998</v>
      </c>
      <c r="V167" s="28">
        <v>-4.5830000000000002E-7</v>
      </c>
      <c r="W167" s="43" t="s">
        <v>910</v>
      </c>
      <c r="X167" s="43" t="s">
        <v>65</v>
      </c>
    </row>
    <row r="168" spans="2:24" x14ac:dyDescent="0.2">
      <c r="B168" s="43" t="s">
        <v>229</v>
      </c>
      <c r="C168" s="43">
        <v>90</v>
      </c>
      <c r="D168" s="43" t="s">
        <v>608</v>
      </c>
      <c r="E168" s="43" t="s">
        <v>106</v>
      </c>
      <c r="F168" s="43" t="s">
        <v>609</v>
      </c>
      <c r="G168" s="43" t="s">
        <v>380</v>
      </c>
      <c r="H168" s="43">
        <v>60</v>
      </c>
      <c r="I168" s="43">
        <v>-57.986899999999999</v>
      </c>
      <c r="J168" s="28">
        <v>-3.9099999999999999E-7</v>
      </c>
      <c r="K168" s="43" t="s">
        <v>910</v>
      </c>
      <c r="L168" s="43" t="s">
        <v>65</v>
      </c>
      <c r="N168" s="43" t="s">
        <v>229</v>
      </c>
      <c r="O168" s="43">
        <v>90</v>
      </c>
      <c r="P168" s="43" t="s">
        <v>608</v>
      </c>
      <c r="Q168" s="43" t="s">
        <v>376</v>
      </c>
      <c r="R168" s="43" t="s">
        <v>609</v>
      </c>
      <c r="S168" s="43" t="s">
        <v>380</v>
      </c>
      <c r="T168" s="43">
        <v>10</v>
      </c>
      <c r="U168" s="43">
        <v>-58.292900000000003</v>
      </c>
      <c r="V168" s="28">
        <v>-3.9309999999999999E-7</v>
      </c>
      <c r="W168" s="43" t="s">
        <v>910</v>
      </c>
      <c r="X168" s="43" t="s">
        <v>65</v>
      </c>
    </row>
    <row r="169" spans="2:24" x14ac:dyDescent="0.2">
      <c r="B169" s="43" t="s">
        <v>229</v>
      </c>
      <c r="C169" s="43">
        <v>90</v>
      </c>
      <c r="D169" s="43" t="s">
        <v>608</v>
      </c>
      <c r="E169" s="43" t="s">
        <v>106</v>
      </c>
      <c r="F169" s="43" t="s">
        <v>610</v>
      </c>
      <c r="G169" s="43" t="s">
        <v>382</v>
      </c>
      <c r="H169" s="43">
        <v>60</v>
      </c>
      <c r="I169" s="43">
        <v>-72.439700000000002</v>
      </c>
      <c r="J169" s="28">
        <v>-4.8849999999999996E-7</v>
      </c>
      <c r="K169" s="43" t="s">
        <v>910</v>
      </c>
      <c r="L169" s="43" t="s">
        <v>65</v>
      </c>
      <c r="N169" s="43" t="s">
        <v>229</v>
      </c>
      <c r="O169" s="43">
        <v>90</v>
      </c>
      <c r="P169" s="43" t="s">
        <v>608</v>
      </c>
      <c r="Q169" s="43" t="s">
        <v>376</v>
      </c>
      <c r="R169" s="43" t="s">
        <v>610</v>
      </c>
      <c r="S169" s="43" t="s">
        <v>382</v>
      </c>
      <c r="T169" s="43">
        <v>10</v>
      </c>
      <c r="U169" s="43">
        <v>-72.1387</v>
      </c>
      <c r="V169" s="28">
        <v>-4.8650000000000002E-7</v>
      </c>
      <c r="W169" s="43" t="s">
        <v>910</v>
      </c>
      <c r="X169" s="43" t="s">
        <v>65</v>
      </c>
    </row>
    <row r="170" spans="2:24" x14ac:dyDescent="0.2">
      <c r="B170" s="43" t="s">
        <v>229</v>
      </c>
      <c r="C170" s="43">
        <v>93</v>
      </c>
      <c r="D170" s="43" t="s">
        <v>611</v>
      </c>
      <c r="E170" s="43" t="s">
        <v>106</v>
      </c>
      <c r="F170" s="43" t="s">
        <v>612</v>
      </c>
      <c r="G170" s="43" t="s">
        <v>380</v>
      </c>
      <c r="H170" s="43">
        <v>60</v>
      </c>
      <c r="I170" s="43">
        <v>-66.365499999999997</v>
      </c>
      <c r="J170" s="28">
        <v>-4.6909999999999999E-7</v>
      </c>
      <c r="K170" s="43" t="s">
        <v>910</v>
      </c>
      <c r="L170" s="43" t="s">
        <v>65</v>
      </c>
      <c r="N170" s="43" t="s">
        <v>229</v>
      </c>
      <c r="O170" s="43">
        <v>93</v>
      </c>
      <c r="P170" s="43" t="s">
        <v>611</v>
      </c>
      <c r="Q170" s="43" t="s">
        <v>376</v>
      </c>
      <c r="R170" s="43" t="s">
        <v>612</v>
      </c>
      <c r="S170" s="43" t="s">
        <v>380</v>
      </c>
      <c r="T170" s="43">
        <v>10</v>
      </c>
      <c r="U170" s="43">
        <v>-66.673500000000004</v>
      </c>
      <c r="V170" s="28">
        <v>-4.7129999999999999E-7</v>
      </c>
      <c r="W170" s="43" t="s">
        <v>910</v>
      </c>
      <c r="X170" s="43" t="s">
        <v>65</v>
      </c>
    </row>
    <row r="171" spans="2:24" x14ac:dyDescent="0.2">
      <c r="B171" s="43" t="s">
        <v>229</v>
      </c>
      <c r="C171" s="43">
        <v>93</v>
      </c>
      <c r="D171" s="43" t="s">
        <v>611</v>
      </c>
      <c r="E171" s="43" t="s">
        <v>106</v>
      </c>
      <c r="F171" s="43" t="s">
        <v>613</v>
      </c>
      <c r="G171" s="43" t="s">
        <v>382</v>
      </c>
      <c r="H171" s="43">
        <v>60</v>
      </c>
      <c r="I171" s="43">
        <v>-57.0749</v>
      </c>
      <c r="J171" s="28">
        <v>-4.0340000000000003E-7</v>
      </c>
      <c r="K171" s="43" t="s">
        <v>910</v>
      </c>
      <c r="L171" s="43" t="s">
        <v>65</v>
      </c>
      <c r="N171" s="43" t="s">
        <v>229</v>
      </c>
      <c r="O171" s="43">
        <v>93</v>
      </c>
      <c r="P171" s="43" t="s">
        <v>611</v>
      </c>
      <c r="Q171" s="43" t="s">
        <v>376</v>
      </c>
      <c r="R171" s="43" t="s">
        <v>613</v>
      </c>
      <c r="S171" s="43" t="s">
        <v>382</v>
      </c>
      <c r="T171" s="43">
        <v>10</v>
      </c>
      <c r="U171" s="43">
        <v>-56.778100000000002</v>
      </c>
      <c r="V171" s="28">
        <v>-4.0129999999999997E-7</v>
      </c>
      <c r="W171" s="43" t="s">
        <v>910</v>
      </c>
      <c r="X171" s="43" t="s">
        <v>65</v>
      </c>
    </row>
    <row r="172" spans="2:24" x14ac:dyDescent="0.2">
      <c r="B172" s="43" t="s">
        <v>229</v>
      </c>
      <c r="C172" s="43">
        <v>96</v>
      </c>
      <c r="D172" s="43" t="s">
        <v>614</v>
      </c>
      <c r="E172" s="43" t="s">
        <v>106</v>
      </c>
      <c r="F172" s="43" t="s">
        <v>615</v>
      </c>
      <c r="G172" s="43" t="s">
        <v>380</v>
      </c>
      <c r="H172" s="43">
        <v>60</v>
      </c>
      <c r="I172" s="43">
        <v>-66.164699999999996</v>
      </c>
      <c r="J172" s="28">
        <v>-4.6769999999999999E-7</v>
      </c>
      <c r="K172" s="43" t="s">
        <v>910</v>
      </c>
      <c r="L172" s="43" t="s">
        <v>65</v>
      </c>
      <c r="N172" s="43" t="s">
        <v>229</v>
      </c>
      <c r="O172" s="43">
        <v>96</v>
      </c>
      <c r="P172" s="43" t="s">
        <v>614</v>
      </c>
      <c r="Q172" s="43" t="s">
        <v>376</v>
      </c>
      <c r="R172" s="43" t="s">
        <v>615</v>
      </c>
      <c r="S172" s="43" t="s">
        <v>380</v>
      </c>
      <c r="T172" s="43">
        <v>10</v>
      </c>
      <c r="U172" s="43">
        <v>-66.473299999999995</v>
      </c>
      <c r="V172" s="28">
        <v>-4.6989999999999999E-7</v>
      </c>
      <c r="W172" s="43" t="s">
        <v>910</v>
      </c>
      <c r="X172" s="43" t="s">
        <v>65</v>
      </c>
    </row>
    <row r="173" spans="2:24" x14ac:dyDescent="0.2">
      <c r="B173" s="43" t="s">
        <v>229</v>
      </c>
      <c r="C173" s="43">
        <v>96</v>
      </c>
      <c r="D173" s="43" t="s">
        <v>614</v>
      </c>
      <c r="E173" s="43" t="s">
        <v>106</v>
      </c>
      <c r="F173" s="43" t="s">
        <v>616</v>
      </c>
      <c r="G173" s="43" t="s">
        <v>382</v>
      </c>
      <c r="H173" s="43">
        <v>60</v>
      </c>
      <c r="I173" s="43">
        <v>-57.184199999999997</v>
      </c>
      <c r="J173" s="28">
        <v>-4.0419999999999998E-7</v>
      </c>
      <c r="K173" s="43" t="s">
        <v>910</v>
      </c>
      <c r="L173" s="43" t="s">
        <v>65</v>
      </c>
      <c r="N173" s="43" t="s">
        <v>229</v>
      </c>
      <c r="O173" s="43">
        <v>96</v>
      </c>
      <c r="P173" s="43" t="s">
        <v>614</v>
      </c>
      <c r="Q173" s="43" t="s">
        <v>376</v>
      </c>
      <c r="R173" s="43" t="s">
        <v>616</v>
      </c>
      <c r="S173" s="43" t="s">
        <v>382</v>
      </c>
      <c r="T173" s="43">
        <v>10</v>
      </c>
      <c r="U173" s="43">
        <v>-56.886899999999997</v>
      </c>
      <c r="V173" s="28">
        <v>-4.0209999999999998E-7</v>
      </c>
      <c r="W173" s="43" t="s">
        <v>910</v>
      </c>
      <c r="X173" s="43" t="s">
        <v>65</v>
      </c>
    </row>
    <row r="174" spans="2:24" x14ac:dyDescent="0.2">
      <c r="B174" s="43" t="s">
        <v>229</v>
      </c>
      <c r="C174" s="43">
        <v>99</v>
      </c>
      <c r="D174" s="43" t="s">
        <v>617</v>
      </c>
      <c r="E174" s="43" t="s">
        <v>106</v>
      </c>
      <c r="F174" s="43" t="s">
        <v>618</v>
      </c>
      <c r="G174" s="43" t="s">
        <v>380</v>
      </c>
      <c r="H174" s="43">
        <v>60</v>
      </c>
      <c r="I174" s="43">
        <v>-57.454900000000002</v>
      </c>
      <c r="J174" s="28">
        <v>-3.8739999999999999E-7</v>
      </c>
      <c r="K174" s="43" t="s">
        <v>910</v>
      </c>
      <c r="L174" s="43" t="s">
        <v>65</v>
      </c>
      <c r="N174" s="43" t="s">
        <v>229</v>
      </c>
      <c r="O174" s="43">
        <v>99</v>
      </c>
      <c r="P174" s="43" t="s">
        <v>617</v>
      </c>
      <c r="Q174" s="43" t="s">
        <v>376</v>
      </c>
      <c r="R174" s="43" t="s">
        <v>618</v>
      </c>
      <c r="S174" s="43" t="s">
        <v>380</v>
      </c>
      <c r="T174" s="43">
        <v>10</v>
      </c>
      <c r="U174" s="43">
        <v>-57.762500000000003</v>
      </c>
      <c r="V174" s="28">
        <v>-3.8949999999999999E-7</v>
      </c>
      <c r="W174" s="43" t="s">
        <v>910</v>
      </c>
      <c r="X174" s="43" t="s">
        <v>65</v>
      </c>
    </row>
    <row r="175" spans="2:24" x14ac:dyDescent="0.2">
      <c r="B175" s="43" t="s">
        <v>229</v>
      </c>
      <c r="C175" s="43">
        <v>99</v>
      </c>
      <c r="D175" s="43" t="s">
        <v>617</v>
      </c>
      <c r="E175" s="43" t="s">
        <v>106</v>
      </c>
      <c r="F175" s="43" t="s">
        <v>619</v>
      </c>
      <c r="G175" s="43" t="s">
        <v>382</v>
      </c>
      <c r="H175" s="43">
        <v>60</v>
      </c>
      <c r="I175" s="43">
        <v>-72.011399999999995</v>
      </c>
      <c r="J175" s="28">
        <v>-4.8559999999999995E-7</v>
      </c>
      <c r="K175" s="43" t="s">
        <v>910</v>
      </c>
      <c r="L175" s="43" t="s">
        <v>65</v>
      </c>
      <c r="N175" s="43" t="s">
        <v>229</v>
      </c>
      <c r="O175" s="43">
        <v>99</v>
      </c>
      <c r="P175" s="43" t="s">
        <v>617</v>
      </c>
      <c r="Q175" s="43" t="s">
        <v>376</v>
      </c>
      <c r="R175" s="43" t="s">
        <v>619</v>
      </c>
      <c r="S175" s="43" t="s">
        <v>382</v>
      </c>
      <c r="T175" s="43">
        <v>10</v>
      </c>
      <c r="U175" s="43">
        <v>-71.709100000000007</v>
      </c>
      <c r="V175" s="28">
        <v>-4.8360000000000002E-7</v>
      </c>
      <c r="W175" s="43" t="s">
        <v>910</v>
      </c>
      <c r="X175" s="43" t="s">
        <v>65</v>
      </c>
    </row>
    <row r="176" spans="2:24" x14ac:dyDescent="0.2">
      <c r="B176" s="43" t="s">
        <v>229</v>
      </c>
      <c r="C176" s="43">
        <v>102</v>
      </c>
      <c r="D176" s="43" t="s">
        <v>620</v>
      </c>
      <c r="E176" s="43" t="s">
        <v>106</v>
      </c>
      <c r="F176" s="43" t="s">
        <v>621</v>
      </c>
      <c r="G176" s="43" t="s">
        <v>380</v>
      </c>
      <c r="H176" s="43">
        <v>60</v>
      </c>
      <c r="I176" s="43">
        <v>-44.416699999999999</v>
      </c>
      <c r="J176" s="28">
        <v>-4.2030000000000002E-7</v>
      </c>
      <c r="K176" s="43" t="s">
        <v>910</v>
      </c>
      <c r="L176" s="43" t="s">
        <v>65</v>
      </c>
      <c r="N176" s="43" t="s">
        <v>229</v>
      </c>
      <c r="O176" s="43">
        <v>102</v>
      </c>
      <c r="P176" s="43" t="s">
        <v>620</v>
      </c>
      <c r="Q176" s="43" t="s">
        <v>376</v>
      </c>
      <c r="R176" s="43" t="s">
        <v>621</v>
      </c>
      <c r="S176" s="43" t="s">
        <v>380</v>
      </c>
      <c r="T176" s="43">
        <v>10</v>
      </c>
      <c r="U176" s="43">
        <v>-44.642200000000003</v>
      </c>
      <c r="V176" s="28">
        <v>-4.2240000000000002E-7</v>
      </c>
      <c r="W176" s="43" t="s">
        <v>910</v>
      </c>
      <c r="X176" s="43" t="s">
        <v>65</v>
      </c>
    </row>
    <row r="177" spans="2:24" x14ac:dyDescent="0.2">
      <c r="B177" s="43" t="s">
        <v>229</v>
      </c>
      <c r="C177" s="43">
        <v>102</v>
      </c>
      <c r="D177" s="43" t="s">
        <v>620</v>
      </c>
      <c r="E177" s="43" t="s">
        <v>106</v>
      </c>
      <c r="F177" s="43" t="s">
        <v>622</v>
      </c>
      <c r="G177" s="43" t="s">
        <v>382</v>
      </c>
      <c r="H177" s="43">
        <v>60</v>
      </c>
      <c r="I177" s="43">
        <v>-42.285200000000003</v>
      </c>
      <c r="J177" s="28">
        <v>-4.0009999999999999E-7</v>
      </c>
      <c r="K177" s="43" t="s">
        <v>910</v>
      </c>
      <c r="L177" s="43" t="s">
        <v>65</v>
      </c>
      <c r="N177" s="43" t="s">
        <v>229</v>
      </c>
      <c r="O177" s="43">
        <v>102</v>
      </c>
      <c r="P177" s="43" t="s">
        <v>620</v>
      </c>
      <c r="Q177" s="43" t="s">
        <v>376</v>
      </c>
      <c r="R177" s="43" t="s">
        <v>622</v>
      </c>
      <c r="S177" s="43" t="s">
        <v>382</v>
      </c>
      <c r="T177" s="43">
        <v>10</v>
      </c>
      <c r="U177" s="43">
        <v>-42.0642</v>
      </c>
      <c r="V177" s="28">
        <v>-3.9799999999999999E-7</v>
      </c>
      <c r="W177" s="43" t="s">
        <v>910</v>
      </c>
      <c r="X177" s="43" t="s">
        <v>65</v>
      </c>
    </row>
    <row r="178" spans="2:24" x14ac:dyDescent="0.2">
      <c r="B178" s="43" t="s">
        <v>229</v>
      </c>
      <c r="C178" s="43">
        <v>110</v>
      </c>
      <c r="D178" s="43" t="s">
        <v>623</v>
      </c>
      <c r="E178" s="43" t="s">
        <v>106</v>
      </c>
      <c r="F178" s="43" t="s">
        <v>624</v>
      </c>
      <c r="G178" s="43" t="s">
        <v>380</v>
      </c>
      <c r="H178" s="43">
        <v>60</v>
      </c>
      <c r="I178" s="43">
        <v>-63.636600000000001</v>
      </c>
      <c r="J178" s="28">
        <v>-4.7520000000000002E-7</v>
      </c>
      <c r="K178" s="43" t="s">
        <v>910</v>
      </c>
      <c r="L178" s="43" t="s">
        <v>65</v>
      </c>
      <c r="N178" s="43" t="s">
        <v>229</v>
      </c>
      <c r="O178" s="43">
        <v>110</v>
      </c>
      <c r="P178" s="43" t="s">
        <v>623</v>
      </c>
      <c r="Q178" s="43" t="s">
        <v>376</v>
      </c>
      <c r="R178" s="43" t="s">
        <v>624</v>
      </c>
      <c r="S178" s="43" t="s">
        <v>380</v>
      </c>
      <c r="T178" s="43">
        <v>10</v>
      </c>
      <c r="U178" s="43">
        <v>-63.618299999999998</v>
      </c>
      <c r="V178" s="28">
        <v>-4.75E-7</v>
      </c>
      <c r="W178" s="43" t="s">
        <v>910</v>
      </c>
      <c r="X178" s="43" t="s">
        <v>65</v>
      </c>
    </row>
    <row r="179" spans="2:24" x14ac:dyDescent="0.2">
      <c r="B179" s="43" t="s">
        <v>229</v>
      </c>
      <c r="C179" s="43">
        <v>110</v>
      </c>
      <c r="D179" s="43" t="s">
        <v>623</v>
      </c>
      <c r="E179" s="43" t="s">
        <v>106</v>
      </c>
      <c r="F179" s="43" t="s">
        <v>625</v>
      </c>
      <c r="G179" s="43" t="s">
        <v>382</v>
      </c>
      <c r="H179" s="43">
        <v>60</v>
      </c>
      <c r="I179" s="43">
        <v>15.777900000000001</v>
      </c>
      <c r="J179" s="28">
        <v>1.178E-7</v>
      </c>
      <c r="K179" s="43" t="s">
        <v>910</v>
      </c>
      <c r="L179" s="43" t="s">
        <v>65</v>
      </c>
      <c r="N179" s="43" t="s">
        <v>229</v>
      </c>
      <c r="O179" s="43">
        <v>110</v>
      </c>
      <c r="P179" s="43" t="s">
        <v>623</v>
      </c>
      <c r="Q179" s="43" t="s">
        <v>376</v>
      </c>
      <c r="R179" s="43" t="s">
        <v>625</v>
      </c>
      <c r="S179" s="43" t="s">
        <v>382</v>
      </c>
      <c r="T179" s="43">
        <v>10</v>
      </c>
      <c r="U179" s="43">
        <v>15.760400000000001</v>
      </c>
      <c r="V179" s="28">
        <v>1.177E-7</v>
      </c>
      <c r="W179" s="43" t="s">
        <v>910</v>
      </c>
      <c r="X179" s="43" t="s">
        <v>65</v>
      </c>
    </row>
    <row r="180" spans="2:24" x14ac:dyDescent="0.2">
      <c r="B180" s="43" t="s">
        <v>229</v>
      </c>
      <c r="C180" s="43">
        <v>111</v>
      </c>
      <c r="D180" s="43" t="s">
        <v>626</v>
      </c>
      <c r="E180" s="43" t="s">
        <v>106</v>
      </c>
      <c r="F180" s="43" t="s">
        <v>627</v>
      </c>
      <c r="G180" s="43" t="s">
        <v>380</v>
      </c>
      <c r="H180" s="43">
        <v>60</v>
      </c>
      <c r="I180" s="43">
        <v>-52.541800000000002</v>
      </c>
      <c r="J180" s="28">
        <v>-3.9229999999999999E-7</v>
      </c>
      <c r="K180" s="43" t="s">
        <v>910</v>
      </c>
      <c r="L180" s="43" t="s">
        <v>65</v>
      </c>
      <c r="N180" s="43" t="s">
        <v>229</v>
      </c>
      <c r="O180" s="43">
        <v>111</v>
      </c>
      <c r="P180" s="43" t="s">
        <v>626</v>
      </c>
      <c r="Q180" s="43" t="s">
        <v>376</v>
      </c>
      <c r="R180" s="43" t="s">
        <v>627</v>
      </c>
      <c r="S180" s="43" t="s">
        <v>380</v>
      </c>
      <c r="T180" s="43">
        <v>10</v>
      </c>
      <c r="U180" s="43">
        <v>-52.5261</v>
      </c>
      <c r="V180" s="28">
        <v>-3.9219999999999998E-7</v>
      </c>
      <c r="W180" s="43" t="s">
        <v>910</v>
      </c>
      <c r="X180" s="43" t="s">
        <v>65</v>
      </c>
    </row>
    <row r="181" spans="2:24" x14ac:dyDescent="0.2">
      <c r="B181" s="43" t="s">
        <v>229</v>
      </c>
      <c r="C181" s="43">
        <v>111</v>
      </c>
      <c r="D181" s="43" t="s">
        <v>626</v>
      </c>
      <c r="E181" s="43" t="s">
        <v>106</v>
      </c>
      <c r="F181" s="43" t="s">
        <v>628</v>
      </c>
      <c r="G181" s="43" t="s">
        <v>382</v>
      </c>
      <c r="H181" s="43">
        <v>60</v>
      </c>
      <c r="I181" s="43">
        <v>7.0915999999999997</v>
      </c>
      <c r="J181" s="28">
        <v>5.2950000000000001E-8</v>
      </c>
      <c r="K181" s="43" t="s">
        <v>910</v>
      </c>
      <c r="L181" s="43" t="s">
        <v>65</v>
      </c>
      <c r="N181" s="43" t="s">
        <v>229</v>
      </c>
      <c r="O181" s="43">
        <v>111</v>
      </c>
      <c r="P181" s="43" t="s">
        <v>626</v>
      </c>
      <c r="Q181" s="43" t="s">
        <v>376</v>
      </c>
      <c r="R181" s="43" t="s">
        <v>628</v>
      </c>
      <c r="S181" s="43" t="s">
        <v>382</v>
      </c>
      <c r="T181" s="43">
        <v>10</v>
      </c>
      <c r="U181" s="43">
        <v>7.0753000000000004</v>
      </c>
      <c r="V181" s="28">
        <v>5.2829999999999997E-8</v>
      </c>
      <c r="W181" s="43" t="s">
        <v>910</v>
      </c>
      <c r="X181" s="43" t="s">
        <v>65</v>
      </c>
    </row>
    <row r="182" spans="2:24" x14ac:dyDescent="0.2">
      <c r="B182" s="43" t="s">
        <v>229</v>
      </c>
      <c r="C182" s="43">
        <v>112</v>
      </c>
      <c r="D182" s="43" t="s">
        <v>626</v>
      </c>
      <c r="E182" s="43" t="s">
        <v>106</v>
      </c>
      <c r="F182" s="43" t="s">
        <v>629</v>
      </c>
      <c r="G182" s="43" t="s">
        <v>380</v>
      </c>
      <c r="H182" s="43">
        <v>60</v>
      </c>
      <c r="I182" s="43">
        <v>-61.57</v>
      </c>
      <c r="J182" s="28">
        <v>-4.8599999999999998E-7</v>
      </c>
      <c r="K182" s="43" t="s">
        <v>910</v>
      </c>
      <c r="L182" s="43" t="s">
        <v>65</v>
      </c>
      <c r="N182" s="43" t="s">
        <v>229</v>
      </c>
      <c r="O182" s="43">
        <v>112</v>
      </c>
      <c r="P182" s="43" t="s">
        <v>626</v>
      </c>
      <c r="Q182" s="43" t="s">
        <v>376</v>
      </c>
      <c r="R182" s="43" t="s">
        <v>629</v>
      </c>
      <c r="S182" s="43" t="s">
        <v>380</v>
      </c>
      <c r="T182" s="43">
        <v>10</v>
      </c>
      <c r="U182" s="43">
        <v>-61.554600000000001</v>
      </c>
      <c r="V182" s="28">
        <v>-4.8589999999999998E-7</v>
      </c>
      <c r="W182" s="43" t="s">
        <v>910</v>
      </c>
      <c r="X182" s="43" t="s">
        <v>65</v>
      </c>
    </row>
    <row r="183" spans="2:24" x14ac:dyDescent="0.2">
      <c r="B183" s="43" t="s">
        <v>229</v>
      </c>
      <c r="C183" s="43">
        <v>112</v>
      </c>
      <c r="D183" s="43" t="s">
        <v>626</v>
      </c>
      <c r="E183" s="43" t="s">
        <v>106</v>
      </c>
      <c r="F183" s="43" t="s">
        <v>630</v>
      </c>
      <c r="G183" s="43" t="s">
        <v>382</v>
      </c>
      <c r="H183" s="43">
        <v>60</v>
      </c>
      <c r="I183" s="43">
        <v>4.5610999999999997</v>
      </c>
      <c r="J183" s="28">
        <v>3.5999999999999998E-8</v>
      </c>
      <c r="K183" s="43" t="s">
        <v>910</v>
      </c>
      <c r="L183" s="43" t="s">
        <v>65</v>
      </c>
      <c r="N183" s="43" t="s">
        <v>229</v>
      </c>
      <c r="O183" s="43">
        <v>112</v>
      </c>
      <c r="P183" s="43" t="s">
        <v>626</v>
      </c>
      <c r="Q183" s="43" t="s">
        <v>376</v>
      </c>
      <c r="R183" s="43" t="s">
        <v>630</v>
      </c>
      <c r="S183" s="43" t="s">
        <v>382</v>
      </c>
      <c r="T183" s="43">
        <v>10</v>
      </c>
      <c r="U183" s="43">
        <v>4.5450999999999997</v>
      </c>
      <c r="V183" s="28">
        <v>3.5880000000000001E-8</v>
      </c>
      <c r="W183" s="43" t="s">
        <v>910</v>
      </c>
      <c r="X183" s="43" t="s">
        <v>65</v>
      </c>
    </row>
    <row r="184" spans="2:24" x14ac:dyDescent="0.2">
      <c r="B184" s="43" t="s">
        <v>229</v>
      </c>
      <c r="C184" s="43">
        <v>113</v>
      </c>
      <c r="D184" s="43" t="s">
        <v>626</v>
      </c>
      <c r="E184" s="43" t="s">
        <v>106</v>
      </c>
      <c r="F184" s="43" t="s">
        <v>631</v>
      </c>
      <c r="G184" s="43" t="s">
        <v>380</v>
      </c>
      <c r="H184" s="43">
        <v>60</v>
      </c>
      <c r="I184" s="43">
        <v>-62.867699999999999</v>
      </c>
      <c r="J184" s="28">
        <v>-4.6940000000000001E-7</v>
      </c>
      <c r="K184" s="43" t="s">
        <v>910</v>
      </c>
      <c r="L184" s="43" t="s">
        <v>65</v>
      </c>
      <c r="N184" s="43" t="s">
        <v>229</v>
      </c>
      <c r="O184" s="43">
        <v>113</v>
      </c>
      <c r="P184" s="43" t="s">
        <v>626</v>
      </c>
      <c r="Q184" s="43" t="s">
        <v>376</v>
      </c>
      <c r="R184" s="43" t="s">
        <v>631</v>
      </c>
      <c r="S184" s="43" t="s">
        <v>380</v>
      </c>
      <c r="T184" s="43">
        <v>10</v>
      </c>
      <c r="U184" s="43">
        <v>-62.850499999999997</v>
      </c>
      <c r="V184" s="28">
        <v>-4.693E-7</v>
      </c>
      <c r="W184" s="43" t="s">
        <v>910</v>
      </c>
      <c r="X184" s="43" t="s">
        <v>65</v>
      </c>
    </row>
    <row r="185" spans="2:24" x14ac:dyDescent="0.2">
      <c r="B185" s="43" t="s">
        <v>229</v>
      </c>
      <c r="C185" s="43">
        <v>113</v>
      </c>
      <c r="D185" s="43" t="s">
        <v>626</v>
      </c>
      <c r="E185" s="43" t="s">
        <v>106</v>
      </c>
      <c r="F185" s="43" t="s">
        <v>632</v>
      </c>
      <c r="G185" s="43" t="s">
        <v>382</v>
      </c>
      <c r="H185" s="43">
        <v>60</v>
      </c>
      <c r="I185" s="43">
        <v>15.244300000000001</v>
      </c>
      <c r="J185" s="28">
        <v>1.138E-7</v>
      </c>
      <c r="K185" s="43" t="s">
        <v>910</v>
      </c>
      <c r="L185" s="43" t="s">
        <v>65</v>
      </c>
      <c r="N185" s="43" t="s">
        <v>229</v>
      </c>
      <c r="O185" s="43">
        <v>113</v>
      </c>
      <c r="P185" s="43" t="s">
        <v>626</v>
      </c>
      <c r="Q185" s="43" t="s">
        <v>376</v>
      </c>
      <c r="R185" s="43" t="s">
        <v>632</v>
      </c>
      <c r="S185" s="43" t="s">
        <v>382</v>
      </c>
      <c r="T185" s="43">
        <v>10</v>
      </c>
      <c r="U185" s="43">
        <v>15.2273</v>
      </c>
      <c r="V185" s="28">
        <v>1.1370000000000001E-7</v>
      </c>
      <c r="W185" s="43" t="s">
        <v>910</v>
      </c>
      <c r="X185" s="43" t="s">
        <v>65</v>
      </c>
    </row>
    <row r="186" spans="2:24" x14ac:dyDescent="0.2">
      <c r="B186" s="43" t="s">
        <v>229</v>
      </c>
      <c r="C186" s="43">
        <v>114</v>
      </c>
      <c r="D186" s="43" t="s">
        <v>633</v>
      </c>
      <c r="E186" s="43" t="s">
        <v>106</v>
      </c>
      <c r="F186" s="43" t="s">
        <v>634</v>
      </c>
      <c r="G186" s="43" t="s">
        <v>380</v>
      </c>
      <c r="H186" s="43">
        <v>60</v>
      </c>
      <c r="I186" s="43">
        <v>-53.227600000000002</v>
      </c>
      <c r="J186" s="28">
        <v>-3.974E-7</v>
      </c>
      <c r="K186" s="43" t="s">
        <v>910</v>
      </c>
      <c r="L186" s="43" t="s">
        <v>65</v>
      </c>
      <c r="N186" s="43" t="s">
        <v>229</v>
      </c>
      <c r="O186" s="43">
        <v>114</v>
      </c>
      <c r="P186" s="43" t="s">
        <v>633</v>
      </c>
      <c r="Q186" s="43" t="s">
        <v>376</v>
      </c>
      <c r="R186" s="43" t="s">
        <v>634</v>
      </c>
      <c r="S186" s="43" t="s">
        <v>380</v>
      </c>
      <c r="T186" s="43">
        <v>10</v>
      </c>
      <c r="U186" s="43">
        <v>-53.211599999999997</v>
      </c>
      <c r="V186" s="28">
        <v>-3.9729999999999999E-7</v>
      </c>
      <c r="W186" s="43" t="s">
        <v>910</v>
      </c>
      <c r="X186" s="43" t="s">
        <v>65</v>
      </c>
    </row>
    <row r="187" spans="2:24" x14ac:dyDescent="0.2">
      <c r="B187" s="43" t="s">
        <v>229</v>
      </c>
      <c r="C187" s="43">
        <v>114</v>
      </c>
      <c r="D187" s="43" t="s">
        <v>633</v>
      </c>
      <c r="E187" s="43" t="s">
        <v>106</v>
      </c>
      <c r="F187" s="43" t="s">
        <v>635</v>
      </c>
      <c r="G187" s="43" t="s">
        <v>382</v>
      </c>
      <c r="H187" s="43">
        <v>60</v>
      </c>
      <c r="I187" s="43">
        <v>10.557600000000001</v>
      </c>
      <c r="J187" s="28">
        <v>7.8829999999999998E-8</v>
      </c>
      <c r="K187" s="43" t="s">
        <v>910</v>
      </c>
      <c r="L187" s="43" t="s">
        <v>65</v>
      </c>
      <c r="N187" s="43" t="s">
        <v>229</v>
      </c>
      <c r="O187" s="43">
        <v>114</v>
      </c>
      <c r="P187" s="43" t="s">
        <v>633</v>
      </c>
      <c r="Q187" s="43" t="s">
        <v>376</v>
      </c>
      <c r="R187" s="43" t="s">
        <v>635</v>
      </c>
      <c r="S187" s="43" t="s">
        <v>382</v>
      </c>
      <c r="T187" s="43">
        <v>10</v>
      </c>
      <c r="U187" s="43">
        <v>10.540100000000001</v>
      </c>
      <c r="V187" s="28">
        <v>7.8699999999999997E-8</v>
      </c>
      <c r="W187" s="43" t="s">
        <v>910</v>
      </c>
      <c r="X187" s="43" t="s">
        <v>65</v>
      </c>
    </row>
    <row r="188" spans="2:24" x14ac:dyDescent="0.2">
      <c r="B188" s="43" t="s">
        <v>229</v>
      </c>
      <c r="C188" s="43">
        <v>88</v>
      </c>
      <c r="D188" s="43" t="s">
        <v>636</v>
      </c>
      <c r="E188" s="43" t="s">
        <v>106</v>
      </c>
      <c r="F188" s="43" t="s">
        <v>637</v>
      </c>
      <c r="G188" s="43" t="s">
        <v>380</v>
      </c>
      <c r="H188" s="43">
        <v>60</v>
      </c>
      <c r="I188" s="43">
        <v>-46.223300000000002</v>
      </c>
      <c r="J188" s="28">
        <v>-3.9589999999999999E-7</v>
      </c>
      <c r="K188" s="43" t="s">
        <v>910</v>
      </c>
      <c r="L188" s="43" t="s">
        <v>65</v>
      </c>
      <c r="N188" s="43" t="s">
        <v>229</v>
      </c>
      <c r="O188" s="43">
        <v>88</v>
      </c>
      <c r="P188" s="43" t="s">
        <v>636</v>
      </c>
      <c r="Q188" s="43" t="s">
        <v>376</v>
      </c>
      <c r="R188" s="43" t="s">
        <v>637</v>
      </c>
      <c r="S188" s="43" t="s">
        <v>380</v>
      </c>
      <c r="T188" s="43">
        <v>10</v>
      </c>
      <c r="U188" s="43">
        <v>-46.463999999999999</v>
      </c>
      <c r="V188" s="28">
        <v>-3.9799999999999999E-7</v>
      </c>
      <c r="W188" s="43" t="s">
        <v>910</v>
      </c>
      <c r="X188" s="43" t="s">
        <v>65</v>
      </c>
    </row>
    <row r="189" spans="2:24" x14ac:dyDescent="0.2">
      <c r="B189" s="43" t="s">
        <v>229</v>
      </c>
      <c r="C189" s="43">
        <v>88</v>
      </c>
      <c r="D189" s="43" t="s">
        <v>636</v>
      </c>
      <c r="E189" s="43" t="s">
        <v>106</v>
      </c>
      <c r="F189" s="43" t="s">
        <v>638</v>
      </c>
      <c r="G189" s="43" t="s">
        <v>382</v>
      </c>
      <c r="H189" s="43">
        <v>60</v>
      </c>
      <c r="I189" s="43">
        <v>-46.1357</v>
      </c>
      <c r="J189" s="28">
        <v>-3.9519999999999999E-7</v>
      </c>
      <c r="K189" s="43" t="s">
        <v>910</v>
      </c>
      <c r="L189" s="43" t="s">
        <v>65</v>
      </c>
      <c r="N189" s="43" t="s">
        <v>229</v>
      </c>
      <c r="O189" s="43">
        <v>88</v>
      </c>
      <c r="P189" s="43" t="s">
        <v>636</v>
      </c>
      <c r="Q189" s="43" t="s">
        <v>376</v>
      </c>
      <c r="R189" s="43" t="s">
        <v>638</v>
      </c>
      <c r="S189" s="43" t="s">
        <v>382</v>
      </c>
      <c r="T189" s="43">
        <v>10</v>
      </c>
      <c r="U189" s="43">
        <v>-45.8919</v>
      </c>
      <c r="V189" s="28">
        <v>-3.9309999999999999E-7</v>
      </c>
      <c r="W189" s="43" t="s">
        <v>910</v>
      </c>
      <c r="X189" s="43" t="s">
        <v>65</v>
      </c>
    </row>
    <row r="190" spans="2:24" x14ac:dyDescent="0.2">
      <c r="B190" s="43" t="s">
        <v>229</v>
      </c>
      <c r="C190" s="43">
        <v>91</v>
      </c>
      <c r="D190" s="43" t="s">
        <v>639</v>
      </c>
      <c r="E190" s="43" t="s">
        <v>106</v>
      </c>
      <c r="F190" s="43" t="s">
        <v>640</v>
      </c>
      <c r="G190" s="43" t="s">
        <v>380</v>
      </c>
      <c r="H190" s="43">
        <v>60</v>
      </c>
      <c r="I190" s="43">
        <v>-73.028199999999998</v>
      </c>
      <c r="J190" s="28">
        <v>-4.8790000000000002E-7</v>
      </c>
      <c r="K190" s="43" t="s">
        <v>910</v>
      </c>
      <c r="L190" s="43" t="s">
        <v>65</v>
      </c>
      <c r="N190" s="43" t="s">
        <v>229</v>
      </c>
      <c r="O190" s="43">
        <v>91</v>
      </c>
      <c r="P190" s="43" t="s">
        <v>639</v>
      </c>
      <c r="Q190" s="43" t="s">
        <v>376</v>
      </c>
      <c r="R190" s="43" t="s">
        <v>640</v>
      </c>
      <c r="S190" s="43" t="s">
        <v>380</v>
      </c>
      <c r="T190" s="43">
        <v>10</v>
      </c>
      <c r="U190" s="43">
        <v>-73.329400000000007</v>
      </c>
      <c r="V190" s="28">
        <v>-4.8989999999999996E-7</v>
      </c>
      <c r="W190" s="43" t="s">
        <v>910</v>
      </c>
      <c r="X190" s="43" t="s">
        <v>65</v>
      </c>
    </row>
    <row r="191" spans="2:24" x14ac:dyDescent="0.2">
      <c r="B191" s="43" t="s">
        <v>229</v>
      </c>
      <c r="C191" s="43">
        <v>91</v>
      </c>
      <c r="D191" s="43" t="s">
        <v>639</v>
      </c>
      <c r="E191" s="43" t="s">
        <v>106</v>
      </c>
      <c r="F191" s="43" t="s">
        <v>641</v>
      </c>
      <c r="G191" s="43" t="s">
        <v>382</v>
      </c>
      <c r="H191" s="43">
        <v>60</v>
      </c>
      <c r="I191" s="43">
        <v>-72.971800000000002</v>
      </c>
      <c r="J191" s="28">
        <v>-4.8749999999999999E-7</v>
      </c>
      <c r="K191" s="43" t="s">
        <v>910</v>
      </c>
      <c r="L191" s="43" t="s">
        <v>65</v>
      </c>
      <c r="N191" s="43" t="s">
        <v>229</v>
      </c>
      <c r="O191" s="43">
        <v>91</v>
      </c>
      <c r="P191" s="43" t="s">
        <v>639</v>
      </c>
      <c r="Q191" s="43" t="s">
        <v>376</v>
      </c>
      <c r="R191" s="43" t="s">
        <v>641</v>
      </c>
      <c r="S191" s="43" t="s">
        <v>382</v>
      </c>
      <c r="T191" s="43">
        <v>10</v>
      </c>
      <c r="U191" s="43">
        <v>-72.6708</v>
      </c>
      <c r="V191" s="28">
        <v>-4.8550000000000005E-7</v>
      </c>
      <c r="W191" s="43" t="s">
        <v>910</v>
      </c>
      <c r="X191" s="43" t="s">
        <v>65</v>
      </c>
    </row>
    <row r="192" spans="2:24" x14ac:dyDescent="0.2">
      <c r="B192" s="43" t="s">
        <v>229</v>
      </c>
      <c r="C192" s="43">
        <v>94</v>
      </c>
      <c r="D192" s="43" t="s">
        <v>642</v>
      </c>
      <c r="E192" s="43" t="s">
        <v>106</v>
      </c>
      <c r="F192" s="43" t="s">
        <v>643</v>
      </c>
      <c r="G192" s="43" t="s">
        <v>380</v>
      </c>
      <c r="H192" s="43">
        <v>60</v>
      </c>
      <c r="I192" s="43">
        <v>-56.8628</v>
      </c>
      <c r="J192" s="28">
        <v>-3.8729999999999998E-7</v>
      </c>
      <c r="K192" s="43" t="s">
        <v>910</v>
      </c>
      <c r="L192" s="43" t="s">
        <v>65</v>
      </c>
      <c r="N192" s="43" t="s">
        <v>229</v>
      </c>
      <c r="O192" s="43">
        <v>94</v>
      </c>
      <c r="P192" s="43" t="s">
        <v>642</v>
      </c>
      <c r="Q192" s="43" t="s">
        <v>376</v>
      </c>
      <c r="R192" s="43" t="s">
        <v>643</v>
      </c>
      <c r="S192" s="43" t="s">
        <v>380</v>
      </c>
      <c r="T192" s="43">
        <v>10</v>
      </c>
      <c r="U192" s="43">
        <v>-57.163800000000002</v>
      </c>
      <c r="V192" s="28">
        <v>-3.8939999999999998E-7</v>
      </c>
      <c r="W192" s="43" t="s">
        <v>910</v>
      </c>
      <c r="X192" s="43" t="s">
        <v>65</v>
      </c>
    </row>
    <row r="193" spans="2:24" x14ac:dyDescent="0.2">
      <c r="B193" s="43" t="s">
        <v>229</v>
      </c>
      <c r="C193" s="43">
        <v>94</v>
      </c>
      <c r="D193" s="43" t="s">
        <v>642</v>
      </c>
      <c r="E193" s="43" t="s">
        <v>106</v>
      </c>
      <c r="F193" s="43" t="s">
        <v>644</v>
      </c>
      <c r="G193" s="43" t="s">
        <v>382</v>
      </c>
      <c r="H193" s="43">
        <v>60</v>
      </c>
      <c r="I193" s="43">
        <v>-56.857399999999998</v>
      </c>
      <c r="J193" s="28">
        <v>-3.8729999999999998E-7</v>
      </c>
      <c r="K193" s="43" t="s">
        <v>910</v>
      </c>
      <c r="L193" s="43" t="s">
        <v>65</v>
      </c>
      <c r="N193" s="43" t="s">
        <v>229</v>
      </c>
      <c r="O193" s="43">
        <v>94</v>
      </c>
      <c r="P193" s="43" t="s">
        <v>642</v>
      </c>
      <c r="Q193" s="43" t="s">
        <v>376</v>
      </c>
      <c r="R193" s="43" t="s">
        <v>644</v>
      </c>
      <c r="S193" s="43" t="s">
        <v>382</v>
      </c>
      <c r="T193" s="43">
        <v>10</v>
      </c>
      <c r="U193" s="43">
        <v>-56.5565</v>
      </c>
      <c r="V193" s="28">
        <v>-3.8519999999999998E-7</v>
      </c>
      <c r="W193" s="43" t="s">
        <v>910</v>
      </c>
      <c r="X193" s="43" t="s">
        <v>65</v>
      </c>
    </row>
    <row r="194" spans="2:24" x14ac:dyDescent="0.2">
      <c r="B194" s="43" t="s">
        <v>229</v>
      </c>
      <c r="C194" s="43">
        <v>97</v>
      </c>
      <c r="D194" s="43" t="s">
        <v>645</v>
      </c>
      <c r="E194" s="43" t="s">
        <v>106</v>
      </c>
      <c r="F194" s="43" t="s">
        <v>646</v>
      </c>
      <c r="G194" s="43" t="s">
        <v>380</v>
      </c>
      <c r="H194" s="43">
        <v>60</v>
      </c>
      <c r="I194" s="43">
        <v>-57.317100000000003</v>
      </c>
      <c r="J194" s="28">
        <v>-3.904E-7</v>
      </c>
      <c r="K194" s="43" t="s">
        <v>910</v>
      </c>
      <c r="L194" s="43" t="s">
        <v>65</v>
      </c>
      <c r="N194" s="43" t="s">
        <v>229</v>
      </c>
      <c r="O194" s="43">
        <v>97</v>
      </c>
      <c r="P194" s="43" t="s">
        <v>645</v>
      </c>
      <c r="Q194" s="43" t="s">
        <v>376</v>
      </c>
      <c r="R194" s="43" t="s">
        <v>646</v>
      </c>
      <c r="S194" s="43" t="s">
        <v>380</v>
      </c>
      <c r="T194" s="43">
        <v>10</v>
      </c>
      <c r="U194" s="43">
        <v>-57.618400000000001</v>
      </c>
      <c r="V194" s="28">
        <v>-3.925E-7</v>
      </c>
      <c r="W194" s="43" t="s">
        <v>910</v>
      </c>
      <c r="X194" s="43" t="s">
        <v>65</v>
      </c>
    </row>
    <row r="195" spans="2:24" x14ac:dyDescent="0.2">
      <c r="B195" s="43" t="s">
        <v>229</v>
      </c>
      <c r="C195" s="43">
        <v>97</v>
      </c>
      <c r="D195" s="43" t="s">
        <v>645</v>
      </c>
      <c r="E195" s="43" t="s">
        <v>106</v>
      </c>
      <c r="F195" s="43" t="s">
        <v>647</v>
      </c>
      <c r="G195" s="43" t="s">
        <v>382</v>
      </c>
      <c r="H195" s="43">
        <v>60</v>
      </c>
      <c r="I195" s="43">
        <v>-57.366900000000001</v>
      </c>
      <c r="J195" s="28">
        <v>-3.9070000000000002E-7</v>
      </c>
      <c r="K195" s="43" t="s">
        <v>910</v>
      </c>
      <c r="L195" s="43" t="s">
        <v>65</v>
      </c>
      <c r="N195" s="43" t="s">
        <v>229</v>
      </c>
      <c r="O195" s="43">
        <v>97</v>
      </c>
      <c r="P195" s="43" t="s">
        <v>645</v>
      </c>
      <c r="Q195" s="43" t="s">
        <v>376</v>
      </c>
      <c r="R195" s="43" t="s">
        <v>647</v>
      </c>
      <c r="S195" s="43" t="s">
        <v>382</v>
      </c>
      <c r="T195" s="43">
        <v>10</v>
      </c>
      <c r="U195" s="43">
        <v>-57.065199999999997</v>
      </c>
      <c r="V195" s="28">
        <v>-3.8869999999999998E-7</v>
      </c>
      <c r="W195" s="43" t="s">
        <v>910</v>
      </c>
      <c r="X195" s="43" t="s">
        <v>65</v>
      </c>
    </row>
    <row r="196" spans="2:24" x14ac:dyDescent="0.2">
      <c r="B196" s="43" t="s">
        <v>229</v>
      </c>
      <c r="C196" s="43">
        <v>100</v>
      </c>
      <c r="D196" s="43" t="s">
        <v>648</v>
      </c>
      <c r="E196" s="43" t="s">
        <v>106</v>
      </c>
      <c r="F196" s="43" t="s">
        <v>649</v>
      </c>
      <c r="G196" s="43" t="s">
        <v>380</v>
      </c>
      <c r="H196" s="43">
        <v>60</v>
      </c>
      <c r="I196" s="43">
        <v>-72.633799999999994</v>
      </c>
      <c r="J196" s="28">
        <v>-4.8530000000000004E-7</v>
      </c>
      <c r="K196" s="43" t="s">
        <v>910</v>
      </c>
      <c r="L196" s="43" t="s">
        <v>65</v>
      </c>
      <c r="N196" s="43" t="s">
        <v>229</v>
      </c>
      <c r="O196" s="43">
        <v>100</v>
      </c>
      <c r="P196" s="43" t="s">
        <v>648</v>
      </c>
      <c r="Q196" s="43" t="s">
        <v>376</v>
      </c>
      <c r="R196" s="43" t="s">
        <v>649</v>
      </c>
      <c r="S196" s="43" t="s">
        <v>380</v>
      </c>
      <c r="T196" s="43">
        <v>10</v>
      </c>
      <c r="U196" s="43">
        <v>-72.936599999999999</v>
      </c>
      <c r="V196" s="28">
        <v>-4.8729999999999998E-7</v>
      </c>
      <c r="W196" s="43" t="s">
        <v>910</v>
      </c>
      <c r="X196" s="43" t="s">
        <v>65</v>
      </c>
    </row>
    <row r="197" spans="2:24" x14ac:dyDescent="0.2">
      <c r="B197" s="43" t="s">
        <v>229</v>
      </c>
      <c r="C197" s="43">
        <v>100</v>
      </c>
      <c r="D197" s="43" t="s">
        <v>648</v>
      </c>
      <c r="E197" s="43" t="s">
        <v>106</v>
      </c>
      <c r="F197" s="43" t="s">
        <v>650</v>
      </c>
      <c r="G197" s="43" t="s">
        <v>382</v>
      </c>
      <c r="H197" s="43">
        <v>60</v>
      </c>
      <c r="I197" s="43">
        <v>-72.822299999999998</v>
      </c>
      <c r="J197" s="28">
        <v>-4.8650000000000002E-7</v>
      </c>
      <c r="K197" s="43" t="s">
        <v>910</v>
      </c>
      <c r="L197" s="43" t="s">
        <v>65</v>
      </c>
      <c r="N197" s="43" t="s">
        <v>229</v>
      </c>
      <c r="O197" s="43">
        <v>100</v>
      </c>
      <c r="P197" s="43" t="s">
        <v>648</v>
      </c>
      <c r="Q197" s="43" t="s">
        <v>376</v>
      </c>
      <c r="R197" s="43" t="s">
        <v>650</v>
      </c>
      <c r="S197" s="43" t="s">
        <v>382</v>
      </c>
      <c r="T197" s="43">
        <v>10</v>
      </c>
      <c r="U197" s="43">
        <v>-72.519800000000004</v>
      </c>
      <c r="V197" s="28">
        <v>-4.8449999999999998E-7</v>
      </c>
      <c r="W197" s="43" t="s">
        <v>910</v>
      </c>
      <c r="X197" s="43" t="s">
        <v>65</v>
      </c>
    </row>
    <row r="198" spans="2:24" x14ac:dyDescent="0.2">
      <c r="B198" s="43" t="s">
        <v>229</v>
      </c>
      <c r="C198" s="43">
        <v>103</v>
      </c>
      <c r="D198" s="43" t="s">
        <v>651</v>
      </c>
      <c r="E198" s="43" t="s">
        <v>106</v>
      </c>
      <c r="F198" s="43" t="s">
        <v>652</v>
      </c>
      <c r="G198" s="43" t="s">
        <v>380</v>
      </c>
      <c r="H198" s="43">
        <v>60</v>
      </c>
      <c r="I198" s="43">
        <v>-40.002400000000002</v>
      </c>
      <c r="J198" s="28">
        <v>-3.4260000000000001E-7</v>
      </c>
      <c r="K198" s="43" t="s">
        <v>910</v>
      </c>
      <c r="L198" s="43" t="s">
        <v>65</v>
      </c>
      <c r="N198" s="43" t="s">
        <v>229</v>
      </c>
      <c r="O198" s="43">
        <v>103</v>
      </c>
      <c r="P198" s="43" t="s">
        <v>651</v>
      </c>
      <c r="Q198" s="43" t="s">
        <v>376</v>
      </c>
      <c r="R198" s="43" t="s">
        <v>652</v>
      </c>
      <c r="S198" s="43" t="s">
        <v>380</v>
      </c>
      <c r="T198" s="43">
        <v>10</v>
      </c>
      <c r="U198" s="43">
        <v>-40.248199999999997</v>
      </c>
      <c r="V198" s="28">
        <v>-3.4480000000000002E-7</v>
      </c>
      <c r="W198" s="43" t="s">
        <v>910</v>
      </c>
      <c r="X198" s="43" t="s">
        <v>65</v>
      </c>
    </row>
    <row r="199" spans="2:24" x14ac:dyDescent="0.2">
      <c r="B199" s="43" t="s">
        <v>229</v>
      </c>
      <c r="C199" s="43">
        <v>103</v>
      </c>
      <c r="D199" s="43" t="s">
        <v>651</v>
      </c>
      <c r="E199" s="43" t="s">
        <v>106</v>
      </c>
      <c r="F199" s="43" t="s">
        <v>653</v>
      </c>
      <c r="G199" s="43" t="s">
        <v>382</v>
      </c>
      <c r="H199" s="43">
        <v>60</v>
      </c>
      <c r="I199" s="43">
        <v>-40.149900000000002</v>
      </c>
      <c r="J199" s="28">
        <v>-3.439E-7</v>
      </c>
      <c r="K199" s="43" t="s">
        <v>910</v>
      </c>
      <c r="L199" s="43" t="s">
        <v>65</v>
      </c>
      <c r="N199" s="43" t="s">
        <v>229</v>
      </c>
      <c r="O199" s="43">
        <v>103</v>
      </c>
      <c r="P199" s="43" t="s">
        <v>651</v>
      </c>
      <c r="Q199" s="43" t="s">
        <v>376</v>
      </c>
      <c r="R199" s="43" t="s">
        <v>653</v>
      </c>
      <c r="S199" s="43" t="s">
        <v>382</v>
      </c>
      <c r="T199" s="43">
        <v>10</v>
      </c>
      <c r="U199" s="43">
        <v>-39.906999999999996</v>
      </c>
      <c r="V199" s="28">
        <v>-3.418E-7</v>
      </c>
      <c r="W199" s="43" t="s">
        <v>910</v>
      </c>
      <c r="X199" s="43" t="s">
        <v>65</v>
      </c>
    </row>
    <row r="200" spans="2:24" x14ac:dyDescent="0.2">
      <c r="B200" s="43" t="s">
        <v>229</v>
      </c>
      <c r="C200" s="43">
        <v>115</v>
      </c>
      <c r="D200" s="43" t="s">
        <v>654</v>
      </c>
      <c r="E200" s="43" t="s">
        <v>106</v>
      </c>
      <c r="F200" s="43" t="s">
        <v>655</v>
      </c>
      <c r="G200" s="43" t="s">
        <v>380</v>
      </c>
      <c r="H200" s="43">
        <v>60</v>
      </c>
      <c r="I200" s="43">
        <v>-63.669699999999999</v>
      </c>
      <c r="J200" s="28">
        <v>-4.7539999999999998E-7</v>
      </c>
      <c r="K200" s="43" t="s">
        <v>910</v>
      </c>
      <c r="L200" s="43" t="s">
        <v>65</v>
      </c>
      <c r="N200" s="43" t="s">
        <v>229</v>
      </c>
      <c r="O200" s="43">
        <v>115</v>
      </c>
      <c r="P200" s="43" t="s">
        <v>654</v>
      </c>
      <c r="Q200" s="43" t="s">
        <v>376</v>
      </c>
      <c r="R200" s="43" t="s">
        <v>655</v>
      </c>
      <c r="S200" s="43" t="s">
        <v>380</v>
      </c>
      <c r="T200" s="43">
        <v>10</v>
      </c>
      <c r="U200" s="43">
        <v>-63.650500000000001</v>
      </c>
      <c r="V200" s="28">
        <v>-4.7529999999999997E-7</v>
      </c>
      <c r="W200" s="43" t="s">
        <v>910</v>
      </c>
      <c r="X200" s="43" t="s">
        <v>65</v>
      </c>
    </row>
    <row r="201" spans="2:24" x14ac:dyDescent="0.2">
      <c r="B201" s="43" t="s">
        <v>229</v>
      </c>
      <c r="C201" s="43">
        <v>115</v>
      </c>
      <c r="D201" s="43" t="s">
        <v>654</v>
      </c>
      <c r="E201" s="43" t="s">
        <v>106</v>
      </c>
      <c r="F201" s="43" t="s">
        <v>656</v>
      </c>
      <c r="G201" s="43" t="s">
        <v>382</v>
      </c>
      <c r="H201" s="43">
        <v>60</v>
      </c>
      <c r="I201" s="43">
        <v>15.809200000000001</v>
      </c>
      <c r="J201" s="28">
        <v>1.18E-7</v>
      </c>
      <c r="K201" s="43" t="s">
        <v>910</v>
      </c>
      <c r="L201" s="43" t="s">
        <v>65</v>
      </c>
      <c r="N201" s="43" t="s">
        <v>229</v>
      </c>
      <c r="O201" s="43">
        <v>115</v>
      </c>
      <c r="P201" s="43" t="s">
        <v>654</v>
      </c>
      <c r="Q201" s="43" t="s">
        <v>376</v>
      </c>
      <c r="R201" s="43" t="s">
        <v>656</v>
      </c>
      <c r="S201" s="43" t="s">
        <v>382</v>
      </c>
      <c r="T201" s="43">
        <v>10</v>
      </c>
      <c r="U201" s="43">
        <v>15.791499999999999</v>
      </c>
      <c r="V201" s="28">
        <v>1.179E-7</v>
      </c>
      <c r="W201" s="43" t="s">
        <v>910</v>
      </c>
      <c r="X201" s="43" t="s">
        <v>65</v>
      </c>
    </row>
    <row r="202" spans="2:24" x14ac:dyDescent="0.2">
      <c r="B202" s="43" t="s">
        <v>229</v>
      </c>
      <c r="C202" s="43">
        <v>116</v>
      </c>
      <c r="D202" s="43" t="s">
        <v>657</v>
      </c>
      <c r="E202" s="43" t="s">
        <v>106</v>
      </c>
      <c r="F202" s="43" t="s">
        <v>658</v>
      </c>
      <c r="G202" s="43" t="s">
        <v>380</v>
      </c>
      <c r="H202" s="43">
        <v>60</v>
      </c>
      <c r="I202" s="43">
        <v>-52.573300000000003</v>
      </c>
      <c r="J202" s="28">
        <v>-3.925E-7</v>
      </c>
      <c r="K202" s="43" t="s">
        <v>910</v>
      </c>
      <c r="L202" s="43" t="s">
        <v>65</v>
      </c>
      <c r="N202" s="43" t="s">
        <v>229</v>
      </c>
      <c r="O202" s="43">
        <v>116</v>
      </c>
      <c r="P202" s="43" t="s">
        <v>657</v>
      </c>
      <c r="Q202" s="43" t="s">
        <v>376</v>
      </c>
      <c r="R202" s="43" t="s">
        <v>658</v>
      </c>
      <c r="S202" s="43" t="s">
        <v>380</v>
      </c>
      <c r="T202" s="43">
        <v>10</v>
      </c>
      <c r="U202" s="43">
        <v>-52.556800000000003</v>
      </c>
      <c r="V202" s="28">
        <v>-3.9239999999999999E-7</v>
      </c>
      <c r="W202" s="43" t="s">
        <v>910</v>
      </c>
      <c r="X202" s="43" t="s">
        <v>65</v>
      </c>
    </row>
    <row r="203" spans="2:24" x14ac:dyDescent="0.2">
      <c r="B203" s="43" t="s">
        <v>229</v>
      </c>
      <c r="C203" s="43">
        <v>116</v>
      </c>
      <c r="D203" s="43" t="s">
        <v>657</v>
      </c>
      <c r="E203" s="43" t="s">
        <v>106</v>
      </c>
      <c r="F203" s="43" t="s">
        <v>659</v>
      </c>
      <c r="G203" s="43" t="s">
        <v>382</v>
      </c>
      <c r="H203" s="43">
        <v>60</v>
      </c>
      <c r="I203" s="43">
        <v>7.1234000000000002</v>
      </c>
      <c r="J203" s="28">
        <v>5.3190000000000002E-8</v>
      </c>
      <c r="K203" s="43" t="s">
        <v>910</v>
      </c>
      <c r="L203" s="43" t="s">
        <v>65</v>
      </c>
      <c r="N203" s="43" t="s">
        <v>229</v>
      </c>
      <c r="O203" s="43">
        <v>116</v>
      </c>
      <c r="P203" s="43" t="s">
        <v>657</v>
      </c>
      <c r="Q203" s="43" t="s">
        <v>376</v>
      </c>
      <c r="R203" s="43" t="s">
        <v>659</v>
      </c>
      <c r="S203" s="43" t="s">
        <v>382</v>
      </c>
      <c r="T203" s="43">
        <v>10</v>
      </c>
      <c r="U203" s="43">
        <v>7.1069000000000004</v>
      </c>
      <c r="V203" s="28">
        <v>5.306E-8</v>
      </c>
      <c r="W203" s="43" t="s">
        <v>910</v>
      </c>
      <c r="X203" s="43" t="s">
        <v>65</v>
      </c>
    </row>
    <row r="204" spans="2:24" x14ac:dyDescent="0.2">
      <c r="B204" s="43" t="s">
        <v>229</v>
      </c>
      <c r="C204" s="43">
        <v>117</v>
      </c>
      <c r="D204" s="43" t="s">
        <v>657</v>
      </c>
      <c r="E204" s="43" t="s">
        <v>106</v>
      </c>
      <c r="F204" s="43" t="s">
        <v>660</v>
      </c>
      <c r="G204" s="43" t="s">
        <v>380</v>
      </c>
      <c r="H204" s="43">
        <v>60</v>
      </c>
      <c r="I204" s="43">
        <v>-61.6004</v>
      </c>
      <c r="J204" s="28">
        <v>-4.862E-7</v>
      </c>
      <c r="K204" s="43" t="s">
        <v>910</v>
      </c>
      <c r="L204" s="43" t="s">
        <v>65</v>
      </c>
      <c r="N204" s="43" t="s">
        <v>229</v>
      </c>
      <c r="O204" s="43">
        <v>117</v>
      </c>
      <c r="P204" s="43" t="s">
        <v>657</v>
      </c>
      <c r="Q204" s="43" t="s">
        <v>376</v>
      </c>
      <c r="R204" s="43" t="s">
        <v>660</v>
      </c>
      <c r="S204" s="43" t="s">
        <v>380</v>
      </c>
      <c r="T204" s="43">
        <v>10</v>
      </c>
      <c r="U204" s="43">
        <v>-61.5837</v>
      </c>
      <c r="V204" s="28">
        <v>-4.8609999999999999E-7</v>
      </c>
      <c r="W204" s="43" t="s">
        <v>910</v>
      </c>
      <c r="X204" s="43" t="s">
        <v>65</v>
      </c>
    </row>
    <row r="205" spans="2:24" x14ac:dyDescent="0.2">
      <c r="B205" s="43" t="s">
        <v>229</v>
      </c>
      <c r="C205" s="43">
        <v>117</v>
      </c>
      <c r="D205" s="43" t="s">
        <v>657</v>
      </c>
      <c r="E205" s="43" t="s">
        <v>106</v>
      </c>
      <c r="F205" s="43" t="s">
        <v>661</v>
      </c>
      <c r="G205" s="43" t="s">
        <v>382</v>
      </c>
      <c r="H205" s="43">
        <v>60</v>
      </c>
      <c r="I205" s="43">
        <v>4.5914000000000001</v>
      </c>
      <c r="J205" s="28">
        <v>3.6239999999999999E-8</v>
      </c>
      <c r="K205" s="43" t="s">
        <v>910</v>
      </c>
      <c r="L205" s="43" t="s">
        <v>65</v>
      </c>
      <c r="N205" s="43" t="s">
        <v>229</v>
      </c>
      <c r="O205" s="43">
        <v>117</v>
      </c>
      <c r="P205" s="43" t="s">
        <v>657</v>
      </c>
      <c r="Q205" s="43" t="s">
        <v>376</v>
      </c>
      <c r="R205" s="43" t="s">
        <v>661</v>
      </c>
      <c r="S205" s="43" t="s">
        <v>382</v>
      </c>
      <c r="T205" s="43">
        <v>10</v>
      </c>
      <c r="U205" s="43">
        <v>4.5754000000000001</v>
      </c>
      <c r="V205" s="28">
        <v>3.6120000000000002E-8</v>
      </c>
      <c r="W205" s="43" t="s">
        <v>910</v>
      </c>
      <c r="X205" s="43" t="s">
        <v>65</v>
      </c>
    </row>
    <row r="206" spans="2:24" x14ac:dyDescent="0.2">
      <c r="B206" s="43" t="s">
        <v>229</v>
      </c>
      <c r="C206" s="43">
        <v>118</v>
      </c>
      <c r="D206" s="43" t="s">
        <v>657</v>
      </c>
      <c r="E206" s="43" t="s">
        <v>106</v>
      </c>
      <c r="F206" s="43" t="s">
        <v>662</v>
      </c>
      <c r="G206" s="43" t="s">
        <v>380</v>
      </c>
      <c r="H206" s="43">
        <v>60</v>
      </c>
      <c r="I206" s="43">
        <v>-62.893700000000003</v>
      </c>
      <c r="J206" s="28">
        <v>-4.6960000000000002E-7</v>
      </c>
      <c r="K206" s="43" t="s">
        <v>910</v>
      </c>
      <c r="L206" s="43" t="s">
        <v>65</v>
      </c>
      <c r="N206" s="43" t="s">
        <v>229</v>
      </c>
      <c r="O206" s="43">
        <v>118</v>
      </c>
      <c r="P206" s="43" t="s">
        <v>657</v>
      </c>
      <c r="Q206" s="43" t="s">
        <v>376</v>
      </c>
      <c r="R206" s="43" t="s">
        <v>662</v>
      </c>
      <c r="S206" s="43" t="s">
        <v>380</v>
      </c>
      <c r="T206" s="43">
        <v>10</v>
      </c>
      <c r="U206" s="43">
        <v>-62.875500000000002</v>
      </c>
      <c r="V206" s="28">
        <v>-4.6950000000000002E-7</v>
      </c>
      <c r="W206" s="43" t="s">
        <v>910</v>
      </c>
      <c r="X206" s="43" t="s">
        <v>65</v>
      </c>
    </row>
    <row r="207" spans="2:24" x14ac:dyDescent="0.2">
      <c r="B207" s="43" t="s">
        <v>229</v>
      </c>
      <c r="C207" s="43">
        <v>118</v>
      </c>
      <c r="D207" s="43" t="s">
        <v>657</v>
      </c>
      <c r="E207" s="43" t="s">
        <v>106</v>
      </c>
      <c r="F207" s="43" t="s">
        <v>663</v>
      </c>
      <c r="G207" s="43" t="s">
        <v>382</v>
      </c>
      <c r="H207" s="43">
        <v>60</v>
      </c>
      <c r="I207" s="43">
        <v>15.263</v>
      </c>
      <c r="J207" s="28">
        <v>1.14E-7</v>
      </c>
      <c r="K207" s="43" t="s">
        <v>910</v>
      </c>
      <c r="L207" s="43" t="s">
        <v>65</v>
      </c>
      <c r="N207" s="43" t="s">
        <v>229</v>
      </c>
      <c r="O207" s="43">
        <v>118</v>
      </c>
      <c r="P207" s="43" t="s">
        <v>657</v>
      </c>
      <c r="Q207" s="43" t="s">
        <v>376</v>
      </c>
      <c r="R207" s="43" t="s">
        <v>663</v>
      </c>
      <c r="S207" s="43" t="s">
        <v>382</v>
      </c>
      <c r="T207" s="43">
        <v>10</v>
      </c>
      <c r="U207" s="43">
        <v>15.2454</v>
      </c>
      <c r="V207" s="28">
        <v>1.138E-7</v>
      </c>
      <c r="W207" s="43" t="s">
        <v>910</v>
      </c>
      <c r="X207" s="43" t="s">
        <v>65</v>
      </c>
    </row>
    <row r="208" spans="2:24" x14ac:dyDescent="0.2">
      <c r="B208" s="43" t="s">
        <v>229</v>
      </c>
      <c r="C208" s="43">
        <v>119</v>
      </c>
      <c r="D208" s="43" t="s">
        <v>664</v>
      </c>
      <c r="E208" s="43" t="s">
        <v>106</v>
      </c>
      <c r="F208" s="43" t="s">
        <v>665</v>
      </c>
      <c r="G208" s="43" t="s">
        <v>380</v>
      </c>
      <c r="H208" s="43">
        <v>60</v>
      </c>
      <c r="I208" s="43">
        <v>-53.265900000000002</v>
      </c>
      <c r="J208" s="28">
        <v>-3.9770000000000002E-7</v>
      </c>
      <c r="K208" s="43" t="s">
        <v>910</v>
      </c>
      <c r="L208" s="43" t="s">
        <v>65</v>
      </c>
      <c r="N208" s="43" t="s">
        <v>229</v>
      </c>
      <c r="O208" s="43">
        <v>119</v>
      </c>
      <c r="P208" s="43" t="s">
        <v>664</v>
      </c>
      <c r="Q208" s="43" t="s">
        <v>376</v>
      </c>
      <c r="R208" s="43" t="s">
        <v>665</v>
      </c>
      <c r="S208" s="43" t="s">
        <v>380</v>
      </c>
      <c r="T208" s="43">
        <v>10</v>
      </c>
      <c r="U208" s="43">
        <v>-53.249000000000002</v>
      </c>
      <c r="V208" s="28">
        <v>-3.9760000000000001E-7</v>
      </c>
      <c r="W208" s="43" t="s">
        <v>910</v>
      </c>
      <c r="X208" s="43" t="s">
        <v>65</v>
      </c>
    </row>
    <row r="209" spans="2:24" x14ac:dyDescent="0.2">
      <c r="B209" s="43" t="s">
        <v>229</v>
      </c>
      <c r="C209" s="43">
        <v>119</v>
      </c>
      <c r="D209" s="43" t="s">
        <v>664</v>
      </c>
      <c r="E209" s="43" t="s">
        <v>106</v>
      </c>
      <c r="F209" s="43" t="s">
        <v>666</v>
      </c>
      <c r="G209" s="43" t="s">
        <v>382</v>
      </c>
      <c r="H209" s="43">
        <v>60</v>
      </c>
      <c r="I209" s="43">
        <v>10.6325</v>
      </c>
      <c r="J209" s="28">
        <v>7.9389999999999998E-8</v>
      </c>
      <c r="K209" s="43" t="s">
        <v>910</v>
      </c>
      <c r="L209" s="43" t="s">
        <v>65</v>
      </c>
      <c r="N209" s="43" t="s">
        <v>229</v>
      </c>
      <c r="O209" s="43">
        <v>119</v>
      </c>
      <c r="P209" s="43" t="s">
        <v>664</v>
      </c>
      <c r="Q209" s="43" t="s">
        <v>376</v>
      </c>
      <c r="R209" s="43" t="s">
        <v>666</v>
      </c>
      <c r="S209" s="43" t="s">
        <v>382</v>
      </c>
      <c r="T209" s="43">
        <v>10</v>
      </c>
      <c r="U209" s="43">
        <v>10.614800000000001</v>
      </c>
      <c r="V209" s="28">
        <v>7.9259999999999996E-8</v>
      </c>
      <c r="W209" s="43" t="s">
        <v>910</v>
      </c>
      <c r="X209" s="43" t="s">
        <v>65</v>
      </c>
    </row>
    <row r="210" spans="2:24" x14ac:dyDescent="0.2">
      <c r="B210" s="43" t="s">
        <v>229</v>
      </c>
      <c r="C210" s="43">
        <v>89</v>
      </c>
      <c r="D210" s="43" t="s">
        <v>667</v>
      </c>
      <c r="E210" s="43" t="s">
        <v>106</v>
      </c>
      <c r="F210" s="43" t="s">
        <v>668</v>
      </c>
      <c r="G210" s="43" t="s">
        <v>380</v>
      </c>
      <c r="H210" s="43">
        <v>60</v>
      </c>
      <c r="I210" s="43">
        <v>-48.736499999999999</v>
      </c>
      <c r="J210" s="28">
        <v>-4.6119999999999997E-7</v>
      </c>
      <c r="K210" s="43" t="s">
        <v>910</v>
      </c>
      <c r="L210" s="43" t="s">
        <v>65</v>
      </c>
      <c r="N210" s="43" t="s">
        <v>229</v>
      </c>
      <c r="O210" s="43">
        <v>89</v>
      </c>
      <c r="P210" s="43" t="s">
        <v>667</v>
      </c>
      <c r="Q210" s="43" t="s">
        <v>376</v>
      </c>
      <c r="R210" s="43" t="s">
        <v>668</v>
      </c>
      <c r="S210" s="43" t="s">
        <v>380</v>
      </c>
      <c r="T210" s="43">
        <v>10</v>
      </c>
      <c r="U210" s="43">
        <v>-48.954500000000003</v>
      </c>
      <c r="V210" s="28">
        <v>-4.6320000000000002E-7</v>
      </c>
      <c r="W210" s="43" t="s">
        <v>910</v>
      </c>
      <c r="X210" s="43" t="s">
        <v>65</v>
      </c>
    </row>
    <row r="211" spans="2:24" x14ac:dyDescent="0.2">
      <c r="B211" s="43" t="s">
        <v>229</v>
      </c>
      <c r="C211" s="43">
        <v>89</v>
      </c>
      <c r="D211" s="43" t="s">
        <v>667</v>
      </c>
      <c r="E211" s="43" t="s">
        <v>106</v>
      </c>
      <c r="F211" s="43" t="s">
        <v>669</v>
      </c>
      <c r="G211" s="43" t="s">
        <v>382</v>
      </c>
      <c r="H211" s="43">
        <v>60</v>
      </c>
      <c r="I211" s="43">
        <v>-50.019599999999997</v>
      </c>
      <c r="J211" s="28">
        <v>-4.7329999999999998E-7</v>
      </c>
      <c r="K211" s="43" t="s">
        <v>910</v>
      </c>
      <c r="L211" s="43" t="s">
        <v>65</v>
      </c>
      <c r="N211" s="43" t="s">
        <v>229</v>
      </c>
      <c r="O211" s="43">
        <v>89</v>
      </c>
      <c r="P211" s="43" t="s">
        <v>667</v>
      </c>
      <c r="Q211" s="43" t="s">
        <v>376</v>
      </c>
      <c r="R211" s="43" t="s">
        <v>669</v>
      </c>
      <c r="S211" s="43" t="s">
        <v>382</v>
      </c>
      <c r="T211" s="43">
        <v>10</v>
      </c>
      <c r="U211" s="43">
        <v>-49.799100000000003</v>
      </c>
      <c r="V211" s="28">
        <v>-4.7119999999999998E-7</v>
      </c>
      <c r="W211" s="43" t="s">
        <v>910</v>
      </c>
      <c r="X211" s="43" t="s">
        <v>65</v>
      </c>
    </row>
    <row r="212" spans="2:24" x14ac:dyDescent="0.2">
      <c r="B212" s="43" t="s">
        <v>229</v>
      </c>
      <c r="C212" s="43">
        <v>92</v>
      </c>
      <c r="D212" s="43" t="s">
        <v>670</v>
      </c>
      <c r="E212" s="43" t="s">
        <v>106</v>
      </c>
      <c r="F212" s="43" t="s">
        <v>671</v>
      </c>
      <c r="G212" s="43" t="s">
        <v>380</v>
      </c>
      <c r="H212" s="43">
        <v>60</v>
      </c>
      <c r="I212" s="43">
        <v>-72.497399999999999</v>
      </c>
      <c r="J212" s="28">
        <v>-4.8889999999999999E-7</v>
      </c>
      <c r="K212" s="43" t="s">
        <v>910</v>
      </c>
      <c r="L212" s="43" t="s">
        <v>65</v>
      </c>
      <c r="N212" s="43" t="s">
        <v>229</v>
      </c>
      <c r="O212" s="43">
        <v>92</v>
      </c>
      <c r="P212" s="43" t="s">
        <v>670</v>
      </c>
      <c r="Q212" s="43" t="s">
        <v>376</v>
      </c>
      <c r="R212" s="43" t="s">
        <v>671</v>
      </c>
      <c r="S212" s="43" t="s">
        <v>380</v>
      </c>
      <c r="T212" s="43">
        <v>10</v>
      </c>
      <c r="U212" s="43">
        <v>-72.799199999999999</v>
      </c>
      <c r="V212" s="28">
        <v>-4.9090000000000003E-7</v>
      </c>
      <c r="W212" s="43" t="s">
        <v>910</v>
      </c>
      <c r="X212" s="43" t="s">
        <v>65</v>
      </c>
    </row>
    <row r="213" spans="2:24" x14ac:dyDescent="0.2">
      <c r="B213" s="43" t="s">
        <v>229</v>
      </c>
      <c r="C213" s="43">
        <v>92</v>
      </c>
      <c r="D213" s="43" t="s">
        <v>670</v>
      </c>
      <c r="E213" s="43" t="s">
        <v>106</v>
      </c>
      <c r="F213" s="43" t="s">
        <v>672</v>
      </c>
      <c r="G213" s="43" t="s">
        <v>382</v>
      </c>
      <c r="H213" s="43">
        <v>60</v>
      </c>
      <c r="I213" s="43">
        <v>-57.928600000000003</v>
      </c>
      <c r="J213" s="28">
        <v>-3.9060000000000002E-7</v>
      </c>
      <c r="K213" s="43" t="s">
        <v>910</v>
      </c>
      <c r="L213" s="43" t="s">
        <v>65</v>
      </c>
      <c r="N213" s="43" t="s">
        <v>229</v>
      </c>
      <c r="O213" s="43">
        <v>92</v>
      </c>
      <c r="P213" s="43" t="s">
        <v>670</v>
      </c>
      <c r="Q213" s="43" t="s">
        <v>376</v>
      </c>
      <c r="R213" s="43" t="s">
        <v>672</v>
      </c>
      <c r="S213" s="43" t="s">
        <v>382</v>
      </c>
      <c r="T213" s="43">
        <v>10</v>
      </c>
      <c r="U213" s="43">
        <v>-57.621099999999998</v>
      </c>
      <c r="V213" s="28">
        <v>-3.8860000000000003E-7</v>
      </c>
      <c r="W213" s="43" t="s">
        <v>910</v>
      </c>
      <c r="X213" s="43" t="s">
        <v>65</v>
      </c>
    </row>
    <row r="214" spans="2:24" x14ac:dyDescent="0.2">
      <c r="B214" s="43" t="s">
        <v>229</v>
      </c>
      <c r="C214" s="43">
        <v>95</v>
      </c>
      <c r="D214" s="43" t="s">
        <v>673</v>
      </c>
      <c r="E214" s="43" t="s">
        <v>106</v>
      </c>
      <c r="F214" s="43" t="s">
        <v>674</v>
      </c>
      <c r="G214" s="43" t="s">
        <v>380</v>
      </c>
      <c r="H214" s="43">
        <v>60</v>
      </c>
      <c r="I214" s="43">
        <v>-57.080800000000004</v>
      </c>
      <c r="J214" s="28">
        <v>-4.0349999999999998E-7</v>
      </c>
      <c r="K214" s="43" t="s">
        <v>910</v>
      </c>
      <c r="L214" s="43" t="s">
        <v>65</v>
      </c>
      <c r="N214" s="43" t="s">
        <v>229</v>
      </c>
      <c r="O214" s="43">
        <v>95</v>
      </c>
      <c r="P214" s="43" t="s">
        <v>673</v>
      </c>
      <c r="Q214" s="43" t="s">
        <v>376</v>
      </c>
      <c r="R214" s="43" t="s">
        <v>674</v>
      </c>
      <c r="S214" s="43" t="s">
        <v>380</v>
      </c>
      <c r="T214" s="43">
        <v>10</v>
      </c>
      <c r="U214" s="43">
        <v>-57.376399999999997</v>
      </c>
      <c r="V214" s="28">
        <v>-4.0559999999999998E-7</v>
      </c>
      <c r="W214" s="43" t="s">
        <v>910</v>
      </c>
      <c r="X214" s="43" t="s">
        <v>65</v>
      </c>
    </row>
    <row r="215" spans="2:24" x14ac:dyDescent="0.2">
      <c r="B215" s="43" t="s">
        <v>229</v>
      </c>
      <c r="C215" s="43">
        <v>95</v>
      </c>
      <c r="D215" s="43" t="s">
        <v>673</v>
      </c>
      <c r="E215" s="43" t="s">
        <v>106</v>
      </c>
      <c r="F215" s="43" t="s">
        <v>675</v>
      </c>
      <c r="G215" s="43" t="s">
        <v>382</v>
      </c>
      <c r="H215" s="43">
        <v>60</v>
      </c>
      <c r="I215" s="43">
        <v>-66.360200000000006</v>
      </c>
      <c r="J215" s="28">
        <v>-4.6909999999999999E-7</v>
      </c>
      <c r="K215" s="43" t="s">
        <v>910</v>
      </c>
      <c r="L215" s="43" t="s">
        <v>65</v>
      </c>
      <c r="N215" s="43" t="s">
        <v>229</v>
      </c>
      <c r="O215" s="43">
        <v>95</v>
      </c>
      <c r="P215" s="43" t="s">
        <v>673</v>
      </c>
      <c r="Q215" s="43" t="s">
        <v>376</v>
      </c>
      <c r="R215" s="43" t="s">
        <v>675</v>
      </c>
      <c r="S215" s="43" t="s">
        <v>382</v>
      </c>
      <c r="T215" s="43">
        <v>10</v>
      </c>
      <c r="U215" s="43">
        <v>-66.053799999999995</v>
      </c>
      <c r="V215" s="28">
        <v>-4.6689999999999998E-7</v>
      </c>
      <c r="W215" s="43" t="s">
        <v>910</v>
      </c>
      <c r="X215" s="43" t="s">
        <v>65</v>
      </c>
    </row>
    <row r="216" spans="2:24" x14ac:dyDescent="0.2">
      <c r="B216" s="43" t="s">
        <v>229</v>
      </c>
      <c r="C216" s="43">
        <v>98</v>
      </c>
      <c r="D216" s="43" t="s">
        <v>676</v>
      </c>
      <c r="E216" s="43" t="s">
        <v>106</v>
      </c>
      <c r="F216" s="43" t="s">
        <v>677</v>
      </c>
      <c r="G216" s="43" t="s">
        <v>380</v>
      </c>
      <c r="H216" s="43">
        <v>60</v>
      </c>
      <c r="I216" s="43">
        <v>-57.138100000000001</v>
      </c>
      <c r="J216" s="28">
        <v>-4.0390000000000001E-7</v>
      </c>
      <c r="K216" s="43" t="s">
        <v>910</v>
      </c>
      <c r="L216" s="43" t="s">
        <v>65</v>
      </c>
      <c r="N216" s="43" t="s">
        <v>229</v>
      </c>
      <c r="O216" s="43">
        <v>98</v>
      </c>
      <c r="P216" s="43" t="s">
        <v>676</v>
      </c>
      <c r="Q216" s="43" t="s">
        <v>376</v>
      </c>
      <c r="R216" s="43" t="s">
        <v>677</v>
      </c>
      <c r="S216" s="43" t="s">
        <v>380</v>
      </c>
      <c r="T216" s="43">
        <v>10</v>
      </c>
      <c r="U216" s="43">
        <v>-57.434199999999997</v>
      </c>
      <c r="V216" s="28">
        <v>-4.0600000000000001E-7</v>
      </c>
      <c r="W216" s="43" t="s">
        <v>910</v>
      </c>
      <c r="X216" s="43" t="s">
        <v>65</v>
      </c>
    </row>
    <row r="217" spans="2:24" x14ac:dyDescent="0.2">
      <c r="B217" s="43" t="s">
        <v>229</v>
      </c>
      <c r="C217" s="43">
        <v>98</v>
      </c>
      <c r="D217" s="43" t="s">
        <v>676</v>
      </c>
      <c r="E217" s="43" t="s">
        <v>106</v>
      </c>
      <c r="F217" s="43" t="s">
        <v>678</v>
      </c>
      <c r="G217" s="43" t="s">
        <v>382</v>
      </c>
      <c r="H217" s="43">
        <v>60</v>
      </c>
      <c r="I217" s="43">
        <v>-66.206699999999998</v>
      </c>
      <c r="J217" s="28">
        <v>-4.6800000000000001E-7</v>
      </c>
      <c r="K217" s="43" t="s">
        <v>910</v>
      </c>
      <c r="L217" s="43" t="s">
        <v>65</v>
      </c>
      <c r="N217" s="43" t="s">
        <v>229</v>
      </c>
      <c r="O217" s="43">
        <v>98</v>
      </c>
      <c r="P217" s="43" t="s">
        <v>676</v>
      </c>
      <c r="Q217" s="43" t="s">
        <v>376</v>
      </c>
      <c r="R217" s="43" t="s">
        <v>678</v>
      </c>
      <c r="S217" s="43" t="s">
        <v>382</v>
      </c>
      <c r="T217" s="43">
        <v>10</v>
      </c>
      <c r="U217" s="43">
        <v>-65.899600000000007</v>
      </c>
      <c r="V217" s="28">
        <v>-4.658E-7</v>
      </c>
      <c r="W217" s="43" t="s">
        <v>910</v>
      </c>
      <c r="X217" s="43" t="s">
        <v>65</v>
      </c>
    </row>
    <row r="218" spans="2:24" x14ac:dyDescent="0.2">
      <c r="B218" s="43" t="s">
        <v>229</v>
      </c>
      <c r="C218" s="43">
        <v>101</v>
      </c>
      <c r="D218" s="43" t="s">
        <v>679</v>
      </c>
      <c r="E218" s="43" t="s">
        <v>106</v>
      </c>
      <c r="F218" s="43" t="s">
        <v>680</v>
      </c>
      <c r="G218" s="43" t="s">
        <v>380</v>
      </c>
      <c r="H218" s="43">
        <v>60</v>
      </c>
      <c r="I218" s="43">
        <v>-71.874200000000002</v>
      </c>
      <c r="J218" s="28">
        <v>-4.8469999999999999E-7</v>
      </c>
      <c r="K218" s="43" t="s">
        <v>910</v>
      </c>
      <c r="L218" s="43" t="s">
        <v>65</v>
      </c>
      <c r="N218" s="43" t="s">
        <v>229</v>
      </c>
      <c r="O218" s="43">
        <v>101</v>
      </c>
      <c r="P218" s="43" t="s">
        <v>679</v>
      </c>
      <c r="Q218" s="43" t="s">
        <v>376</v>
      </c>
      <c r="R218" s="43" t="s">
        <v>680</v>
      </c>
      <c r="S218" s="43" t="s">
        <v>380</v>
      </c>
      <c r="T218" s="43">
        <v>10</v>
      </c>
      <c r="U218" s="43">
        <v>-72.177999999999997</v>
      </c>
      <c r="V218" s="28">
        <v>-4.8670000000000004E-7</v>
      </c>
      <c r="W218" s="43" t="s">
        <v>910</v>
      </c>
      <c r="X218" s="43" t="s">
        <v>65</v>
      </c>
    </row>
    <row r="219" spans="2:24" x14ac:dyDescent="0.2">
      <c r="B219" s="43" t="s">
        <v>229</v>
      </c>
      <c r="C219" s="43">
        <v>101</v>
      </c>
      <c r="D219" s="43" t="s">
        <v>679</v>
      </c>
      <c r="E219" s="43" t="s">
        <v>106</v>
      </c>
      <c r="F219" s="43" t="s">
        <v>681</v>
      </c>
      <c r="G219" s="43" t="s">
        <v>382</v>
      </c>
      <c r="H219" s="43">
        <v>60</v>
      </c>
      <c r="I219" s="43">
        <v>-57.555700000000002</v>
      </c>
      <c r="J219" s="28">
        <v>-3.8809999999999999E-7</v>
      </c>
      <c r="K219" s="43" t="s">
        <v>910</v>
      </c>
      <c r="L219" s="43" t="s">
        <v>65</v>
      </c>
      <c r="N219" s="43" t="s">
        <v>229</v>
      </c>
      <c r="O219" s="43">
        <v>101</v>
      </c>
      <c r="P219" s="43" t="s">
        <v>679</v>
      </c>
      <c r="Q219" s="43" t="s">
        <v>376</v>
      </c>
      <c r="R219" s="43" t="s">
        <v>681</v>
      </c>
      <c r="S219" s="43" t="s">
        <v>382</v>
      </c>
      <c r="T219" s="43">
        <v>10</v>
      </c>
      <c r="U219" s="43">
        <v>-57.247199999999999</v>
      </c>
      <c r="V219" s="28">
        <v>-3.8599999999999999E-7</v>
      </c>
      <c r="W219" s="43" t="s">
        <v>910</v>
      </c>
      <c r="X219" s="43" t="s">
        <v>65</v>
      </c>
    </row>
    <row r="220" spans="2:24" x14ac:dyDescent="0.2">
      <c r="B220" s="43" t="s">
        <v>229</v>
      </c>
      <c r="C220" s="43">
        <v>104</v>
      </c>
      <c r="D220" s="43" t="s">
        <v>682</v>
      </c>
      <c r="E220" s="43" t="s">
        <v>106</v>
      </c>
      <c r="F220" s="43" t="s">
        <v>683</v>
      </c>
      <c r="G220" s="43" t="s">
        <v>380</v>
      </c>
      <c r="H220" s="43">
        <v>60</v>
      </c>
      <c r="I220" s="43">
        <v>-42.1965</v>
      </c>
      <c r="J220" s="28">
        <v>-3.9929999999999998E-7</v>
      </c>
      <c r="K220" s="43" t="s">
        <v>910</v>
      </c>
      <c r="L220" s="43" t="s">
        <v>65</v>
      </c>
      <c r="N220" s="43" t="s">
        <v>229</v>
      </c>
      <c r="O220" s="43">
        <v>104</v>
      </c>
      <c r="P220" s="43" t="s">
        <v>682</v>
      </c>
      <c r="Q220" s="43" t="s">
        <v>376</v>
      </c>
      <c r="R220" s="43" t="s">
        <v>683</v>
      </c>
      <c r="S220" s="43" t="s">
        <v>380</v>
      </c>
      <c r="T220" s="43">
        <v>10</v>
      </c>
      <c r="U220" s="43">
        <v>-42.4206</v>
      </c>
      <c r="V220" s="28">
        <v>-4.0139999999999998E-7</v>
      </c>
      <c r="W220" s="43" t="s">
        <v>910</v>
      </c>
      <c r="X220" s="43" t="s">
        <v>65</v>
      </c>
    </row>
    <row r="221" spans="2:24" x14ac:dyDescent="0.2">
      <c r="B221" s="43" t="s">
        <v>229</v>
      </c>
      <c r="C221" s="43">
        <v>104</v>
      </c>
      <c r="D221" s="43" t="s">
        <v>682</v>
      </c>
      <c r="E221" s="43" t="s">
        <v>106</v>
      </c>
      <c r="F221" s="43" t="s">
        <v>684</v>
      </c>
      <c r="G221" s="43" t="s">
        <v>382</v>
      </c>
      <c r="H221" s="43">
        <v>60</v>
      </c>
      <c r="I221" s="43">
        <v>-44.408299999999997</v>
      </c>
      <c r="J221" s="28">
        <v>-4.2020000000000002E-7</v>
      </c>
      <c r="K221" s="43" t="s">
        <v>910</v>
      </c>
      <c r="L221" s="43" t="s">
        <v>65</v>
      </c>
      <c r="N221" s="43" t="s">
        <v>229</v>
      </c>
      <c r="O221" s="43">
        <v>104</v>
      </c>
      <c r="P221" s="43" t="s">
        <v>682</v>
      </c>
      <c r="Q221" s="43" t="s">
        <v>376</v>
      </c>
      <c r="R221" s="43" t="s">
        <v>684</v>
      </c>
      <c r="S221" s="43" t="s">
        <v>382</v>
      </c>
      <c r="T221" s="43">
        <v>10</v>
      </c>
      <c r="U221" s="43">
        <v>-44.185299999999998</v>
      </c>
      <c r="V221" s="28">
        <v>-4.1810000000000002E-7</v>
      </c>
      <c r="W221" s="43" t="s">
        <v>910</v>
      </c>
      <c r="X221" s="43" t="s">
        <v>65</v>
      </c>
    </row>
    <row r="222" spans="2:24" x14ac:dyDescent="0.2">
      <c r="B222" s="43" t="s">
        <v>229</v>
      </c>
      <c r="C222" s="43">
        <v>120</v>
      </c>
      <c r="D222" s="43" t="s">
        <v>685</v>
      </c>
      <c r="E222" s="43" t="s">
        <v>106</v>
      </c>
      <c r="F222" s="43" t="s">
        <v>686</v>
      </c>
      <c r="G222" s="43" t="s">
        <v>380</v>
      </c>
      <c r="H222" s="43">
        <v>60</v>
      </c>
      <c r="I222" s="43">
        <v>-44.775500000000001</v>
      </c>
      <c r="J222" s="28">
        <v>-4.5900000000000002E-7</v>
      </c>
      <c r="K222" s="43" t="s">
        <v>910</v>
      </c>
      <c r="L222" s="43" t="s">
        <v>65</v>
      </c>
      <c r="N222" s="43" t="s">
        <v>229</v>
      </c>
      <c r="O222" s="43">
        <v>120</v>
      </c>
      <c r="P222" s="43" t="s">
        <v>685</v>
      </c>
      <c r="Q222" s="43" t="s">
        <v>376</v>
      </c>
      <c r="R222" s="43" t="s">
        <v>686</v>
      </c>
      <c r="S222" s="43" t="s">
        <v>380</v>
      </c>
      <c r="T222" s="43">
        <v>10</v>
      </c>
      <c r="U222" s="43">
        <v>-44.761600000000001</v>
      </c>
      <c r="V222" s="28">
        <v>-4.5890000000000001E-7</v>
      </c>
      <c r="W222" s="43" t="s">
        <v>910</v>
      </c>
      <c r="X222" s="43" t="s">
        <v>65</v>
      </c>
    </row>
    <row r="223" spans="2:24" x14ac:dyDescent="0.2">
      <c r="B223" s="43" t="s">
        <v>229</v>
      </c>
      <c r="C223" s="43">
        <v>120</v>
      </c>
      <c r="D223" s="43" t="s">
        <v>685</v>
      </c>
      <c r="E223" s="43" t="s">
        <v>106</v>
      </c>
      <c r="F223" s="43" t="s">
        <v>687</v>
      </c>
      <c r="G223" s="43" t="s">
        <v>382</v>
      </c>
      <c r="H223" s="43">
        <v>60</v>
      </c>
      <c r="I223" s="43">
        <v>2.9496000000000002</v>
      </c>
      <c r="J223" s="28">
        <v>3.0239999999999998E-8</v>
      </c>
      <c r="K223" s="43" t="s">
        <v>910</v>
      </c>
      <c r="L223" s="43" t="s">
        <v>65</v>
      </c>
      <c r="N223" s="43" t="s">
        <v>229</v>
      </c>
      <c r="O223" s="43">
        <v>120</v>
      </c>
      <c r="P223" s="43" t="s">
        <v>685</v>
      </c>
      <c r="Q223" s="43" t="s">
        <v>376</v>
      </c>
      <c r="R223" s="43" t="s">
        <v>687</v>
      </c>
      <c r="S223" s="43" t="s">
        <v>382</v>
      </c>
      <c r="T223" s="43">
        <v>10</v>
      </c>
      <c r="U223" s="43">
        <v>2.9426000000000001</v>
      </c>
      <c r="V223" s="28">
        <v>3.0169999999999998E-8</v>
      </c>
      <c r="W223" s="43" t="s">
        <v>910</v>
      </c>
      <c r="X223" s="43" t="s">
        <v>65</v>
      </c>
    </row>
    <row r="224" spans="2:24" x14ac:dyDescent="0.2">
      <c r="B224" s="43" t="s">
        <v>229</v>
      </c>
      <c r="C224" s="43">
        <v>121</v>
      </c>
      <c r="D224" s="43" t="s">
        <v>688</v>
      </c>
      <c r="E224" s="43" t="s">
        <v>106</v>
      </c>
      <c r="F224" s="43" t="s">
        <v>689</v>
      </c>
      <c r="G224" s="43" t="s">
        <v>380</v>
      </c>
      <c r="H224" s="43">
        <v>60</v>
      </c>
      <c r="I224" s="43">
        <v>-53.260599999999997</v>
      </c>
      <c r="J224" s="28">
        <v>-4.7339999999999999E-7</v>
      </c>
      <c r="K224" s="43" t="s">
        <v>910</v>
      </c>
      <c r="L224" s="43" t="s">
        <v>65</v>
      </c>
      <c r="N224" s="43" t="s">
        <v>229</v>
      </c>
      <c r="O224" s="43">
        <v>121</v>
      </c>
      <c r="P224" s="43" t="s">
        <v>688</v>
      </c>
      <c r="Q224" s="43" t="s">
        <v>376</v>
      </c>
      <c r="R224" s="43" t="s">
        <v>689</v>
      </c>
      <c r="S224" s="43" t="s">
        <v>380</v>
      </c>
      <c r="T224" s="43">
        <v>10</v>
      </c>
      <c r="U224" s="43">
        <v>-53.238999999999997</v>
      </c>
      <c r="V224" s="28">
        <v>-4.7319999999999998E-7</v>
      </c>
      <c r="W224" s="43" t="s">
        <v>910</v>
      </c>
      <c r="X224" s="43" t="s">
        <v>65</v>
      </c>
    </row>
    <row r="225" spans="2:24" x14ac:dyDescent="0.2">
      <c r="B225" s="43" t="s">
        <v>229</v>
      </c>
      <c r="C225" s="43">
        <v>121</v>
      </c>
      <c r="D225" s="43" t="s">
        <v>688</v>
      </c>
      <c r="E225" s="43" t="s">
        <v>106</v>
      </c>
      <c r="F225" s="43" t="s">
        <v>690</v>
      </c>
      <c r="G225" s="43" t="s">
        <v>382</v>
      </c>
      <c r="H225" s="43">
        <v>60</v>
      </c>
      <c r="I225" s="43">
        <v>14.4498</v>
      </c>
      <c r="J225" s="28">
        <v>1.2840000000000001E-7</v>
      </c>
      <c r="K225" s="43" t="s">
        <v>910</v>
      </c>
      <c r="L225" s="43" t="s">
        <v>65</v>
      </c>
      <c r="N225" s="43" t="s">
        <v>229</v>
      </c>
      <c r="O225" s="43">
        <v>121</v>
      </c>
      <c r="P225" s="43" t="s">
        <v>688</v>
      </c>
      <c r="Q225" s="43" t="s">
        <v>376</v>
      </c>
      <c r="R225" s="43" t="s">
        <v>690</v>
      </c>
      <c r="S225" s="43" t="s">
        <v>382</v>
      </c>
      <c r="T225" s="43">
        <v>10</v>
      </c>
      <c r="U225" s="43">
        <v>14.4374</v>
      </c>
      <c r="V225" s="28">
        <v>1.283E-7</v>
      </c>
      <c r="W225" s="43" t="s">
        <v>910</v>
      </c>
      <c r="X225" s="43" t="s">
        <v>65</v>
      </c>
    </row>
    <row r="226" spans="2:24" x14ac:dyDescent="0.2">
      <c r="B226" s="43" t="s">
        <v>229</v>
      </c>
      <c r="C226" s="43">
        <v>122</v>
      </c>
      <c r="D226" s="43" t="s">
        <v>688</v>
      </c>
      <c r="E226" s="43" t="s">
        <v>106</v>
      </c>
      <c r="F226" s="43" t="s">
        <v>691</v>
      </c>
      <c r="G226" s="43" t="s">
        <v>380</v>
      </c>
      <c r="H226" s="43">
        <v>60</v>
      </c>
      <c r="I226" s="43">
        <v>-45.277500000000003</v>
      </c>
      <c r="J226" s="28">
        <v>-3.7949999999999998E-7</v>
      </c>
      <c r="K226" s="43" t="s">
        <v>910</v>
      </c>
      <c r="L226" s="43" t="s">
        <v>65</v>
      </c>
      <c r="N226" s="43" t="s">
        <v>229</v>
      </c>
      <c r="O226" s="43">
        <v>122</v>
      </c>
      <c r="P226" s="43" t="s">
        <v>688</v>
      </c>
      <c r="Q226" s="43" t="s">
        <v>376</v>
      </c>
      <c r="R226" s="43" t="s">
        <v>691</v>
      </c>
      <c r="S226" s="43" t="s">
        <v>380</v>
      </c>
      <c r="T226" s="43">
        <v>10</v>
      </c>
      <c r="U226" s="43">
        <v>-45.258200000000002</v>
      </c>
      <c r="V226" s="28">
        <v>-3.7930000000000001E-7</v>
      </c>
      <c r="W226" s="43" t="s">
        <v>910</v>
      </c>
      <c r="X226" s="43" t="s">
        <v>65</v>
      </c>
    </row>
    <row r="227" spans="2:24" x14ac:dyDescent="0.2">
      <c r="B227" s="43" t="s">
        <v>229</v>
      </c>
      <c r="C227" s="43">
        <v>122</v>
      </c>
      <c r="D227" s="43" t="s">
        <v>688</v>
      </c>
      <c r="E227" s="43" t="s">
        <v>106</v>
      </c>
      <c r="F227" s="43" t="s">
        <v>692</v>
      </c>
      <c r="G227" s="43" t="s">
        <v>382</v>
      </c>
      <c r="H227" s="43">
        <v>60</v>
      </c>
      <c r="I227" s="43">
        <v>15.565799999999999</v>
      </c>
      <c r="J227" s="28">
        <v>1.3050000000000001E-7</v>
      </c>
      <c r="K227" s="43" t="s">
        <v>910</v>
      </c>
      <c r="L227" s="43" t="s">
        <v>65</v>
      </c>
      <c r="N227" s="43" t="s">
        <v>229</v>
      </c>
      <c r="O227" s="43">
        <v>122</v>
      </c>
      <c r="P227" s="43" t="s">
        <v>688</v>
      </c>
      <c r="Q227" s="43" t="s">
        <v>376</v>
      </c>
      <c r="R227" s="43" t="s">
        <v>692</v>
      </c>
      <c r="S227" s="43" t="s">
        <v>382</v>
      </c>
      <c r="T227" s="43">
        <v>10</v>
      </c>
      <c r="U227" s="43">
        <v>15.5535</v>
      </c>
      <c r="V227" s="28">
        <v>1.304E-7</v>
      </c>
      <c r="W227" s="43" t="s">
        <v>910</v>
      </c>
      <c r="X227" s="43" t="s">
        <v>65</v>
      </c>
    </row>
    <row r="228" spans="2:24" x14ac:dyDescent="0.2">
      <c r="B228" s="43" t="s">
        <v>229</v>
      </c>
      <c r="C228" s="43">
        <v>123</v>
      </c>
      <c r="D228" s="43" t="s">
        <v>688</v>
      </c>
      <c r="E228" s="43" t="s">
        <v>106</v>
      </c>
      <c r="F228" s="43" t="s">
        <v>693</v>
      </c>
      <c r="G228" s="43" t="s">
        <v>380</v>
      </c>
      <c r="H228" s="43">
        <v>60</v>
      </c>
      <c r="I228" s="43">
        <v>-44.369500000000002</v>
      </c>
      <c r="J228" s="28">
        <v>-3.9439999999999998E-7</v>
      </c>
      <c r="K228" s="43" t="s">
        <v>910</v>
      </c>
      <c r="L228" s="43" t="s">
        <v>65</v>
      </c>
      <c r="N228" s="43" t="s">
        <v>229</v>
      </c>
      <c r="O228" s="43">
        <v>123</v>
      </c>
      <c r="P228" s="43" t="s">
        <v>688</v>
      </c>
      <c r="Q228" s="43" t="s">
        <v>376</v>
      </c>
      <c r="R228" s="43" t="s">
        <v>693</v>
      </c>
      <c r="S228" s="43" t="s">
        <v>380</v>
      </c>
      <c r="T228" s="43">
        <v>10</v>
      </c>
      <c r="U228" s="43">
        <v>-44.351399999999998</v>
      </c>
      <c r="V228" s="28">
        <v>-3.9420000000000002E-7</v>
      </c>
      <c r="W228" s="43" t="s">
        <v>910</v>
      </c>
      <c r="X228" s="43" t="s">
        <v>65</v>
      </c>
    </row>
    <row r="229" spans="2:24" x14ac:dyDescent="0.2">
      <c r="B229" s="43" t="s">
        <v>229</v>
      </c>
      <c r="C229" s="43">
        <v>123</v>
      </c>
      <c r="D229" s="43" t="s">
        <v>688</v>
      </c>
      <c r="E229" s="43" t="s">
        <v>106</v>
      </c>
      <c r="F229" s="43" t="s">
        <v>694</v>
      </c>
      <c r="G229" s="43" t="s">
        <v>382</v>
      </c>
      <c r="H229" s="43">
        <v>60</v>
      </c>
      <c r="I229" s="43">
        <v>8.8270999999999997</v>
      </c>
      <c r="J229" s="28">
        <v>7.8460000000000002E-8</v>
      </c>
      <c r="K229" s="43" t="s">
        <v>910</v>
      </c>
      <c r="L229" s="43" t="s">
        <v>65</v>
      </c>
      <c r="N229" s="43" t="s">
        <v>229</v>
      </c>
      <c r="O229" s="43">
        <v>123</v>
      </c>
      <c r="P229" s="43" t="s">
        <v>688</v>
      </c>
      <c r="Q229" s="43" t="s">
        <v>376</v>
      </c>
      <c r="R229" s="43" t="s">
        <v>694</v>
      </c>
      <c r="S229" s="43" t="s">
        <v>382</v>
      </c>
      <c r="T229" s="43">
        <v>10</v>
      </c>
      <c r="U229" s="43">
        <v>8.8165999999999993</v>
      </c>
      <c r="V229" s="28">
        <v>7.8370000000000006E-8</v>
      </c>
      <c r="W229" s="43" t="s">
        <v>910</v>
      </c>
      <c r="X229" s="43" t="s">
        <v>65</v>
      </c>
    </row>
    <row r="230" spans="2:24" x14ac:dyDescent="0.2">
      <c r="B230" s="43" t="s">
        <v>229</v>
      </c>
      <c r="C230" s="43">
        <v>124</v>
      </c>
      <c r="D230" s="43" t="s">
        <v>695</v>
      </c>
      <c r="E230" s="43" t="s">
        <v>106</v>
      </c>
      <c r="F230" s="43" t="s">
        <v>696</v>
      </c>
      <c r="G230" s="43" t="s">
        <v>380</v>
      </c>
      <c r="H230" s="43">
        <v>60</v>
      </c>
      <c r="I230" s="43">
        <v>-50.934699999999999</v>
      </c>
      <c r="J230" s="28">
        <v>-9.9999999999999995E-7</v>
      </c>
      <c r="K230" s="43" t="s">
        <v>910</v>
      </c>
      <c r="L230" s="43" t="s">
        <v>65</v>
      </c>
      <c r="N230" s="43" t="s">
        <v>229</v>
      </c>
      <c r="O230" s="43">
        <v>124</v>
      </c>
      <c r="P230" s="43" t="s">
        <v>695</v>
      </c>
      <c r="Q230" s="43" t="s">
        <v>376</v>
      </c>
      <c r="R230" s="43" t="s">
        <v>696</v>
      </c>
      <c r="S230" s="43" t="s">
        <v>380</v>
      </c>
      <c r="T230" s="43">
        <v>10</v>
      </c>
      <c r="U230" s="43">
        <v>-50.915100000000002</v>
      </c>
      <c r="V230" s="28">
        <v>-9.9999999999999995E-7</v>
      </c>
      <c r="W230" s="43" t="s">
        <v>910</v>
      </c>
      <c r="X230" s="43" t="s">
        <v>65</v>
      </c>
    </row>
    <row r="231" spans="2:24" x14ac:dyDescent="0.2">
      <c r="B231" s="43" t="s">
        <v>229</v>
      </c>
      <c r="C231" s="43">
        <v>124</v>
      </c>
      <c r="D231" s="43" t="s">
        <v>695</v>
      </c>
      <c r="E231" s="43" t="s">
        <v>106</v>
      </c>
      <c r="F231" s="43" t="s">
        <v>697</v>
      </c>
      <c r="G231" s="43" t="s">
        <v>382</v>
      </c>
      <c r="H231" s="43">
        <v>60</v>
      </c>
      <c r="I231" s="43">
        <v>8.7152999999999992</v>
      </c>
      <c r="J231" s="28">
        <v>8.9340000000000005E-8</v>
      </c>
      <c r="K231" s="43" t="s">
        <v>910</v>
      </c>
      <c r="L231" s="43" t="s">
        <v>65</v>
      </c>
      <c r="N231" s="43" t="s">
        <v>229</v>
      </c>
      <c r="O231" s="43">
        <v>124</v>
      </c>
      <c r="P231" s="43" t="s">
        <v>695</v>
      </c>
      <c r="Q231" s="43" t="s">
        <v>376</v>
      </c>
      <c r="R231" s="43" t="s">
        <v>697</v>
      </c>
      <c r="S231" s="43" t="s">
        <v>382</v>
      </c>
      <c r="T231" s="43">
        <v>10</v>
      </c>
      <c r="U231" s="43">
        <v>8.7049000000000003</v>
      </c>
      <c r="V231" s="28">
        <v>8.9229999999999999E-8</v>
      </c>
      <c r="W231" s="43" t="s">
        <v>910</v>
      </c>
      <c r="X231" s="43" t="s">
        <v>65</v>
      </c>
    </row>
    <row r="232" spans="2:24" x14ac:dyDescent="0.2">
      <c r="B232" s="43" t="s">
        <v>278</v>
      </c>
      <c r="C232" s="43">
        <v>167</v>
      </c>
      <c r="D232" s="43" t="s">
        <v>698</v>
      </c>
      <c r="E232" s="43" t="s">
        <v>106</v>
      </c>
      <c r="F232" s="43" t="s">
        <v>699</v>
      </c>
      <c r="G232" s="43" t="s">
        <v>380</v>
      </c>
      <c r="H232" s="43">
        <v>60</v>
      </c>
      <c r="I232" s="43">
        <v>-47.772599999999997</v>
      </c>
      <c r="J232" s="28">
        <v>-4.8970000000000005E-7</v>
      </c>
      <c r="K232" s="43" t="s">
        <v>910</v>
      </c>
      <c r="L232" s="43" t="s">
        <v>65</v>
      </c>
      <c r="N232" s="43" t="s">
        <v>278</v>
      </c>
      <c r="O232" s="43">
        <v>167</v>
      </c>
      <c r="P232" s="43" t="s">
        <v>698</v>
      </c>
      <c r="Q232" s="43" t="s">
        <v>376</v>
      </c>
      <c r="R232" s="43" t="s">
        <v>699</v>
      </c>
      <c r="S232" s="43" t="s">
        <v>380</v>
      </c>
      <c r="T232" s="43">
        <v>10</v>
      </c>
      <c r="U232" s="43">
        <v>-47.784700000000001</v>
      </c>
      <c r="V232" s="28">
        <v>-4.8979999999999995E-7</v>
      </c>
      <c r="W232" s="43" t="s">
        <v>910</v>
      </c>
      <c r="X232" s="43" t="s">
        <v>65</v>
      </c>
    </row>
    <row r="233" spans="2:24" x14ac:dyDescent="0.2">
      <c r="B233" s="43" t="s">
        <v>278</v>
      </c>
      <c r="C233" s="43">
        <v>167</v>
      </c>
      <c r="D233" s="43" t="s">
        <v>698</v>
      </c>
      <c r="E233" s="43" t="s">
        <v>106</v>
      </c>
      <c r="F233" s="43" t="s">
        <v>700</v>
      </c>
      <c r="G233" s="43" t="s">
        <v>382</v>
      </c>
      <c r="H233" s="43">
        <v>60</v>
      </c>
      <c r="I233" s="43">
        <v>5.8723999999999998</v>
      </c>
      <c r="J233" s="28">
        <v>6.0199999999999996E-8</v>
      </c>
      <c r="K233" s="43" t="s">
        <v>910</v>
      </c>
      <c r="L233" s="43" t="s">
        <v>65</v>
      </c>
      <c r="N233" s="43" t="s">
        <v>278</v>
      </c>
      <c r="O233" s="43">
        <v>167</v>
      </c>
      <c r="P233" s="43" t="s">
        <v>698</v>
      </c>
      <c r="Q233" s="43" t="s">
        <v>376</v>
      </c>
      <c r="R233" s="43" t="s">
        <v>700</v>
      </c>
      <c r="S233" s="43" t="s">
        <v>382</v>
      </c>
      <c r="T233" s="43">
        <v>10</v>
      </c>
      <c r="U233" s="43">
        <v>5.8758999999999997</v>
      </c>
      <c r="V233" s="28">
        <v>6.0230000000000004E-8</v>
      </c>
      <c r="W233" s="43" t="s">
        <v>910</v>
      </c>
      <c r="X233" s="43" t="s">
        <v>65</v>
      </c>
    </row>
    <row r="234" spans="2:24" x14ac:dyDescent="0.2">
      <c r="B234" s="43" t="s">
        <v>278</v>
      </c>
      <c r="C234" s="43">
        <v>168</v>
      </c>
      <c r="D234" s="43" t="s">
        <v>701</v>
      </c>
      <c r="E234" s="43" t="s">
        <v>106</v>
      </c>
      <c r="F234" s="43" t="s">
        <v>702</v>
      </c>
      <c r="G234" s="43" t="s">
        <v>380</v>
      </c>
      <c r="H234" s="43">
        <v>60</v>
      </c>
      <c r="I234" s="43">
        <v>-56.164200000000001</v>
      </c>
      <c r="J234" s="28">
        <v>-4.9920000000000002E-7</v>
      </c>
      <c r="K234" s="43" t="s">
        <v>910</v>
      </c>
      <c r="L234" s="43" t="s">
        <v>65</v>
      </c>
      <c r="N234" s="43" t="s">
        <v>278</v>
      </c>
      <c r="O234" s="43">
        <v>168</v>
      </c>
      <c r="P234" s="43" t="s">
        <v>701</v>
      </c>
      <c r="Q234" s="43" t="s">
        <v>376</v>
      </c>
      <c r="R234" s="43" t="s">
        <v>702</v>
      </c>
      <c r="S234" s="43" t="s">
        <v>380</v>
      </c>
      <c r="T234" s="43">
        <v>10</v>
      </c>
      <c r="U234" s="43">
        <v>-56.179699999999997</v>
      </c>
      <c r="V234" s="28">
        <v>-4.9940000000000004E-7</v>
      </c>
      <c r="W234" s="43" t="s">
        <v>910</v>
      </c>
      <c r="X234" s="43" t="s">
        <v>65</v>
      </c>
    </row>
    <row r="235" spans="2:24" x14ac:dyDescent="0.2">
      <c r="B235" s="43" t="s">
        <v>278</v>
      </c>
      <c r="C235" s="43">
        <v>168</v>
      </c>
      <c r="D235" s="43" t="s">
        <v>701</v>
      </c>
      <c r="E235" s="43" t="s">
        <v>106</v>
      </c>
      <c r="F235" s="43" t="s">
        <v>703</v>
      </c>
      <c r="G235" s="43" t="s">
        <v>382</v>
      </c>
      <c r="H235" s="43">
        <v>60</v>
      </c>
      <c r="I235" s="43">
        <v>17.262499999999999</v>
      </c>
      <c r="J235" s="28">
        <v>1.5340000000000001E-7</v>
      </c>
      <c r="K235" s="43" t="s">
        <v>910</v>
      </c>
      <c r="L235" s="43" t="s">
        <v>65</v>
      </c>
      <c r="N235" s="43" t="s">
        <v>278</v>
      </c>
      <c r="O235" s="43">
        <v>168</v>
      </c>
      <c r="P235" s="43" t="s">
        <v>701</v>
      </c>
      <c r="Q235" s="43" t="s">
        <v>376</v>
      </c>
      <c r="R235" s="43" t="s">
        <v>703</v>
      </c>
      <c r="S235" s="43" t="s">
        <v>382</v>
      </c>
      <c r="T235" s="43">
        <v>10</v>
      </c>
      <c r="U235" s="43">
        <v>17.268899999999999</v>
      </c>
      <c r="V235" s="28">
        <v>1.5349999999999999E-7</v>
      </c>
      <c r="W235" s="43" t="s">
        <v>910</v>
      </c>
      <c r="X235" s="43" t="s">
        <v>65</v>
      </c>
    </row>
    <row r="236" spans="2:24" x14ac:dyDescent="0.2">
      <c r="B236" s="43" t="s">
        <v>278</v>
      </c>
      <c r="C236" s="43">
        <v>169</v>
      </c>
      <c r="D236" s="43" t="s">
        <v>701</v>
      </c>
      <c r="E236" s="43" t="s">
        <v>106</v>
      </c>
      <c r="F236" s="43" t="s">
        <v>704</v>
      </c>
      <c r="G236" s="43" t="s">
        <v>380</v>
      </c>
      <c r="H236" s="43">
        <v>60</v>
      </c>
      <c r="I236" s="43">
        <v>-48.207299999999996</v>
      </c>
      <c r="J236" s="28">
        <v>-4.0400000000000002E-7</v>
      </c>
      <c r="K236" s="43" t="s">
        <v>910</v>
      </c>
      <c r="L236" s="43" t="s">
        <v>65</v>
      </c>
      <c r="N236" s="43" t="s">
        <v>278</v>
      </c>
      <c r="O236" s="43">
        <v>169</v>
      </c>
      <c r="P236" s="43" t="s">
        <v>701</v>
      </c>
      <c r="Q236" s="43" t="s">
        <v>376</v>
      </c>
      <c r="R236" s="43" t="s">
        <v>704</v>
      </c>
      <c r="S236" s="43" t="s">
        <v>380</v>
      </c>
      <c r="T236" s="43">
        <v>10</v>
      </c>
      <c r="U236" s="43">
        <v>-48.222000000000001</v>
      </c>
      <c r="V236" s="28">
        <v>-4.0410000000000003E-7</v>
      </c>
      <c r="W236" s="43" t="s">
        <v>910</v>
      </c>
      <c r="X236" s="43" t="s">
        <v>65</v>
      </c>
    </row>
    <row r="237" spans="2:24" x14ac:dyDescent="0.2">
      <c r="B237" s="43" t="s">
        <v>278</v>
      </c>
      <c r="C237" s="43">
        <v>169</v>
      </c>
      <c r="D237" s="43" t="s">
        <v>701</v>
      </c>
      <c r="E237" s="43" t="s">
        <v>106</v>
      </c>
      <c r="F237" s="43" t="s">
        <v>705</v>
      </c>
      <c r="G237" s="43" t="s">
        <v>382</v>
      </c>
      <c r="H237" s="43">
        <v>60</v>
      </c>
      <c r="I237" s="43">
        <v>18.497800000000002</v>
      </c>
      <c r="J237" s="28">
        <v>1.55E-7</v>
      </c>
      <c r="K237" s="43" t="s">
        <v>910</v>
      </c>
      <c r="L237" s="43" t="s">
        <v>65</v>
      </c>
      <c r="N237" s="43" t="s">
        <v>278</v>
      </c>
      <c r="O237" s="43">
        <v>169</v>
      </c>
      <c r="P237" s="43" t="s">
        <v>701</v>
      </c>
      <c r="Q237" s="43" t="s">
        <v>376</v>
      </c>
      <c r="R237" s="43" t="s">
        <v>705</v>
      </c>
      <c r="S237" s="43" t="s">
        <v>382</v>
      </c>
      <c r="T237" s="43">
        <v>10</v>
      </c>
      <c r="U237" s="43">
        <v>18.505099999999999</v>
      </c>
      <c r="V237" s="28">
        <v>1.5510000000000001E-7</v>
      </c>
      <c r="W237" s="43" t="s">
        <v>910</v>
      </c>
      <c r="X237" s="43" t="s">
        <v>65</v>
      </c>
    </row>
    <row r="238" spans="2:24" x14ac:dyDescent="0.2">
      <c r="B238" s="43" t="s">
        <v>278</v>
      </c>
      <c r="C238" s="43">
        <v>170</v>
      </c>
      <c r="D238" s="43" t="s">
        <v>701</v>
      </c>
      <c r="E238" s="43" t="s">
        <v>106</v>
      </c>
      <c r="F238" s="43" t="s">
        <v>706</v>
      </c>
      <c r="G238" s="43" t="s">
        <v>380</v>
      </c>
      <c r="H238" s="43">
        <v>60</v>
      </c>
      <c r="I238" s="43">
        <v>-47.171399999999998</v>
      </c>
      <c r="J238" s="28">
        <v>-4.193E-7</v>
      </c>
      <c r="K238" s="43" t="s">
        <v>910</v>
      </c>
      <c r="L238" s="43" t="s">
        <v>65</v>
      </c>
      <c r="N238" s="43" t="s">
        <v>278</v>
      </c>
      <c r="O238" s="43">
        <v>170</v>
      </c>
      <c r="P238" s="43" t="s">
        <v>701</v>
      </c>
      <c r="Q238" s="43" t="s">
        <v>376</v>
      </c>
      <c r="R238" s="43" t="s">
        <v>706</v>
      </c>
      <c r="S238" s="43" t="s">
        <v>380</v>
      </c>
      <c r="T238" s="43">
        <v>10</v>
      </c>
      <c r="U238" s="43">
        <v>-47.186300000000003</v>
      </c>
      <c r="V238" s="28">
        <v>-4.1940000000000001E-7</v>
      </c>
      <c r="W238" s="43" t="s">
        <v>910</v>
      </c>
      <c r="X238" s="43" t="s">
        <v>65</v>
      </c>
    </row>
    <row r="239" spans="2:24" x14ac:dyDescent="0.2">
      <c r="B239" s="43" t="s">
        <v>278</v>
      </c>
      <c r="C239" s="43">
        <v>170</v>
      </c>
      <c r="D239" s="43" t="s">
        <v>701</v>
      </c>
      <c r="E239" s="43" t="s">
        <v>106</v>
      </c>
      <c r="F239" s="43" t="s">
        <v>707</v>
      </c>
      <c r="G239" s="43" t="s">
        <v>382</v>
      </c>
      <c r="H239" s="43">
        <v>60</v>
      </c>
      <c r="I239" s="43">
        <v>11.791399999999999</v>
      </c>
      <c r="J239" s="28">
        <v>1.048E-7</v>
      </c>
      <c r="K239" s="43" t="s">
        <v>910</v>
      </c>
      <c r="L239" s="43" t="s">
        <v>65</v>
      </c>
      <c r="N239" s="43" t="s">
        <v>278</v>
      </c>
      <c r="O239" s="43">
        <v>170</v>
      </c>
      <c r="P239" s="43" t="s">
        <v>701</v>
      </c>
      <c r="Q239" s="43" t="s">
        <v>376</v>
      </c>
      <c r="R239" s="43" t="s">
        <v>707</v>
      </c>
      <c r="S239" s="43" t="s">
        <v>382</v>
      </c>
      <c r="T239" s="43">
        <v>10</v>
      </c>
      <c r="U239" s="43">
        <v>11.798299999999999</v>
      </c>
      <c r="V239" s="28">
        <v>1.0490000000000001E-7</v>
      </c>
      <c r="W239" s="43" t="s">
        <v>910</v>
      </c>
      <c r="X239" s="43" t="s">
        <v>65</v>
      </c>
    </row>
    <row r="240" spans="2:24" x14ac:dyDescent="0.2">
      <c r="B240" s="43" t="s">
        <v>278</v>
      </c>
      <c r="C240" s="43">
        <v>171</v>
      </c>
      <c r="D240" s="43" t="s">
        <v>708</v>
      </c>
      <c r="E240" s="43" t="s">
        <v>106</v>
      </c>
      <c r="F240" s="43" t="s">
        <v>709</v>
      </c>
      <c r="G240" s="43" t="s">
        <v>380</v>
      </c>
      <c r="H240" s="43">
        <v>60</v>
      </c>
      <c r="I240" s="43">
        <v>-53.3874</v>
      </c>
      <c r="J240" s="28">
        <v>-9.9999999999999995E-7</v>
      </c>
      <c r="K240" s="43" t="s">
        <v>910</v>
      </c>
      <c r="L240" s="43" t="s">
        <v>65</v>
      </c>
      <c r="N240" s="43" t="s">
        <v>278</v>
      </c>
      <c r="O240" s="43">
        <v>171</v>
      </c>
      <c r="P240" s="43" t="s">
        <v>708</v>
      </c>
      <c r="Q240" s="43" t="s">
        <v>376</v>
      </c>
      <c r="R240" s="43" t="s">
        <v>709</v>
      </c>
      <c r="S240" s="43" t="s">
        <v>380</v>
      </c>
      <c r="T240" s="43">
        <v>10</v>
      </c>
      <c r="U240" s="43">
        <v>-53.403100000000002</v>
      </c>
      <c r="V240" s="28">
        <v>-9.9999999999999995E-7</v>
      </c>
      <c r="W240" s="43" t="s">
        <v>910</v>
      </c>
      <c r="X240" s="43" t="s">
        <v>65</v>
      </c>
    </row>
    <row r="241" spans="2:24" x14ac:dyDescent="0.2">
      <c r="B241" s="43" t="s">
        <v>278</v>
      </c>
      <c r="C241" s="43">
        <v>171</v>
      </c>
      <c r="D241" s="43" t="s">
        <v>708</v>
      </c>
      <c r="E241" s="43" t="s">
        <v>106</v>
      </c>
      <c r="F241" s="43" t="s">
        <v>710</v>
      </c>
      <c r="G241" s="43" t="s">
        <v>382</v>
      </c>
      <c r="H241" s="43">
        <v>60</v>
      </c>
      <c r="I241" s="43">
        <v>11.0989</v>
      </c>
      <c r="J241" s="28">
        <v>1.138E-7</v>
      </c>
      <c r="K241" s="43" t="s">
        <v>910</v>
      </c>
      <c r="L241" s="43" t="s">
        <v>65</v>
      </c>
      <c r="N241" s="43" t="s">
        <v>278</v>
      </c>
      <c r="O241" s="43">
        <v>171</v>
      </c>
      <c r="P241" s="43" t="s">
        <v>708</v>
      </c>
      <c r="Q241" s="43" t="s">
        <v>376</v>
      </c>
      <c r="R241" s="43" t="s">
        <v>710</v>
      </c>
      <c r="S241" s="43" t="s">
        <v>382</v>
      </c>
      <c r="T241" s="43">
        <v>10</v>
      </c>
      <c r="U241" s="43">
        <v>11.104799999999999</v>
      </c>
      <c r="V241" s="28">
        <v>1.138E-7</v>
      </c>
      <c r="W241" s="43" t="s">
        <v>910</v>
      </c>
      <c r="X241" s="43" t="s">
        <v>65</v>
      </c>
    </row>
    <row r="242" spans="2:24" x14ac:dyDescent="0.2">
      <c r="B242" s="43" t="s">
        <v>278</v>
      </c>
      <c r="C242" s="43">
        <v>149</v>
      </c>
      <c r="D242" s="43" t="s">
        <v>711</v>
      </c>
      <c r="E242" s="43" t="s">
        <v>106</v>
      </c>
      <c r="F242" s="43" t="s">
        <v>712</v>
      </c>
      <c r="G242" s="43" t="s">
        <v>380</v>
      </c>
      <c r="H242" s="43">
        <v>60</v>
      </c>
      <c r="I242" s="43">
        <v>-51.314399999999999</v>
      </c>
      <c r="J242" s="28">
        <v>-4.5610000000000001E-7</v>
      </c>
      <c r="K242" s="43" t="s">
        <v>910</v>
      </c>
      <c r="L242" s="43" t="s">
        <v>65</v>
      </c>
      <c r="N242" s="43" t="s">
        <v>278</v>
      </c>
      <c r="O242" s="43">
        <v>149</v>
      </c>
      <c r="P242" s="43" t="s">
        <v>711</v>
      </c>
      <c r="Q242" s="43" t="s">
        <v>376</v>
      </c>
      <c r="R242" s="43" t="s">
        <v>712</v>
      </c>
      <c r="S242" s="43" t="s">
        <v>380</v>
      </c>
      <c r="T242" s="43">
        <v>10</v>
      </c>
      <c r="U242" s="43">
        <v>-51.557600000000001</v>
      </c>
      <c r="V242" s="28">
        <v>-4.5830000000000002E-7</v>
      </c>
      <c r="W242" s="43" t="s">
        <v>910</v>
      </c>
      <c r="X242" s="43" t="s">
        <v>65</v>
      </c>
    </row>
    <row r="243" spans="2:24" x14ac:dyDescent="0.2">
      <c r="B243" s="43" t="s">
        <v>278</v>
      </c>
      <c r="C243" s="43">
        <v>149</v>
      </c>
      <c r="D243" s="43" t="s">
        <v>711</v>
      </c>
      <c r="E243" s="43" t="s">
        <v>106</v>
      </c>
      <c r="F243" s="43" t="s">
        <v>713</v>
      </c>
      <c r="G243" s="43" t="s">
        <v>382</v>
      </c>
      <c r="H243" s="43">
        <v>60</v>
      </c>
      <c r="I243" s="43">
        <v>-49.486400000000003</v>
      </c>
      <c r="J243" s="28">
        <v>-4.3990000000000001E-7</v>
      </c>
      <c r="K243" s="43" t="s">
        <v>910</v>
      </c>
      <c r="L243" s="43" t="s">
        <v>65</v>
      </c>
      <c r="N243" s="43" t="s">
        <v>278</v>
      </c>
      <c r="O243" s="43">
        <v>149</v>
      </c>
      <c r="P243" s="43" t="s">
        <v>711</v>
      </c>
      <c r="Q243" s="43" t="s">
        <v>376</v>
      </c>
      <c r="R243" s="43" t="s">
        <v>713</v>
      </c>
      <c r="S243" s="43" t="s">
        <v>382</v>
      </c>
      <c r="T243" s="43">
        <v>10</v>
      </c>
      <c r="U243" s="43">
        <v>-49.2453</v>
      </c>
      <c r="V243" s="28">
        <v>-4.3770000000000001E-7</v>
      </c>
      <c r="W243" s="43" t="s">
        <v>910</v>
      </c>
      <c r="X243" s="43" t="s">
        <v>65</v>
      </c>
    </row>
    <row r="244" spans="2:24" x14ac:dyDescent="0.2">
      <c r="B244" s="43" t="s">
        <v>278</v>
      </c>
      <c r="C244" s="43">
        <v>152</v>
      </c>
      <c r="D244" s="43" t="s">
        <v>714</v>
      </c>
      <c r="E244" s="43" t="s">
        <v>106</v>
      </c>
      <c r="F244" s="43" t="s">
        <v>715</v>
      </c>
      <c r="G244" s="43" t="s">
        <v>380</v>
      </c>
      <c r="H244" s="43">
        <v>60</v>
      </c>
      <c r="I244" s="43">
        <v>-57.654499999999999</v>
      </c>
      <c r="J244" s="28">
        <v>-3.8879999999999999E-7</v>
      </c>
      <c r="K244" s="43" t="s">
        <v>910</v>
      </c>
      <c r="L244" s="43" t="s">
        <v>65</v>
      </c>
      <c r="N244" s="43" t="s">
        <v>278</v>
      </c>
      <c r="O244" s="43">
        <v>152</v>
      </c>
      <c r="P244" s="43" t="s">
        <v>714</v>
      </c>
      <c r="Q244" s="43" t="s">
        <v>376</v>
      </c>
      <c r="R244" s="43" t="s">
        <v>715</v>
      </c>
      <c r="S244" s="43" t="s">
        <v>380</v>
      </c>
      <c r="T244" s="43">
        <v>10</v>
      </c>
      <c r="U244" s="43">
        <v>-57.972799999999999</v>
      </c>
      <c r="V244" s="28">
        <v>-3.9089999999999999E-7</v>
      </c>
      <c r="W244" s="43" t="s">
        <v>910</v>
      </c>
      <c r="X244" s="43" t="s">
        <v>65</v>
      </c>
    </row>
    <row r="245" spans="2:24" x14ac:dyDescent="0.2">
      <c r="B245" s="43" t="s">
        <v>278</v>
      </c>
      <c r="C245" s="43">
        <v>152</v>
      </c>
      <c r="D245" s="43" t="s">
        <v>714</v>
      </c>
      <c r="E245" s="43" t="s">
        <v>106</v>
      </c>
      <c r="F245" s="43" t="s">
        <v>716</v>
      </c>
      <c r="G245" s="43" t="s">
        <v>382</v>
      </c>
      <c r="H245" s="43">
        <v>60</v>
      </c>
      <c r="I245" s="43">
        <v>-72.430599999999998</v>
      </c>
      <c r="J245" s="28">
        <v>-4.8839999999999995E-7</v>
      </c>
      <c r="K245" s="43" t="s">
        <v>910</v>
      </c>
      <c r="L245" s="43" t="s">
        <v>65</v>
      </c>
      <c r="N245" s="43" t="s">
        <v>278</v>
      </c>
      <c r="O245" s="43">
        <v>152</v>
      </c>
      <c r="P245" s="43" t="s">
        <v>714</v>
      </c>
      <c r="Q245" s="43" t="s">
        <v>376</v>
      </c>
      <c r="R245" s="43" t="s">
        <v>716</v>
      </c>
      <c r="S245" s="43" t="s">
        <v>382</v>
      </c>
      <c r="T245" s="43">
        <v>10</v>
      </c>
      <c r="U245" s="43">
        <v>-72.117500000000007</v>
      </c>
      <c r="V245" s="28">
        <v>-4.8630000000000001E-7</v>
      </c>
      <c r="W245" s="43" t="s">
        <v>910</v>
      </c>
      <c r="X245" s="43" t="s">
        <v>65</v>
      </c>
    </row>
    <row r="246" spans="2:24" x14ac:dyDescent="0.2">
      <c r="B246" s="43" t="s">
        <v>278</v>
      </c>
      <c r="C246" s="43">
        <v>155</v>
      </c>
      <c r="D246" s="43" t="s">
        <v>717</v>
      </c>
      <c r="E246" s="43" t="s">
        <v>106</v>
      </c>
      <c r="F246" s="43" t="s">
        <v>718</v>
      </c>
      <c r="G246" s="43" t="s">
        <v>380</v>
      </c>
      <c r="H246" s="43">
        <v>60</v>
      </c>
      <c r="I246" s="43">
        <v>-66.420199999999994</v>
      </c>
      <c r="J246" s="28">
        <v>-4.6950000000000002E-7</v>
      </c>
      <c r="K246" s="43" t="s">
        <v>910</v>
      </c>
      <c r="L246" s="43" t="s">
        <v>65</v>
      </c>
      <c r="N246" s="43" t="s">
        <v>278</v>
      </c>
      <c r="O246" s="43">
        <v>155</v>
      </c>
      <c r="P246" s="43" t="s">
        <v>717</v>
      </c>
      <c r="Q246" s="43" t="s">
        <v>376</v>
      </c>
      <c r="R246" s="43" t="s">
        <v>718</v>
      </c>
      <c r="S246" s="43" t="s">
        <v>380</v>
      </c>
      <c r="T246" s="43">
        <v>10</v>
      </c>
      <c r="U246" s="43">
        <v>-66.739999999999995</v>
      </c>
      <c r="V246" s="28">
        <v>-4.7170000000000002E-7</v>
      </c>
      <c r="W246" s="43" t="s">
        <v>910</v>
      </c>
      <c r="X246" s="43" t="s">
        <v>65</v>
      </c>
    </row>
    <row r="247" spans="2:24" x14ac:dyDescent="0.2">
      <c r="B247" s="43" t="s">
        <v>278</v>
      </c>
      <c r="C247" s="43">
        <v>155</v>
      </c>
      <c r="D247" s="43" t="s">
        <v>717</v>
      </c>
      <c r="E247" s="43" t="s">
        <v>106</v>
      </c>
      <c r="F247" s="43" t="s">
        <v>719</v>
      </c>
      <c r="G247" s="43" t="s">
        <v>382</v>
      </c>
      <c r="H247" s="43">
        <v>60</v>
      </c>
      <c r="I247" s="43">
        <v>-57.210799999999999</v>
      </c>
      <c r="J247" s="28">
        <v>-4.0439999999999999E-7</v>
      </c>
      <c r="K247" s="43" t="s">
        <v>910</v>
      </c>
      <c r="L247" s="43" t="s">
        <v>65</v>
      </c>
      <c r="N247" s="43" t="s">
        <v>278</v>
      </c>
      <c r="O247" s="43">
        <v>155</v>
      </c>
      <c r="P247" s="43" t="s">
        <v>717</v>
      </c>
      <c r="Q247" s="43" t="s">
        <v>376</v>
      </c>
      <c r="R247" s="43" t="s">
        <v>719</v>
      </c>
      <c r="S247" s="43" t="s">
        <v>382</v>
      </c>
      <c r="T247" s="43">
        <v>10</v>
      </c>
      <c r="U247" s="43">
        <v>-56.902500000000003</v>
      </c>
      <c r="V247" s="28">
        <v>-4.0219999999999999E-7</v>
      </c>
      <c r="W247" s="43" t="s">
        <v>910</v>
      </c>
      <c r="X247" s="43" t="s">
        <v>65</v>
      </c>
    </row>
    <row r="248" spans="2:24" x14ac:dyDescent="0.2">
      <c r="B248" s="43" t="s">
        <v>278</v>
      </c>
      <c r="C248" s="43">
        <v>158</v>
      </c>
      <c r="D248" s="43" t="s">
        <v>720</v>
      </c>
      <c r="E248" s="43" t="s">
        <v>106</v>
      </c>
      <c r="F248" s="43" t="s">
        <v>721</v>
      </c>
      <c r="G248" s="43" t="s">
        <v>380</v>
      </c>
      <c r="H248" s="43">
        <v>60</v>
      </c>
      <c r="I248" s="43">
        <v>-66.164699999999996</v>
      </c>
      <c r="J248" s="28">
        <v>-4.6769999999999999E-7</v>
      </c>
      <c r="K248" s="43" t="s">
        <v>910</v>
      </c>
      <c r="L248" s="43" t="s">
        <v>65</v>
      </c>
      <c r="N248" s="43" t="s">
        <v>278</v>
      </c>
      <c r="O248" s="43">
        <v>158</v>
      </c>
      <c r="P248" s="43" t="s">
        <v>720</v>
      </c>
      <c r="Q248" s="43" t="s">
        <v>376</v>
      </c>
      <c r="R248" s="43" t="s">
        <v>721</v>
      </c>
      <c r="S248" s="43" t="s">
        <v>380</v>
      </c>
      <c r="T248" s="43">
        <v>10</v>
      </c>
      <c r="U248" s="43">
        <v>-66.484899999999996</v>
      </c>
      <c r="V248" s="28">
        <v>-4.6989999999999999E-7</v>
      </c>
      <c r="W248" s="43" t="s">
        <v>910</v>
      </c>
      <c r="X248" s="43" t="s">
        <v>65</v>
      </c>
    </row>
    <row r="249" spans="2:24" x14ac:dyDescent="0.2">
      <c r="B249" s="43" t="s">
        <v>278</v>
      </c>
      <c r="C249" s="43">
        <v>158</v>
      </c>
      <c r="D249" s="43" t="s">
        <v>720</v>
      </c>
      <c r="E249" s="43" t="s">
        <v>106</v>
      </c>
      <c r="F249" s="43" t="s">
        <v>722</v>
      </c>
      <c r="G249" s="43" t="s">
        <v>382</v>
      </c>
      <c r="H249" s="43">
        <v>60</v>
      </c>
      <c r="I249" s="43">
        <v>-57.360799999999998</v>
      </c>
      <c r="J249" s="28">
        <v>-4.0540000000000002E-7</v>
      </c>
      <c r="K249" s="43" t="s">
        <v>910</v>
      </c>
      <c r="L249" s="43" t="s">
        <v>65</v>
      </c>
      <c r="N249" s="43" t="s">
        <v>278</v>
      </c>
      <c r="O249" s="43">
        <v>158</v>
      </c>
      <c r="P249" s="43" t="s">
        <v>720</v>
      </c>
      <c r="Q249" s="43" t="s">
        <v>376</v>
      </c>
      <c r="R249" s="43" t="s">
        <v>722</v>
      </c>
      <c r="S249" s="43" t="s">
        <v>382</v>
      </c>
      <c r="T249" s="43">
        <v>10</v>
      </c>
      <c r="U249" s="43">
        <v>-57.052</v>
      </c>
      <c r="V249" s="28">
        <v>-4.0330000000000002E-7</v>
      </c>
      <c r="W249" s="43" t="s">
        <v>910</v>
      </c>
      <c r="X249" s="43" t="s">
        <v>65</v>
      </c>
    </row>
    <row r="250" spans="2:24" x14ac:dyDescent="0.2">
      <c r="B250" s="43" t="s">
        <v>278</v>
      </c>
      <c r="C250" s="43">
        <v>161</v>
      </c>
      <c r="D250" s="43" t="s">
        <v>723</v>
      </c>
      <c r="E250" s="43" t="s">
        <v>106</v>
      </c>
      <c r="F250" s="43" t="s">
        <v>724</v>
      </c>
      <c r="G250" s="43" t="s">
        <v>380</v>
      </c>
      <c r="H250" s="43">
        <v>60</v>
      </c>
      <c r="I250" s="43">
        <v>-57.1006</v>
      </c>
      <c r="J250" s="28">
        <v>-3.8500000000000002E-7</v>
      </c>
      <c r="K250" s="43" t="s">
        <v>910</v>
      </c>
      <c r="L250" s="43" t="s">
        <v>65</v>
      </c>
      <c r="N250" s="43" t="s">
        <v>278</v>
      </c>
      <c r="O250" s="43">
        <v>161</v>
      </c>
      <c r="P250" s="43" t="s">
        <v>723</v>
      </c>
      <c r="Q250" s="43" t="s">
        <v>376</v>
      </c>
      <c r="R250" s="43" t="s">
        <v>724</v>
      </c>
      <c r="S250" s="43" t="s">
        <v>380</v>
      </c>
      <c r="T250" s="43">
        <v>10</v>
      </c>
      <c r="U250" s="43">
        <v>-57.420699999999997</v>
      </c>
      <c r="V250" s="28">
        <v>-3.8720000000000003E-7</v>
      </c>
      <c r="W250" s="43" t="s">
        <v>910</v>
      </c>
      <c r="X250" s="43" t="s">
        <v>65</v>
      </c>
    </row>
    <row r="251" spans="2:24" x14ac:dyDescent="0.2">
      <c r="B251" s="43" t="s">
        <v>278</v>
      </c>
      <c r="C251" s="43">
        <v>161</v>
      </c>
      <c r="D251" s="43" t="s">
        <v>723</v>
      </c>
      <c r="E251" s="43" t="s">
        <v>106</v>
      </c>
      <c r="F251" s="43" t="s">
        <v>725</v>
      </c>
      <c r="G251" s="43" t="s">
        <v>382</v>
      </c>
      <c r="H251" s="43">
        <v>60</v>
      </c>
      <c r="I251" s="43">
        <v>-71.990399999999994</v>
      </c>
      <c r="J251" s="28">
        <v>-4.8550000000000005E-7</v>
      </c>
      <c r="K251" s="43" t="s">
        <v>910</v>
      </c>
      <c r="L251" s="43" t="s">
        <v>65</v>
      </c>
      <c r="N251" s="43" t="s">
        <v>278</v>
      </c>
      <c r="O251" s="43">
        <v>161</v>
      </c>
      <c r="P251" s="43" t="s">
        <v>723</v>
      </c>
      <c r="Q251" s="43" t="s">
        <v>376</v>
      </c>
      <c r="R251" s="43" t="s">
        <v>725</v>
      </c>
      <c r="S251" s="43" t="s">
        <v>382</v>
      </c>
      <c r="T251" s="43">
        <v>10</v>
      </c>
      <c r="U251" s="43">
        <v>-71.675299999999993</v>
      </c>
      <c r="V251" s="28">
        <v>-4.8329999999999999E-7</v>
      </c>
      <c r="W251" s="43" t="s">
        <v>910</v>
      </c>
      <c r="X251" s="43" t="s">
        <v>65</v>
      </c>
    </row>
    <row r="252" spans="2:24" x14ac:dyDescent="0.2">
      <c r="B252" s="43" t="s">
        <v>278</v>
      </c>
      <c r="C252" s="43">
        <v>164</v>
      </c>
      <c r="D252" s="43" t="s">
        <v>726</v>
      </c>
      <c r="E252" s="43" t="s">
        <v>106</v>
      </c>
      <c r="F252" s="43" t="s">
        <v>727</v>
      </c>
      <c r="G252" s="43" t="s">
        <v>380</v>
      </c>
      <c r="H252" s="43">
        <v>60</v>
      </c>
      <c r="I252" s="43">
        <v>-44.7898</v>
      </c>
      <c r="J252" s="28">
        <v>-3.981E-7</v>
      </c>
      <c r="K252" s="43" t="s">
        <v>910</v>
      </c>
      <c r="L252" s="43" t="s">
        <v>65</v>
      </c>
      <c r="N252" s="43" t="s">
        <v>278</v>
      </c>
      <c r="O252" s="43">
        <v>164</v>
      </c>
      <c r="P252" s="43" t="s">
        <v>726</v>
      </c>
      <c r="Q252" s="43" t="s">
        <v>376</v>
      </c>
      <c r="R252" s="43" t="s">
        <v>727</v>
      </c>
      <c r="S252" s="43" t="s">
        <v>380</v>
      </c>
      <c r="T252" s="43">
        <v>10</v>
      </c>
      <c r="U252" s="43">
        <v>-45.034700000000001</v>
      </c>
      <c r="V252" s="28">
        <v>-4.003E-7</v>
      </c>
      <c r="W252" s="43" t="s">
        <v>910</v>
      </c>
      <c r="X252" s="43" t="s">
        <v>65</v>
      </c>
    </row>
    <row r="253" spans="2:24" x14ac:dyDescent="0.2">
      <c r="B253" s="43" t="s">
        <v>278</v>
      </c>
      <c r="C253" s="43">
        <v>164</v>
      </c>
      <c r="D253" s="43" t="s">
        <v>726</v>
      </c>
      <c r="E253" s="43" t="s">
        <v>106</v>
      </c>
      <c r="F253" s="43" t="s">
        <v>728</v>
      </c>
      <c r="G253" s="43" t="s">
        <v>382</v>
      </c>
      <c r="H253" s="43">
        <v>60</v>
      </c>
      <c r="I253" s="43">
        <v>-42.444699999999997</v>
      </c>
      <c r="J253" s="28">
        <v>-3.7730000000000002E-7</v>
      </c>
      <c r="K253" s="43" t="s">
        <v>910</v>
      </c>
      <c r="L253" s="43" t="s">
        <v>65</v>
      </c>
      <c r="N253" s="43" t="s">
        <v>278</v>
      </c>
      <c r="O253" s="43">
        <v>164</v>
      </c>
      <c r="P253" s="43" t="s">
        <v>726</v>
      </c>
      <c r="Q253" s="43" t="s">
        <v>376</v>
      </c>
      <c r="R253" s="43" t="s">
        <v>728</v>
      </c>
      <c r="S253" s="43" t="s">
        <v>382</v>
      </c>
      <c r="T253" s="43">
        <v>10</v>
      </c>
      <c r="U253" s="43">
        <v>-42.198500000000003</v>
      </c>
      <c r="V253" s="28">
        <v>-3.7510000000000002E-7</v>
      </c>
      <c r="W253" s="43" t="s">
        <v>910</v>
      </c>
      <c r="X253" s="43" t="s">
        <v>65</v>
      </c>
    </row>
    <row r="254" spans="2:24" x14ac:dyDescent="0.2">
      <c r="B254" s="43" t="s">
        <v>278</v>
      </c>
      <c r="C254" s="43">
        <v>172</v>
      </c>
      <c r="D254" s="43" t="s">
        <v>729</v>
      </c>
      <c r="E254" s="43" t="s">
        <v>106</v>
      </c>
      <c r="F254" s="43" t="s">
        <v>730</v>
      </c>
      <c r="G254" s="43" t="s">
        <v>380</v>
      </c>
      <c r="H254" s="43">
        <v>60</v>
      </c>
      <c r="I254" s="43">
        <v>-67.281199999999998</v>
      </c>
      <c r="J254" s="28">
        <v>-9.9999999999999995E-7</v>
      </c>
      <c r="K254" s="43" t="s">
        <v>910</v>
      </c>
      <c r="L254" s="43" t="s">
        <v>65</v>
      </c>
      <c r="N254" s="43" t="s">
        <v>278</v>
      </c>
      <c r="O254" s="43">
        <v>172</v>
      </c>
      <c r="P254" s="43" t="s">
        <v>729</v>
      </c>
      <c r="Q254" s="43" t="s">
        <v>376</v>
      </c>
      <c r="R254" s="43" t="s">
        <v>730</v>
      </c>
      <c r="S254" s="43" t="s">
        <v>380</v>
      </c>
      <c r="T254" s="43">
        <v>10</v>
      </c>
      <c r="U254" s="43">
        <v>-67.293599999999998</v>
      </c>
      <c r="V254" s="28">
        <v>-9.9999999999999995E-7</v>
      </c>
      <c r="W254" s="43" t="s">
        <v>910</v>
      </c>
      <c r="X254" s="43" t="s">
        <v>65</v>
      </c>
    </row>
    <row r="255" spans="2:24" x14ac:dyDescent="0.2">
      <c r="B255" s="43" t="s">
        <v>278</v>
      </c>
      <c r="C255" s="43">
        <v>172</v>
      </c>
      <c r="D255" s="43" t="s">
        <v>729</v>
      </c>
      <c r="E255" s="43" t="s">
        <v>106</v>
      </c>
      <c r="F255" s="43" t="s">
        <v>731</v>
      </c>
      <c r="G255" s="43" t="s">
        <v>382</v>
      </c>
      <c r="H255" s="43">
        <v>60</v>
      </c>
      <c r="I255" s="43">
        <v>19.0718</v>
      </c>
      <c r="J255" s="28">
        <v>1.424E-7</v>
      </c>
      <c r="K255" s="43" t="s">
        <v>910</v>
      </c>
      <c r="L255" s="43" t="s">
        <v>65</v>
      </c>
      <c r="N255" s="43" t="s">
        <v>278</v>
      </c>
      <c r="O255" s="43">
        <v>172</v>
      </c>
      <c r="P255" s="43" t="s">
        <v>729</v>
      </c>
      <c r="Q255" s="43" t="s">
        <v>376</v>
      </c>
      <c r="R255" s="43" t="s">
        <v>731</v>
      </c>
      <c r="S255" s="43" t="s">
        <v>382</v>
      </c>
      <c r="T255" s="43">
        <v>10</v>
      </c>
      <c r="U255" s="43">
        <v>19.083300000000001</v>
      </c>
      <c r="V255" s="28">
        <v>1.4250000000000001E-7</v>
      </c>
      <c r="W255" s="43" t="s">
        <v>910</v>
      </c>
      <c r="X255" s="43" t="s">
        <v>65</v>
      </c>
    </row>
    <row r="256" spans="2:24" x14ac:dyDescent="0.2">
      <c r="B256" s="43" t="s">
        <v>278</v>
      </c>
      <c r="C256" s="43">
        <v>173</v>
      </c>
      <c r="D256" s="43" t="s">
        <v>732</v>
      </c>
      <c r="E256" s="43" t="s">
        <v>106</v>
      </c>
      <c r="F256" s="43" t="s">
        <v>733</v>
      </c>
      <c r="G256" s="43" t="s">
        <v>380</v>
      </c>
      <c r="H256" s="43">
        <v>60</v>
      </c>
      <c r="I256" s="43">
        <v>-55.844799999999999</v>
      </c>
      <c r="J256" s="28">
        <v>-4.1699999999999999E-7</v>
      </c>
      <c r="K256" s="43" t="s">
        <v>910</v>
      </c>
      <c r="L256" s="43" t="s">
        <v>65</v>
      </c>
      <c r="N256" s="43" t="s">
        <v>278</v>
      </c>
      <c r="O256" s="43">
        <v>173</v>
      </c>
      <c r="P256" s="43" t="s">
        <v>732</v>
      </c>
      <c r="Q256" s="43" t="s">
        <v>376</v>
      </c>
      <c r="R256" s="43" t="s">
        <v>733</v>
      </c>
      <c r="S256" s="43" t="s">
        <v>380</v>
      </c>
      <c r="T256" s="43">
        <v>10</v>
      </c>
      <c r="U256" s="43">
        <v>-55.857300000000002</v>
      </c>
      <c r="V256" s="28">
        <v>-4.171E-7</v>
      </c>
      <c r="W256" s="43" t="s">
        <v>910</v>
      </c>
      <c r="X256" s="43" t="s">
        <v>65</v>
      </c>
    </row>
    <row r="257" spans="2:24" x14ac:dyDescent="0.2">
      <c r="B257" s="43" t="s">
        <v>278</v>
      </c>
      <c r="C257" s="43">
        <v>173</v>
      </c>
      <c r="D257" s="43" t="s">
        <v>732</v>
      </c>
      <c r="E257" s="43" t="s">
        <v>106</v>
      </c>
      <c r="F257" s="43" t="s">
        <v>734</v>
      </c>
      <c r="G257" s="43" t="s">
        <v>382</v>
      </c>
      <c r="H257" s="43">
        <v>60</v>
      </c>
      <c r="I257" s="43">
        <v>10.4945</v>
      </c>
      <c r="J257" s="28">
        <v>7.8359999999999995E-8</v>
      </c>
      <c r="K257" s="43" t="s">
        <v>910</v>
      </c>
      <c r="L257" s="43" t="s">
        <v>65</v>
      </c>
      <c r="N257" s="43" t="s">
        <v>278</v>
      </c>
      <c r="O257" s="43">
        <v>173</v>
      </c>
      <c r="P257" s="43" t="s">
        <v>732</v>
      </c>
      <c r="Q257" s="43" t="s">
        <v>376</v>
      </c>
      <c r="R257" s="43" t="s">
        <v>734</v>
      </c>
      <c r="S257" s="43" t="s">
        <v>382</v>
      </c>
      <c r="T257" s="43">
        <v>10</v>
      </c>
      <c r="U257" s="43">
        <v>10.507</v>
      </c>
      <c r="V257" s="28">
        <v>7.8450000000000004E-8</v>
      </c>
      <c r="W257" s="43" t="s">
        <v>910</v>
      </c>
      <c r="X257" s="43" t="s">
        <v>65</v>
      </c>
    </row>
    <row r="258" spans="2:24" x14ac:dyDescent="0.2">
      <c r="B258" s="43" t="s">
        <v>278</v>
      </c>
      <c r="C258" s="43">
        <v>174</v>
      </c>
      <c r="D258" s="43" t="s">
        <v>732</v>
      </c>
      <c r="E258" s="43" t="s">
        <v>106</v>
      </c>
      <c r="F258" s="43" t="s">
        <v>735</v>
      </c>
      <c r="G258" s="43" t="s">
        <v>380</v>
      </c>
      <c r="H258" s="43">
        <v>60</v>
      </c>
      <c r="I258" s="43">
        <v>-64.758399999999995</v>
      </c>
      <c r="J258" s="28">
        <v>-9.9999999999999995E-7</v>
      </c>
      <c r="K258" s="43" t="s">
        <v>910</v>
      </c>
      <c r="L258" s="43" t="s">
        <v>65</v>
      </c>
      <c r="N258" s="43" t="s">
        <v>278</v>
      </c>
      <c r="O258" s="43">
        <v>174</v>
      </c>
      <c r="P258" s="43" t="s">
        <v>732</v>
      </c>
      <c r="Q258" s="43" t="s">
        <v>376</v>
      </c>
      <c r="R258" s="43" t="s">
        <v>735</v>
      </c>
      <c r="S258" s="43" t="s">
        <v>380</v>
      </c>
      <c r="T258" s="43">
        <v>10</v>
      </c>
      <c r="U258" s="43">
        <v>-64.7697</v>
      </c>
      <c r="V258" s="28">
        <v>-9.9999999999999995E-7</v>
      </c>
      <c r="W258" s="43" t="s">
        <v>910</v>
      </c>
      <c r="X258" s="43" t="s">
        <v>65</v>
      </c>
    </row>
    <row r="259" spans="2:24" x14ac:dyDescent="0.2">
      <c r="B259" s="43" t="s">
        <v>278</v>
      </c>
      <c r="C259" s="43">
        <v>174</v>
      </c>
      <c r="D259" s="43" t="s">
        <v>732</v>
      </c>
      <c r="E259" s="43" t="s">
        <v>106</v>
      </c>
      <c r="F259" s="43" t="s">
        <v>736</v>
      </c>
      <c r="G259" s="43" t="s">
        <v>382</v>
      </c>
      <c r="H259" s="43">
        <v>60</v>
      </c>
      <c r="I259" s="43">
        <v>7.7441000000000004</v>
      </c>
      <c r="J259" s="28">
        <v>6.1130000000000005E-8</v>
      </c>
      <c r="K259" s="43" t="s">
        <v>910</v>
      </c>
      <c r="L259" s="43" t="s">
        <v>65</v>
      </c>
      <c r="N259" s="43" t="s">
        <v>278</v>
      </c>
      <c r="O259" s="43">
        <v>174</v>
      </c>
      <c r="P259" s="43" t="s">
        <v>732</v>
      </c>
      <c r="Q259" s="43" t="s">
        <v>376</v>
      </c>
      <c r="R259" s="43" t="s">
        <v>736</v>
      </c>
      <c r="S259" s="43" t="s">
        <v>382</v>
      </c>
      <c r="T259" s="43">
        <v>10</v>
      </c>
      <c r="U259" s="43">
        <v>7.7549999999999999</v>
      </c>
      <c r="V259" s="28">
        <v>6.1210000000000003E-8</v>
      </c>
      <c r="W259" s="43" t="s">
        <v>910</v>
      </c>
      <c r="X259" s="43" t="s">
        <v>65</v>
      </c>
    </row>
    <row r="260" spans="2:24" x14ac:dyDescent="0.2">
      <c r="B260" s="43" t="s">
        <v>278</v>
      </c>
      <c r="C260" s="43">
        <v>175</v>
      </c>
      <c r="D260" s="43" t="s">
        <v>732</v>
      </c>
      <c r="E260" s="43" t="s">
        <v>106</v>
      </c>
      <c r="F260" s="43" t="s">
        <v>737</v>
      </c>
      <c r="G260" s="43" t="s">
        <v>380</v>
      </c>
      <c r="H260" s="43">
        <v>60</v>
      </c>
      <c r="I260" s="43">
        <v>-66.284499999999994</v>
      </c>
      <c r="J260" s="28">
        <v>-4.9490000000000002E-7</v>
      </c>
      <c r="K260" s="43" t="s">
        <v>910</v>
      </c>
      <c r="L260" s="43" t="s">
        <v>65</v>
      </c>
      <c r="N260" s="43" t="s">
        <v>278</v>
      </c>
      <c r="O260" s="43">
        <v>175</v>
      </c>
      <c r="P260" s="43" t="s">
        <v>732</v>
      </c>
      <c r="Q260" s="43" t="s">
        <v>376</v>
      </c>
      <c r="R260" s="43" t="s">
        <v>737</v>
      </c>
      <c r="S260" s="43" t="s">
        <v>380</v>
      </c>
      <c r="T260" s="43">
        <v>10</v>
      </c>
      <c r="U260" s="43">
        <v>-66.296000000000006</v>
      </c>
      <c r="V260" s="28">
        <v>-4.9500000000000003E-7</v>
      </c>
      <c r="W260" s="43" t="s">
        <v>910</v>
      </c>
      <c r="X260" s="43" t="s">
        <v>65</v>
      </c>
    </row>
    <row r="261" spans="2:24" x14ac:dyDescent="0.2">
      <c r="B261" s="43" t="s">
        <v>278</v>
      </c>
      <c r="C261" s="43">
        <v>175</v>
      </c>
      <c r="D261" s="43" t="s">
        <v>732</v>
      </c>
      <c r="E261" s="43" t="s">
        <v>106</v>
      </c>
      <c r="F261" s="43" t="s">
        <v>738</v>
      </c>
      <c r="G261" s="43" t="s">
        <v>382</v>
      </c>
      <c r="H261" s="43">
        <v>60</v>
      </c>
      <c r="I261" s="43">
        <v>18.555199999999999</v>
      </c>
      <c r="J261" s="28">
        <v>1.385E-7</v>
      </c>
      <c r="K261" s="43" t="s">
        <v>910</v>
      </c>
      <c r="L261" s="43" t="s">
        <v>65</v>
      </c>
      <c r="N261" s="43" t="s">
        <v>278</v>
      </c>
      <c r="O261" s="43">
        <v>175</v>
      </c>
      <c r="P261" s="43" t="s">
        <v>732</v>
      </c>
      <c r="Q261" s="43" t="s">
        <v>376</v>
      </c>
      <c r="R261" s="43" t="s">
        <v>738</v>
      </c>
      <c r="S261" s="43" t="s">
        <v>382</v>
      </c>
      <c r="T261" s="43">
        <v>10</v>
      </c>
      <c r="U261" s="43">
        <v>18.566400000000002</v>
      </c>
      <c r="V261" s="28">
        <v>1.3860000000000001E-7</v>
      </c>
      <c r="W261" s="43" t="s">
        <v>910</v>
      </c>
      <c r="X261" s="43" t="s">
        <v>65</v>
      </c>
    </row>
    <row r="262" spans="2:24" x14ac:dyDescent="0.2">
      <c r="B262" s="43" t="s">
        <v>278</v>
      </c>
      <c r="C262" s="43">
        <v>176</v>
      </c>
      <c r="D262" s="43" t="s">
        <v>739</v>
      </c>
      <c r="E262" s="43" t="s">
        <v>106</v>
      </c>
      <c r="F262" s="43" t="s">
        <v>740</v>
      </c>
      <c r="G262" s="43" t="s">
        <v>380</v>
      </c>
      <c r="H262" s="43">
        <v>60</v>
      </c>
      <c r="I262" s="43">
        <v>-56.979900000000001</v>
      </c>
      <c r="J262" s="28">
        <v>-4.2549999999999999E-7</v>
      </c>
      <c r="K262" s="43" t="s">
        <v>910</v>
      </c>
      <c r="L262" s="43" t="s">
        <v>65</v>
      </c>
      <c r="N262" s="43" t="s">
        <v>278</v>
      </c>
      <c r="O262" s="43">
        <v>176</v>
      </c>
      <c r="P262" s="43" t="s">
        <v>739</v>
      </c>
      <c r="Q262" s="43" t="s">
        <v>376</v>
      </c>
      <c r="R262" s="43" t="s">
        <v>740</v>
      </c>
      <c r="S262" s="43" t="s">
        <v>380</v>
      </c>
      <c r="T262" s="43">
        <v>10</v>
      </c>
      <c r="U262" s="43">
        <v>-56.992899999999999</v>
      </c>
      <c r="V262" s="28">
        <v>-4.2549999999999999E-7</v>
      </c>
      <c r="W262" s="43" t="s">
        <v>910</v>
      </c>
      <c r="X262" s="43" t="s">
        <v>65</v>
      </c>
    </row>
    <row r="263" spans="2:24" x14ac:dyDescent="0.2">
      <c r="B263" s="43" t="s">
        <v>278</v>
      </c>
      <c r="C263" s="43">
        <v>176</v>
      </c>
      <c r="D263" s="43" t="s">
        <v>739</v>
      </c>
      <c r="E263" s="43" t="s">
        <v>106</v>
      </c>
      <c r="F263" s="43" t="s">
        <v>741</v>
      </c>
      <c r="G263" s="43" t="s">
        <v>382</v>
      </c>
      <c r="H263" s="43">
        <v>60</v>
      </c>
      <c r="I263" s="43">
        <v>14.525</v>
      </c>
      <c r="J263" s="28">
        <v>1.085E-7</v>
      </c>
      <c r="K263" s="43" t="s">
        <v>910</v>
      </c>
      <c r="L263" s="43" t="s">
        <v>65</v>
      </c>
      <c r="N263" s="43" t="s">
        <v>278</v>
      </c>
      <c r="O263" s="43">
        <v>176</v>
      </c>
      <c r="P263" s="43" t="s">
        <v>739</v>
      </c>
      <c r="Q263" s="43" t="s">
        <v>376</v>
      </c>
      <c r="R263" s="43" t="s">
        <v>741</v>
      </c>
      <c r="S263" s="43" t="s">
        <v>382</v>
      </c>
      <c r="T263" s="43">
        <v>10</v>
      </c>
      <c r="U263" s="43">
        <v>14.5382</v>
      </c>
      <c r="V263" s="28">
        <v>1.0860000000000001E-7</v>
      </c>
      <c r="W263" s="43" t="s">
        <v>910</v>
      </c>
      <c r="X263" s="43" t="s">
        <v>65</v>
      </c>
    </row>
    <row r="264" spans="2:24" x14ac:dyDescent="0.2">
      <c r="B264" s="43" t="s">
        <v>278</v>
      </c>
      <c r="C264" s="43">
        <v>150</v>
      </c>
      <c r="D264" s="43" t="s">
        <v>742</v>
      </c>
      <c r="E264" s="43" t="s">
        <v>106</v>
      </c>
      <c r="F264" s="43" t="s">
        <v>743</v>
      </c>
      <c r="G264" s="43" t="s">
        <v>380</v>
      </c>
      <c r="H264" s="43">
        <v>60</v>
      </c>
      <c r="I264" s="43">
        <v>-46.519199999999998</v>
      </c>
      <c r="J264" s="28">
        <v>-3.9849999999999998E-7</v>
      </c>
      <c r="K264" s="43" t="s">
        <v>910</v>
      </c>
      <c r="L264" s="43" t="s">
        <v>65</v>
      </c>
      <c r="N264" s="43" t="s">
        <v>278</v>
      </c>
      <c r="O264" s="43">
        <v>150</v>
      </c>
      <c r="P264" s="43" t="s">
        <v>742</v>
      </c>
      <c r="Q264" s="43" t="s">
        <v>376</v>
      </c>
      <c r="R264" s="43" t="s">
        <v>743</v>
      </c>
      <c r="S264" s="43" t="s">
        <v>380</v>
      </c>
      <c r="T264" s="43">
        <v>10</v>
      </c>
      <c r="U264" s="43">
        <v>-46.771099999999997</v>
      </c>
      <c r="V264" s="28">
        <v>-4.0059999999999997E-7</v>
      </c>
      <c r="W264" s="43" t="s">
        <v>910</v>
      </c>
      <c r="X264" s="43" t="s">
        <v>65</v>
      </c>
    </row>
    <row r="265" spans="2:24" x14ac:dyDescent="0.2">
      <c r="B265" s="43" t="s">
        <v>278</v>
      </c>
      <c r="C265" s="43">
        <v>150</v>
      </c>
      <c r="D265" s="43" t="s">
        <v>742</v>
      </c>
      <c r="E265" s="43" t="s">
        <v>106</v>
      </c>
      <c r="F265" s="43" t="s">
        <v>744</v>
      </c>
      <c r="G265" s="43" t="s">
        <v>382</v>
      </c>
      <c r="H265" s="43">
        <v>60</v>
      </c>
      <c r="I265" s="43">
        <v>-46.435899999999997</v>
      </c>
      <c r="J265" s="28">
        <v>-3.9779999999999998E-7</v>
      </c>
      <c r="K265" s="43" t="s">
        <v>910</v>
      </c>
      <c r="L265" s="43" t="s">
        <v>65</v>
      </c>
      <c r="N265" s="43" t="s">
        <v>278</v>
      </c>
      <c r="O265" s="43">
        <v>150</v>
      </c>
      <c r="P265" s="43" t="s">
        <v>742</v>
      </c>
      <c r="Q265" s="43" t="s">
        <v>376</v>
      </c>
      <c r="R265" s="43" t="s">
        <v>744</v>
      </c>
      <c r="S265" s="43" t="s">
        <v>382</v>
      </c>
      <c r="T265" s="43">
        <v>10</v>
      </c>
      <c r="U265" s="43">
        <v>-46.185899999999997</v>
      </c>
      <c r="V265" s="28">
        <v>-3.9560000000000002E-7</v>
      </c>
      <c r="W265" s="43" t="s">
        <v>910</v>
      </c>
      <c r="X265" s="43" t="s">
        <v>65</v>
      </c>
    </row>
    <row r="266" spans="2:24" x14ac:dyDescent="0.2">
      <c r="B266" s="43" t="s">
        <v>278</v>
      </c>
      <c r="C266" s="43">
        <v>153</v>
      </c>
      <c r="D266" s="43" t="s">
        <v>745</v>
      </c>
      <c r="E266" s="43" t="s">
        <v>106</v>
      </c>
      <c r="F266" s="43" t="s">
        <v>746</v>
      </c>
      <c r="G266" s="43" t="s">
        <v>380</v>
      </c>
      <c r="H266" s="43">
        <v>60</v>
      </c>
      <c r="I266" s="43">
        <v>-73.021799999999999</v>
      </c>
      <c r="J266" s="28">
        <v>-4.8790000000000002E-7</v>
      </c>
      <c r="K266" s="43" t="s">
        <v>910</v>
      </c>
      <c r="L266" s="43" t="s">
        <v>65</v>
      </c>
      <c r="N266" s="43" t="s">
        <v>278</v>
      </c>
      <c r="O266" s="43">
        <v>153</v>
      </c>
      <c r="P266" s="43" t="s">
        <v>745</v>
      </c>
      <c r="Q266" s="43" t="s">
        <v>376</v>
      </c>
      <c r="R266" s="43" t="s">
        <v>746</v>
      </c>
      <c r="S266" s="43" t="s">
        <v>380</v>
      </c>
      <c r="T266" s="43">
        <v>10</v>
      </c>
      <c r="U266" s="43">
        <v>-73.335300000000004</v>
      </c>
      <c r="V266" s="28">
        <v>-4.8999999999999997E-7</v>
      </c>
      <c r="W266" s="43" t="s">
        <v>910</v>
      </c>
      <c r="X266" s="43" t="s">
        <v>65</v>
      </c>
    </row>
    <row r="267" spans="2:24" x14ac:dyDescent="0.2">
      <c r="B267" s="43" t="s">
        <v>278</v>
      </c>
      <c r="C267" s="43">
        <v>153</v>
      </c>
      <c r="D267" s="43" t="s">
        <v>745</v>
      </c>
      <c r="E267" s="43" t="s">
        <v>106</v>
      </c>
      <c r="F267" s="43" t="s">
        <v>747</v>
      </c>
      <c r="G267" s="43" t="s">
        <v>382</v>
      </c>
      <c r="H267" s="43">
        <v>60</v>
      </c>
      <c r="I267" s="43">
        <v>-72.968100000000007</v>
      </c>
      <c r="J267" s="28">
        <v>-4.8749999999999999E-7</v>
      </c>
      <c r="K267" s="43" t="s">
        <v>910</v>
      </c>
      <c r="L267" s="43" t="s">
        <v>65</v>
      </c>
      <c r="N267" s="43" t="s">
        <v>278</v>
      </c>
      <c r="O267" s="43">
        <v>153</v>
      </c>
      <c r="P267" s="43" t="s">
        <v>745</v>
      </c>
      <c r="Q267" s="43" t="s">
        <v>376</v>
      </c>
      <c r="R267" s="43" t="s">
        <v>747</v>
      </c>
      <c r="S267" s="43" t="s">
        <v>382</v>
      </c>
      <c r="T267" s="43">
        <v>10</v>
      </c>
      <c r="U267" s="43">
        <v>-72.654899999999998</v>
      </c>
      <c r="V267" s="28">
        <v>-4.8540000000000005E-7</v>
      </c>
      <c r="W267" s="43" t="s">
        <v>910</v>
      </c>
      <c r="X267" s="43" t="s">
        <v>65</v>
      </c>
    </row>
    <row r="268" spans="2:24" x14ac:dyDescent="0.2">
      <c r="B268" s="43" t="s">
        <v>278</v>
      </c>
      <c r="C268" s="43">
        <v>156</v>
      </c>
      <c r="D268" s="43" t="s">
        <v>748</v>
      </c>
      <c r="E268" s="43" t="s">
        <v>106</v>
      </c>
      <c r="F268" s="43" t="s">
        <v>749</v>
      </c>
      <c r="G268" s="43" t="s">
        <v>380</v>
      </c>
      <c r="H268" s="43">
        <v>60</v>
      </c>
      <c r="I268" s="43">
        <v>-56.826999999999998</v>
      </c>
      <c r="J268" s="28">
        <v>-3.8710000000000002E-7</v>
      </c>
      <c r="K268" s="43" t="s">
        <v>910</v>
      </c>
      <c r="L268" s="43" t="s">
        <v>65</v>
      </c>
      <c r="N268" s="43" t="s">
        <v>278</v>
      </c>
      <c r="O268" s="43">
        <v>156</v>
      </c>
      <c r="P268" s="43" t="s">
        <v>748</v>
      </c>
      <c r="Q268" s="43" t="s">
        <v>376</v>
      </c>
      <c r="R268" s="43" t="s">
        <v>749</v>
      </c>
      <c r="S268" s="43" t="s">
        <v>380</v>
      </c>
      <c r="T268" s="43">
        <v>10</v>
      </c>
      <c r="U268" s="43">
        <v>-57.139200000000002</v>
      </c>
      <c r="V268" s="28">
        <v>-3.8920000000000002E-7</v>
      </c>
      <c r="W268" s="43" t="s">
        <v>910</v>
      </c>
      <c r="X268" s="43" t="s">
        <v>65</v>
      </c>
    </row>
    <row r="269" spans="2:24" x14ac:dyDescent="0.2">
      <c r="B269" s="43" t="s">
        <v>278</v>
      </c>
      <c r="C269" s="43">
        <v>156</v>
      </c>
      <c r="D269" s="43" t="s">
        <v>748</v>
      </c>
      <c r="E269" s="43" t="s">
        <v>106</v>
      </c>
      <c r="F269" s="43" t="s">
        <v>750</v>
      </c>
      <c r="G269" s="43" t="s">
        <v>382</v>
      </c>
      <c r="H269" s="43">
        <v>60</v>
      </c>
      <c r="I269" s="43">
        <v>-56.822000000000003</v>
      </c>
      <c r="J269" s="28">
        <v>-3.8700000000000001E-7</v>
      </c>
      <c r="K269" s="43" t="s">
        <v>910</v>
      </c>
      <c r="L269" s="43" t="s">
        <v>65</v>
      </c>
      <c r="N269" s="43" t="s">
        <v>278</v>
      </c>
      <c r="O269" s="43">
        <v>156</v>
      </c>
      <c r="P269" s="43" t="s">
        <v>748</v>
      </c>
      <c r="Q269" s="43" t="s">
        <v>376</v>
      </c>
      <c r="R269" s="43" t="s">
        <v>750</v>
      </c>
      <c r="S269" s="43" t="s">
        <v>382</v>
      </c>
      <c r="T269" s="43">
        <v>10</v>
      </c>
      <c r="U269" s="43">
        <v>-56.509399999999999</v>
      </c>
      <c r="V269" s="28">
        <v>-3.8490000000000001E-7</v>
      </c>
      <c r="W269" s="43" t="s">
        <v>910</v>
      </c>
      <c r="X269" s="43" t="s">
        <v>65</v>
      </c>
    </row>
    <row r="270" spans="2:24" x14ac:dyDescent="0.2">
      <c r="B270" s="43" t="s">
        <v>278</v>
      </c>
      <c r="C270" s="43">
        <v>159</v>
      </c>
      <c r="D270" s="43" t="s">
        <v>751</v>
      </c>
      <c r="E270" s="43" t="s">
        <v>106</v>
      </c>
      <c r="F270" s="43" t="s">
        <v>752</v>
      </c>
      <c r="G270" s="43" t="s">
        <v>380</v>
      </c>
      <c r="H270" s="43">
        <v>60</v>
      </c>
      <c r="I270" s="43">
        <v>-57.338099999999997</v>
      </c>
      <c r="J270" s="28">
        <v>-3.9050000000000001E-7</v>
      </c>
      <c r="K270" s="43" t="s">
        <v>910</v>
      </c>
      <c r="L270" s="43" t="s">
        <v>65</v>
      </c>
      <c r="N270" s="43" t="s">
        <v>278</v>
      </c>
      <c r="O270" s="43">
        <v>159</v>
      </c>
      <c r="P270" s="43" t="s">
        <v>751</v>
      </c>
      <c r="Q270" s="43" t="s">
        <v>376</v>
      </c>
      <c r="R270" s="43" t="s">
        <v>752</v>
      </c>
      <c r="S270" s="43" t="s">
        <v>380</v>
      </c>
      <c r="T270" s="43">
        <v>10</v>
      </c>
      <c r="U270" s="43">
        <v>-57.651200000000003</v>
      </c>
      <c r="V270" s="28">
        <v>-3.9270000000000002E-7</v>
      </c>
      <c r="W270" s="43" t="s">
        <v>910</v>
      </c>
      <c r="X270" s="43" t="s">
        <v>65</v>
      </c>
    </row>
    <row r="271" spans="2:24" x14ac:dyDescent="0.2">
      <c r="B271" s="43" t="s">
        <v>278</v>
      </c>
      <c r="C271" s="43">
        <v>159</v>
      </c>
      <c r="D271" s="43" t="s">
        <v>751</v>
      </c>
      <c r="E271" s="43" t="s">
        <v>106</v>
      </c>
      <c r="F271" s="43" t="s">
        <v>753</v>
      </c>
      <c r="G271" s="43" t="s">
        <v>382</v>
      </c>
      <c r="H271" s="43">
        <v>60</v>
      </c>
      <c r="I271" s="43">
        <v>-57.381999999999998</v>
      </c>
      <c r="J271" s="28">
        <v>-3.9079999999999998E-7</v>
      </c>
      <c r="K271" s="43" t="s">
        <v>910</v>
      </c>
      <c r="L271" s="43" t="s">
        <v>65</v>
      </c>
      <c r="N271" s="43" t="s">
        <v>278</v>
      </c>
      <c r="O271" s="43">
        <v>159</v>
      </c>
      <c r="P271" s="43" t="s">
        <v>751</v>
      </c>
      <c r="Q271" s="43" t="s">
        <v>376</v>
      </c>
      <c r="R271" s="43" t="s">
        <v>753</v>
      </c>
      <c r="S271" s="43" t="s">
        <v>382</v>
      </c>
      <c r="T271" s="43">
        <v>10</v>
      </c>
      <c r="U271" s="43">
        <v>-57.069000000000003</v>
      </c>
      <c r="V271" s="28">
        <v>-3.8869999999999998E-7</v>
      </c>
      <c r="W271" s="43" t="s">
        <v>910</v>
      </c>
      <c r="X271" s="43" t="s">
        <v>65</v>
      </c>
    </row>
    <row r="272" spans="2:24" x14ac:dyDescent="0.2">
      <c r="B272" s="43" t="s">
        <v>278</v>
      </c>
      <c r="C272" s="43">
        <v>162</v>
      </c>
      <c r="D272" s="43" t="s">
        <v>754</v>
      </c>
      <c r="E272" s="43" t="s">
        <v>106</v>
      </c>
      <c r="F272" s="43" t="s">
        <v>755</v>
      </c>
      <c r="G272" s="43" t="s">
        <v>380</v>
      </c>
      <c r="H272" s="43">
        <v>60</v>
      </c>
      <c r="I272" s="43">
        <v>-72.724100000000007</v>
      </c>
      <c r="J272" s="28">
        <v>-4.8589999999999998E-7</v>
      </c>
      <c r="K272" s="43" t="s">
        <v>910</v>
      </c>
      <c r="L272" s="43" t="s">
        <v>65</v>
      </c>
      <c r="N272" s="43" t="s">
        <v>278</v>
      </c>
      <c r="O272" s="43">
        <v>162</v>
      </c>
      <c r="P272" s="43" t="s">
        <v>754</v>
      </c>
      <c r="Q272" s="43" t="s">
        <v>376</v>
      </c>
      <c r="R272" s="43" t="s">
        <v>755</v>
      </c>
      <c r="S272" s="43" t="s">
        <v>380</v>
      </c>
      <c r="T272" s="43">
        <v>10</v>
      </c>
      <c r="U272" s="43">
        <v>-73.039400000000001</v>
      </c>
      <c r="V272" s="28">
        <v>-4.8800000000000003E-7</v>
      </c>
      <c r="W272" s="43" t="s">
        <v>910</v>
      </c>
      <c r="X272" s="43" t="s">
        <v>65</v>
      </c>
    </row>
    <row r="273" spans="2:24" x14ac:dyDescent="0.2">
      <c r="B273" s="43" t="s">
        <v>278</v>
      </c>
      <c r="C273" s="43">
        <v>162</v>
      </c>
      <c r="D273" s="43" t="s">
        <v>754</v>
      </c>
      <c r="E273" s="43" t="s">
        <v>106</v>
      </c>
      <c r="F273" s="43" t="s">
        <v>756</v>
      </c>
      <c r="G273" s="43" t="s">
        <v>382</v>
      </c>
      <c r="H273" s="43">
        <v>60</v>
      </c>
      <c r="I273" s="43">
        <v>-72.802400000000006</v>
      </c>
      <c r="J273" s="28">
        <v>-4.8640000000000001E-7</v>
      </c>
      <c r="K273" s="43" t="s">
        <v>910</v>
      </c>
      <c r="L273" s="43" t="s">
        <v>65</v>
      </c>
      <c r="N273" s="43" t="s">
        <v>278</v>
      </c>
      <c r="O273" s="43">
        <v>162</v>
      </c>
      <c r="P273" s="43" t="s">
        <v>754</v>
      </c>
      <c r="Q273" s="43" t="s">
        <v>376</v>
      </c>
      <c r="R273" s="43" t="s">
        <v>756</v>
      </c>
      <c r="S273" s="43" t="s">
        <v>382</v>
      </c>
      <c r="T273" s="43">
        <v>10</v>
      </c>
      <c r="U273" s="43">
        <v>-72.487300000000005</v>
      </c>
      <c r="V273" s="28">
        <v>-4.8429999999999996E-7</v>
      </c>
      <c r="W273" s="43" t="s">
        <v>910</v>
      </c>
      <c r="X273" s="43" t="s">
        <v>65</v>
      </c>
    </row>
    <row r="274" spans="2:24" x14ac:dyDescent="0.2">
      <c r="B274" s="43" t="s">
        <v>278</v>
      </c>
      <c r="C274" s="43">
        <v>165</v>
      </c>
      <c r="D274" s="43" t="s">
        <v>757</v>
      </c>
      <c r="E274" s="43" t="s">
        <v>106</v>
      </c>
      <c r="F274" s="43" t="s">
        <v>758</v>
      </c>
      <c r="G274" s="43" t="s">
        <v>380</v>
      </c>
      <c r="H274" s="43">
        <v>60</v>
      </c>
      <c r="I274" s="43">
        <v>-39.7012</v>
      </c>
      <c r="J274" s="28">
        <v>-3.4009999999999998E-7</v>
      </c>
      <c r="K274" s="43" t="s">
        <v>910</v>
      </c>
      <c r="L274" s="43" t="s">
        <v>65</v>
      </c>
      <c r="N274" s="43" t="s">
        <v>278</v>
      </c>
      <c r="O274" s="43">
        <v>165</v>
      </c>
      <c r="P274" s="43" t="s">
        <v>757</v>
      </c>
      <c r="Q274" s="43" t="s">
        <v>376</v>
      </c>
      <c r="R274" s="43" t="s">
        <v>758</v>
      </c>
      <c r="S274" s="43" t="s">
        <v>380</v>
      </c>
      <c r="T274" s="43">
        <v>10</v>
      </c>
      <c r="U274" s="43">
        <v>-39.953600000000002</v>
      </c>
      <c r="V274" s="28">
        <v>-3.4219999999999998E-7</v>
      </c>
      <c r="W274" s="43" t="s">
        <v>910</v>
      </c>
      <c r="X274" s="43" t="s">
        <v>65</v>
      </c>
    </row>
    <row r="275" spans="2:24" x14ac:dyDescent="0.2">
      <c r="B275" s="43" t="s">
        <v>278</v>
      </c>
      <c r="C275" s="43">
        <v>165</v>
      </c>
      <c r="D275" s="43" t="s">
        <v>757</v>
      </c>
      <c r="E275" s="43" t="s">
        <v>106</v>
      </c>
      <c r="F275" s="43" t="s">
        <v>759</v>
      </c>
      <c r="G275" s="43" t="s">
        <v>382</v>
      </c>
      <c r="H275" s="43">
        <v>60</v>
      </c>
      <c r="I275" s="43">
        <v>-39.810699999999997</v>
      </c>
      <c r="J275" s="28">
        <v>-3.41E-7</v>
      </c>
      <c r="K275" s="43" t="s">
        <v>910</v>
      </c>
      <c r="L275" s="43" t="s">
        <v>65</v>
      </c>
      <c r="N275" s="43" t="s">
        <v>278</v>
      </c>
      <c r="O275" s="43">
        <v>165</v>
      </c>
      <c r="P275" s="43" t="s">
        <v>757</v>
      </c>
      <c r="Q275" s="43" t="s">
        <v>376</v>
      </c>
      <c r="R275" s="43" t="s">
        <v>759</v>
      </c>
      <c r="S275" s="43" t="s">
        <v>382</v>
      </c>
      <c r="T275" s="43">
        <v>10</v>
      </c>
      <c r="U275" s="43">
        <v>-39.556199999999997</v>
      </c>
      <c r="V275" s="28">
        <v>-3.3879999999999999E-7</v>
      </c>
      <c r="W275" s="43" t="s">
        <v>910</v>
      </c>
      <c r="X275" s="43" t="s">
        <v>65</v>
      </c>
    </row>
    <row r="276" spans="2:24" x14ac:dyDescent="0.2">
      <c r="B276" s="43" t="s">
        <v>278</v>
      </c>
      <c r="C276" s="43">
        <v>177</v>
      </c>
      <c r="D276" s="43" t="s">
        <v>760</v>
      </c>
      <c r="E276" s="43" t="s">
        <v>106</v>
      </c>
      <c r="F276" s="43" t="s">
        <v>761</v>
      </c>
      <c r="G276" s="43" t="s">
        <v>380</v>
      </c>
      <c r="H276" s="43">
        <v>60</v>
      </c>
      <c r="I276" s="43">
        <v>-67.313100000000006</v>
      </c>
      <c r="J276" s="28">
        <v>-9.9999999999999995E-7</v>
      </c>
      <c r="K276" s="43" t="s">
        <v>910</v>
      </c>
      <c r="L276" s="43" t="s">
        <v>65</v>
      </c>
      <c r="N276" s="43" t="s">
        <v>278</v>
      </c>
      <c r="O276" s="43">
        <v>177</v>
      </c>
      <c r="P276" s="43" t="s">
        <v>760</v>
      </c>
      <c r="Q276" s="43" t="s">
        <v>376</v>
      </c>
      <c r="R276" s="43" t="s">
        <v>761</v>
      </c>
      <c r="S276" s="43" t="s">
        <v>380</v>
      </c>
      <c r="T276" s="43">
        <v>10</v>
      </c>
      <c r="U276" s="43">
        <v>-67.324200000000005</v>
      </c>
      <c r="V276" s="28">
        <v>-9.9999999999999995E-7</v>
      </c>
      <c r="W276" s="43" t="s">
        <v>910</v>
      </c>
      <c r="X276" s="43" t="s">
        <v>65</v>
      </c>
    </row>
    <row r="277" spans="2:24" x14ac:dyDescent="0.2">
      <c r="B277" s="43" t="s">
        <v>278</v>
      </c>
      <c r="C277" s="43">
        <v>177</v>
      </c>
      <c r="D277" s="43" t="s">
        <v>760</v>
      </c>
      <c r="E277" s="43" t="s">
        <v>106</v>
      </c>
      <c r="F277" s="43" t="s">
        <v>762</v>
      </c>
      <c r="G277" s="43" t="s">
        <v>382</v>
      </c>
      <c r="H277" s="43">
        <v>60</v>
      </c>
      <c r="I277" s="43">
        <v>19.1022</v>
      </c>
      <c r="J277" s="28">
        <v>1.4259999999999999E-7</v>
      </c>
      <c r="K277" s="43" t="s">
        <v>910</v>
      </c>
      <c r="L277" s="43" t="s">
        <v>65</v>
      </c>
      <c r="N277" s="43" t="s">
        <v>278</v>
      </c>
      <c r="O277" s="43">
        <v>177</v>
      </c>
      <c r="P277" s="43" t="s">
        <v>760</v>
      </c>
      <c r="Q277" s="43" t="s">
        <v>376</v>
      </c>
      <c r="R277" s="43" t="s">
        <v>762</v>
      </c>
      <c r="S277" s="43" t="s">
        <v>382</v>
      </c>
      <c r="T277" s="43">
        <v>10</v>
      </c>
      <c r="U277" s="43">
        <v>19.113199999999999</v>
      </c>
      <c r="V277" s="28">
        <v>1.427E-7</v>
      </c>
      <c r="W277" s="43" t="s">
        <v>910</v>
      </c>
      <c r="X277" s="43" t="s">
        <v>65</v>
      </c>
    </row>
    <row r="278" spans="2:24" x14ac:dyDescent="0.2">
      <c r="B278" s="43" t="s">
        <v>278</v>
      </c>
      <c r="C278" s="43">
        <v>178</v>
      </c>
      <c r="D278" s="43" t="s">
        <v>763</v>
      </c>
      <c r="E278" s="43" t="s">
        <v>106</v>
      </c>
      <c r="F278" s="43" t="s">
        <v>764</v>
      </c>
      <c r="G278" s="43" t="s">
        <v>380</v>
      </c>
      <c r="H278" s="43">
        <v>60</v>
      </c>
      <c r="I278" s="43">
        <v>-55.8752</v>
      </c>
      <c r="J278" s="28">
        <v>-4.172E-7</v>
      </c>
      <c r="K278" s="43" t="s">
        <v>910</v>
      </c>
      <c r="L278" s="43" t="s">
        <v>65</v>
      </c>
      <c r="N278" s="43" t="s">
        <v>278</v>
      </c>
      <c r="O278" s="43">
        <v>178</v>
      </c>
      <c r="P278" s="43" t="s">
        <v>763</v>
      </c>
      <c r="Q278" s="43" t="s">
        <v>376</v>
      </c>
      <c r="R278" s="43" t="s">
        <v>764</v>
      </c>
      <c r="S278" s="43" t="s">
        <v>380</v>
      </c>
      <c r="T278" s="43">
        <v>10</v>
      </c>
      <c r="U278" s="43">
        <v>-55.887</v>
      </c>
      <c r="V278" s="28">
        <v>-4.1730000000000001E-7</v>
      </c>
      <c r="W278" s="43" t="s">
        <v>910</v>
      </c>
      <c r="X278" s="43" t="s">
        <v>65</v>
      </c>
    </row>
    <row r="279" spans="2:24" x14ac:dyDescent="0.2">
      <c r="B279" s="43" t="s">
        <v>278</v>
      </c>
      <c r="C279" s="43">
        <v>178</v>
      </c>
      <c r="D279" s="43" t="s">
        <v>763</v>
      </c>
      <c r="E279" s="43" t="s">
        <v>106</v>
      </c>
      <c r="F279" s="43" t="s">
        <v>765</v>
      </c>
      <c r="G279" s="43" t="s">
        <v>382</v>
      </c>
      <c r="H279" s="43">
        <v>60</v>
      </c>
      <c r="I279" s="43">
        <v>10.525399999999999</v>
      </c>
      <c r="J279" s="28">
        <v>7.8590000000000004E-8</v>
      </c>
      <c r="K279" s="43" t="s">
        <v>910</v>
      </c>
      <c r="L279" s="43" t="s">
        <v>65</v>
      </c>
      <c r="N279" s="43" t="s">
        <v>278</v>
      </c>
      <c r="O279" s="43">
        <v>178</v>
      </c>
      <c r="P279" s="43" t="s">
        <v>763</v>
      </c>
      <c r="Q279" s="43" t="s">
        <v>376</v>
      </c>
      <c r="R279" s="43" t="s">
        <v>765</v>
      </c>
      <c r="S279" s="43" t="s">
        <v>382</v>
      </c>
      <c r="T279" s="43">
        <v>10</v>
      </c>
      <c r="U279" s="43">
        <v>10.5375</v>
      </c>
      <c r="V279" s="28">
        <v>7.868E-8</v>
      </c>
      <c r="W279" s="43" t="s">
        <v>910</v>
      </c>
      <c r="X279" s="43" t="s">
        <v>65</v>
      </c>
    </row>
    <row r="280" spans="2:24" x14ac:dyDescent="0.2">
      <c r="B280" s="43" t="s">
        <v>278</v>
      </c>
      <c r="C280" s="43">
        <v>179</v>
      </c>
      <c r="D280" s="43" t="s">
        <v>763</v>
      </c>
      <c r="E280" s="43" t="s">
        <v>106</v>
      </c>
      <c r="F280" s="43" t="s">
        <v>766</v>
      </c>
      <c r="G280" s="43" t="s">
        <v>380</v>
      </c>
      <c r="H280" s="43">
        <v>60</v>
      </c>
      <c r="I280" s="43">
        <v>-64.787499999999994</v>
      </c>
      <c r="J280" s="28">
        <v>-9.9999999999999995E-7</v>
      </c>
      <c r="K280" s="43" t="s">
        <v>910</v>
      </c>
      <c r="L280" s="43" t="s">
        <v>65</v>
      </c>
      <c r="N280" s="43" t="s">
        <v>278</v>
      </c>
      <c r="O280" s="43">
        <v>179</v>
      </c>
      <c r="P280" s="43" t="s">
        <v>763</v>
      </c>
      <c r="Q280" s="43" t="s">
        <v>376</v>
      </c>
      <c r="R280" s="43" t="s">
        <v>766</v>
      </c>
      <c r="S280" s="43" t="s">
        <v>380</v>
      </c>
      <c r="T280" s="43">
        <v>10</v>
      </c>
      <c r="U280" s="43">
        <v>-64.797600000000003</v>
      </c>
      <c r="V280" s="28">
        <v>-9.9999999999999995E-7</v>
      </c>
      <c r="W280" s="43" t="s">
        <v>910</v>
      </c>
      <c r="X280" s="43" t="s">
        <v>65</v>
      </c>
    </row>
    <row r="281" spans="2:24" x14ac:dyDescent="0.2">
      <c r="B281" s="43" t="s">
        <v>278</v>
      </c>
      <c r="C281" s="43">
        <v>179</v>
      </c>
      <c r="D281" s="43" t="s">
        <v>763</v>
      </c>
      <c r="E281" s="43" t="s">
        <v>106</v>
      </c>
      <c r="F281" s="43" t="s">
        <v>767</v>
      </c>
      <c r="G281" s="43" t="s">
        <v>382</v>
      </c>
      <c r="H281" s="43">
        <v>60</v>
      </c>
      <c r="I281" s="43">
        <v>7.7732000000000001</v>
      </c>
      <c r="J281" s="28">
        <v>6.1360000000000002E-8</v>
      </c>
      <c r="K281" s="43" t="s">
        <v>910</v>
      </c>
      <c r="L281" s="43" t="s">
        <v>65</v>
      </c>
      <c r="N281" s="43" t="s">
        <v>278</v>
      </c>
      <c r="O281" s="43">
        <v>179</v>
      </c>
      <c r="P281" s="43" t="s">
        <v>763</v>
      </c>
      <c r="Q281" s="43" t="s">
        <v>376</v>
      </c>
      <c r="R281" s="43" t="s">
        <v>767</v>
      </c>
      <c r="S281" s="43" t="s">
        <v>382</v>
      </c>
      <c r="T281" s="43">
        <v>10</v>
      </c>
      <c r="U281" s="43">
        <v>7.7839999999999998</v>
      </c>
      <c r="V281" s="28">
        <v>6.144E-8</v>
      </c>
      <c r="W281" s="43" t="s">
        <v>910</v>
      </c>
      <c r="X281" s="43" t="s">
        <v>65</v>
      </c>
    </row>
    <row r="282" spans="2:24" x14ac:dyDescent="0.2">
      <c r="B282" s="43" t="s">
        <v>278</v>
      </c>
      <c r="C282" s="43">
        <v>180</v>
      </c>
      <c r="D282" s="43" t="s">
        <v>763</v>
      </c>
      <c r="E282" s="43" t="s">
        <v>106</v>
      </c>
      <c r="F282" s="43" t="s">
        <v>768</v>
      </c>
      <c r="G282" s="43" t="s">
        <v>380</v>
      </c>
      <c r="H282" s="43">
        <v>60</v>
      </c>
      <c r="I282" s="43">
        <v>-66.316500000000005</v>
      </c>
      <c r="J282" s="28">
        <v>-4.9520000000000004E-7</v>
      </c>
      <c r="K282" s="43" t="s">
        <v>910</v>
      </c>
      <c r="L282" s="43" t="s">
        <v>65</v>
      </c>
      <c r="N282" s="43" t="s">
        <v>278</v>
      </c>
      <c r="O282" s="43">
        <v>180</v>
      </c>
      <c r="P282" s="43" t="s">
        <v>763</v>
      </c>
      <c r="Q282" s="43" t="s">
        <v>376</v>
      </c>
      <c r="R282" s="43" t="s">
        <v>768</v>
      </c>
      <c r="S282" s="43" t="s">
        <v>380</v>
      </c>
      <c r="T282" s="43">
        <v>10</v>
      </c>
      <c r="U282" s="43">
        <v>-66.326899999999995</v>
      </c>
      <c r="V282" s="28">
        <v>-4.9520000000000004E-7</v>
      </c>
      <c r="W282" s="43" t="s">
        <v>910</v>
      </c>
      <c r="X282" s="43" t="s">
        <v>65</v>
      </c>
    </row>
    <row r="283" spans="2:24" x14ac:dyDescent="0.2">
      <c r="B283" s="43" t="s">
        <v>278</v>
      </c>
      <c r="C283" s="43">
        <v>180</v>
      </c>
      <c r="D283" s="43" t="s">
        <v>763</v>
      </c>
      <c r="E283" s="43" t="s">
        <v>106</v>
      </c>
      <c r="F283" s="43" t="s">
        <v>769</v>
      </c>
      <c r="G283" s="43" t="s">
        <v>382</v>
      </c>
      <c r="H283" s="43">
        <v>60</v>
      </c>
      <c r="I283" s="43">
        <v>18.588200000000001</v>
      </c>
      <c r="J283" s="28">
        <v>1.388E-7</v>
      </c>
      <c r="K283" s="43" t="s">
        <v>910</v>
      </c>
      <c r="L283" s="43" t="s">
        <v>65</v>
      </c>
      <c r="N283" s="43" t="s">
        <v>278</v>
      </c>
      <c r="O283" s="43">
        <v>180</v>
      </c>
      <c r="P283" s="43" t="s">
        <v>763</v>
      </c>
      <c r="Q283" s="43" t="s">
        <v>376</v>
      </c>
      <c r="R283" s="43" t="s">
        <v>769</v>
      </c>
      <c r="S283" s="43" t="s">
        <v>382</v>
      </c>
      <c r="T283" s="43">
        <v>10</v>
      </c>
      <c r="U283" s="43">
        <v>18.598700000000001</v>
      </c>
      <c r="V283" s="28">
        <v>1.3890000000000001E-7</v>
      </c>
      <c r="W283" s="43" t="s">
        <v>910</v>
      </c>
      <c r="X283" s="43" t="s">
        <v>65</v>
      </c>
    </row>
    <row r="284" spans="2:24" x14ac:dyDescent="0.2">
      <c r="B284" s="43" t="s">
        <v>278</v>
      </c>
      <c r="C284" s="43">
        <v>181</v>
      </c>
      <c r="D284" s="43" t="s">
        <v>770</v>
      </c>
      <c r="E284" s="43" t="s">
        <v>106</v>
      </c>
      <c r="F284" s="43" t="s">
        <v>771</v>
      </c>
      <c r="G284" s="43" t="s">
        <v>380</v>
      </c>
      <c r="H284" s="43">
        <v>60</v>
      </c>
      <c r="I284" s="43">
        <v>-57.0092</v>
      </c>
      <c r="J284" s="28">
        <v>-4.2570000000000001E-7</v>
      </c>
      <c r="K284" s="43" t="s">
        <v>910</v>
      </c>
      <c r="L284" s="43" t="s">
        <v>65</v>
      </c>
      <c r="N284" s="43" t="s">
        <v>278</v>
      </c>
      <c r="O284" s="43">
        <v>181</v>
      </c>
      <c r="P284" s="43" t="s">
        <v>770</v>
      </c>
      <c r="Q284" s="43" t="s">
        <v>376</v>
      </c>
      <c r="R284" s="43" t="s">
        <v>771</v>
      </c>
      <c r="S284" s="43" t="s">
        <v>380</v>
      </c>
      <c r="T284" s="43">
        <v>10</v>
      </c>
      <c r="U284" s="43">
        <v>-57.0212</v>
      </c>
      <c r="V284" s="28">
        <v>-4.2580000000000001E-7</v>
      </c>
      <c r="W284" s="43" t="s">
        <v>910</v>
      </c>
      <c r="X284" s="43" t="s">
        <v>65</v>
      </c>
    </row>
    <row r="285" spans="2:24" x14ac:dyDescent="0.2">
      <c r="B285" s="43" t="s">
        <v>278</v>
      </c>
      <c r="C285" s="43">
        <v>181</v>
      </c>
      <c r="D285" s="43" t="s">
        <v>770</v>
      </c>
      <c r="E285" s="43" t="s">
        <v>106</v>
      </c>
      <c r="F285" s="43" t="s">
        <v>772</v>
      </c>
      <c r="G285" s="43" t="s">
        <v>382</v>
      </c>
      <c r="H285" s="43">
        <v>60</v>
      </c>
      <c r="I285" s="43">
        <v>14.5488</v>
      </c>
      <c r="J285" s="28">
        <v>1.0860000000000001E-7</v>
      </c>
      <c r="K285" s="43" t="s">
        <v>910</v>
      </c>
      <c r="L285" s="43" t="s">
        <v>65</v>
      </c>
      <c r="N285" s="43" t="s">
        <v>278</v>
      </c>
      <c r="O285" s="43">
        <v>181</v>
      </c>
      <c r="P285" s="43" t="s">
        <v>770</v>
      </c>
      <c r="Q285" s="43" t="s">
        <v>376</v>
      </c>
      <c r="R285" s="43" t="s">
        <v>772</v>
      </c>
      <c r="S285" s="43" t="s">
        <v>382</v>
      </c>
      <c r="T285" s="43">
        <v>10</v>
      </c>
      <c r="U285" s="43">
        <v>14.5617</v>
      </c>
      <c r="V285" s="28">
        <v>1.087E-7</v>
      </c>
      <c r="W285" s="43" t="s">
        <v>910</v>
      </c>
      <c r="X285" s="43" t="s">
        <v>65</v>
      </c>
    </row>
    <row r="286" spans="2:24" x14ac:dyDescent="0.2">
      <c r="B286" s="43" t="s">
        <v>278</v>
      </c>
      <c r="C286" s="43">
        <v>151</v>
      </c>
      <c r="D286" s="43" t="s">
        <v>773</v>
      </c>
      <c r="E286" s="43" t="s">
        <v>106</v>
      </c>
      <c r="F286" s="43" t="s">
        <v>774</v>
      </c>
      <c r="G286" s="43" t="s">
        <v>380</v>
      </c>
      <c r="H286" s="43">
        <v>60</v>
      </c>
      <c r="I286" s="43">
        <v>-49.571199999999997</v>
      </c>
      <c r="J286" s="28">
        <v>-4.4060000000000001E-7</v>
      </c>
      <c r="K286" s="43" t="s">
        <v>910</v>
      </c>
      <c r="L286" s="43" t="s">
        <v>65</v>
      </c>
      <c r="N286" s="43" t="s">
        <v>278</v>
      </c>
      <c r="O286" s="43">
        <v>151</v>
      </c>
      <c r="P286" s="43" t="s">
        <v>773</v>
      </c>
      <c r="Q286" s="43" t="s">
        <v>376</v>
      </c>
      <c r="R286" s="43" t="s">
        <v>774</v>
      </c>
      <c r="S286" s="43" t="s">
        <v>380</v>
      </c>
      <c r="T286" s="43">
        <v>10</v>
      </c>
      <c r="U286" s="43">
        <v>-49.814100000000003</v>
      </c>
      <c r="V286" s="28">
        <v>-4.4280000000000002E-7</v>
      </c>
      <c r="W286" s="43" t="s">
        <v>910</v>
      </c>
      <c r="X286" s="43" t="s">
        <v>65</v>
      </c>
    </row>
    <row r="287" spans="2:24" x14ac:dyDescent="0.2">
      <c r="B287" s="43" t="s">
        <v>278</v>
      </c>
      <c r="C287" s="43">
        <v>151</v>
      </c>
      <c r="D287" s="43" t="s">
        <v>773</v>
      </c>
      <c r="E287" s="43" t="s">
        <v>106</v>
      </c>
      <c r="F287" s="43" t="s">
        <v>775</v>
      </c>
      <c r="G287" s="43" t="s">
        <v>382</v>
      </c>
      <c r="H287" s="43">
        <v>60</v>
      </c>
      <c r="I287" s="43">
        <v>-51.241999999999997</v>
      </c>
      <c r="J287" s="28">
        <v>-4.5550000000000002E-7</v>
      </c>
      <c r="K287" s="43" t="s">
        <v>910</v>
      </c>
      <c r="L287" s="43" t="s">
        <v>65</v>
      </c>
      <c r="N287" s="43" t="s">
        <v>278</v>
      </c>
      <c r="O287" s="43">
        <v>151</v>
      </c>
      <c r="P287" s="43" t="s">
        <v>773</v>
      </c>
      <c r="Q287" s="43" t="s">
        <v>376</v>
      </c>
      <c r="R287" s="43" t="s">
        <v>775</v>
      </c>
      <c r="S287" s="43" t="s">
        <v>382</v>
      </c>
      <c r="T287" s="43">
        <v>10</v>
      </c>
      <c r="U287" s="43">
        <v>-51.001800000000003</v>
      </c>
      <c r="V287" s="28">
        <v>-4.5330000000000002E-7</v>
      </c>
      <c r="W287" s="43" t="s">
        <v>910</v>
      </c>
      <c r="X287" s="43" t="s">
        <v>65</v>
      </c>
    </row>
    <row r="288" spans="2:24" x14ac:dyDescent="0.2">
      <c r="B288" s="43" t="s">
        <v>278</v>
      </c>
      <c r="C288" s="43">
        <v>154</v>
      </c>
      <c r="D288" s="43" t="s">
        <v>776</v>
      </c>
      <c r="E288" s="43" t="s">
        <v>106</v>
      </c>
      <c r="F288" s="43" t="s">
        <v>777</v>
      </c>
      <c r="G288" s="43" t="s">
        <v>380</v>
      </c>
      <c r="H288" s="43">
        <v>60</v>
      </c>
      <c r="I288" s="43">
        <v>-72.485600000000005</v>
      </c>
      <c r="J288" s="28">
        <v>-4.8879999999999998E-7</v>
      </c>
      <c r="K288" s="43" t="s">
        <v>910</v>
      </c>
      <c r="L288" s="43" t="s">
        <v>65</v>
      </c>
      <c r="N288" s="43" t="s">
        <v>278</v>
      </c>
      <c r="O288" s="43">
        <v>154</v>
      </c>
      <c r="P288" s="43" t="s">
        <v>776</v>
      </c>
      <c r="Q288" s="43" t="s">
        <v>376</v>
      </c>
      <c r="R288" s="43" t="s">
        <v>777</v>
      </c>
      <c r="S288" s="43" t="s">
        <v>380</v>
      </c>
      <c r="T288" s="43">
        <v>10</v>
      </c>
      <c r="U288" s="43">
        <v>-72.8</v>
      </c>
      <c r="V288" s="28">
        <v>-4.9090000000000003E-7</v>
      </c>
      <c r="W288" s="43" t="s">
        <v>910</v>
      </c>
      <c r="X288" s="43" t="s">
        <v>65</v>
      </c>
    </row>
    <row r="289" spans="2:24" x14ac:dyDescent="0.2">
      <c r="B289" s="43" t="s">
        <v>278</v>
      </c>
      <c r="C289" s="43">
        <v>154</v>
      </c>
      <c r="D289" s="43" t="s">
        <v>776</v>
      </c>
      <c r="E289" s="43" t="s">
        <v>106</v>
      </c>
      <c r="F289" s="43" t="s">
        <v>778</v>
      </c>
      <c r="G289" s="43" t="s">
        <v>382</v>
      </c>
      <c r="H289" s="43">
        <v>60</v>
      </c>
      <c r="I289" s="43">
        <v>-57.598999999999997</v>
      </c>
      <c r="J289" s="28">
        <v>-3.8840000000000001E-7</v>
      </c>
      <c r="K289" s="43" t="s">
        <v>910</v>
      </c>
      <c r="L289" s="43" t="s">
        <v>65</v>
      </c>
      <c r="N289" s="43" t="s">
        <v>278</v>
      </c>
      <c r="O289" s="43">
        <v>154</v>
      </c>
      <c r="P289" s="43" t="s">
        <v>776</v>
      </c>
      <c r="Q289" s="43" t="s">
        <v>376</v>
      </c>
      <c r="R289" s="43" t="s">
        <v>778</v>
      </c>
      <c r="S289" s="43" t="s">
        <v>382</v>
      </c>
      <c r="T289" s="43">
        <v>10</v>
      </c>
      <c r="U289" s="43">
        <v>-57.279600000000002</v>
      </c>
      <c r="V289" s="28">
        <v>-3.8630000000000001E-7</v>
      </c>
      <c r="W289" s="43" t="s">
        <v>910</v>
      </c>
      <c r="X289" s="43" t="s">
        <v>65</v>
      </c>
    </row>
    <row r="290" spans="2:24" x14ac:dyDescent="0.2">
      <c r="B290" s="43" t="s">
        <v>278</v>
      </c>
      <c r="C290" s="43">
        <v>157</v>
      </c>
      <c r="D290" s="43" t="s">
        <v>779</v>
      </c>
      <c r="E290" s="43" t="s">
        <v>106</v>
      </c>
      <c r="F290" s="43" t="s">
        <v>780</v>
      </c>
      <c r="G290" s="43" t="s">
        <v>380</v>
      </c>
      <c r="H290" s="43">
        <v>60</v>
      </c>
      <c r="I290" s="43">
        <v>-57.215499999999999</v>
      </c>
      <c r="J290" s="28">
        <v>-4.0439999999999999E-7</v>
      </c>
      <c r="K290" s="43" t="s">
        <v>910</v>
      </c>
      <c r="L290" s="43" t="s">
        <v>65</v>
      </c>
      <c r="N290" s="43" t="s">
        <v>278</v>
      </c>
      <c r="O290" s="43">
        <v>157</v>
      </c>
      <c r="P290" s="43" t="s">
        <v>779</v>
      </c>
      <c r="Q290" s="43" t="s">
        <v>376</v>
      </c>
      <c r="R290" s="43" t="s">
        <v>780</v>
      </c>
      <c r="S290" s="43" t="s">
        <v>380</v>
      </c>
      <c r="T290" s="43">
        <v>10</v>
      </c>
      <c r="U290" s="43">
        <v>-57.522100000000002</v>
      </c>
      <c r="V290" s="28">
        <v>-4.066E-7</v>
      </c>
      <c r="W290" s="43" t="s">
        <v>910</v>
      </c>
      <c r="X290" s="43" t="s">
        <v>65</v>
      </c>
    </row>
    <row r="291" spans="2:24" x14ac:dyDescent="0.2">
      <c r="B291" s="43" t="s">
        <v>278</v>
      </c>
      <c r="C291" s="43">
        <v>157</v>
      </c>
      <c r="D291" s="43" t="s">
        <v>779</v>
      </c>
      <c r="E291" s="43" t="s">
        <v>106</v>
      </c>
      <c r="F291" s="43" t="s">
        <v>781</v>
      </c>
      <c r="G291" s="43" t="s">
        <v>382</v>
      </c>
      <c r="H291" s="43">
        <v>60</v>
      </c>
      <c r="I291" s="43">
        <v>-66.415999999999997</v>
      </c>
      <c r="J291" s="28">
        <v>-4.6940000000000001E-7</v>
      </c>
      <c r="K291" s="43" t="s">
        <v>910</v>
      </c>
      <c r="L291" s="43" t="s">
        <v>65</v>
      </c>
      <c r="N291" s="43" t="s">
        <v>278</v>
      </c>
      <c r="O291" s="43">
        <v>157</v>
      </c>
      <c r="P291" s="43" t="s">
        <v>779</v>
      </c>
      <c r="Q291" s="43" t="s">
        <v>376</v>
      </c>
      <c r="R291" s="43" t="s">
        <v>781</v>
      </c>
      <c r="S291" s="43" t="s">
        <v>382</v>
      </c>
      <c r="T291" s="43">
        <v>10</v>
      </c>
      <c r="U291" s="43">
        <v>-66.099199999999996</v>
      </c>
      <c r="V291" s="28">
        <v>-4.672E-7</v>
      </c>
      <c r="W291" s="43" t="s">
        <v>910</v>
      </c>
      <c r="X291" s="43" t="s">
        <v>65</v>
      </c>
    </row>
    <row r="292" spans="2:24" x14ac:dyDescent="0.2">
      <c r="B292" s="43" t="s">
        <v>278</v>
      </c>
      <c r="C292" s="43">
        <v>160</v>
      </c>
      <c r="D292" s="43" t="s">
        <v>782</v>
      </c>
      <c r="E292" s="43" t="s">
        <v>106</v>
      </c>
      <c r="F292" s="43" t="s">
        <v>783</v>
      </c>
      <c r="G292" s="43" t="s">
        <v>380</v>
      </c>
      <c r="H292" s="43">
        <v>60</v>
      </c>
      <c r="I292" s="43">
        <v>-57.315800000000003</v>
      </c>
      <c r="J292" s="28">
        <v>-4.0509999999999999E-7</v>
      </c>
      <c r="K292" s="43" t="s">
        <v>910</v>
      </c>
      <c r="L292" s="43" t="s">
        <v>65</v>
      </c>
      <c r="N292" s="43" t="s">
        <v>278</v>
      </c>
      <c r="O292" s="43">
        <v>160</v>
      </c>
      <c r="P292" s="43" t="s">
        <v>782</v>
      </c>
      <c r="Q292" s="43" t="s">
        <v>376</v>
      </c>
      <c r="R292" s="43" t="s">
        <v>783</v>
      </c>
      <c r="S292" s="43" t="s">
        <v>380</v>
      </c>
      <c r="T292" s="43">
        <v>10</v>
      </c>
      <c r="U292" s="43">
        <v>-57.6233</v>
      </c>
      <c r="V292" s="28">
        <v>-4.073E-7</v>
      </c>
      <c r="W292" s="43" t="s">
        <v>910</v>
      </c>
      <c r="X292" s="43" t="s">
        <v>65</v>
      </c>
    </row>
    <row r="293" spans="2:24" x14ac:dyDescent="0.2">
      <c r="B293" s="43" t="s">
        <v>278</v>
      </c>
      <c r="C293" s="43">
        <v>160</v>
      </c>
      <c r="D293" s="43" t="s">
        <v>782</v>
      </c>
      <c r="E293" s="43" t="s">
        <v>106</v>
      </c>
      <c r="F293" s="43" t="s">
        <v>784</v>
      </c>
      <c r="G293" s="43" t="s">
        <v>382</v>
      </c>
      <c r="H293" s="43">
        <v>60</v>
      </c>
      <c r="I293" s="43">
        <v>-66.211299999999994</v>
      </c>
      <c r="J293" s="28">
        <v>-4.6800000000000001E-7</v>
      </c>
      <c r="K293" s="43" t="s">
        <v>910</v>
      </c>
      <c r="L293" s="43" t="s">
        <v>65</v>
      </c>
      <c r="N293" s="43" t="s">
        <v>278</v>
      </c>
      <c r="O293" s="43">
        <v>160</v>
      </c>
      <c r="P293" s="43" t="s">
        <v>782</v>
      </c>
      <c r="Q293" s="43" t="s">
        <v>376</v>
      </c>
      <c r="R293" s="43" t="s">
        <v>784</v>
      </c>
      <c r="S293" s="43" t="s">
        <v>382</v>
      </c>
      <c r="T293" s="43">
        <v>10</v>
      </c>
      <c r="U293" s="43">
        <v>-65.892899999999997</v>
      </c>
      <c r="V293" s="28">
        <v>-4.6569999999999999E-7</v>
      </c>
      <c r="W293" s="43" t="s">
        <v>910</v>
      </c>
      <c r="X293" s="43" t="s">
        <v>65</v>
      </c>
    </row>
    <row r="294" spans="2:24" x14ac:dyDescent="0.2">
      <c r="B294" s="43" t="s">
        <v>278</v>
      </c>
      <c r="C294" s="43">
        <v>163</v>
      </c>
      <c r="D294" s="43" t="s">
        <v>785</v>
      </c>
      <c r="E294" s="43" t="s">
        <v>106</v>
      </c>
      <c r="F294" s="43" t="s">
        <v>786</v>
      </c>
      <c r="G294" s="43" t="s">
        <v>380</v>
      </c>
      <c r="H294" s="43">
        <v>60</v>
      </c>
      <c r="I294" s="43">
        <v>-71.901499999999999</v>
      </c>
      <c r="J294" s="28">
        <v>-4.8490000000000001E-7</v>
      </c>
      <c r="K294" s="43" t="s">
        <v>910</v>
      </c>
      <c r="L294" s="43" t="s">
        <v>65</v>
      </c>
      <c r="N294" s="43" t="s">
        <v>278</v>
      </c>
      <c r="O294" s="43">
        <v>163</v>
      </c>
      <c r="P294" s="43" t="s">
        <v>785</v>
      </c>
      <c r="Q294" s="43" t="s">
        <v>376</v>
      </c>
      <c r="R294" s="43" t="s">
        <v>786</v>
      </c>
      <c r="S294" s="43" t="s">
        <v>380</v>
      </c>
      <c r="T294" s="43">
        <v>10</v>
      </c>
      <c r="U294" s="43">
        <v>-72.217600000000004</v>
      </c>
      <c r="V294" s="28">
        <v>-4.8699999999999995E-7</v>
      </c>
      <c r="W294" s="43" t="s">
        <v>910</v>
      </c>
      <c r="X294" s="43" t="s">
        <v>65</v>
      </c>
    </row>
    <row r="295" spans="2:24" x14ac:dyDescent="0.2">
      <c r="B295" s="43" t="s">
        <v>278</v>
      </c>
      <c r="C295" s="43">
        <v>163</v>
      </c>
      <c r="D295" s="43" t="s">
        <v>785</v>
      </c>
      <c r="E295" s="43" t="s">
        <v>106</v>
      </c>
      <c r="F295" s="43" t="s">
        <v>787</v>
      </c>
      <c r="G295" s="43" t="s">
        <v>382</v>
      </c>
      <c r="H295" s="43">
        <v>60</v>
      </c>
      <c r="I295" s="43">
        <v>-57.197000000000003</v>
      </c>
      <c r="J295" s="28">
        <v>-3.8570000000000002E-7</v>
      </c>
      <c r="K295" s="43" t="s">
        <v>910</v>
      </c>
      <c r="L295" s="43" t="s">
        <v>65</v>
      </c>
      <c r="N295" s="43" t="s">
        <v>278</v>
      </c>
      <c r="O295" s="43">
        <v>163</v>
      </c>
      <c r="P295" s="43" t="s">
        <v>785</v>
      </c>
      <c r="Q295" s="43" t="s">
        <v>376</v>
      </c>
      <c r="R295" s="43" t="s">
        <v>787</v>
      </c>
      <c r="S295" s="43" t="s">
        <v>382</v>
      </c>
      <c r="T295" s="43">
        <v>10</v>
      </c>
      <c r="U295" s="43">
        <v>-56.876199999999997</v>
      </c>
      <c r="V295" s="28">
        <v>-3.8350000000000001E-7</v>
      </c>
      <c r="W295" s="43" t="s">
        <v>910</v>
      </c>
      <c r="X295" s="43" t="s">
        <v>65</v>
      </c>
    </row>
    <row r="296" spans="2:24" x14ac:dyDescent="0.2">
      <c r="B296" s="43" t="s">
        <v>278</v>
      </c>
      <c r="C296" s="43">
        <v>166</v>
      </c>
      <c r="D296" s="43" t="s">
        <v>788</v>
      </c>
      <c r="E296" s="43" t="s">
        <v>106</v>
      </c>
      <c r="F296" s="43" t="s">
        <v>789</v>
      </c>
      <c r="G296" s="43" t="s">
        <v>380</v>
      </c>
      <c r="H296" s="43">
        <v>60</v>
      </c>
      <c r="I296" s="43">
        <v>-42.323799999999999</v>
      </c>
      <c r="J296" s="28">
        <v>-3.7619999999999999E-7</v>
      </c>
      <c r="K296" s="43" t="s">
        <v>910</v>
      </c>
      <c r="L296" s="43" t="s">
        <v>65</v>
      </c>
      <c r="N296" s="43" t="s">
        <v>278</v>
      </c>
      <c r="O296" s="43">
        <v>166</v>
      </c>
      <c r="P296" s="43" t="s">
        <v>788</v>
      </c>
      <c r="Q296" s="43" t="s">
        <v>376</v>
      </c>
      <c r="R296" s="43" t="s">
        <v>789</v>
      </c>
      <c r="S296" s="43" t="s">
        <v>380</v>
      </c>
      <c r="T296" s="43">
        <v>10</v>
      </c>
      <c r="U296" s="43">
        <v>-42.567900000000002</v>
      </c>
      <c r="V296" s="28">
        <v>-3.784E-7</v>
      </c>
      <c r="W296" s="43" t="s">
        <v>910</v>
      </c>
      <c r="X296" s="43" t="s">
        <v>65</v>
      </c>
    </row>
    <row r="297" spans="2:24" x14ac:dyDescent="0.2">
      <c r="B297" s="43" t="s">
        <v>278</v>
      </c>
      <c r="C297" s="43">
        <v>166</v>
      </c>
      <c r="D297" s="43" t="s">
        <v>788</v>
      </c>
      <c r="E297" s="43" t="s">
        <v>106</v>
      </c>
      <c r="F297" s="43" t="s">
        <v>790</v>
      </c>
      <c r="G297" s="43" t="s">
        <v>382</v>
      </c>
      <c r="H297" s="43">
        <v>60</v>
      </c>
      <c r="I297" s="43">
        <v>-44.914999999999999</v>
      </c>
      <c r="J297" s="28">
        <v>-3.9919999999999997E-7</v>
      </c>
      <c r="K297" s="43" t="s">
        <v>910</v>
      </c>
      <c r="L297" s="43" t="s">
        <v>65</v>
      </c>
      <c r="N297" s="43" t="s">
        <v>278</v>
      </c>
      <c r="O297" s="43">
        <v>166</v>
      </c>
      <c r="P297" s="43" t="s">
        <v>788</v>
      </c>
      <c r="Q297" s="43" t="s">
        <v>376</v>
      </c>
      <c r="R297" s="43" t="s">
        <v>790</v>
      </c>
      <c r="S297" s="43" t="s">
        <v>382</v>
      </c>
      <c r="T297" s="43">
        <v>10</v>
      </c>
      <c r="U297" s="43">
        <v>-44.6676</v>
      </c>
      <c r="V297" s="28">
        <v>-3.9700000000000002E-7</v>
      </c>
      <c r="W297" s="43" t="s">
        <v>910</v>
      </c>
      <c r="X297" s="43" t="s">
        <v>65</v>
      </c>
    </row>
    <row r="298" spans="2:24" x14ac:dyDescent="0.2">
      <c r="B298" s="43" t="s">
        <v>278</v>
      </c>
      <c r="C298" s="43">
        <v>182</v>
      </c>
      <c r="D298" s="43" t="s">
        <v>791</v>
      </c>
      <c r="E298" s="43" t="s">
        <v>106</v>
      </c>
      <c r="F298" s="43" t="s">
        <v>792</v>
      </c>
      <c r="G298" s="43" t="s">
        <v>380</v>
      </c>
      <c r="H298" s="43">
        <v>60</v>
      </c>
      <c r="I298" s="43">
        <v>-47.838200000000001</v>
      </c>
      <c r="J298" s="28">
        <v>-4.904E-7</v>
      </c>
      <c r="K298" s="43" t="s">
        <v>910</v>
      </c>
      <c r="L298" s="43" t="s">
        <v>65</v>
      </c>
      <c r="N298" s="43" t="s">
        <v>278</v>
      </c>
      <c r="O298" s="43">
        <v>182</v>
      </c>
      <c r="P298" s="43" t="s">
        <v>791</v>
      </c>
      <c r="Q298" s="43" t="s">
        <v>376</v>
      </c>
      <c r="R298" s="43" t="s">
        <v>792</v>
      </c>
      <c r="S298" s="43" t="s">
        <v>380</v>
      </c>
      <c r="T298" s="43">
        <v>10</v>
      </c>
      <c r="U298" s="43">
        <v>-47.845599999999997</v>
      </c>
      <c r="V298" s="28">
        <v>-4.905E-7</v>
      </c>
      <c r="W298" s="43" t="s">
        <v>910</v>
      </c>
      <c r="X298" s="43" t="s">
        <v>65</v>
      </c>
    </row>
    <row r="299" spans="2:24" x14ac:dyDescent="0.2">
      <c r="B299" s="43" t="s">
        <v>278</v>
      </c>
      <c r="C299" s="43">
        <v>182</v>
      </c>
      <c r="D299" s="43" t="s">
        <v>791</v>
      </c>
      <c r="E299" s="43" t="s">
        <v>106</v>
      </c>
      <c r="F299" s="43" t="s">
        <v>793</v>
      </c>
      <c r="G299" s="43" t="s">
        <v>382</v>
      </c>
      <c r="H299" s="43">
        <v>60</v>
      </c>
      <c r="I299" s="43">
        <v>5.9416000000000002</v>
      </c>
      <c r="J299" s="28">
        <v>6.0909999999999994E-8</v>
      </c>
      <c r="K299" s="43" t="s">
        <v>910</v>
      </c>
      <c r="L299" s="43" t="s">
        <v>65</v>
      </c>
      <c r="N299" s="43" t="s">
        <v>278</v>
      </c>
      <c r="O299" s="43">
        <v>182</v>
      </c>
      <c r="P299" s="43" t="s">
        <v>791</v>
      </c>
      <c r="Q299" s="43" t="s">
        <v>376</v>
      </c>
      <c r="R299" s="43" t="s">
        <v>793</v>
      </c>
      <c r="S299" s="43" t="s">
        <v>382</v>
      </c>
      <c r="T299" s="43">
        <v>10</v>
      </c>
      <c r="U299" s="43">
        <v>5.9565000000000001</v>
      </c>
      <c r="V299" s="28">
        <v>6.1060000000000005E-8</v>
      </c>
      <c r="W299" s="43" t="s">
        <v>910</v>
      </c>
      <c r="X299" s="43" t="s">
        <v>65</v>
      </c>
    </row>
    <row r="300" spans="2:24" x14ac:dyDescent="0.2">
      <c r="B300" s="43" t="s">
        <v>278</v>
      </c>
      <c r="C300" s="43">
        <v>183</v>
      </c>
      <c r="D300" s="43" t="s">
        <v>794</v>
      </c>
      <c r="E300" s="43" t="s">
        <v>106</v>
      </c>
      <c r="F300" s="43" t="s">
        <v>795</v>
      </c>
      <c r="G300" s="43" t="s">
        <v>380</v>
      </c>
      <c r="H300" s="43">
        <v>60</v>
      </c>
      <c r="I300" s="43">
        <v>-56.241999999999997</v>
      </c>
      <c r="J300" s="28">
        <v>-4.9989999999999997E-7</v>
      </c>
      <c r="K300" s="43" t="s">
        <v>910</v>
      </c>
      <c r="L300" s="43" t="s">
        <v>65</v>
      </c>
      <c r="N300" s="43" t="s">
        <v>278</v>
      </c>
      <c r="O300" s="43">
        <v>183</v>
      </c>
      <c r="P300" s="43" t="s">
        <v>794</v>
      </c>
      <c r="Q300" s="43" t="s">
        <v>376</v>
      </c>
      <c r="R300" s="43" t="s">
        <v>795</v>
      </c>
      <c r="S300" s="43" t="s">
        <v>380</v>
      </c>
      <c r="T300" s="43">
        <v>10</v>
      </c>
      <c r="U300" s="43">
        <v>-56.245699999999999</v>
      </c>
      <c r="V300" s="28">
        <v>-4.9999999999999998E-7</v>
      </c>
      <c r="W300" s="43" t="s">
        <v>910</v>
      </c>
      <c r="X300" s="43" t="s">
        <v>65</v>
      </c>
    </row>
    <row r="301" spans="2:24" x14ac:dyDescent="0.2">
      <c r="B301" s="43" t="s">
        <v>278</v>
      </c>
      <c r="C301" s="43">
        <v>183</v>
      </c>
      <c r="D301" s="43" t="s">
        <v>794</v>
      </c>
      <c r="E301" s="43" t="s">
        <v>106</v>
      </c>
      <c r="F301" s="43" t="s">
        <v>796</v>
      </c>
      <c r="G301" s="43" t="s">
        <v>382</v>
      </c>
      <c r="H301" s="43">
        <v>60</v>
      </c>
      <c r="I301" s="43">
        <v>17.339400000000001</v>
      </c>
      <c r="J301" s="28">
        <v>1.5410000000000001E-7</v>
      </c>
      <c r="K301" s="43" t="s">
        <v>910</v>
      </c>
      <c r="L301" s="43" t="s">
        <v>65</v>
      </c>
      <c r="N301" s="43" t="s">
        <v>278</v>
      </c>
      <c r="O301" s="43">
        <v>183</v>
      </c>
      <c r="P301" s="43" t="s">
        <v>794</v>
      </c>
      <c r="Q301" s="43" t="s">
        <v>376</v>
      </c>
      <c r="R301" s="43" t="s">
        <v>796</v>
      </c>
      <c r="S301" s="43" t="s">
        <v>382</v>
      </c>
      <c r="T301" s="43">
        <v>10</v>
      </c>
      <c r="U301" s="43">
        <v>17.352</v>
      </c>
      <c r="V301" s="28">
        <v>1.5419999999999999E-7</v>
      </c>
      <c r="W301" s="43" t="s">
        <v>910</v>
      </c>
      <c r="X301" s="43" t="s">
        <v>65</v>
      </c>
    </row>
    <row r="302" spans="2:24" x14ac:dyDescent="0.2">
      <c r="B302" s="43" t="s">
        <v>278</v>
      </c>
      <c r="C302" s="43">
        <v>184</v>
      </c>
      <c r="D302" s="43" t="s">
        <v>794</v>
      </c>
      <c r="E302" s="43" t="s">
        <v>106</v>
      </c>
      <c r="F302" s="43" t="s">
        <v>797</v>
      </c>
      <c r="G302" s="43" t="s">
        <v>380</v>
      </c>
      <c r="H302" s="43">
        <v>60</v>
      </c>
      <c r="I302" s="43">
        <v>-48.287700000000001</v>
      </c>
      <c r="J302" s="28">
        <v>-4.0470000000000002E-7</v>
      </c>
      <c r="K302" s="43" t="s">
        <v>910</v>
      </c>
      <c r="L302" s="43" t="s">
        <v>65</v>
      </c>
      <c r="N302" s="43" t="s">
        <v>278</v>
      </c>
      <c r="O302" s="43">
        <v>184</v>
      </c>
      <c r="P302" s="43" t="s">
        <v>794</v>
      </c>
      <c r="Q302" s="43" t="s">
        <v>376</v>
      </c>
      <c r="R302" s="43" t="s">
        <v>797</v>
      </c>
      <c r="S302" s="43" t="s">
        <v>380</v>
      </c>
      <c r="T302" s="43">
        <v>10</v>
      </c>
      <c r="U302" s="43">
        <v>-48.294600000000003</v>
      </c>
      <c r="V302" s="28">
        <v>-4.0480000000000002E-7</v>
      </c>
      <c r="W302" s="43" t="s">
        <v>910</v>
      </c>
      <c r="X302" s="43" t="s">
        <v>65</v>
      </c>
    </row>
    <row r="303" spans="2:24" x14ac:dyDescent="0.2">
      <c r="B303" s="43" t="s">
        <v>278</v>
      </c>
      <c r="C303" s="43">
        <v>184</v>
      </c>
      <c r="D303" s="43" t="s">
        <v>794</v>
      </c>
      <c r="E303" s="43" t="s">
        <v>106</v>
      </c>
      <c r="F303" s="43" t="s">
        <v>798</v>
      </c>
      <c r="G303" s="43" t="s">
        <v>382</v>
      </c>
      <c r="H303" s="43">
        <v>60</v>
      </c>
      <c r="I303" s="43">
        <v>18.577500000000001</v>
      </c>
      <c r="J303" s="28">
        <v>1.557E-7</v>
      </c>
      <c r="K303" s="43" t="s">
        <v>910</v>
      </c>
      <c r="L303" s="43" t="s">
        <v>65</v>
      </c>
      <c r="N303" s="43" t="s">
        <v>278</v>
      </c>
      <c r="O303" s="43">
        <v>184</v>
      </c>
      <c r="P303" s="43" t="s">
        <v>794</v>
      </c>
      <c r="Q303" s="43" t="s">
        <v>376</v>
      </c>
      <c r="R303" s="43" t="s">
        <v>798</v>
      </c>
      <c r="S303" s="43" t="s">
        <v>382</v>
      </c>
      <c r="T303" s="43">
        <v>10</v>
      </c>
      <c r="U303" s="43">
        <v>18.5916</v>
      </c>
      <c r="V303" s="28">
        <v>1.5580000000000001E-7</v>
      </c>
      <c r="W303" s="43" t="s">
        <v>910</v>
      </c>
      <c r="X303" s="43" t="s">
        <v>65</v>
      </c>
    </row>
    <row r="304" spans="2:24" x14ac:dyDescent="0.2">
      <c r="B304" s="43" t="s">
        <v>278</v>
      </c>
      <c r="C304" s="43">
        <v>185</v>
      </c>
      <c r="D304" s="43" t="s">
        <v>794</v>
      </c>
      <c r="E304" s="43" t="s">
        <v>106</v>
      </c>
      <c r="F304" s="43" t="s">
        <v>799</v>
      </c>
      <c r="G304" s="43" t="s">
        <v>380</v>
      </c>
      <c r="H304" s="43">
        <v>60</v>
      </c>
      <c r="I304" s="43">
        <v>-47.253700000000002</v>
      </c>
      <c r="J304" s="28">
        <v>-4.2E-7</v>
      </c>
      <c r="K304" s="43" t="s">
        <v>910</v>
      </c>
      <c r="L304" s="43" t="s">
        <v>65</v>
      </c>
      <c r="N304" s="43" t="s">
        <v>278</v>
      </c>
      <c r="O304" s="43">
        <v>185</v>
      </c>
      <c r="P304" s="43" t="s">
        <v>794</v>
      </c>
      <c r="Q304" s="43" t="s">
        <v>376</v>
      </c>
      <c r="R304" s="43" t="s">
        <v>799</v>
      </c>
      <c r="S304" s="43" t="s">
        <v>380</v>
      </c>
      <c r="T304" s="43">
        <v>10</v>
      </c>
      <c r="U304" s="43">
        <v>-47.2605</v>
      </c>
      <c r="V304" s="28">
        <v>-4.2010000000000001E-7</v>
      </c>
      <c r="W304" s="43" t="s">
        <v>910</v>
      </c>
      <c r="X304" s="43" t="s">
        <v>65</v>
      </c>
    </row>
    <row r="305" spans="2:24" x14ac:dyDescent="0.2">
      <c r="B305" s="43" t="s">
        <v>278</v>
      </c>
      <c r="C305" s="43">
        <v>185</v>
      </c>
      <c r="D305" s="43" t="s">
        <v>794</v>
      </c>
      <c r="E305" s="43" t="s">
        <v>106</v>
      </c>
      <c r="F305" s="43" t="s">
        <v>800</v>
      </c>
      <c r="G305" s="43" t="s">
        <v>382</v>
      </c>
      <c r="H305" s="43">
        <v>60</v>
      </c>
      <c r="I305" s="43">
        <v>11.879300000000001</v>
      </c>
      <c r="J305" s="28">
        <v>1.0560000000000001E-7</v>
      </c>
      <c r="K305" s="43" t="s">
        <v>910</v>
      </c>
      <c r="L305" s="43" t="s">
        <v>65</v>
      </c>
      <c r="N305" s="43" t="s">
        <v>278</v>
      </c>
      <c r="O305" s="43">
        <v>185</v>
      </c>
      <c r="P305" s="43" t="s">
        <v>794</v>
      </c>
      <c r="Q305" s="43" t="s">
        <v>376</v>
      </c>
      <c r="R305" s="43" t="s">
        <v>800</v>
      </c>
      <c r="S305" s="43" t="s">
        <v>382</v>
      </c>
      <c r="T305" s="43">
        <v>10</v>
      </c>
      <c r="U305" s="43">
        <v>11.895200000000001</v>
      </c>
      <c r="V305" s="28">
        <v>1.057E-7</v>
      </c>
      <c r="W305" s="43" t="s">
        <v>910</v>
      </c>
      <c r="X305" s="43" t="s">
        <v>65</v>
      </c>
    </row>
    <row r="306" spans="2:24" x14ac:dyDescent="0.2">
      <c r="B306" s="43" t="s">
        <v>278</v>
      </c>
      <c r="C306" s="43">
        <v>186</v>
      </c>
      <c r="D306" s="43" t="s">
        <v>801</v>
      </c>
      <c r="E306" s="43" t="s">
        <v>106</v>
      </c>
      <c r="F306" s="43" t="s">
        <v>802</v>
      </c>
      <c r="G306" s="43" t="s">
        <v>380</v>
      </c>
      <c r="H306" s="43">
        <v>60</v>
      </c>
      <c r="I306" s="43">
        <v>-53.457599999999999</v>
      </c>
      <c r="J306" s="28">
        <v>-9.9999999999999995E-7</v>
      </c>
      <c r="K306" s="43" t="s">
        <v>910</v>
      </c>
      <c r="L306" s="43" t="s">
        <v>65</v>
      </c>
      <c r="N306" s="43" t="s">
        <v>278</v>
      </c>
      <c r="O306" s="43">
        <v>186</v>
      </c>
      <c r="P306" s="43" t="s">
        <v>801</v>
      </c>
      <c r="Q306" s="43" t="s">
        <v>376</v>
      </c>
      <c r="R306" s="43" t="s">
        <v>802</v>
      </c>
      <c r="S306" s="43" t="s">
        <v>380</v>
      </c>
      <c r="T306" s="43">
        <v>10</v>
      </c>
      <c r="U306" s="43">
        <v>-53.460700000000003</v>
      </c>
      <c r="V306" s="28">
        <v>-9.9999999999999995E-7</v>
      </c>
      <c r="W306" s="43" t="s">
        <v>910</v>
      </c>
      <c r="X306" s="43" t="s">
        <v>65</v>
      </c>
    </row>
    <row r="307" spans="2:24" x14ac:dyDescent="0.2">
      <c r="B307" s="43" t="s">
        <v>278</v>
      </c>
      <c r="C307" s="43">
        <v>186</v>
      </c>
      <c r="D307" s="43" t="s">
        <v>801</v>
      </c>
      <c r="E307" s="43" t="s">
        <v>106</v>
      </c>
      <c r="F307" s="43" t="s">
        <v>803</v>
      </c>
      <c r="G307" s="43" t="s">
        <v>382</v>
      </c>
      <c r="H307" s="43">
        <v>60</v>
      </c>
      <c r="I307" s="43">
        <v>11.1509</v>
      </c>
      <c r="J307" s="28">
        <v>1.143E-7</v>
      </c>
      <c r="K307" s="43" t="s">
        <v>910</v>
      </c>
      <c r="L307" s="43" t="s">
        <v>65</v>
      </c>
      <c r="N307" s="43" t="s">
        <v>278</v>
      </c>
      <c r="O307" s="43">
        <v>186</v>
      </c>
      <c r="P307" s="43" t="s">
        <v>801</v>
      </c>
      <c r="Q307" s="43" t="s">
        <v>376</v>
      </c>
      <c r="R307" s="43" t="s">
        <v>803</v>
      </c>
      <c r="S307" s="43" t="s">
        <v>382</v>
      </c>
      <c r="T307" s="43">
        <v>10</v>
      </c>
      <c r="U307" s="43">
        <v>11.163</v>
      </c>
      <c r="V307" s="28">
        <v>1.1440000000000001E-7</v>
      </c>
      <c r="W307" s="43" t="s">
        <v>910</v>
      </c>
      <c r="X307" s="43" t="s">
        <v>65</v>
      </c>
    </row>
    <row r="308" spans="2:24" x14ac:dyDescent="0.2">
      <c r="B308" s="43" t="s">
        <v>327</v>
      </c>
      <c r="C308" s="43">
        <v>43</v>
      </c>
      <c r="D308" s="43" t="s">
        <v>804</v>
      </c>
      <c r="E308" s="43" t="s">
        <v>106</v>
      </c>
      <c r="F308" s="43" t="s">
        <v>805</v>
      </c>
      <c r="G308" s="43" t="s">
        <v>380</v>
      </c>
      <c r="H308" s="43">
        <v>60</v>
      </c>
      <c r="I308" s="43">
        <v>-41.826999999999998</v>
      </c>
      <c r="J308" s="28">
        <v>-4.2879999999999998E-7</v>
      </c>
      <c r="K308" s="43" t="s">
        <v>910</v>
      </c>
      <c r="L308" s="43" t="s">
        <v>65</v>
      </c>
      <c r="N308" s="43" t="s">
        <v>327</v>
      </c>
      <c r="O308" s="43">
        <v>43</v>
      </c>
      <c r="P308" s="43" t="s">
        <v>804</v>
      </c>
      <c r="Q308" s="43" t="s">
        <v>376</v>
      </c>
      <c r="R308" s="43" t="s">
        <v>805</v>
      </c>
      <c r="S308" s="43" t="s">
        <v>380</v>
      </c>
      <c r="T308" s="43">
        <v>10</v>
      </c>
      <c r="U308" s="43">
        <v>-41.857700000000001</v>
      </c>
      <c r="V308" s="28">
        <v>-4.291E-7</v>
      </c>
      <c r="W308" s="43" t="s">
        <v>910</v>
      </c>
      <c r="X308" s="43" t="s">
        <v>65</v>
      </c>
    </row>
    <row r="309" spans="2:24" x14ac:dyDescent="0.2">
      <c r="B309" s="43" t="s">
        <v>327</v>
      </c>
      <c r="C309" s="43">
        <v>43</v>
      </c>
      <c r="D309" s="43" t="s">
        <v>804</v>
      </c>
      <c r="E309" s="43" t="s">
        <v>106</v>
      </c>
      <c r="F309" s="43" t="s">
        <v>806</v>
      </c>
      <c r="G309" s="43" t="s">
        <v>382</v>
      </c>
      <c r="H309" s="43">
        <v>60</v>
      </c>
      <c r="I309" s="43">
        <v>0.24299999999999999</v>
      </c>
      <c r="J309" s="28">
        <v>2.4910000000000002E-9</v>
      </c>
      <c r="K309" s="43" t="s">
        <v>910</v>
      </c>
      <c r="L309" s="43" t="s">
        <v>65</v>
      </c>
      <c r="N309" s="43" t="s">
        <v>327</v>
      </c>
      <c r="O309" s="43">
        <v>43</v>
      </c>
      <c r="P309" s="43" t="s">
        <v>804</v>
      </c>
      <c r="Q309" s="43" t="s">
        <v>376</v>
      </c>
      <c r="R309" s="43" t="s">
        <v>806</v>
      </c>
      <c r="S309" s="43" t="s">
        <v>382</v>
      </c>
      <c r="T309" s="43">
        <v>10</v>
      </c>
      <c r="U309" s="43">
        <v>0.26669999999999999</v>
      </c>
      <c r="V309" s="28">
        <v>2.7339999999999999E-9</v>
      </c>
      <c r="W309" s="43" t="s">
        <v>910</v>
      </c>
      <c r="X309" s="43" t="s">
        <v>65</v>
      </c>
    </row>
    <row r="310" spans="2:24" x14ac:dyDescent="0.2">
      <c r="B310" s="43" t="s">
        <v>327</v>
      </c>
      <c r="C310" s="43">
        <v>44</v>
      </c>
      <c r="D310" s="43" t="s">
        <v>807</v>
      </c>
      <c r="E310" s="43" t="s">
        <v>106</v>
      </c>
      <c r="F310" s="43" t="s">
        <v>808</v>
      </c>
      <c r="G310" s="43" t="s">
        <v>380</v>
      </c>
      <c r="H310" s="43">
        <v>60</v>
      </c>
      <c r="I310" s="43">
        <v>-49.554299999999998</v>
      </c>
      <c r="J310" s="28">
        <v>-4.4050000000000001E-7</v>
      </c>
      <c r="K310" s="43" t="s">
        <v>910</v>
      </c>
      <c r="L310" s="43" t="s">
        <v>65</v>
      </c>
      <c r="N310" s="43" t="s">
        <v>327</v>
      </c>
      <c r="O310" s="43">
        <v>44</v>
      </c>
      <c r="P310" s="43" t="s">
        <v>807</v>
      </c>
      <c r="Q310" s="43" t="s">
        <v>376</v>
      </c>
      <c r="R310" s="43" t="s">
        <v>808</v>
      </c>
      <c r="S310" s="43" t="s">
        <v>380</v>
      </c>
      <c r="T310" s="43">
        <v>10</v>
      </c>
      <c r="U310" s="43">
        <v>-49.588799999999999</v>
      </c>
      <c r="V310" s="28">
        <v>-4.4079999999999998E-7</v>
      </c>
      <c r="W310" s="43" t="s">
        <v>910</v>
      </c>
      <c r="X310" s="43" t="s">
        <v>65</v>
      </c>
    </row>
    <row r="311" spans="2:24" x14ac:dyDescent="0.2">
      <c r="B311" s="43" t="s">
        <v>327</v>
      </c>
      <c r="C311" s="43">
        <v>44</v>
      </c>
      <c r="D311" s="43" t="s">
        <v>807</v>
      </c>
      <c r="E311" s="43" t="s">
        <v>106</v>
      </c>
      <c r="F311" s="43" t="s">
        <v>809</v>
      </c>
      <c r="G311" s="43" t="s">
        <v>382</v>
      </c>
      <c r="H311" s="43">
        <v>60</v>
      </c>
      <c r="I311" s="43">
        <v>10.7646</v>
      </c>
      <c r="J311" s="28">
        <v>9.5679999999999994E-8</v>
      </c>
      <c r="K311" s="43" t="s">
        <v>910</v>
      </c>
      <c r="L311" s="43" t="s">
        <v>65</v>
      </c>
      <c r="N311" s="43" t="s">
        <v>327</v>
      </c>
      <c r="O311" s="43">
        <v>44</v>
      </c>
      <c r="P311" s="43" t="s">
        <v>807</v>
      </c>
      <c r="Q311" s="43" t="s">
        <v>376</v>
      </c>
      <c r="R311" s="43" t="s">
        <v>809</v>
      </c>
      <c r="S311" s="43" t="s">
        <v>382</v>
      </c>
      <c r="T311" s="43">
        <v>10</v>
      </c>
      <c r="U311" s="43">
        <v>10.790800000000001</v>
      </c>
      <c r="V311" s="28">
        <v>9.5920000000000001E-8</v>
      </c>
      <c r="W311" s="43" t="s">
        <v>910</v>
      </c>
      <c r="X311" s="43" t="s">
        <v>65</v>
      </c>
    </row>
    <row r="312" spans="2:24" x14ac:dyDescent="0.2">
      <c r="B312" s="43" t="s">
        <v>327</v>
      </c>
      <c r="C312" s="43">
        <v>45</v>
      </c>
      <c r="D312" s="43" t="s">
        <v>807</v>
      </c>
      <c r="E312" s="43" t="s">
        <v>106</v>
      </c>
      <c r="F312" s="43" t="s">
        <v>810</v>
      </c>
      <c r="G312" s="43" t="s">
        <v>380</v>
      </c>
      <c r="H312" s="43">
        <v>60</v>
      </c>
      <c r="I312" s="43">
        <v>-41.257800000000003</v>
      </c>
      <c r="J312" s="28">
        <v>-3.4579999999999999E-7</v>
      </c>
      <c r="K312" s="43" t="s">
        <v>910</v>
      </c>
      <c r="L312" s="43" t="s">
        <v>65</v>
      </c>
      <c r="N312" s="43" t="s">
        <v>327</v>
      </c>
      <c r="O312" s="43">
        <v>45</v>
      </c>
      <c r="P312" s="43" t="s">
        <v>807</v>
      </c>
      <c r="Q312" s="43" t="s">
        <v>376</v>
      </c>
      <c r="R312" s="43" t="s">
        <v>810</v>
      </c>
      <c r="S312" s="43" t="s">
        <v>380</v>
      </c>
      <c r="T312" s="43">
        <v>10</v>
      </c>
      <c r="U312" s="43">
        <v>-41.290900000000001</v>
      </c>
      <c r="V312" s="28">
        <v>-3.4610000000000001E-7</v>
      </c>
      <c r="W312" s="43" t="s">
        <v>910</v>
      </c>
      <c r="X312" s="43" t="s">
        <v>65</v>
      </c>
    </row>
    <row r="313" spans="2:24" x14ac:dyDescent="0.2">
      <c r="B313" s="43" t="s">
        <v>327</v>
      </c>
      <c r="C313" s="43">
        <v>45</v>
      </c>
      <c r="D313" s="43" t="s">
        <v>807</v>
      </c>
      <c r="E313" s="43" t="s">
        <v>106</v>
      </c>
      <c r="F313" s="43" t="s">
        <v>811</v>
      </c>
      <c r="G313" s="43" t="s">
        <v>382</v>
      </c>
      <c r="H313" s="43">
        <v>60</v>
      </c>
      <c r="I313" s="43">
        <v>11.577500000000001</v>
      </c>
      <c r="J313" s="28">
        <v>9.7030000000000003E-8</v>
      </c>
      <c r="K313" s="43" t="s">
        <v>910</v>
      </c>
      <c r="L313" s="43" t="s">
        <v>65</v>
      </c>
      <c r="N313" s="43" t="s">
        <v>327</v>
      </c>
      <c r="O313" s="43">
        <v>45</v>
      </c>
      <c r="P313" s="43" t="s">
        <v>807</v>
      </c>
      <c r="Q313" s="43" t="s">
        <v>376</v>
      </c>
      <c r="R313" s="43" t="s">
        <v>811</v>
      </c>
      <c r="S313" s="43" t="s">
        <v>382</v>
      </c>
      <c r="T313" s="43">
        <v>10</v>
      </c>
      <c r="U313" s="43">
        <v>11.6051</v>
      </c>
      <c r="V313" s="28">
        <v>9.7259999999999999E-8</v>
      </c>
      <c r="W313" s="43" t="s">
        <v>910</v>
      </c>
      <c r="X313" s="43" t="s">
        <v>65</v>
      </c>
    </row>
    <row r="314" spans="2:24" x14ac:dyDescent="0.2">
      <c r="B314" s="43" t="s">
        <v>327</v>
      </c>
      <c r="C314" s="43">
        <v>46</v>
      </c>
      <c r="D314" s="43" t="s">
        <v>807</v>
      </c>
      <c r="E314" s="43" t="s">
        <v>106</v>
      </c>
      <c r="F314" s="43" t="s">
        <v>812</v>
      </c>
      <c r="G314" s="43" t="s">
        <v>380</v>
      </c>
      <c r="H314" s="43">
        <v>60</v>
      </c>
      <c r="I314" s="43">
        <v>-40.537500000000001</v>
      </c>
      <c r="J314" s="28">
        <v>-3.6030000000000002E-7</v>
      </c>
      <c r="K314" s="43" t="s">
        <v>910</v>
      </c>
      <c r="L314" s="43" t="s">
        <v>65</v>
      </c>
      <c r="N314" s="43" t="s">
        <v>327</v>
      </c>
      <c r="O314" s="43">
        <v>46</v>
      </c>
      <c r="P314" s="43" t="s">
        <v>807</v>
      </c>
      <c r="Q314" s="43" t="s">
        <v>376</v>
      </c>
      <c r="R314" s="43" t="s">
        <v>812</v>
      </c>
      <c r="S314" s="43" t="s">
        <v>380</v>
      </c>
      <c r="T314" s="43">
        <v>10</v>
      </c>
      <c r="U314" s="43">
        <v>-40.570799999999998</v>
      </c>
      <c r="V314" s="28">
        <v>-3.6059999999999999E-7</v>
      </c>
      <c r="W314" s="43" t="s">
        <v>910</v>
      </c>
      <c r="X314" s="43" t="s">
        <v>65</v>
      </c>
    </row>
    <row r="315" spans="2:24" x14ac:dyDescent="0.2">
      <c r="B315" s="43" t="s">
        <v>327</v>
      </c>
      <c r="C315" s="43">
        <v>46</v>
      </c>
      <c r="D315" s="43" t="s">
        <v>807</v>
      </c>
      <c r="E315" s="43" t="s">
        <v>106</v>
      </c>
      <c r="F315" s="43" t="s">
        <v>813</v>
      </c>
      <c r="G315" s="43" t="s">
        <v>382</v>
      </c>
      <c r="H315" s="43">
        <v>60</v>
      </c>
      <c r="I315" s="43">
        <v>5.0069999999999997</v>
      </c>
      <c r="J315" s="28">
        <v>4.451E-8</v>
      </c>
      <c r="K315" s="43" t="s">
        <v>910</v>
      </c>
      <c r="L315" s="43" t="s">
        <v>65</v>
      </c>
      <c r="N315" s="43" t="s">
        <v>327</v>
      </c>
      <c r="O315" s="43">
        <v>46</v>
      </c>
      <c r="P315" s="43" t="s">
        <v>807</v>
      </c>
      <c r="Q315" s="43" t="s">
        <v>376</v>
      </c>
      <c r="R315" s="43" t="s">
        <v>813</v>
      </c>
      <c r="S315" s="43" t="s">
        <v>382</v>
      </c>
      <c r="T315" s="43">
        <v>10</v>
      </c>
      <c r="U315" s="43">
        <v>5.0369000000000002</v>
      </c>
      <c r="V315" s="28">
        <v>4.4770000000000003E-8</v>
      </c>
      <c r="W315" s="43" t="s">
        <v>910</v>
      </c>
      <c r="X315" s="43" t="s">
        <v>65</v>
      </c>
    </row>
    <row r="316" spans="2:24" x14ac:dyDescent="0.2">
      <c r="B316" s="43" t="s">
        <v>327</v>
      </c>
      <c r="C316" s="43">
        <v>47</v>
      </c>
      <c r="D316" s="43" t="s">
        <v>814</v>
      </c>
      <c r="E316" s="43" t="s">
        <v>106</v>
      </c>
      <c r="F316" s="43" t="s">
        <v>815</v>
      </c>
      <c r="G316" s="43" t="s">
        <v>380</v>
      </c>
      <c r="H316" s="43">
        <v>60</v>
      </c>
      <c r="I316" s="43">
        <v>-47.874099999999999</v>
      </c>
      <c r="J316" s="28">
        <v>-4.9080000000000003E-7</v>
      </c>
      <c r="K316" s="43" t="s">
        <v>910</v>
      </c>
      <c r="L316" s="43" t="s">
        <v>65</v>
      </c>
      <c r="N316" s="43" t="s">
        <v>327</v>
      </c>
      <c r="O316" s="43">
        <v>47</v>
      </c>
      <c r="P316" s="43" t="s">
        <v>814</v>
      </c>
      <c r="Q316" s="43" t="s">
        <v>376</v>
      </c>
      <c r="R316" s="43" t="s">
        <v>815</v>
      </c>
      <c r="S316" s="43" t="s">
        <v>380</v>
      </c>
      <c r="T316" s="43">
        <v>10</v>
      </c>
      <c r="U316" s="43">
        <v>-47.908799999999999</v>
      </c>
      <c r="V316" s="28">
        <v>-4.9110000000000005E-7</v>
      </c>
      <c r="W316" s="43" t="s">
        <v>910</v>
      </c>
      <c r="X316" s="43" t="s">
        <v>65</v>
      </c>
    </row>
    <row r="317" spans="2:24" x14ac:dyDescent="0.2">
      <c r="B317" s="43" t="s">
        <v>327</v>
      </c>
      <c r="C317" s="43">
        <v>47</v>
      </c>
      <c r="D317" s="43" t="s">
        <v>814</v>
      </c>
      <c r="E317" s="43" t="s">
        <v>106</v>
      </c>
      <c r="F317" s="43" t="s">
        <v>816</v>
      </c>
      <c r="G317" s="43" t="s">
        <v>382</v>
      </c>
      <c r="H317" s="43">
        <v>60</v>
      </c>
      <c r="I317" s="43">
        <v>6.0330000000000004</v>
      </c>
      <c r="J317" s="28">
        <v>6.1840000000000003E-8</v>
      </c>
      <c r="K317" s="43" t="s">
        <v>910</v>
      </c>
      <c r="L317" s="43" t="s">
        <v>65</v>
      </c>
      <c r="N317" s="43" t="s">
        <v>327</v>
      </c>
      <c r="O317" s="43">
        <v>47</v>
      </c>
      <c r="P317" s="43" t="s">
        <v>814</v>
      </c>
      <c r="Q317" s="43" t="s">
        <v>376</v>
      </c>
      <c r="R317" s="43" t="s">
        <v>816</v>
      </c>
      <c r="S317" s="43" t="s">
        <v>382</v>
      </c>
      <c r="T317" s="43">
        <v>10</v>
      </c>
      <c r="U317" s="43">
        <v>6.0602999999999998</v>
      </c>
      <c r="V317" s="28">
        <v>6.2130000000000001E-8</v>
      </c>
      <c r="W317" s="43" t="s">
        <v>910</v>
      </c>
      <c r="X317" s="43" t="s">
        <v>65</v>
      </c>
    </row>
    <row r="318" spans="2:24" x14ac:dyDescent="0.2">
      <c r="B318" s="43" t="s">
        <v>327</v>
      </c>
      <c r="C318" s="43">
        <v>25</v>
      </c>
      <c r="D318" s="43" t="s">
        <v>817</v>
      </c>
      <c r="E318" s="43" t="s">
        <v>106</v>
      </c>
      <c r="F318" s="43" t="s">
        <v>818</v>
      </c>
      <c r="G318" s="43" t="s">
        <v>380</v>
      </c>
      <c r="H318" s="43">
        <v>60</v>
      </c>
      <c r="I318" s="43">
        <v>-48.9803</v>
      </c>
      <c r="J318" s="28">
        <v>-4.6349999999999999E-7</v>
      </c>
      <c r="K318" s="43" t="s">
        <v>910</v>
      </c>
      <c r="L318" s="43" t="s">
        <v>65</v>
      </c>
      <c r="N318" s="43" t="s">
        <v>327</v>
      </c>
      <c r="O318" s="43">
        <v>25</v>
      </c>
      <c r="P318" s="43" t="s">
        <v>817</v>
      </c>
      <c r="Q318" s="43" t="s">
        <v>376</v>
      </c>
      <c r="R318" s="43" t="s">
        <v>818</v>
      </c>
      <c r="S318" s="43" t="s">
        <v>380</v>
      </c>
      <c r="T318" s="43">
        <v>10</v>
      </c>
      <c r="U318" s="43">
        <v>-49.156599999999997</v>
      </c>
      <c r="V318" s="28">
        <v>-4.651E-7</v>
      </c>
      <c r="W318" s="43" t="s">
        <v>910</v>
      </c>
      <c r="X318" s="43" t="s">
        <v>65</v>
      </c>
    </row>
    <row r="319" spans="2:24" x14ac:dyDescent="0.2">
      <c r="B319" s="43" t="s">
        <v>327</v>
      </c>
      <c r="C319" s="43">
        <v>25</v>
      </c>
      <c r="D319" s="43" t="s">
        <v>817</v>
      </c>
      <c r="E319" s="43" t="s">
        <v>106</v>
      </c>
      <c r="F319" s="43" t="s">
        <v>819</v>
      </c>
      <c r="G319" s="43" t="s">
        <v>382</v>
      </c>
      <c r="H319" s="43">
        <v>60</v>
      </c>
      <c r="I319" s="43">
        <v>-48.389000000000003</v>
      </c>
      <c r="J319" s="28">
        <v>-4.5789999999999999E-7</v>
      </c>
      <c r="K319" s="43" t="s">
        <v>910</v>
      </c>
      <c r="L319" s="43" t="s">
        <v>65</v>
      </c>
      <c r="N319" s="43" t="s">
        <v>327</v>
      </c>
      <c r="O319" s="43">
        <v>25</v>
      </c>
      <c r="P319" s="43" t="s">
        <v>817</v>
      </c>
      <c r="Q319" s="43" t="s">
        <v>376</v>
      </c>
      <c r="R319" s="43" t="s">
        <v>819</v>
      </c>
      <c r="S319" s="43" t="s">
        <v>382</v>
      </c>
      <c r="T319" s="43">
        <v>10</v>
      </c>
      <c r="U319" s="43">
        <v>-48.219200000000001</v>
      </c>
      <c r="V319" s="28">
        <v>-4.5629999999999998E-7</v>
      </c>
      <c r="W319" s="43" t="s">
        <v>910</v>
      </c>
      <c r="X319" s="43" t="s">
        <v>65</v>
      </c>
    </row>
    <row r="320" spans="2:24" x14ac:dyDescent="0.2">
      <c r="B320" s="43" t="s">
        <v>327</v>
      </c>
      <c r="C320" s="43">
        <v>28</v>
      </c>
      <c r="D320" s="43" t="s">
        <v>820</v>
      </c>
      <c r="E320" s="43" t="s">
        <v>106</v>
      </c>
      <c r="F320" s="43" t="s">
        <v>821</v>
      </c>
      <c r="G320" s="43" t="s">
        <v>380</v>
      </c>
      <c r="H320" s="43">
        <v>60</v>
      </c>
      <c r="I320" s="43">
        <v>-57.049500000000002</v>
      </c>
      <c r="J320" s="28">
        <v>-3.847E-7</v>
      </c>
      <c r="K320" s="43" t="s">
        <v>910</v>
      </c>
      <c r="L320" s="43" t="s">
        <v>65</v>
      </c>
      <c r="N320" s="43" t="s">
        <v>327</v>
      </c>
      <c r="O320" s="43">
        <v>28</v>
      </c>
      <c r="P320" s="43" t="s">
        <v>820</v>
      </c>
      <c r="Q320" s="43" t="s">
        <v>376</v>
      </c>
      <c r="R320" s="43" t="s">
        <v>821</v>
      </c>
      <c r="S320" s="43" t="s">
        <v>380</v>
      </c>
      <c r="T320" s="43">
        <v>10</v>
      </c>
      <c r="U320" s="43">
        <v>-57.287799999999997</v>
      </c>
      <c r="V320" s="28">
        <v>-3.8630000000000001E-7</v>
      </c>
      <c r="W320" s="43" t="s">
        <v>910</v>
      </c>
      <c r="X320" s="43" t="s">
        <v>65</v>
      </c>
    </row>
    <row r="321" spans="2:24" x14ac:dyDescent="0.2">
      <c r="B321" s="43" t="s">
        <v>327</v>
      </c>
      <c r="C321" s="43">
        <v>28</v>
      </c>
      <c r="D321" s="43" t="s">
        <v>820</v>
      </c>
      <c r="E321" s="43" t="s">
        <v>106</v>
      </c>
      <c r="F321" s="43" t="s">
        <v>822</v>
      </c>
      <c r="G321" s="43" t="s">
        <v>382</v>
      </c>
      <c r="H321" s="43">
        <v>60</v>
      </c>
      <c r="I321" s="43">
        <v>-73.377399999999994</v>
      </c>
      <c r="J321" s="28">
        <v>-4.9480000000000001E-7</v>
      </c>
      <c r="K321" s="43" t="s">
        <v>910</v>
      </c>
      <c r="L321" s="43" t="s">
        <v>65</v>
      </c>
      <c r="N321" s="43" t="s">
        <v>327</v>
      </c>
      <c r="O321" s="43">
        <v>28</v>
      </c>
      <c r="P321" s="43" t="s">
        <v>820</v>
      </c>
      <c r="Q321" s="43" t="s">
        <v>376</v>
      </c>
      <c r="R321" s="43" t="s">
        <v>822</v>
      </c>
      <c r="S321" s="43" t="s">
        <v>382</v>
      </c>
      <c r="T321" s="43">
        <v>10</v>
      </c>
      <c r="U321" s="43">
        <v>-73.145799999999994</v>
      </c>
      <c r="V321" s="28">
        <v>-4.932E-7</v>
      </c>
      <c r="W321" s="43" t="s">
        <v>910</v>
      </c>
      <c r="X321" s="43" t="s">
        <v>65</v>
      </c>
    </row>
    <row r="322" spans="2:24" x14ac:dyDescent="0.2">
      <c r="B322" s="43" t="s">
        <v>327</v>
      </c>
      <c r="C322" s="43">
        <v>31</v>
      </c>
      <c r="D322" s="43" t="s">
        <v>823</v>
      </c>
      <c r="E322" s="43" t="s">
        <v>106</v>
      </c>
      <c r="F322" s="43" t="s">
        <v>824</v>
      </c>
      <c r="G322" s="43" t="s">
        <v>380</v>
      </c>
      <c r="H322" s="43">
        <v>60</v>
      </c>
      <c r="I322" s="43">
        <v>-64.273799999999994</v>
      </c>
      <c r="J322" s="28">
        <v>-4.5429999999999999E-7</v>
      </c>
      <c r="K322" s="43" t="s">
        <v>910</v>
      </c>
      <c r="L322" s="43" t="s">
        <v>65</v>
      </c>
      <c r="N322" s="43" t="s">
        <v>327</v>
      </c>
      <c r="O322" s="43">
        <v>31</v>
      </c>
      <c r="P322" s="43" t="s">
        <v>823</v>
      </c>
      <c r="Q322" s="43" t="s">
        <v>376</v>
      </c>
      <c r="R322" s="43" t="s">
        <v>824</v>
      </c>
      <c r="S322" s="43" t="s">
        <v>380</v>
      </c>
      <c r="T322" s="43">
        <v>10</v>
      </c>
      <c r="U322" s="43">
        <v>-64.510999999999996</v>
      </c>
      <c r="V322" s="28">
        <v>-4.5600000000000001E-7</v>
      </c>
      <c r="W322" s="43" t="s">
        <v>910</v>
      </c>
      <c r="X322" s="43" t="s">
        <v>65</v>
      </c>
    </row>
    <row r="323" spans="2:24" x14ac:dyDescent="0.2">
      <c r="B323" s="43" t="s">
        <v>327</v>
      </c>
      <c r="C323" s="43">
        <v>31</v>
      </c>
      <c r="D323" s="43" t="s">
        <v>823</v>
      </c>
      <c r="E323" s="43" t="s">
        <v>106</v>
      </c>
      <c r="F323" s="43" t="s">
        <v>825</v>
      </c>
      <c r="G323" s="43" t="s">
        <v>382</v>
      </c>
      <c r="H323" s="43">
        <v>60</v>
      </c>
      <c r="I323" s="43">
        <v>-58.3108</v>
      </c>
      <c r="J323" s="28">
        <v>-4.122E-7</v>
      </c>
      <c r="K323" s="43" t="s">
        <v>910</v>
      </c>
      <c r="L323" s="43" t="s">
        <v>65</v>
      </c>
      <c r="N323" s="43" t="s">
        <v>327</v>
      </c>
      <c r="O323" s="43">
        <v>31</v>
      </c>
      <c r="P323" s="43" t="s">
        <v>823</v>
      </c>
      <c r="Q323" s="43" t="s">
        <v>376</v>
      </c>
      <c r="R323" s="43" t="s">
        <v>825</v>
      </c>
      <c r="S323" s="43" t="s">
        <v>382</v>
      </c>
      <c r="T323" s="43">
        <v>10</v>
      </c>
      <c r="U323" s="43">
        <v>-58.079500000000003</v>
      </c>
      <c r="V323" s="28">
        <v>-4.1049999999999998E-7</v>
      </c>
      <c r="W323" s="43" t="s">
        <v>910</v>
      </c>
      <c r="X323" s="43" t="s">
        <v>65</v>
      </c>
    </row>
    <row r="324" spans="2:24" x14ac:dyDescent="0.2">
      <c r="B324" s="43" t="s">
        <v>327</v>
      </c>
      <c r="C324" s="43">
        <v>34</v>
      </c>
      <c r="D324" s="43" t="s">
        <v>826</v>
      </c>
      <c r="E324" s="43" t="s">
        <v>106</v>
      </c>
      <c r="F324" s="43" t="s">
        <v>827</v>
      </c>
      <c r="G324" s="43" t="s">
        <v>380</v>
      </c>
      <c r="H324" s="43">
        <v>60</v>
      </c>
      <c r="I324" s="43">
        <v>-64.092200000000005</v>
      </c>
      <c r="J324" s="28">
        <v>-4.5299999999999999E-7</v>
      </c>
      <c r="K324" s="43" t="s">
        <v>910</v>
      </c>
      <c r="L324" s="43" t="s">
        <v>65</v>
      </c>
      <c r="N324" s="43" t="s">
        <v>327</v>
      </c>
      <c r="O324" s="43">
        <v>34</v>
      </c>
      <c r="P324" s="43" t="s">
        <v>826</v>
      </c>
      <c r="Q324" s="43" t="s">
        <v>376</v>
      </c>
      <c r="R324" s="43" t="s">
        <v>827</v>
      </c>
      <c r="S324" s="43" t="s">
        <v>380</v>
      </c>
      <c r="T324" s="43">
        <v>10</v>
      </c>
      <c r="U324" s="43">
        <v>-64.329599999999999</v>
      </c>
      <c r="V324" s="28">
        <v>-4.5470000000000002E-7</v>
      </c>
      <c r="W324" s="43" t="s">
        <v>910</v>
      </c>
      <c r="X324" s="43" t="s">
        <v>65</v>
      </c>
    </row>
    <row r="325" spans="2:24" x14ac:dyDescent="0.2">
      <c r="B325" s="43" t="s">
        <v>327</v>
      </c>
      <c r="C325" s="43">
        <v>34</v>
      </c>
      <c r="D325" s="43" t="s">
        <v>826</v>
      </c>
      <c r="E325" s="43" t="s">
        <v>106</v>
      </c>
      <c r="F325" s="43" t="s">
        <v>828</v>
      </c>
      <c r="G325" s="43" t="s">
        <v>382</v>
      </c>
      <c r="H325" s="43">
        <v>60</v>
      </c>
      <c r="I325" s="43">
        <v>-58.47</v>
      </c>
      <c r="J325" s="28">
        <v>-4.1329999999999998E-7</v>
      </c>
      <c r="K325" s="43" t="s">
        <v>910</v>
      </c>
      <c r="L325" s="43" t="s">
        <v>65</v>
      </c>
      <c r="N325" s="43" t="s">
        <v>327</v>
      </c>
      <c r="O325" s="43">
        <v>34</v>
      </c>
      <c r="P325" s="43" t="s">
        <v>826</v>
      </c>
      <c r="Q325" s="43" t="s">
        <v>376</v>
      </c>
      <c r="R325" s="43" t="s">
        <v>828</v>
      </c>
      <c r="S325" s="43" t="s">
        <v>382</v>
      </c>
      <c r="T325" s="43">
        <v>10</v>
      </c>
      <c r="U325" s="43">
        <v>-58.238399999999999</v>
      </c>
      <c r="V325" s="28">
        <v>-4.1160000000000001E-7</v>
      </c>
      <c r="W325" s="43" t="s">
        <v>910</v>
      </c>
      <c r="X325" s="43" t="s">
        <v>65</v>
      </c>
    </row>
    <row r="326" spans="2:24" x14ac:dyDescent="0.2">
      <c r="B326" s="43" t="s">
        <v>327</v>
      </c>
      <c r="C326" s="43">
        <v>37</v>
      </c>
      <c r="D326" s="43" t="s">
        <v>829</v>
      </c>
      <c r="E326" s="43" t="s">
        <v>106</v>
      </c>
      <c r="F326" s="43" t="s">
        <v>830</v>
      </c>
      <c r="G326" s="43" t="s">
        <v>380</v>
      </c>
      <c r="H326" s="43">
        <v>60</v>
      </c>
      <c r="I326" s="43">
        <v>-56.634500000000003</v>
      </c>
      <c r="J326" s="28">
        <v>-3.819E-7</v>
      </c>
      <c r="K326" s="43" t="s">
        <v>910</v>
      </c>
      <c r="L326" s="43" t="s">
        <v>65</v>
      </c>
      <c r="N326" s="43" t="s">
        <v>327</v>
      </c>
      <c r="O326" s="43">
        <v>37</v>
      </c>
      <c r="P326" s="43" t="s">
        <v>829</v>
      </c>
      <c r="Q326" s="43" t="s">
        <v>376</v>
      </c>
      <c r="R326" s="43" t="s">
        <v>830</v>
      </c>
      <c r="S326" s="43" t="s">
        <v>380</v>
      </c>
      <c r="T326" s="43">
        <v>10</v>
      </c>
      <c r="U326" s="43">
        <v>-56.874899999999997</v>
      </c>
      <c r="V326" s="28">
        <v>-3.8350000000000001E-7</v>
      </c>
      <c r="W326" s="43" t="s">
        <v>910</v>
      </c>
      <c r="X326" s="43" t="s">
        <v>65</v>
      </c>
    </row>
    <row r="327" spans="2:24" x14ac:dyDescent="0.2">
      <c r="B327" s="43" t="s">
        <v>327</v>
      </c>
      <c r="C327" s="43">
        <v>37</v>
      </c>
      <c r="D327" s="43" t="s">
        <v>829</v>
      </c>
      <c r="E327" s="43" t="s">
        <v>106</v>
      </c>
      <c r="F327" s="43" t="s">
        <v>831</v>
      </c>
      <c r="G327" s="43" t="s">
        <v>382</v>
      </c>
      <c r="H327" s="43">
        <v>60</v>
      </c>
      <c r="I327" s="43">
        <v>-73.08</v>
      </c>
      <c r="J327" s="28">
        <v>-4.9279999999999997E-7</v>
      </c>
      <c r="K327" s="43" t="s">
        <v>910</v>
      </c>
      <c r="L327" s="43" t="s">
        <v>65</v>
      </c>
      <c r="N327" s="43" t="s">
        <v>327</v>
      </c>
      <c r="O327" s="43">
        <v>37</v>
      </c>
      <c r="P327" s="43" t="s">
        <v>829</v>
      </c>
      <c r="Q327" s="43" t="s">
        <v>376</v>
      </c>
      <c r="R327" s="43" t="s">
        <v>831</v>
      </c>
      <c r="S327" s="43" t="s">
        <v>382</v>
      </c>
      <c r="T327" s="43">
        <v>10</v>
      </c>
      <c r="U327" s="43">
        <v>-72.846699999999998</v>
      </c>
      <c r="V327" s="28">
        <v>-4.9119999999999995E-7</v>
      </c>
      <c r="W327" s="43" t="s">
        <v>910</v>
      </c>
      <c r="X327" s="43" t="s">
        <v>65</v>
      </c>
    </row>
    <row r="328" spans="2:24" x14ac:dyDescent="0.2">
      <c r="B328" s="43" t="s">
        <v>327</v>
      </c>
      <c r="C328" s="43">
        <v>40</v>
      </c>
      <c r="D328" s="43" t="s">
        <v>832</v>
      </c>
      <c r="E328" s="43" t="s">
        <v>106</v>
      </c>
      <c r="F328" s="43" t="s">
        <v>833</v>
      </c>
      <c r="G328" s="43" t="s">
        <v>380</v>
      </c>
      <c r="H328" s="43">
        <v>60</v>
      </c>
      <c r="I328" s="43">
        <v>-43.795999999999999</v>
      </c>
      <c r="J328" s="28">
        <v>-4.144E-7</v>
      </c>
      <c r="K328" s="43" t="s">
        <v>910</v>
      </c>
      <c r="L328" s="43" t="s">
        <v>65</v>
      </c>
      <c r="N328" s="43" t="s">
        <v>327</v>
      </c>
      <c r="O328" s="43">
        <v>40</v>
      </c>
      <c r="P328" s="43" t="s">
        <v>832</v>
      </c>
      <c r="Q328" s="43" t="s">
        <v>376</v>
      </c>
      <c r="R328" s="43" t="s">
        <v>833</v>
      </c>
      <c r="S328" s="43" t="s">
        <v>380</v>
      </c>
      <c r="T328" s="43">
        <v>10</v>
      </c>
      <c r="U328" s="43">
        <v>-43.968200000000003</v>
      </c>
      <c r="V328" s="28">
        <v>-4.1600000000000002E-7</v>
      </c>
      <c r="W328" s="43" t="s">
        <v>910</v>
      </c>
      <c r="X328" s="43" t="s">
        <v>65</v>
      </c>
    </row>
    <row r="329" spans="2:24" x14ac:dyDescent="0.2">
      <c r="B329" s="43" t="s">
        <v>327</v>
      </c>
      <c r="C329" s="43">
        <v>40</v>
      </c>
      <c r="D329" s="43" t="s">
        <v>832</v>
      </c>
      <c r="E329" s="43" t="s">
        <v>106</v>
      </c>
      <c r="F329" s="43" t="s">
        <v>834</v>
      </c>
      <c r="G329" s="43" t="s">
        <v>382</v>
      </c>
      <c r="H329" s="43">
        <v>60</v>
      </c>
      <c r="I329" s="43">
        <v>-42.768099999999997</v>
      </c>
      <c r="J329" s="28">
        <v>-4.0470000000000002E-7</v>
      </c>
      <c r="K329" s="43" t="s">
        <v>910</v>
      </c>
      <c r="L329" s="43" t="s">
        <v>65</v>
      </c>
      <c r="N329" s="43" t="s">
        <v>327</v>
      </c>
      <c r="O329" s="43">
        <v>40</v>
      </c>
      <c r="P329" s="43" t="s">
        <v>832</v>
      </c>
      <c r="Q329" s="43" t="s">
        <v>376</v>
      </c>
      <c r="R329" s="43" t="s">
        <v>834</v>
      </c>
      <c r="S329" s="43" t="s">
        <v>382</v>
      </c>
      <c r="T329" s="43">
        <v>10</v>
      </c>
      <c r="U329" s="43">
        <v>-42.589799999999997</v>
      </c>
      <c r="V329" s="28">
        <v>-4.03E-7</v>
      </c>
      <c r="W329" s="43" t="s">
        <v>910</v>
      </c>
      <c r="X329" s="43" t="s">
        <v>65</v>
      </c>
    </row>
    <row r="330" spans="2:24" x14ac:dyDescent="0.2">
      <c r="B330" s="43" t="s">
        <v>327</v>
      </c>
      <c r="C330" s="43">
        <v>48</v>
      </c>
      <c r="D330" s="43" t="s">
        <v>835</v>
      </c>
      <c r="E330" s="43" t="s">
        <v>106</v>
      </c>
      <c r="F330" s="43" t="s">
        <v>836</v>
      </c>
      <c r="G330" s="43" t="s">
        <v>380</v>
      </c>
      <c r="H330" s="43">
        <v>60</v>
      </c>
      <c r="I330" s="43">
        <v>-58.386099999999999</v>
      </c>
      <c r="J330" s="28">
        <v>-4.3589999999999998E-7</v>
      </c>
      <c r="K330" s="43" t="s">
        <v>910</v>
      </c>
      <c r="L330" s="43" t="s">
        <v>65</v>
      </c>
      <c r="N330" s="43" t="s">
        <v>327</v>
      </c>
      <c r="O330" s="43">
        <v>48</v>
      </c>
      <c r="P330" s="43" t="s">
        <v>835</v>
      </c>
      <c r="Q330" s="43" t="s">
        <v>376</v>
      </c>
      <c r="R330" s="43" t="s">
        <v>836</v>
      </c>
      <c r="S330" s="43" t="s">
        <v>380</v>
      </c>
      <c r="T330" s="43">
        <v>10</v>
      </c>
      <c r="U330" s="43">
        <v>-58.426299999999998</v>
      </c>
      <c r="V330" s="28">
        <v>-4.362E-7</v>
      </c>
      <c r="W330" s="43" t="s">
        <v>910</v>
      </c>
      <c r="X330" s="43" t="s">
        <v>65</v>
      </c>
    </row>
    <row r="331" spans="2:24" x14ac:dyDescent="0.2">
      <c r="B331" s="43" t="s">
        <v>327</v>
      </c>
      <c r="C331" s="43">
        <v>48</v>
      </c>
      <c r="D331" s="43" t="s">
        <v>835</v>
      </c>
      <c r="E331" s="43" t="s">
        <v>106</v>
      </c>
      <c r="F331" s="43" t="s">
        <v>837</v>
      </c>
      <c r="G331" s="43" t="s">
        <v>382</v>
      </c>
      <c r="H331" s="43">
        <v>60</v>
      </c>
      <c r="I331" s="43">
        <v>10.9842</v>
      </c>
      <c r="J331" s="28">
        <v>8.2020000000000003E-8</v>
      </c>
      <c r="K331" s="43" t="s">
        <v>910</v>
      </c>
      <c r="L331" s="43" t="s">
        <v>65</v>
      </c>
      <c r="N331" s="43" t="s">
        <v>327</v>
      </c>
      <c r="O331" s="43">
        <v>48</v>
      </c>
      <c r="P331" s="43" t="s">
        <v>835</v>
      </c>
      <c r="Q331" s="43" t="s">
        <v>376</v>
      </c>
      <c r="R331" s="43" t="s">
        <v>837</v>
      </c>
      <c r="S331" s="43" t="s">
        <v>382</v>
      </c>
      <c r="T331" s="43">
        <v>10</v>
      </c>
      <c r="U331" s="43">
        <v>11.019600000000001</v>
      </c>
      <c r="V331" s="28">
        <v>8.2280000000000006E-8</v>
      </c>
      <c r="W331" s="43" t="s">
        <v>910</v>
      </c>
      <c r="X331" s="43" t="s">
        <v>65</v>
      </c>
    </row>
    <row r="332" spans="2:24" x14ac:dyDescent="0.2">
      <c r="B332" s="43" t="s">
        <v>327</v>
      </c>
      <c r="C332" s="43">
        <v>49</v>
      </c>
      <c r="D332" s="43" t="s">
        <v>838</v>
      </c>
      <c r="E332" s="43" t="s">
        <v>106</v>
      </c>
      <c r="F332" s="43" t="s">
        <v>839</v>
      </c>
      <c r="G332" s="43" t="s">
        <v>380</v>
      </c>
      <c r="H332" s="43">
        <v>60</v>
      </c>
      <c r="I332" s="43">
        <v>-48.528599999999997</v>
      </c>
      <c r="J332" s="28">
        <v>-3.6230000000000001E-7</v>
      </c>
      <c r="K332" s="43" t="s">
        <v>910</v>
      </c>
      <c r="L332" s="43" t="s">
        <v>65</v>
      </c>
      <c r="N332" s="43" t="s">
        <v>327</v>
      </c>
      <c r="O332" s="43">
        <v>49</v>
      </c>
      <c r="P332" s="43" t="s">
        <v>838</v>
      </c>
      <c r="Q332" s="43" t="s">
        <v>376</v>
      </c>
      <c r="R332" s="43" t="s">
        <v>839</v>
      </c>
      <c r="S332" s="43" t="s">
        <v>380</v>
      </c>
      <c r="T332" s="43">
        <v>10</v>
      </c>
      <c r="U332" s="43">
        <v>-48.563600000000001</v>
      </c>
      <c r="V332" s="28">
        <v>-3.6259999999999998E-7</v>
      </c>
      <c r="W332" s="43" t="s">
        <v>910</v>
      </c>
      <c r="X332" s="43" t="s">
        <v>65</v>
      </c>
    </row>
    <row r="333" spans="2:24" x14ac:dyDescent="0.2">
      <c r="B333" s="43" t="s">
        <v>327</v>
      </c>
      <c r="C333" s="43">
        <v>49</v>
      </c>
      <c r="D333" s="43" t="s">
        <v>838</v>
      </c>
      <c r="E333" s="43" t="s">
        <v>106</v>
      </c>
      <c r="F333" s="43" t="s">
        <v>840</v>
      </c>
      <c r="G333" s="43" t="s">
        <v>382</v>
      </c>
      <c r="H333" s="43">
        <v>60</v>
      </c>
      <c r="I333" s="43">
        <v>2.8841999999999999</v>
      </c>
      <c r="J333" s="28">
        <v>2.154E-8</v>
      </c>
      <c r="K333" s="43" t="s">
        <v>910</v>
      </c>
      <c r="L333" s="43" t="s">
        <v>65</v>
      </c>
      <c r="N333" s="43" t="s">
        <v>327</v>
      </c>
      <c r="O333" s="43">
        <v>49</v>
      </c>
      <c r="P333" s="43" t="s">
        <v>838</v>
      </c>
      <c r="Q333" s="43" t="s">
        <v>376</v>
      </c>
      <c r="R333" s="43" t="s">
        <v>840</v>
      </c>
      <c r="S333" s="43" t="s">
        <v>382</v>
      </c>
      <c r="T333" s="43">
        <v>10</v>
      </c>
      <c r="U333" s="43">
        <v>2.9213</v>
      </c>
      <c r="V333" s="28">
        <v>2.1810000000000001E-8</v>
      </c>
      <c r="W333" s="43" t="s">
        <v>910</v>
      </c>
      <c r="X333" s="43" t="s">
        <v>65</v>
      </c>
    </row>
    <row r="334" spans="2:24" x14ac:dyDescent="0.2">
      <c r="B334" s="43" t="s">
        <v>327</v>
      </c>
      <c r="C334" s="43">
        <v>50</v>
      </c>
      <c r="D334" s="43" t="s">
        <v>838</v>
      </c>
      <c r="E334" s="43" t="s">
        <v>106</v>
      </c>
      <c r="F334" s="43" t="s">
        <v>841</v>
      </c>
      <c r="G334" s="43" t="s">
        <v>380</v>
      </c>
      <c r="H334" s="43">
        <v>60</v>
      </c>
      <c r="I334" s="43">
        <v>-57.579700000000003</v>
      </c>
      <c r="J334" s="28">
        <v>-4.545E-7</v>
      </c>
      <c r="K334" s="43" t="s">
        <v>910</v>
      </c>
      <c r="L334" s="43" t="s">
        <v>65</v>
      </c>
      <c r="N334" s="43" t="s">
        <v>327</v>
      </c>
      <c r="O334" s="43">
        <v>50</v>
      </c>
      <c r="P334" s="43" t="s">
        <v>838</v>
      </c>
      <c r="Q334" s="43" t="s">
        <v>376</v>
      </c>
      <c r="R334" s="43" t="s">
        <v>841</v>
      </c>
      <c r="S334" s="43" t="s">
        <v>380</v>
      </c>
      <c r="T334" s="43">
        <v>10</v>
      </c>
      <c r="U334" s="43">
        <v>-57.615200000000002</v>
      </c>
      <c r="V334" s="28">
        <v>-4.5480000000000002E-7</v>
      </c>
      <c r="W334" s="43" t="s">
        <v>910</v>
      </c>
      <c r="X334" s="43" t="s">
        <v>65</v>
      </c>
    </row>
    <row r="335" spans="2:24" x14ac:dyDescent="0.2">
      <c r="B335" s="43" t="s">
        <v>327</v>
      </c>
      <c r="C335" s="43">
        <v>50</v>
      </c>
      <c r="D335" s="43" t="s">
        <v>838</v>
      </c>
      <c r="E335" s="43" t="s">
        <v>106</v>
      </c>
      <c r="F335" s="43" t="s">
        <v>842</v>
      </c>
      <c r="G335" s="43" t="s">
        <v>382</v>
      </c>
      <c r="H335" s="43">
        <v>60</v>
      </c>
      <c r="I335" s="43">
        <v>0.5444</v>
      </c>
      <c r="J335" s="28">
        <v>4.2970000000000004E-9</v>
      </c>
      <c r="K335" s="43" t="s">
        <v>910</v>
      </c>
      <c r="L335" s="43" t="s">
        <v>65</v>
      </c>
      <c r="N335" s="43" t="s">
        <v>327</v>
      </c>
      <c r="O335" s="43">
        <v>50</v>
      </c>
      <c r="P335" s="43" t="s">
        <v>838</v>
      </c>
      <c r="Q335" s="43" t="s">
        <v>376</v>
      </c>
      <c r="R335" s="43" t="s">
        <v>842</v>
      </c>
      <c r="S335" s="43" t="s">
        <v>382</v>
      </c>
      <c r="T335" s="43">
        <v>10</v>
      </c>
      <c r="U335" s="43">
        <v>0.57940000000000003</v>
      </c>
      <c r="V335" s="28">
        <v>4.5729999999999998E-9</v>
      </c>
      <c r="W335" s="43" t="s">
        <v>910</v>
      </c>
      <c r="X335" s="43" t="s">
        <v>65</v>
      </c>
    </row>
    <row r="336" spans="2:24" x14ac:dyDescent="0.2">
      <c r="B336" s="43" t="s">
        <v>327</v>
      </c>
      <c r="C336" s="43">
        <v>51</v>
      </c>
      <c r="D336" s="43" t="s">
        <v>838</v>
      </c>
      <c r="E336" s="43" t="s">
        <v>106</v>
      </c>
      <c r="F336" s="43" t="s">
        <v>843</v>
      </c>
      <c r="G336" s="43" t="s">
        <v>380</v>
      </c>
      <c r="H336" s="43">
        <v>60</v>
      </c>
      <c r="I336" s="43">
        <v>-58.744799999999998</v>
      </c>
      <c r="J336" s="28">
        <v>-4.3860000000000002E-7</v>
      </c>
      <c r="K336" s="43" t="s">
        <v>910</v>
      </c>
      <c r="L336" s="43" t="s">
        <v>65</v>
      </c>
      <c r="N336" s="43" t="s">
        <v>327</v>
      </c>
      <c r="O336" s="43">
        <v>51</v>
      </c>
      <c r="P336" s="43" t="s">
        <v>838</v>
      </c>
      <c r="Q336" s="43" t="s">
        <v>376</v>
      </c>
      <c r="R336" s="43" t="s">
        <v>843</v>
      </c>
      <c r="S336" s="43" t="s">
        <v>380</v>
      </c>
      <c r="T336" s="43">
        <v>10</v>
      </c>
      <c r="U336" s="43">
        <v>-58.780999999999999</v>
      </c>
      <c r="V336" s="28">
        <v>-4.3889999999999999E-7</v>
      </c>
      <c r="W336" s="43" t="s">
        <v>910</v>
      </c>
      <c r="X336" s="43" t="s">
        <v>65</v>
      </c>
    </row>
    <row r="337" spans="2:24" x14ac:dyDescent="0.2">
      <c r="B337" s="43" t="s">
        <v>327</v>
      </c>
      <c r="C337" s="43">
        <v>51</v>
      </c>
      <c r="D337" s="43" t="s">
        <v>838</v>
      </c>
      <c r="E337" s="43" t="s">
        <v>106</v>
      </c>
      <c r="F337" s="43" t="s">
        <v>844</v>
      </c>
      <c r="G337" s="43" t="s">
        <v>382</v>
      </c>
      <c r="H337" s="43">
        <v>60</v>
      </c>
      <c r="I337" s="43">
        <v>11.196</v>
      </c>
      <c r="J337" s="28">
        <v>8.3599999999999994E-8</v>
      </c>
      <c r="K337" s="43" t="s">
        <v>910</v>
      </c>
      <c r="L337" s="43" t="s">
        <v>65</v>
      </c>
      <c r="N337" s="43" t="s">
        <v>327</v>
      </c>
      <c r="O337" s="43">
        <v>51</v>
      </c>
      <c r="P337" s="43" t="s">
        <v>838</v>
      </c>
      <c r="Q337" s="43" t="s">
        <v>376</v>
      </c>
      <c r="R337" s="43" t="s">
        <v>844</v>
      </c>
      <c r="S337" s="43" t="s">
        <v>382</v>
      </c>
      <c r="T337" s="43">
        <v>10</v>
      </c>
      <c r="U337" s="43">
        <v>11.229900000000001</v>
      </c>
      <c r="V337" s="28">
        <v>8.385E-8</v>
      </c>
      <c r="W337" s="43" t="s">
        <v>910</v>
      </c>
      <c r="X337" s="43" t="s">
        <v>65</v>
      </c>
    </row>
    <row r="338" spans="2:24" x14ac:dyDescent="0.2">
      <c r="B338" s="43" t="s">
        <v>327</v>
      </c>
      <c r="C338" s="43">
        <v>52</v>
      </c>
      <c r="D338" s="43" t="s">
        <v>845</v>
      </c>
      <c r="E338" s="43" t="s">
        <v>106</v>
      </c>
      <c r="F338" s="43" t="s">
        <v>846</v>
      </c>
      <c r="G338" s="43" t="s">
        <v>380</v>
      </c>
      <c r="H338" s="43">
        <v>60</v>
      </c>
      <c r="I338" s="43">
        <v>-50.424900000000001</v>
      </c>
      <c r="J338" s="28">
        <v>-3.7650000000000002E-7</v>
      </c>
      <c r="K338" s="43" t="s">
        <v>910</v>
      </c>
      <c r="L338" s="43" t="s">
        <v>65</v>
      </c>
      <c r="N338" s="43" t="s">
        <v>327</v>
      </c>
      <c r="O338" s="43">
        <v>52</v>
      </c>
      <c r="P338" s="43" t="s">
        <v>845</v>
      </c>
      <c r="Q338" s="43" t="s">
        <v>376</v>
      </c>
      <c r="R338" s="43" t="s">
        <v>846</v>
      </c>
      <c r="S338" s="43" t="s">
        <v>380</v>
      </c>
      <c r="T338" s="43">
        <v>10</v>
      </c>
      <c r="U338" s="43">
        <v>-50.461599999999997</v>
      </c>
      <c r="V338" s="28">
        <v>-3.7679999999999999E-7</v>
      </c>
      <c r="W338" s="43" t="s">
        <v>910</v>
      </c>
      <c r="X338" s="43" t="s">
        <v>65</v>
      </c>
    </row>
    <row r="339" spans="2:24" x14ac:dyDescent="0.2">
      <c r="B339" s="43" t="s">
        <v>327</v>
      </c>
      <c r="C339" s="43">
        <v>52</v>
      </c>
      <c r="D339" s="43" t="s">
        <v>845</v>
      </c>
      <c r="E339" s="43" t="s">
        <v>106</v>
      </c>
      <c r="F339" s="43" t="s">
        <v>847</v>
      </c>
      <c r="G339" s="43" t="s">
        <v>382</v>
      </c>
      <c r="H339" s="43">
        <v>60</v>
      </c>
      <c r="I339" s="43">
        <v>7.9866000000000001</v>
      </c>
      <c r="J339" s="28">
        <v>5.9629999999999999E-8</v>
      </c>
      <c r="K339" s="43" t="s">
        <v>910</v>
      </c>
      <c r="L339" s="43" t="s">
        <v>65</v>
      </c>
      <c r="N339" s="43" t="s">
        <v>327</v>
      </c>
      <c r="O339" s="43">
        <v>52</v>
      </c>
      <c r="P339" s="43" t="s">
        <v>845</v>
      </c>
      <c r="Q339" s="43" t="s">
        <v>376</v>
      </c>
      <c r="R339" s="43" t="s">
        <v>847</v>
      </c>
      <c r="S339" s="43" t="s">
        <v>382</v>
      </c>
      <c r="T339" s="43">
        <v>10</v>
      </c>
      <c r="U339" s="43">
        <v>8.0276999999999994</v>
      </c>
      <c r="V339" s="28">
        <v>5.9940000000000006E-8</v>
      </c>
      <c r="W339" s="43" t="s">
        <v>910</v>
      </c>
      <c r="X339" s="43" t="s">
        <v>65</v>
      </c>
    </row>
    <row r="340" spans="2:24" x14ac:dyDescent="0.2">
      <c r="B340" s="43" t="s">
        <v>327</v>
      </c>
      <c r="C340" s="43">
        <v>26</v>
      </c>
      <c r="D340" s="43" t="s">
        <v>848</v>
      </c>
      <c r="E340" s="43" t="s">
        <v>106</v>
      </c>
      <c r="F340" s="43" t="s">
        <v>849</v>
      </c>
      <c r="G340" s="43" t="s">
        <v>380</v>
      </c>
      <c r="H340" s="43">
        <v>60</v>
      </c>
      <c r="I340" s="43">
        <v>-45.784300000000002</v>
      </c>
      <c r="J340" s="28">
        <v>-3.9219999999999998E-7</v>
      </c>
      <c r="K340" s="43" t="s">
        <v>910</v>
      </c>
      <c r="L340" s="43" t="s">
        <v>65</v>
      </c>
      <c r="N340" s="43" t="s">
        <v>327</v>
      </c>
      <c r="O340" s="43">
        <v>26</v>
      </c>
      <c r="P340" s="43" t="s">
        <v>848</v>
      </c>
      <c r="Q340" s="43" t="s">
        <v>376</v>
      </c>
      <c r="R340" s="43" t="s">
        <v>849</v>
      </c>
      <c r="S340" s="43" t="s">
        <v>380</v>
      </c>
      <c r="T340" s="43">
        <v>10</v>
      </c>
      <c r="U340" s="43">
        <v>-45.977699999999999</v>
      </c>
      <c r="V340" s="28">
        <v>-3.9379999999999999E-7</v>
      </c>
      <c r="W340" s="43" t="s">
        <v>910</v>
      </c>
      <c r="X340" s="43" t="s">
        <v>65</v>
      </c>
    </row>
    <row r="341" spans="2:24" x14ac:dyDescent="0.2">
      <c r="B341" s="43" t="s">
        <v>327</v>
      </c>
      <c r="C341" s="43">
        <v>26</v>
      </c>
      <c r="D341" s="43" t="s">
        <v>848</v>
      </c>
      <c r="E341" s="43" t="s">
        <v>106</v>
      </c>
      <c r="F341" s="43" t="s">
        <v>850</v>
      </c>
      <c r="G341" s="43" t="s">
        <v>382</v>
      </c>
      <c r="H341" s="43">
        <v>60</v>
      </c>
      <c r="I341" s="43">
        <v>-45.7196</v>
      </c>
      <c r="J341" s="28">
        <v>-3.9159999999999999E-7</v>
      </c>
      <c r="K341" s="43" t="s">
        <v>910</v>
      </c>
      <c r="L341" s="43" t="s">
        <v>65</v>
      </c>
      <c r="N341" s="43" t="s">
        <v>327</v>
      </c>
      <c r="O341" s="43">
        <v>26</v>
      </c>
      <c r="P341" s="43" t="s">
        <v>848</v>
      </c>
      <c r="Q341" s="43" t="s">
        <v>376</v>
      </c>
      <c r="R341" s="43" t="s">
        <v>850</v>
      </c>
      <c r="S341" s="43" t="s">
        <v>382</v>
      </c>
      <c r="T341" s="43">
        <v>10</v>
      </c>
      <c r="U341" s="43">
        <v>-45.532600000000002</v>
      </c>
      <c r="V341" s="28">
        <v>-3.9000000000000002E-7</v>
      </c>
      <c r="W341" s="43" t="s">
        <v>910</v>
      </c>
      <c r="X341" s="43" t="s">
        <v>65</v>
      </c>
    </row>
    <row r="342" spans="2:24" x14ac:dyDescent="0.2">
      <c r="B342" s="43" t="s">
        <v>327</v>
      </c>
      <c r="C342" s="43">
        <v>29</v>
      </c>
      <c r="D342" s="43" t="s">
        <v>851</v>
      </c>
      <c r="E342" s="43" t="s">
        <v>106</v>
      </c>
      <c r="F342" s="43" t="s">
        <v>852</v>
      </c>
      <c r="G342" s="43" t="s">
        <v>380</v>
      </c>
      <c r="H342" s="43">
        <v>60</v>
      </c>
      <c r="I342" s="43">
        <v>-73.126300000000001</v>
      </c>
      <c r="J342" s="28">
        <v>-4.8859999999999997E-7</v>
      </c>
      <c r="K342" s="43" t="s">
        <v>910</v>
      </c>
      <c r="L342" s="43" t="s">
        <v>65</v>
      </c>
      <c r="N342" s="43" t="s">
        <v>327</v>
      </c>
      <c r="O342" s="43">
        <v>29</v>
      </c>
      <c r="P342" s="43" t="s">
        <v>851</v>
      </c>
      <c r="Q342" s="43" t="s">
        <v>376</v>
      </c>
      <c r="R342" s="43" t="s">
        <v>852</v>
      </c>
      <c r="S342" s="43" t="s">
        <v>380</v>
      </c>
      <c r="T342" s="43">
        <v>10</v>
      </c>
      <c r="U342" s="43">
        <v>-73.3566</v>
      </c>
      <c r="V342" s="28">
        <v>-4.9009999999999997E-7</v>
      </c>
      <c r="W342" s="43" t="s">
        <v>910</v>
      </c>
      <c r="X342" s="43" t="s">
        <v>65</v>
      </c>
    </row>
    <row r="343" spans="2:24" x14ac:dyDescent="0.2">
      <c r="B343" s="43" t="s">
        <v>327</v>
      </c>
      <c r="C343" s="43">
        <v>29</v>
      </c>
      <c r="D343" s="43" t="s">
        <v>851</v>
      </c>
      <c r="E343" s="43" t="s">
        <v>106</v>
      </c>
      <c r="F343" s="43" t="s">
        <v>853</v>
      </c>
      <c r="G343" s="43" t="s">
        <v>382</v>
      </c>
      <c r="H343" s="43">
        <v>60</v>
      </c>
      <c r="I343" s="43">
        <v>-73.085999999999999</v>
      </c>
      <c r="J343" s="28">
        <v>-4.8830000000000005E-7</v>
      </c>
      <c r="K343" s="43" t="s">
        <v>910</v>
      </c>
      <c r="L343" s="43" t="s">
        <v>65</v>
      </c>
      <c r="N343" s="43" t="s">
        <v>327</v>
      </c>
      <c r="O343" s="43">
        <v>29</v>
      </c>
      <c r="P343" s="43" t="s">
        <v>851</v>
      </c>
      <c r="Q343" s="43" t="s">
        <v>376</v>
      </c>
      <c r="R343" s="43" t="s">
        <v>853</v>
      </c>
      <c r="S343" s="43" t="s">
        <v>382</v>
      </c>
      <c r="T343" s="43">
        <v>10</v>
      </c>
      <c r="U343" s="43">
        <v>-72.855900000000005</v>
      </c>
      <c r="V343" s="28">
        <v>-4.8680000000000004E-7</v>
      </c>
      <c r="W343" s="43" t="s">
        <v>910</v>
      </c>
      <c r="X343" s="43" t="s">
        <v>65</v>
      </c>
    </row>
    <row r="344" spans="2:24" x14ac:dyDescent="0.2">
      <c r="B344" s="43" t="s">
        <v>327</v>
      </c>
      <c r="C344" s="43">
        <v>32</v>
      </c>
      <c r="D344" s="43" t="s">
        <v>854</v>
      </c>
      <c r="E344" s="43" t="s">
        <v>106</v>
      </c>
      <c r="F344" s="43" t="s">
        <v>855</v>
      </c>
      <c r="G344" s="43" t="s">
        <v>380</v>
      </c>
      <c r="H344" s="43">
        <v>60</v>
      </c>
      <c r="I344" s="43">
        <v>-56.888800000000003</v>
      </c>
      <c r="J344" s="28">
        <v>-3.875E-7</v>
      </c>
      <c r="K344" s="43" t="s">
        <v>910</v>
      </c>
      <c r="L344" s="43" t="s">
        <v>65</v>
      </c>
      <c r="N344" s="43" t="s">
        <v>327</v>
      </c>
      <c r="O344" s="43">
        <v>32</v>
      </c>
      <c r="P344" s="43" t="s">
        <v>854</v>
      </c>
      <c r="Q344" s="43" t="s">
        <v>376</v>
      </c>
      <c r="R344" s="43" t="s">
        <v>855</v>
      </c>
      <c r="S344" s="43" t="s">
        <v>380</v>
      </c>
      <c r="T344" s="43">
        <v>10</v>
      </c>
      <c r="U344" s="43">
        <v>-57.124299999999998</v>
      </c>
      <c r="V344" s="28">
        <v>-3.8910000000000001E-7</v>
      </c>
      <c r="W344" s="43" t="s">
        <v>910</v>
      </c>
      <c r="X344" s="43" t="s">
        <v>65</v>
      </c>
    </row>
    <row r="345" spans="2:24" x14ac:dyDescent="0.2">
      <c r="B345" s="43" t="s">
        <v>327</v>
      </c>
      <c r="C345" s="43">
        <v>32</v>
      </c>
      <c r="D345" s="43" t="s">
        <v>854</v>
      </c>
      <c r="E345" s="43" t="s">
        <v>106</v>
      </c>
      <c r="F345" s="43" t="s">
        <v>856</v>
      </c>
      <c r="G345" s="43" t="s">
        <v>382</v>
      </c>
      <c r="H345" s="43">
        <v>60</v>
      </c>
      <c r="I345" s="43">
        <v>-56.884799999999998</v>
      </c>
      <c r="J345" s="28">
        <v>-3.875E-7</v>
      </c>
      <c r="K345" s="43" t="s">
        <v>910</v>
      </c>
      <c r="L345" s="43" t="s">
        <v>65</v>
      </c>
      <c r="N345" s="43" t="s">
        <v>327</v>
      </c>
      <c r="O345" s="43">
        <v>32</v>
      </c>
      <c r="P345" s="43" t="s">
        <v>854</v>
      </c>
      <c r="Q345" s="43" t="s">
        <v>376</v>
      </c>
      <c r="R345" s="43" t="s">
        <v>856</v>
      </c>
      <c r="S345" s="43" t="s">
        <v>382</v>
      </c>
      <c r="T345" s="43">
        <v>10</v>
      </c>
      <c r="U345" s="43">
        <v>-56.648800000000001</v>
      </c>
      <c r="V345" s="28">
        <v>-3.8579999999999997E-7</v>
      </c>
      <c r="W345" s="43" t="s">
        <v>910</v>
      </c>
      <c r="X345" s="43" t="s">
        <v>65</v>
      </c>
    </row>
    <row r="346" spans="2:24" x14ac:dyDescent="0.2">
      <c r="B346" s="43" t="s">
        <v>327</v>
      </c>
      <c r="C346" s="43">
        <v>35</v>
      </c>
      <c r="D346" s="43" t="s">
        <v>857</v>
      </c>
      <c r="E346" s="43" t="s">
        <v>106</v>
      </c>
      <c r="F346" s="43" t="s">
        <v>858</v>
      </c>
      <c r="G346" s="43" t="s">
        <v>380</v>
      </c>
      <c r="H346" s="43">
        <v>60</v>
      </c>
      <c r="I346" s="43">
        <v>-57.304600000000001</v>
      </c>
      <c r="J346" s="28">
        <v>-3.9029999999999999E-7</v>
      </c>
      <c r="K346" s="43" t="s">
        <v>910</v>
      </c>
      <c r="L346" s="43" t="s">
        <v>65</v>
      </c>
      <c r="N346" s="43" t="s">
        <v>327</v>
      </c>
      <c r="O346" s="43">
        <v>35</v>
      </c>
      <c r="P346" s="43" t="s">
        <v>857</v>
      </c>
      <c r="Q346" s="43" t="s">
        <v>376</v>
      </c>
      <c r="R346" s="43" t="s">
        <v>858</v>
      </c>
      <c r="S346" s="43" t="s">
        <v>380</v>
      </c>
      <c r="T346" s="43">
        <v>10</v>
      </c>
      <c r="U346" s="43">
        <v>-57.540799999999997</v>
      </c>
      <c r="V346" s="28">
        <v>-3.9190000000000001E-7</v>
      </c>
      <c r="W346" s="43" t="s">
        <v>910</v>
      </c>
      <c r="X346" s="43" t="s">
        <v>65</v>
      </c>
    </row>
    <row r="347" spans="2:24" x14ac:dyDescent="0.2">
      <c r="B347" s="43" t="s">
        <v>327</v>
      </c>
      <c r="C347" s="43">
        <v>35</v>
      </c>
      <c r="D347" s="43" t="s">
        <v>857</v>
      </c>
      <c r="E347" s="43" t="s">
        <v>106</v>
      </c>
      <c r="F347" s="43" t="s">
        <v>859</v>
      </c>
      <c r="G347" s="43" t="s">
        <v>382</v>
      </c>
      <c r="H347" s="43">
        <v>60</v>
      </c>
      <c r="I347" s="43">
        <v>-57.339199999999998</v>
      </c>
      <c r="J347" s="28">
        <v>-3.9060000000000002E-7</v>
      </c>
      <c r="K347" s="43" t="s">
        <v>910</v>
      </c>
      <c r="L347" s="43" t="s">
        <v>65</v>
      </c>
      <c r="N347" s="43" t="s">
        <v>327</v>
      </c>
      <c r="O347" s="43">
        <v>35</v>
      </c>
      <c r="P347" s="43" t="s">
        <v>857</v>
      </c>
      <c r="Q347" s="43" t="s">
        <v>376</v>
      </c>
      <c r="R347" s="43" t="s">
        <v>859</v>
      </c>
      <c r="S347" s="43" t="s">
        <v>382</v>
      </c>
      <c r="T347" s="43">
        <v>10</v>
      </c>
      <c r="U347" s="43">
        <v>-57.103200000000001</v>
      </c>
      <c r="V347" s="28">
        <v>-3.889E-7</v>
      </c>
      <c r="W347" s="43" t="s">
        <v>910</v>
      </c>
      <c r="X347" s="43" t="s">
        <v>65</v>
      </c>
    </row>
    <row r="348" spans="2:24" x14ac:dyDescent="0.2">
      <c r="B348" s="43" t="s">
        <v>327</v>
      </c>
      <c r="C348" s="43">
        <v>38</v>
      </c>
      <c r="D348" s="43" t="s">
        <v>860</v>
      </c>
      <c r="E348" s="43" t="s">
        <v>106</v>
      </c>
      <c r="F348" s="43" t="s">
        <v>861</v>
      </c>
      <c r="G348" s="43" t="s">
        <v>380</v>
      </c>
      <c r="H348" s="43">
        <v>60</v>
      </c>
      <c r="I348" s="43">
        <v>-72.931299999999993</v>
      </c>
      <c r="J348" s="28">
        <v>-4.8729999999999998E-7</v>
      </c>
      <c r="K348" s="43" t="s">
        <v>910</v>
      </c>
      <c r="L348" s="43" t="s">
        <v>65</v>
      </c>
      <c r="N348" s="43" t="s">
        <v>327</v>
      </c>
      <c r="O348" s="43">
        <v>38</v>
      </c>
      <c r="P348" s="43" t="s">
        <v>860</v>
      </c>
      <c r="Q348" s="43" t="s">
        <v>376</v>
      </c>
      <c r="R348" s="43" t="s">
        <v>861</v>
      </c>
      <c r="S348" s="43" t="s">
        <v>380</v>
      </c>
      <c r="T348" s="43">
        <v>10</v>
      </c>
      <c r="U348" s="43">
        <v>-73.162599999999998</v>
      </c>
      <c r="V348" s="28">
        <v>-4.8879999999999998E-7</v>
      </c>
      <c r="W348" s="43" t="s">
        <v>910</v>
      </c>
      <c r="X348" s="43" t="s">
        <v>65</v>
      </c>
    </row>
    <row r="349" spans="2:24" x14ac:dyDescent="0.2">
      <c r="B349" s="43" t="s">
        <v>327</v>
      </c>
      <c r="C349" s="43">
        <v>38</v>
      </c>
      <c r="D349" s="43" t="s">
        <v>860</v>
      </c>
      <c r="E349" s="43" t="s">
        <v>106</v>
      </c>
      <c r="F349" s="43" t="s">
        <v>862</v>
      </c>
      <c r="G349" s="43" t="s">
        <v>382</v>
      </c>
      <c r="H349" s="43">
        <v>60</v>
      </c>
      <c r="I349" s="43">
        <v>-73.004400000000004</v>
      </c>
      <c r="J349" s="28">
        <v>-4.8780000000000001E-7</v>
      </c>
      <c r="K349" s="43" t="s">
        <v>910</v>
      </c>
      <c r="L349" s="43" t="s">
        <v>65</v>
      </c>
      <c r="N349" s="43" t="s">
        <v>327</v>
      </c>
      <c r="O349" s="43">
        <v>38</v>
      </c>
      <c r="P349" s="43" t="s">
        <v>860</v>
      </c>
      <c r="Q349" s="43" t="s">
        <v>376</v>
      </c>
      <c r="R349" s="43" t="s">
        <v>862</v>
      </c>
      <c r="S349" s="43" t="s">
        <v>382</v>
      </c>
      <c r="T349" s="43">
        <v>10</v>
      </c>
      <c r="U349" s="43">
        <v>-72.773300000000006</v>
      </c>
      <c r="V349" s="28">
        <v>-4.862E-7</v>
      </c>
      <c r="W349" s="43" t="s">
        <v>910</v>
      </c>
      <c r="X349" s="43" t="s">
        <v>65</v>
      </c>
    </row>
    <row r="350" spans="2:24" x14ac:dyDescent="0.2">
      <c r="B350" s="43" t="s">
        <v>327</v>
      </c>
      <c r="C350" s="43">
        <v>41</v>
      </c>
      <c r="D350" s="43" t="s">
        <v>863</v>
      </c>
      <c r="E350" s="43" t="s">
        <v>106</v>
      </c>
      <c r="F350" s="43" t="s">
        <v>864</v>
      </c>
      <c r="G350" s="43" t="s">
        <v>380</v>
      </c>
      <c r="H350" s="43">
        <v>60</v>
      </c>
      <c r="I350" s="43">
        <v>-40.267600000000002</v>
      </c>
      <c r="J350" s="28">
        <v>-3.4490000000000002E-7</v>
      </c>
      <c r="K350" s="43" t="s">
        <v>910</v>
      </c>
      <c r="L350" s="43" t="s">
        <v>65</v>
      </c>
      <c r="N350" s="43" t="s">
        <v>327</v>
      </c>
      <c r="O350" s="43">
        <v>41</v>
      </c>
      <c r="P350" s="43" t="s">
        <v>863</v>
      </c>
      <c r="Q350" s="43" t="s">
        <v>376</v>
      </c>
      <c r="R350" s="43" t="s">
        <v>864</v>
      </c>
      <c r="S350" s="43" t="s">
        <v>380</v>
      </c>
      <c r="T350" s="43">
        <v>10</v>
      </c>
      <c r="U350" s="43">
        <v>-40.4559</v>
      </c>
      <c r="V350" s="28">
        <v>-3.4649999999999999E-7</v>
      </c>
      <c r="W350" s="43" t="s">
        <v>910</v>
      </c>
      <c r="X350" s="43" t="s">
        <v>65</v>
      </c>
    </row>
    <row r="351" spans="2:24" x14ac:dyDescent="0.2">
      <c r="B351" s="43" t="s">
        <v>327</v>
      </c>
      <c r="C351" s="43">
        <v>41</v>
      </c>
      <c r="D351" s="43" t="s">
        <v>863</v>
      </c>
      <c r="E351" s="43" t="s">
        <v>106</v>
      </c>
      <c r="F351" s="43" t="s">
        <v>865</v>
      </c>
      <c r="G351" s="43" t="s">
        <v>382</v>
      </c>
      <c r="H351" s="43">
        <v>60</v>
      </c>
      <c r="I351" s="43">
        <v>-40.357900000000001</v>
      </c>
      <c r="J351" s="28">
        <v>-3.4569999999999998E-7</v>
      </c>
      <c r="K351" s="43" t="s">
        <v>910</v>
      </c>
      <c r="L351" s="43" t="s">
        <v>65</v>
      </c>
      <c r="N351" s="43" t="s">
        <v>327</v>
      </c>
      <c r="O351" s="43">
        <v>41</v>
      </c>
      <c r="P351" s="43" t="s">
        <v>863</v>
      </c>
      <c r="Q351" s="43" t="s">
        <v>376</v>
      </c>
      <c r="R351" s="43" t="s">
        <v>865</v>
      </c>
      <c r="S351" s="43" t="s">
        <v>382</v>
      </c>
      <c r="T351" s="43">
        <v>10</v>
      </c>
      <c r="U351" s="43">
        <v>-40.162999999999997</v>
      </c>
      <c r="V351" s="28">
        <v>-3.4400000000000001E-7</v>
      </c>
      <c r="W351" s="43" t="s">
        <v>910</v>
      </c>
      <c r="X351" s="43" t="s">
        <v>65</v>
      </c>
    </row>
    <row r="352" spans="2:24" x14ac:dyDescent="0.2">
      <c r="B352" s="43" t="s">
        <v>327</v>
      </c>
      <c r="C352" s="43">
        <v>53</v>
      </c>
      <c r="D352" s="43" t="s">
        <v>866</v>
      </c>
      <c r="E352" s="43" t="s">
        <v>106</v>
      </c>
      <c r="F352" s="43" t="s">
        <v>867</v>
      </c>
      <c r="G352" s="43" t="s">
        <v>380</v>
      </c>
      <c r="H352" s="43">
        <v>60</v>
      </c>
      <c r="I352" s="43">
        <v>-58.410299999999999</v>
      </c>
      <c r="J352" s="28">
        <v>-4.3609999999999999E-7</v>
      </c>
      <c r="K352" s="43" t="s">
        <v>910</v>
      </c>
      <c r="L352" s="43" t="s">
        <v>65</v>
      </c>
      <c r="N352" s="43" t="s">
        <v>327</v>
      </c>
      <c r="O352" s="43">
        <v>53</v>
      </c>
      <c r="P352" s="43" t="s">
        <v>866</v>
      </c>
      <c r="Q352" s="43" t="s">
        <v>376</v>
      </c>
      <c r="R352" s="43" t="s">
        <v>867</v>
      </c>
      <c r="S352" s="43" t="s">
        <v>380</v>
      </c>
      <c r="T352" s="43">
        <v>10</v>
      </c>
      <c r="U352" s="43">
        <v>-58.449800000000003</v>
      </c>
      <c r="V352" s="28">
        <v>-4.3640000000000002E-7</v>
      </c>
      <c r="W352" s="43" t="s">
        <v>910</v>
      </c>
      <c r="X352" s="43" t="s">
        <v>65</v>
      </c>
    </row>
    <row r="353" spans="2:24" x14ac:dyDescent="0.2">
      <c r="B353" s="43" t="s">
        <v>327</v>
      </c>
      <c r="C353" s="43">
        <v>53</v>
      </c>
      <c r="D353" s="43" t="s">
        <v>866</v>
      </c>
      <c r="E353" s="43" t="s">
        <v>106</v>
      </c>
      <c r="F353" s="43" t="s">
        <v>868</v>
      </c>
      <c r="G353" s="43" t="s">
        <v>382</v>
      </c>
      <c r="H353" s="43">
        <v>60</v>
      </c>
      <c r="I353" s="43">
        <v>11.006399999999999</v>
      </c>
      <c r="J353" s="28">
        <v>8.2179999999999999E-8</v>
      </c>
      <c r="K353" s="43" t="s">
        <v>910</v>
      </c>
      <c r="L353" s="43" t="s">
        <v>65</v>
      </c>
      <c r="N353" s="43" t="s">
        <v>327</v>
      </c>
      <c r="O353" s="43">
        <v>53</v>
      </c>
      <c r="P353" s="43" t="s">
        <v>866</v>
      </c>
      <c r="Q353" s="43" t="s">
        <v>376</v>
      </c>
      <c r="R353" s="43" t="s">
        <v>868</v>
      </c>
      <c r="S353" s="43" t="s">
        <v>382</v>
      </c>
      <c r="T353" s="43">
        <v>10</v>
      </c>
      <c r="U353" s="43">
        <v>11.041600000000001</v>
      </c>
      <c r="V353" s="28">
        <v>8.2440000000000002E-8</v>
      </c>
      <c r="W353" s="43" t="s">
        <v>910</v>
      </c>
      <c r="X353" s="43" t="s">
        <v>65</v>
      </c>
    </row>
    <row r="354" spans="2:24" x14ac:dyDescent="0.2">
      <c r="B354" s="43" t="s">
        <v>327</v>
      </c>
      <c r="C354" s="43">
        <v>54</v>
      </c>
      <c r="D354" s="43" t="s">
        <v>869</v>
      </c>
      <c r="E354" s="43" t="s">
        <v>106</v>
      </c>
      <c r="F354" s="43" t="s">
        <v>870</v>
      </c>
      <c r="G354" s="43" t="s">
        <v>380</v>
      </c>
      <c r="H354" s="43">
        <v>60</v>
      </c>
      <c r="I354" s="43">
        <v>-48.550899999999999</v>
      </c>
      <c r="J354" s="28">
        <v>-3.6250000000000002E-7</v>
      </c>
      <c r="K354" s="43" t="s">
        <v>910</v>
      </c>
      <c r="L354" s="43" t="s">
        <v>65</v>
      </c>
      <c r="N354" s="43" t="s">
        <v>327</v>
      </c>
      <c r="O354" s="43">
        <v>54</v>
      </c>
      <c r="P354" s="43" t="s">
        <v>869</v>
      </c>
      <c r="Q354" s="43" t="s">
        <v>376</v>
      </c>
      <c r="R354" s="43" t="s">
        <v>870</v>
      </c>
      <c r="S354" s="43" t="s">
        <v>380</v>
      </c>
      <c r="T354" s="43">
        <v>10</v>
      </c>
      <c r="U354" s="43">
        <v>-48.585599999999999</v>
      </c>
      <c r="V354" s="28">
        <v>-3.6279999999999999E-7</v>
      </c>
      <c r="W354" s="43" t="s">
        <v>910</v>
      </c>
      <c r="X354" s="43" t="s">
        <v>65</v>
      </c>
    </row>
    <row r="355" spans="2:24" x14ac:dyDescent="0.2">
      <c r="B355" s="43" t="s">
        <v>327</v>
      </c>
      <c r="C355" s="43">
        <v>54</v>
      </c>
      <c r="D355" s="43" t="s">
        <v>869</v>
      </c>
      <c r="E355" s="43" t="s">
        <v>106</v>
      </c>
      <c r="F355" s="43" t="s">
        <v>871</v>
      </c>
      <c r="G355" s="43" t="s">
        <v>382</v>
      </c>
      <c r="H355" s="43">
        <v>60</v>
      </c>
      <c r="I355" s="43">
        <v>2.9074</v>
      </c>
      <c r="J355" s="28">
        <v>2.1710000000000001E-8</v>
      </c>
      <c r="K355" s="43" t="s">
        <v>910</v>
      </c>
      <c r="L355" s="43" t="s">
        <v>65</v>
      </c>
      <c r="N355" s="43" t="s">
        <v>327</v>
      </c>
      <c r="O355" s="43">
        <v>54</v>
      </c>
      <c r="P355" s="43" t="s">
        <v>869</v>
      </c>
      <c r="Q355" s="43" t="s">
        <v>376</v>
      </c>
      <c r="R355" s="43" t="s">
        <v>871</v>
      </c>
      <c r="S355" s="43" t="s">
        <v>382</v>
      </c>
      <c r="T355" s="43">
        <v>10</v>
      </c>
      <c r="U355" s="43">
        <v>2.9445999999999999</v>
      </c>
      <c r="V355" s="28">
        <v>2.199E-8</v>
      </c>
      <c r="W355" s="43" t="s">
        <v>910</v>
      </c>
      <c r="X355" s="43" t="s">
        <v>65</v>
      </c>
    </row>
    <row r="356" spans="2:24" x14ac:dyDescent="0.2">
      <c r="B356" s="43" t="s">
        <v>327</v>
      </c>
      <c r="C356" s="43">
        <v>55</v>
      </c>
      <c r="D356" s="43" t="s">
        <v>869</v>
      </c>
      <c r="E356" s="43" t="s">
        <v>106</v>
      </c>
      <c r="F356" s="43" t="s">
        <v>872</v>
      </c>
      <c r="G356" s="43" t="s">
        <v>380</v>
      </c>
      <c r="H356" s="43">
        <v>60</v>
      </c>
      <c r="I356" s="43">
        <v>-57.601900000000001</v>
      </c>
      <c r="J356" s="28">
        <v>-4.5470000000000002E-7</v>
      </c>
      <c r="K356" s="43" t="s">
        <v>910</v>
      </c>
      <c r="L356" s="43" t="s">
        <v>65</v>
      </c>
      <c r="N356" s="43" t="s">
        <v>327</v>
      </c>
      <c r="O356" s="43">
        <v>55</v>
      </c>
      <c r="P356" s="43" t="s">
        <v>869</v>
      </c>
      <c r="Q356" s="43" t="s">
        <v>376</v>
      </c>
      <c r="R356" s="43" t="s">
        <v>872</v>
      </c>
      <c r="S356" s="43" t="s">
        <v>380</v>
      </c>
      <c r="T356" s="43">
        <v>10</v>
      </c>
      <c r="U356" s="43">
        <v>-57.636600000000001</v>
      </c>
      <c r="V356" s="28">
        <v>-4.5489999999999998E-7</v>
      </c>
      <c r="W356" s="43" t="s">
        <v>910</v>
      </c>
      <c r="X356" s="43" t="s">
        <v>65</v>
      </c>
    </row>
    <row r="357" spans="2:24" x14ac:dyDescent="0.2">
      <c r="B357" s="43" t="s">
        <v>327</v>
      </c>
      <c r="C357" s="43">
        <v>55</v>
      </c>
      <c r="D357" s="43" t="s">
        <v>869</v>
      </c>
      <c r="E357" s="43" t="s">
        <v>106</v>
      </c>
      <c r="F357" s="43" t="s">
        <v>873</v>
      </c>
      <c r="G357" s="43" t="s">
        <v>382</v>
      </c>
      <c r="H357" s="43">
        <v>60</v>
      </c>
      <c r="I357" s="43">
        <v>0.56659999999999999</v>
      </c>
      <c r="J357" s="28">
        <v>4.4720000000000003E-9</v>
      </c>
      <c r="K357" s="43" t="s">
        <v>910</v>
      </c>
      <c r="L357" s="43" t="s">
        <v>65</v>
      </c>
      <c r="N357" s="43" t="s">
        <v>327</v>
      </c>
      <c r="O357" s="43">
        <v>55</v>
      </c>
      <c r="P357" s="43" t="s">
        <v>869</v>
      </c>
      <c r="Q357" s="43" t="s">
        <v>376</v>
      </c>
      <c r="R357" s="43" t="s">
        <v>873</v>
      </c>
      <c r="S357" s="43" t="s">
        <v>382</v>
      </c>
      <c r="T357" s="43">
        <v>10</v>
      </c>
      <c r="U357" s="43">
        <v>0.60170000000000001</v>
      </c>
      <c r="V357" s="28">
        <v>4.7500000000000003E-9</v>
      </c>
      <c r="W357" s="43" t="s">
        <v>910</v>
      </c>
      <c r="X357" s="43" t="s">
        <v>65</v>
      </c>
    </row>
    <row r="358" spans="2:24" x14ac:dyDescent="0.2">
      <c r="B358" s="43" t="s">
        <v>327</v>
      </c>
      <c r="C358" s="43">
        <v>56</v>
      </c>
      <c r="D358" s="43" t="s">
        <v>869</v>
      </c>
      <c r="E358" s="43" t="s">
        <v>106</v>
      </c>
      <c r="F358" s="43" t="s">
        <v>874</v>
      </c>
      <c r="G358" s="43" t="s">
        <v>380</v>
      </c>
      <c r="H358" s="43">
        <v>60</v>
      </c>
      <c r="I358" s="43">
        <v>-58.767499999999998</v>
      </c>
      <c r="J358" s="28">
        <v>-4.3879999999999999E-7</v>
      </c>
      <c r="K358" s="43" t="s">
        <v>910</v>
      </c>
      <c r="L358" s="43" t="s">
        <v>65</v>
      </c>
      <c r="N358" s="43" t="s">
        <v>327</v>
      </c>
      <c r="O358" s="43">
        <v>56</v>
      </c>
      <c r="P358" s="43" t="s">
        <v>869</v>
      </c>
      <c r="Q358" s="43" t="s">
        <v>376</v>
      </c>
      <c r="R358" s="43" t="s">
        <v>874</v>
      </c>
      <c r="S358" s="43" t="s">
        <v>380</v>
      </c>
      <c r="T358" s="43">
        <v>10</v>
      </c>
      <c r="U358" s="43">
        <v>-58.802900000000001</v>
      </c>
      <c r="V358" s="28">
        <v>-4.3910000000000001E-7</v>
      </c>
      <c r="W358" s="43" t="s">
        <v>910</v>
      </c>
      <c r="X358" s="43" t="s">
        <v>65</v>
      </c>
    </row>
    <row r="359" spans="2:24" x14ac:dyDescent="0.2">
      <c r="B359" s="43" t="s">
        <v>327</v>
      </c>
      <c r="C359" s="43">
        <v>56</v>
      </c>
      <c r="D359" s="43" t="s">
        <v>869</v>
      </c>
      <c r="E359" s="43" t="s">
        <v>106</v>
      </c>
      <c r="F359" s="43" t="s">
        <v>875</v>
      </c>
      <c r="G359" s="43" t="s">
        <v>382</v>
      </c>
      <c r="H359" s="43">
        <v>60</v>
      </c>
      <c r="I359" s="43">
        <v>11.217599999999999</v>
      </c>
      <c r="J359" s="28">
        <v>8.3760000000000004E-8</v>
      </c>
      <c r="K359" s="43" t="s">
        <v>910</v>
      </c>
      <c r="L359" s="43" t="s">
        <v>65</v>
      </c>
      <c r="N359" s="43" t="s">
        <v>327</v>
      </c>
      <c r="O359" s="43">
        <v>56</v>
      </c>
      <c r="P359" s="43" t="s">
        <v>869</v>
      </c>
      <c r="Q359" s="43" t="s">
        <v>376</v>
      </c>
      <c r="R359" s="43" t="s">
        <v>875</v>
      </c>
      <c r="S359" s="43" t="s">
        <v>382</v>
      </c>
      <c r="T359" s="43">
        <v>10</v>
      </c>
      <c r="U359" s="43">
        <v>11.250999999999999</v>
      </c>
      <c r="V359" s="28">
        <v>8.4009999999999996E-8</v>
      </c>
      <c r="W359" s="43" t="s">
        <v>910</v>
      </c>
      <c r="X359" s="43" t="s">
        <v>65</v>
      </c>
    </row>
    <row r="360" spans="2:24" x14ac:dyDescent="0.2">
      <c r="B360" s="43" t="s">
        <v>327</v>
      </c>
      <c r="C360" s="43">
        <v>57</v>
      </c>
      <c r="D360" s="43" t="s">
        <v>876</v>
      </c>
      <c r="E360" s="43" t="s">
        <v>106</v>
      </c>
      <c r="F360" s="43" t="s">
        <v>877</v>
      </c>
      <c r="G360" s="43" t="s">
        <v>380</v>
      </c>
      <c r="H360" s="43">
        <v>60</v>
      </c>
      <c r="I360" s="43">
        <v>-50.447800000000001</v>
      </c>
      <c r="J360" s="28">
        <v>-3.7669999999999998E-7</v>
      </c>
      <c r="K360" s="43" t="s">
        <v>910</v>
      </c>
      <c r="L360" s="43" t="s">
        <v>65</v>
      </c>
      <c r="N360" s="43" t="s">
        <v>327</v>
      </c>
      <c r="O360" s="43">
        <v>57</v>
      </c>
      <c r="P360" s="43" t="s">
        <v>876</v>
      </c>
      <c r="Q360" s="43" t="s">
        <v>376</v>
      </c>
      <c r="R360" s="43" t="s">
        <v>877</v>
      </c>
      <c r="S360" s="43" t="s">
        <v>380</v>
      </c>
      <c r="T360" s="43">
        <v>10</v>
      </c>
      <c r="U360" s="43">
        <v>-50.484099999999998</v>
      </c>
      <c r="V360" s="28">
        <v>-3.7689999999999999E-7</v>
      </c>
      <c r="W360" s="43" t="s">
        <v>910</v>
      </c>
      <c r="X360" s="43" t="s">
        <v>65</v>
      </c>
    </row>
    <row r="361" spans="2:24" x14ac:dyDescent="0.2">
      <c r="B361" s="43" t="s">
        <v>327</v>
      </c>
      <c r="C361" s="43">
        <v>57</v>
      </c>
      <c r="D361" s="43" t="s">
        <v>876</v>
      </c>
      <c r="E361" s="43" t="s">
        <v>106</v>
      </c>
      <c r="F361" s="43" t="s">
        <v>878</v>
      </c>
      <c r="G361" s="43" t="s">
        <v>382</v>
      </c>
      <c r="H361" s="43">
        <v>60</v>
      </c>
      <c r="I361" s="43">
        <v>8.0127000000000006</v>
      </c>
      <c r="J361" s="28">
        <v>5.983E-8</v>
      </c>
      <c r="K361" s="43" t="s">
        <v>910</v>
      </c>
      <c r="L361" s="43" t="s">
        <v>65</v>
      </c>
      <c r="N361" s="43" t="s">
        <v>327</v>
      </c>
      <c r="O361" s="43">
        <v>57</v>
      </c>
      <c r="P361" s="43" t="s">
        <v>876</v>
      </c>
      <c r="Q361" s="43" t="s">
        <v>376</v>
      </c>
      <c r="R361" s="43" t="s">
        <v>878</v>
      </c>
      <c r="S361" s="43" t="s">
        <v>382</v>
      </c>
      <c r="T361" s="43">
        <v>10</v>
      </c>
      <c r="U361" s="43">
        <v>8.0540000000000003</v>
      </c>
      <c r="V361" s="28">
        <v>6.0139999999999995E-8</v>
      </c>
      <c r="W361" s="43" t="s">
        <v>910</v>
      </c>
      <c r="X361" s="43" t="s">
        <v>65</v>
      </c>
    </row>
    <row r="362" spans="2:24" x14ac:dyDescent="0.2">
      <c r="B362" s="43" t="s">
        <v>327</v>
      </c>
      <c r="C362" s="43">
        <v>27</v>
      </c>
      <c r="D362" s="43" t="s">
        <v>879</v>
      </c>
      <c r="E362" s="43" t="s">
        <v>106</v>
      </c>
      <c r="F362" s="43" t="s">
        <v>880</v>
      </c>
      <c r="G362" s="43" t="s">
        <v>380</v>
      </c>
      <c r="H362" s="43">
        <v>60</v>
      </c>
      <c r="I362" s="43">
        <v>-48.451599999999999</v>
      </c>
      <c r="J362" s="28">
        <v>-4.5849999999999998E-7</v>
      </c>
      <c r="K362" s="43" t="s">
        <v>910</v>
      </c>
      <c r="L362" s="43" t="s">
        <v>65</v>
      </c>
      <c r="N362" s="43" t="s">
        <v>327</v>
      </c>
      <c r="O362" s="43">
        <v>27</v>
      </c>
      <c r="P362" s="43" t="s">
        <v>879</v>
      </c>
      <c r="Q362" s="43" t="s">
        <v>376</v>
      </c>
      <c r="R362" s="43" t="s">
        <v>880</v>
      </c>
      <c r="S362" s="43" t="s">
        <v>380</v>
      </c>
      <c r="T362" s="43">
        <v>10</v>
      </c>
      <c r="U362" s="43">
        <v>-48.627699999999997</v>
      </c>
      <c r="V362" s="28">
        <v>-4.601E-7</v>
      </c>
      <c r="W362" s="43" t="s">
        <v>910</v>
      </c>
      <c r="X362" s="43" t="s">
        <v>65</v>
      </c>
    </row>
    <row r="363" spans="2:24" x14ac:dyDescent="0.2">
      <c r="B363" s="43" t="s">
        <v>327</v>
      </c>
      <c r="C363" s="43">
        <v>27</v>
      </c>
      <c r="D363" s="43" t="s">
        <v>879</v>
      </c>
      <c r="E363" s="43" t="s">
        <v>106</v>
      </c>
      <c r="F363" s="43" t="s">
        <v>881</v>
      </c>
      <c r="G363" s="43" t="s">
        <v>382</v>
      </c>
      <c r="H363" s="43">
        <v>60</v>
      </c>
      <c r="I363" s="43">
        <v>-48.926200000000001</v>
      </c>
      <c r="J363" s="28">
        <v>-4.63E-7</v>
      </c>
      <c r="K363" s="43" t="s">
        <v>910</v>
      </c>
      <c r="L363" s="43" t="s">
        <v>65</v>
      </c>
      <c r="N363" s="43" t="s">
        <v>327</v>
      </c>
      <c r="O363" s="43">
        <v>27</v>
      </c>
      <c r="P363" s="43" t="s">
        <v>879</v>
      </c>
      <c r="Q363" s="43" t="s">
        <v>376</v>
      </c>
      <c r="R363" s="43" t="s">
        <v>881</v>
      </c>
      <c r="S363" s="43" t="s">
        <v>382</v>
      </c>
      <c r="T363" s="43">
        <v>10</v>
      </c>
      <c r="U363" s="43">
        <v>-48.758000000000003</v>
      </c>
      <c r="V363" s="28">
        <v>-4.6139999999999999E-7</v>
      </c>
      <c r="W363" s="43" t="s">
        <v>910</v>
      </c>
      <c r="X363" s="43" t="s">
        <v>65</v>
      </c>
    </row>
    <row r="364" spans="2:24" x14ac:dyDescent="0.2">
      <c r="B364" s="43" t="s">
        <v>327</v>
      </c>
      <c r="C364" s="43">
        <v>30</v>
      </c>
      <c r="D364" s="43" t="s">
        <v>882</v>
      </c>
      <c r="E364" s="43" t="s">
        <v>106</v>
      </c>
      <c r="F364" s="43" t="s">
        <v>883</v>
      </c>
      <c r="G364" s="43" t="s">
        <v>380</v>
      </c>
      <c r="H364" s="43">
        <v>60</v>
      </c>
      <c r="I364" s="43">
        <v>-73.419499999999999</v>
      </c>
      <c r="J364" s="28">
        <v>-4.9510000000000003E-7</v>
      </c>
      <c r="K364" s="43" t="s">
        <v>910</v>
      </c>
      <c r="L364" s="43" t="s">
        <v>65</v>
      </c>
      <c r="N364" s="43" t="s">
        <v>327</v>
      </c>
      <c r="O364" s="43">
        <v>30</v>
      </c>
      <c r="P364" s="43" t="s">
        <v>882</v>
      </c>
      <c r="Q364" s="43" t="s">
        <v>376</v>
      </c>
      <c r="R364" s="43" t="s">
        <v>883</v>
      </c>
      <c r="S364" s="43" t="s">
        <v>380</v>
      </c>
      <c r="T364" s="43">
        <v>10</v>
      </c>
      <c r="U364" s="43">
        <v>-73.652299999999997</v>
      </c>
      <c r="V364" s="28">
        <v>-4.9670000000000005E-7</v>
      </c>
      <c r="W364" s="43" t="s">
        <v>910</v>
      </c>
      <c r="X364" s="43" t="s">
        <v>65</v>
      </c>
    </row>
    <row r="365" spans="2:24" x14ac:dyDescent="0.2">
      <c r="B365" s="43" t="s">
        <v>327</v>
      </c>
      <c r="C365" s="43">
        <v>30</v>
      </c>
      <c r="D365" s="43" t="s">
        <v>882</v>
      </c>
      <c r="E365" s="43" t="s">
        <v>106</v>
      </c>
      <c r="F365" s="43" t="s">
        <v>884</v>
      </c>
      <c r="G365" s="43" t="s">
        <v>382</v>
      </c>
      <c r="H365" s="43">
        <v>60</v>
      </c>
      <c r="I365" s="43">
        <v>-57.006399999999999</v>
      </c>
      <c r="J365" s="28">
        <v>-3.8439999999999997E-7</v>
      </c>
      <c r="K365" s="43" t="s">
        <v>910</v>
      </c>
      <c r="L365" s="43" t="s">
        <v>65</v>
      </c>
      <c r="N365" s="43" t="s">
        <v>327</v>
      </c>
      <c r="O365" s="43">
        <v>30</v>
      </c>
      <c r="P365" s="43" t="s">
        <v>882</v>
      </c>
      <c r="Q365" s="43" t="s">
        <v>376</v>
      </c>
      <c r="R365" s="43" t="s">
        <v>884</v>
      </c>
      <c r="S365" s="43" t="s">
        <v>382</v>
      </c>
      <c r="T365" s="43">
        <v>10</v>
      </c>
      <c r="U365" s="43">
        <v>-56.767400000000002</v>
      </c>
      <c r="V365" s="28">
        <v>-3.8280000000000001E-7</v>
      </c>
      <c r="W365" s="43" t="s">
        <v>910</v>
      </c>
      <c r="X365" s="43" t="s">
        <v>65</v>
      </c>
    </row>
    <row r="366" spans="2:24" x14ac:dyDescent="0.2">
      <c r="B366" s="43" t="s">
        <v>327</v>
      </c>
      <c r="C366" s="43">
        <v>33</v>
      </c>
      <c r="D366" s="43" t="s">
        <v>885</v>
      </c>
      <c r="E366" s="43" t="s">
        <v>106</v>
      </c>
      <c r="F366" s="43" t="s">
        <v>886</v>
      </c>
      <c r="G366" s="43" t="s">
        <v>380</v>
      </c>
      <c r="H366" s="43">
        <v>60</v>
      </c>
      <c r="I366" s="43">
        <v>-58.315199999999997</v>
      </c>
      <c r="J366" s="28">
        <v>-4.122E-7</v>
      </c>
      <c r="K366" s="43" t="s">
        <v>910</v>
      </c>
      <c r="L366" s="43" t="s">
        <v>65</v>
      </c>
      <c r="N366" s="43" t="s">
        <v>327</v>
      </c>
      <c r="O366" s="43">
        <v>33</v>
      </c>
      <c r="P366" s="43" t="s">
        <v>885</v>
      </c>
      <c r="Q366" s="43" t="s">
        <v>376</v>
      </c>
      <c r="R366" s="43" t="s">
        <v>886</v>
      </c>
      <c r="S366" s="43" t="s">
        <v>380</v>
      </c>
      <c r="T366" s="43">
        <v>10</v>
      </c>
      <c r="U366" s="43">
        <v>-58.545299999999997</v>
      </c>
      <c r="V366" s="28">
        <v>-4.1380000000000001E-7</v>
      </c>
      <c r="W366" s="43" t="s">
        <v>910</v>
      </c>
      <c r="X366" s="43" t="s">
        <v>65</v>
      </c>
    </row>
    <row r="367" spans="2:24" x14ac:dyDescent="0.2">
      <c r="B367" s="43" t="s">
        <v>327</v>
      </c>
      <c r="C367" s="43">
        <v>33</v>
      </c>
      <c r="D367" s="43" t="s">
        <v>885</v>
      </c>
      <c r="E367" s="43" t="s">
        <v>106</v>
      </c>
      <c r="F367" s="43" t="s">
        <v>887</v>
      </c>
      <c r="G367" s="43" t="s">
        <v>382</v>
      </c>
      <c r="H367" s="43">
        <v>60</v>
      </c>
      <c r="I367" s="43">
        <v>-64.269000000000005</v>
      </c>
      <c r="J367" s="28">
        <v>-4.5429999999999999E-7</v>
      </c>
      <c r="K367" s="43" t="s">
        <v>910</v>
      </c>
      <c r="L367" s="43" t="s">
        <v>65</v>
      </c>
      <c r="N367" s="43" t="s">
        <v>327</v>
      </c>
      <c r="O367" s="43">
        <v>33</v>
      </c>
      <c r="P367" s="43" t="s">
        <v>885</v>
      </c>
      <c r="Q367" s="43" t="s">
        <v>376</v>
      </c>
      <c r="R367" s="43" t="s">
        <v>887</v>
      </c>
      <c r="S367" s="43" t="s">
        <v>382</v>
      </c>
      <c r="T367" s="43">
        <v>10</v>
      </c>
      <c r="U367" s="43">
        <v>-64.033100000000005</v>
      </c>
      <c r="V367" s="28">
        <v>-4.5260000000000002E-7</v>
      </c>
      <c r="W367" s="43" t="s">
        <v>910</v>
      </c>
      <c r="X367" s="43" t="s">
        <v>65</v>
      </c>
    </row>
    <row r="368" spans="2:24" x14ac:dyDescent="0.2">
      <c r="B368" s="43" t="s">
        <v>327</v>
      </c>
      <c r="C368" s="43">
        <v>36</v>
      </c>
      <c r="D368" s="43" t="s">
        <v>888</v>
      </c>
      <c r="E368" s="43" t="s">
        <v>106</v>
      </c>
      <c r="F368" s="43" t="s">
        <v>889</v>
      </c>
      <c r="G368" s="43" t="s">
        <v>380</v>
      </c>
      <c r="H368" s="43">
        <v>60</v>
      </c>
      <c r="I368" s="43">
        <v>-58.436100000000003</v>
      </c>
      <c r="J368" s="28">
        <v>-4.1300000000000001E-7</v>
      </c>
      <c r="K368" s="43" t="s">
        <v>910</v>
      </c>
      <c r="L368" s="43" t="s">
        <v>65</v>
      </c>
      <c r="N368" s="43" t="s">
        <v>327</v>
      </c>
      <c r="O368" s="43">
        <v>36</v>
      </c>
      <c r="P368" s="43" t="s">
        <v>888</v>
      </c>
      <c r="Q368" s="43" t="s">
        <v>376</v>
      </c>
      <c r="R368" s="43" t="s">
        <v>889</v>
      </c>
      <c r="S368" s="43" t="s">
        <v>380</v>
      </c>
      <c r="T368" s="43">
        <v>10</v>
      </c>
      <c r="U368" s="43">
        <v>-58.666699999999999</v>
      </c>
      <c r="V368" s="28">
        <v>-4.1469999999999997E-7</v>
      </c>
      <c r="W368" s="43" t="s">
        <v>910</v>
      </c>
      <c r="X368" s="43" t="s">
        <v>65</v>
      </c>
    </row>
    <row r="369" spans="2:24" x14ac:dyDescent="0.2">
      <c r="B369" s="43" t="s">
        <v>327</v>
      </c>
      <c r="C369" s="43">
        <v>36</v>
      </c>
      <c r="D369" s="43" t="s">
        <v>888</v>
      </c>
      <c r="E369" s="43" t="s">
        <v>106</v>
      </c>
      <c r="F369" s="43" t="s">
        <v>890</v>
      </c>
      <c r="G369" s="43" t="s">
        <v>382</v>
      </c>
      <c r="H369" s="43">
        <v>60</v>
      </c>
      <c r="I369" s="43">
        <v>-64.125</v>
      </c>
      <c r="J369" s="28">
        <v>-4.5330000000000002E-7</v>
      </c>
      <c r="K369" s="43" t="s">
        <v>910</v>
      </c>
      <c r="L369" s="43" t="s">
        <v>65</v>
      </c>
      <c r="N369" s="43" t="s">
        <v>327</v>
      </c>
      <c r="O369" s="43">
        <v>36</v>
      </c>
      <c r="P369" s="43" t="s">
        <v>888</v>
      </c>
      <c r="Q369" s="43" t="s">
        <v>376</v>
      </c>
      <c r="R369" s="43" t="s">
        <v>890</v>
      </c>
      <c r="S369" s="43" t="s">
        <v>382</v>
      </c>
      <c r="T369" s="43">
        <v>10</v>
      </c>
      <c r="U369" s="43">
        <v>-63.889000000000003</v>
      </c>
      <c r="V369" s="28">
        <v>-4.5159999999999999E-7</v>
      </c>
      <c r="W369" s="43" t="s">
        <v>910</v>
      </c>
      <c r="X369" s="43" t="s">
        <v>65</v>
      </c>
    </row>
    <row r="370" spans="2:24" x14ac:dyDescent="0.2">
      <c r="B370" s="43" t="s">
        <v>327</v>
      </c>
      <c r="C370" s="43">
        <v>39</v>
      </c>
      <c r="D370" s="43" t="s">
        <v>891</v>
      </c>
      <c r="E370" s="43" t="s">
        <v>106</v>
      </c>
      <c r="F370" s="43" t="s">
        <v>892</v>
      </c>
      <c r="G370" s="43" t="s">
        <v>380</v>
      </c>
      <c r="H370" s="43">
        <v>60</v>
      </c>
      <c r="I370" s="43">
        <v>-73.007900000000006</v>
      </c>
      <c r="J370" s="28">
        <v>-4.9230000000000003E-7</v>
      </c>
      <c r="K370" s="43" t="s">
        <v>910</v>
      </c>
      <c r="L370" s="43" t="s">
        <v>65</v>
      </c>
      <c r="N370" s="43" t="s">
        <v>327</v>
      </c>
      <c r="O370" s="43">
        <v>39</v>
      </c>
      <c r="P370" s="43" t="s">
        <v>891</v>
      </c>
      <c r="Q370" s="43" t="s">
        <v>376</v>
      </c>
      <c r="R370" s="43" t="s">
        <v>892</v>
      </c>
      <c r="S370" s="43" t="s">
        <v>380</v>
      </c>
      <c r="T370" s="43">
        <v>10</v>
      </c>
      <c r="U370" s="43">
        <v>-73.241900000000001</v>
      </c>
      <c r="V370" s="28">
        <v>-4.9390000000000005E-7</v>
      </c>
      <c r="W370" s="43" t="s">
        <v>910</v>
      </c>
      <c r="X370" s="43" t="s">
        <v>65</v>
      </c>
    </row>
    <row r="371" spans="2:24" x14ac:dyDescent="0.2">
      <c r="B371" s="43" t="s">
        <v>327</v>
      </c>
      <c r="C371" s="43">
        <v>39</v>
      </c>
      <c r="D371" s="43" t="s">
        <v>891</v>
      </c>
      <c r="E371" s="43" t="s">
        <v>106</v>
      </c>
      <c r="F371" s="43" t="s">
        <v>893</v>
      </c>
      <c r="G371" s="43" t="s">
        <v>382</v>
      </c>
      <c r="H371" s="43">
        <v>60</v>
      </c>
      <c r="I371" s="43">
        <v>-56.707299999999996</v>
      </c>
      <c r="J371" s="28">
        <v>-3.8239999999999998E-7</v>
      </c>
      <c r="K371" s="43" t="s">
        <v>910</v>
      </c>
      <c r="L371" s="43" t="s">
        <v>65</v>
      </c>
      <c r="N371" s="43" t="s">
        <v>327</v>
      </c>
      <c r="O371" s="43">
        <v>39</v>
      </c>
      <c r="P371" s="43" t="s">
        <v>891</v>
      </c>
      <c r="Q371" s="43" t="s">
        <v>376</v>
      </c>
      <c r="R371" s="43" t="s">
        <v>893</v>
      </c>
      <c r="S371" s="43" t="s">
        <v>382</v>
      </c>
      <c r="T371" s="43">
        <v>10</v>
      </c>
      <c r="U371" s="43">
        <v>-56.466999999999999</v>
      </c>
      <c r="V371" s="28">
        <v>-3.8080000000000002E-7</v>
      </c>
      <c r="W371" s="43" t="s">
        <v>910</v>
      </c>
      <c r="X371" s="43" t="s">
        <v>65</v>
      </c>
    </row>
    <row r="372" spans="2:24" x14ac:dyDescent="0.2">
      <c r="B372" s="43" t="s">
        <v>327</v>
      </c>
      <c r="C372" s="43">
        <v>42</v>
      </c>
      <c r="D372" s="43" t="s">
        <v>894</v>
      </c>
      <c r="E372" s="43" t="s">
        <v>106</v>
      </c>
      <c r="F372" s="43" t="s">
        <v>895</v>
      </c>
      <c r="G372" s="43" t="s">
        <v>380</v>
      </c>
      <c r="H372" s="43">
        <v>60</v>
      </c>
      <c r="I372" s="43">
        <v>-42.684100000000001</v>
      </c>
      <c r="J372" s="28">
        <v>-4.0390000000000001E-7</v>
      </c>
      <c r="K372" s="43" t="s">
        <v>910</v>
      </c>
      <c r="L372" s="43" t="s">
        <v>65</v>
      </c>
      <c r="N372" s="43" t="s">
        <v>327</v>
      </c>
      <c r="O372" s="43">
        <v>42</v>
      </c>
      <c r="P372" s="43" t="s">
        <v>894</v>
      </c>
      <c r="Q372" s="43" t="s">
        <v>376</v>
      </c>
      <c r="R372" s="43" t="s">
        <v>895</v>
      </c>
      <c r="S372" s="43" t="s">
        <v>380</v>
      </c>
      <c r="T372" s="43">
        <v>10</v>
      </c>
      <c r="U372" s="43">
        <v>-42.8553</v>
      </c>
      <c r="V372" s="28">
        <v>-4.0550000000000002E-7</v>
      </c>
      <c r="W372" s="43" t="s">
        <v>910</v>
      </c>
      <c r="X372" s="43" t="s">
        <v>65</v>
      </c>
    </row>
    <row r="373" spans="2:24" x14ac:dyDescent="0.2">
      <c r="B373" s="43" t="s">
        <v>327</v>
      </c>
      <c r="C373" s="43">
        <v>42</v>
      </c>
      <c r="D373" s="43" t="s">
        <v>894</v>
      </c>
      <c r="E373" s="43" t="s">
        <v>106</v>
      </c>
      <c r="F373" s="43" t="s">
        <v>896</v>
      </c>
      <c r="G373" s="43" t="s">
        <v>382</v>
      </c>
      <c r="H373" s="43">
        <v>60</v>
      </c>
      <c r="I373" s="43">
        <v>-43.8675</v>
      </c>
      <c r="J373" s="28">
        <v>-4.151E-7</v>
      </c>
      <c r="K373" s="43" t="s">
        <v>910</v>
      </c>
      <c r="L373" s="43" t="s">
        <v>65</v>
      </c>
      <c r="N373" s="43" t="s">
        <v>327</v>
      </c>
      <c r="O373" s="43">
        <v>42</v>
      </c>
      <c r="P373" s="43" t="s">
        <v>894</v>
      </c>
      <c r="Q373" s="43" t="s">
        <v>376</v>
      </c>
      <c r="R373" s="43" t="s">
        <v>896</v>
      </c>
      <c r="S373" s="43" t="s">
        <v>382</v>
      </c>
      <c r="T373" s="43">
        <v>10</v>
      </c>
      <c r="U373" s="43">
        <v>-43.688800000000001</v>
      </c>
      <c r="V373" s="28">
        <v>-4.1339999999999998E-7</v>
      </c>
      <c r="W373" s="43" t="s">
        <v>910</v>
      </c>
      <c r="X373" s="43" t="s">
        <v>65</v>
      </c>
    </row>
    <row r="374" spans="2:24" x14ac:dyDescent="0.2">
      <c r="B374" s="43" t="s">
        <v>327</v>
      </c>
      <c r="C374" s="43">
        <v>58</v>
      </c>
      <c r="D374" s="43" t="s">
        <v>897</v>
      </c>
      <c r="E374" s="43" t="s">
        <v>106</v>
      </c>
      <c r="F374" s="43" t="s">
        <v>898</v>
      </c>
      <c r="G374" s="43" t="s">
        <v>380</v>
      </c>
      <c r="H374" s="43">
        <v>60</v>
      </c>
      <c r="I374" s="43">
        <v>-41.875399999999999</v>
      </c>
      <c r="J374" s="28">
        <v>-4.2930000000000001E-7</v>
      </c>
      <c r="K374" s="43" t="s">
        <v>910</v>
      </c>
      <c r="L374" s="43" t="s">
        <v>65</v>
      </c>
      <c r="N374" s="43" t="s">
        <v>327</v>
      </c>
      <c r="O374" s="43">
        <v>58</v>
      </c>
      <c r="P374" s="43" t="s">
        <v>897</v>
      </c>
      <c r="Q374" s="43" t="s">
        <v>376</v>
      </c>
      <c r="R374" s="43" t="s">
        <v>898</v>
      </c>
      <c r="S374" s="43" t="s">
        <v>380</v>
      </c>
      <c r="T374" s="43">
        <v>10</v>
      </c>
      <c r="U374" s="43">
        <v>-41.906999999999996</v>
      </c>
      <c r="V374" s="28">
        <v>-4.2959999999999998E-7</v>
      </c>
      <c r="W374" s="43" t="s">
        <v>910</v>
      </c>
      <c r="X374" s="43" t="s">
        <v>65</v>
      </c>
    </row>
    <row r="375" spans="2:24" x14ac:dyDescent="0.2">
      <c r="B375" s="43" t="s">
        <v>327</v>
      </c>
      <c r="C375" s="43">
        <v>58</v>
      </c>
      <c r="D375" s="43" t="s">
        <v>897</v>
      </c>
      <c r="E375" s="43" t="s">
        <v>106</v>
      </c>
      <c r="F375" s="43" t="s">
        <v>899</v>
      </c>
      <c r="G375" s="43" t="s">
        <v>382</v>
      </c>
      <c r="H375" s="43">
        <v>60</v>
      </c>
      <c r="I375" s="43">
        <v>0.29530000000000001</v>
      </c>
      <c r="J375" s="28">
        <v>3.027E-9</v>
      </c>
      <c r="K375" s="43" t="s">
        <v>910</v>
      </c>
      <c r="L375" s="43" t="s">
        <v>65</v>
      </c>
      <c r="N375" s="43" t="s">
        <v>327</v>
      </c>
      <c r="O375" s="43">
        <v>58</v>
      </c>
      <c r="P375" s="43" t="s">
        <v>897</v>
      </c>
      <c r="Q375" s="43" t="s">
        <v>376</v>
      </c>
      <c r="R375" s="43" t="s">
        <v>899</v>
      </c>
      <c r="S375" s="43" t="s">
        <v>382</v>
      </c>
      <c r="T375" s="43">
        <v>10</v>
      </c>
      <c r="U375" s="43">
        <v>0.33329999999999999</v>
      </c>
      <c r="V375" s="28">
        <v>3.4160000000000002E-9</v>
      </c>
      <c r="W375" s="43" t="s">
        <v>910</v>
      </c>
      <c r="X375" s="43" t="s">
        <v>65</v>
      </c>
    </row>
    <row r="376" spans="2:24" x14ac:dyDescent="0.2">
      <c r="B376" s="43" t="s">
        <v>327</v>
      </c>
      <c r="C376" s="43">
        <v>59</v>
      </c>
      <c r="D376" s="43" t="s">
        <v>900</v>
      </c>
      <c r="E376" s="43" t="s">
        <v>106</v>
      </c>
      <c r="F376" s="43" t="s">
        <v>901</v>
      </c>
      <c r="G376" s="43" t="s">
        <v>380</v>
      </c>
      <c r="H376" s="43">
        <v>60</v>
      </c>
      <c r="I376" s="43">
        <v>-49.612499999999997</v>
      </c>
      <c r="J376" s="28">
        <v>-4.4099999999999999E-7</v>
      </c>
      <c r="K376" s="43" t="s">
        <v>910</v>
      </c>
      <c r="L376" s="43" t="s">
        <v>65</v>
      </c>
      <c r="N376" s="43" t="s">
        <v>327</v>
      </c>
      <c r="O376" s="43">
        <v>59</v>
      </c>
      <c r="P376" s="43" t="s">
        <v>900</v>
      </c>
      <c r="Q376" s="43" t="s">
        <v>376</v>
      </c>
      <c r="R376" s="43" t="s">
        <v>901</v>
      </c>
      <c r="S376" s="43" t="s">
        <v>380</v>
      </c>
      <c r="T376" s="43">
        <v>10</v>
      </c>
      <c r="U376" s="43">
        <v>-49.6432</v>
      </c>
      <c r="V376" s="28">
        <v>-4.4130000000000001E-7</v>
      </c>
      <c r="W376" s="43" t="s">
        <v>910</v>
      </c>
      <c r="X376" s="43" t="s">
        <v>65</v>
      </c>
    </row>
    <row r="377" spans="2:24" x14ac:dyDescent="0.2">
      <c r="B377" s="43" t="s">
        <v>327</v>
      </c>
      <c r="C377" s="43">
        <v>59</v>
      </c>
      <c r="D377" s="43" t="s">
        <v>900</v>
      </c>
      <c r="E377" s="43" t="s">
        <v>106</v>
      </c>
      <c r="F377" s="43" t="s">
        <v>902</v>
      </c>
      <c r="G377" s="43" t="s">
        <v>382</v>
      </c>
      <c r="H377" s="43">
        <v>60</v>
      </c>
      <c r="I377" s="43">
        <v>10.820499999999999</v>
      </c>
      <c r="J377" s="28">
        <v>9.6180000000000005E-8</v>
      </c>
      <c r="K377" s="43" t="s">
        <v>910</v>
      </c>
      <c r="L377" s="43" t="s">
        <v>65</v>
      </c>
      <c r="N377" s="43" t="s">
        <v>327</v>
      </c>
      <c r="O377" s="43">
        <v>59</v>
      </c>
      <c r="P377" s="43" t="s">
        <v>900</v>
      </c>
      <c r="Q377" s="43" t="s">
        <v>376</v>
      </c>
      <c r="R377" s="43" t="s">
        <v>902</v>
      </c>
      <c r="S377" s="43" t="s">
        <v>382</v>
      </c>
      <c r="T377" s="43">
        <v>10</v>
      </c>
      <c r="U377" s="43">
        <v>10.8537</v>
      </c>
      <c r="V377" s="28">
        <v>9.6480000000000001E-8</v>
      </c>
      <c r="W377" s="43" t="s">
        <v>910</v>
      </c>
      <c r="X377" s="43" t="s">
        <v>65</v>
      </c>
    </row>
    <row r="378" spans="2:24" x14ac:dyDescent="0.2">
      <c r="B378" s="43" t="s">
        <v>327</v>
      </c>
      <c r="C378" s="43">
        <v>60</v>
      </c>
      <c r="D378" s="43" t="s">
        <v>900</v>
      </c>
      <c r="E378" s="43" t="s">
        <v>106</v>
      </c>
      <c r="F378" s="43" t="s">
        <v>903</v>
      </c>
      <c r="G378" s="43" t="s">
        <v>380</v>
      </c>
      <c r="H378" s="43">
        <v>60</v>
      </c>
      <c r="I378" s="43">
        <v>-41.315399999999997</v>
      </c>
      <c r="J378" s="28">
        <v>-3.4630000000000002E-7</v>
      </c>
      <c r="K378" s="43" t="s">
        <v>910</v>
      </c>
      <c r="L378" s="43" t="s">
        <v>65</v>
      </c>
      <c r="N378" s="43" t="s">
        <v>327</v>
      </c>
      <c r="O378" s="43">
        <v>60</v>
      </c>
      <c r="P378" s="43" t="s">
        <v>900</v>
      </c>
      <c r="Q378" s="43" t="s">
        <v>376</v>
      </c>
      <c r="R378" s="43" t="s">
        <v>903</v>
      </c>
      <c r="S378" s="43" t="s">
        <v>380</v>
      </c>
      <c r="T378" s="43">
        <v>10</v>
      </c>
      <c r="U378" s="43">
        <v>-41.343699999999998</v>
      </c>
      <c r="V378" s="28">
        <v>-3.4649999999999999E-7</v>
      </c>
      <c r="W378" s="43" t="s">
        <v>910</v>
      </c>
      <c r="X378" s="43" t="s">
        <v>65</v>
      </c>
    </row>
    <row r="379" spans="2:24" x14ac:dyDescent="0.2">
      <c r="B379" s="43" t="s">
        <v>327</v>
      </c>
      <c r="C379" s="43">
        <v>60</v>
      </c>
      <c r="D379" s="43" t="s">
        <v>900</v>
      </c>
      <c r="E379" s="43" t="s">
        <v>106</v>
      </c>
      <c r="F379" s="43" t="s">
        <v>904</v>
      </c>
      <c r="G379" s="43" t="s">
        <v>382</v>
      </c>
      <c r="H379" s="43">
        <v>60</v>
      </c>
      <c r="I379" s="43">
        <v>11.6348</v>
      </c>
      <c r="J379" s="28">
        <v>9.7510000000000004E-8</v>
      </c>
      <c r="K379" s="43" t="s">
        <v>910</v>
      </c>
      <c r="L379" s="43" t="s">
        <v>65</v>
      </c>
      <c r="N379" s="43" t="s">
        <v>327</v>
      </c>
      <c r="O379" s="43">
        <v>60</v>
      </c>
      <c r="P379" s="43" t="s">
        <v>900</v>
      </c>
      <c r="Q379" s="43" t="s">
        <v>376</v>
      </c>
      <c r="R379" s="43" t="s">
        <v>904</v>
      </c>
      <c r="S379" s="43" t="s">
        <v>382</v>
      </c>
      <c r="T379" s="43">
        <v>10</v>
      </c>
      <c r="U379" s="43">
        <v>11.6685</v>
      </c>
      <c r="V379" s="28">
        <v>9.7790000000000004E-8</v>
      </c>
      <c r="W379" s="43" t="s">
        <v>910</v>
      </c>
      <c r="X379" s="43" t="s">
        <v>65</v>
      </c>
    </row>
    <row r="380" spans="2:24" x14ac:dyDescent="0.2">
      <c r="B380" s="43" t="s">
        <v>327</v>
      </c>
      <c r="C380" s="43">
        <v>61</v>
      </c>
      <c r="D380" s="43" t="s">
        <v>900</v>
      </c>
      <c r="E380" s="43" t="s">
        <v>106</v>
      </c>
      <c r="F380" s="43" t="s">
        <v>905</v>
      </c>
      <c r="G380" s="43" t="s">
        <v>380</v>
      </c>
      <c r="H380" s="43">
        <v>60</v>
      </c>
      <c r="I380" s="43">
        <v>-40.594200000000001</v>
      </c>
      <c r="J380" s="28">
        <v>-3.608E-7</v>
      </c>
      <c r="K380" s="43" t="s">
        <v>910</v>
      </c>
      <c r="L380" s="43" t="s">
        <v>65</v>
      </c>
      <c r="N380" s="43" t="s">
        <v>327</v>
      </c>
      <c r="O380" s="43">
        <v>61</v>
      </c>
      <c r="P380" s="43" t="s">
        <v>900</v>
      </c>
      <c r="Q380" s="43" t="s">
        <v>376</v>
      </c>
      <c r="R380" s="43" t="s">
        <v>905</v>
      </c>
      <c r="S380" s="43" t="s">
        <v>380</v>
      </c>
      <c r="T380" s="43">
        <v>10</v>
      </c>
      <c r="U380" s="43">
        <v>-40.6233</v>
      </c>
      <c r="V380" s="28">
        <v>-3.6110000000000002E-7</v>
      </c>
      <c r="W380" s="43" t="s">
        <v>910</v>
      </c>
      <c r="X380" s="43" t="s">
        <v>65</v>
      </c>
    </row>
    <row r="381" spans="2:24" x14ac:dyDescent="0.2">
      <c r="B381" s="43" t="s">
        <v>327</v>
      </c>
      <c r="C381" s="43">
        <v>61</v>
      </c>
      <c r="D381" s="43" t="s">
        <v>900</v>
      </c>
      <c r="E381" s="43" t="s">
        <v>106</v>
      </c>
      <c r="F381" s="43" t="s">
        <v>906</v>
      </c>
      <c r="G381" s="43" t="s">
        <v>382</v>
      </c>
      <c r="H381" s="43">
        <v>60</v>
      </c>
      <c r="I381" s="43">
        <v>5.0636000000000001</v>
      </c>
      <c r="J381" s="28">
        <v>4.5009999999999997E-8</v>
      </c>
      <c r="K381" s="43" t="s">
        <v>910</v>
      </c>
      <c r="L381" s="43" t="s">
        <v>65</v>
      </c>
      <c r="N381" s="43" t="s">
        <v>327</v>
      </c>
      <c r="O381" s="43">
        <v>61</v>
      </c>
      <c r="P381" s="43" t="s">
        <v>900</v>
      </c>
      <c r="Q381" s="43" t="s">
        <v>376</v>
      </c>
      <c r="R381" s="43" t="s">
        <v>906</v>
      </c>
      <c r="S381" s="43" t="s">
        <v>382</v>
      </c>
      <c r="T381" s="43">
        <v>10</v>
      </c>
      <c r="U381" s="43">
        <v>5.1028000000000002</v>
      </c>
      <c r="V381" s="28">
        <v>4.5359999999999997E-8</v>
      </c>
      <c r="W381" s="43" t="s">
        <v>910</v>
      </c>
      <c r="X381" s="43" t="s">
        <v>65</v>
      </c>
    </row>
    <row r="382" spans="2:24" x14ac:dyDescent="0.2">
      <c r="B382" s="43" t="s">
        <v>327</v>
      </c>
      <c r="C382" s="43">
        <v>62</v>
      </c>
      <c r="D382" s="43" t="s">
        <v>907</v>
      </c>
      <c r="E382" s="43" t="s">
        <v>106</v>
      </c>
      <c r="F382" s="43" t="s">
        <v>908</v>
      </c>
      <c r="G382" s="43" t="s">
        <v>380</v>
      </c>
      <c r="H382" s="43">
        <v>60</v>
      </c>
      <c r="I382" s="43">
        <v>-47.926600000000001</v>
      </c>
      <c r="J382" s="28">
        <v>-4.9129999999999996E-7</v>
      </c>
      <c r="K382" s="43" t="s">
        <v>910</v>
      </c>
      <c r="L382" s="43" t="s">
        <v>65</v>
      </c>
      <c r="N382" s="43" t="s">
        <v>327</v>
      </c>
      <c r="O382" s="43">
        <v>62</v>
      </c>
      <c r="P382" s="43" t="s">
        <v>907</v>
      </c>
      <c r="Q382" s="43" t="s">
        <v>376</v>
      </c>
      <c r="R382" s="43" t="s">
        <v>908</v>
      </c>
      <c r="S382" s="43" t="s">
        <v>380</v>
      </c>
      <c r="T382" s="43">
        <v>10</v>
      </c>
      <c r="U382" s="43">
        <v>-47.9544</v>
      </c>
      <c r="V382" s="28">
        <v>-4.9159999999999998E-7</v>
      </c>
      <c r="W382" s="43" t="s">
        <v>910</v>
      </c>
      <c r="X382" s="43" t="s">
        <v>65</v>
      </c>
    </row>
    <row r="383" spans="2:24" x14ac:dyDescent="0.2">
      <c r="B383" s="43" t="s">
        <v>327</v>
      </c>
      <c r="C383" s="43">
        <v>62</v>
      </c>
      <c r="D383" s="43" t="s">
        <v>907</v>
      </c>
      <c r="E383" s="43" t="s">
        <v>106</v>
      </c>
      <c r="F383" s="43" t="s">
        <v>909</v>
      </c>
      <c r="G383" s="43" t="s">
        <v>382</v>
      </c>
      <c r="H383" s="43">
        <v>60</v>
      </c>
      <c r="I383" s="43">
        <v>6.0852000000000004</v>
      </c>
      <c r="J383" s="28">
        <v>6.2379999999999993E-8</v>
      </c>
      <c r="K383" s="43" t="s">
        <v>910</v>
      </c>
      <c r="L383" s="43" t="s">
        <v>65</v>
      </c>
      <c r="N383" s="43" t="s">
        <v>327</v>
      </c>
      <c r="O383" s="43">
        <v>62</v>
      </c>
      <c r="P383" s="43" t="s">
        <v>907</v>
      </c>
      <c r="Q383" s="43" t="s">
        <v>376</v>
      </c>
      <c r="R383" s="43" t="s">
        <v>909</v>
      </c>
      <c r="S383" s="43" t="s">
        <v>382</v>
      </c>
      <c r="T383" s="43">
        <v>10</v>
      </c>
      <c r="U383" s="43">
        <v>6.1197999999999997</v>
      </c>
      <c r="V383" s="28">
        <v>6.2730000000000007E-8</v>
      </c>
      <c r="W383" s="43" t="s">
        <v>910</v>
      </c>
      <c r="X383" s="43" t="s">
        <v>65</v>
      </c>
    </row>
  </sheetData>
  <mergeCells count="18">
    <mergeCell ref="H2:H3"/>
    <mergeCell ref="L2:L3"/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  <mergeCell ref="T2:T3"/>
    <mergeCell ref="X2:X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38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6.5703125" style="43" bestFit="1" customWidth="1"/>
    <col min="3" max="3" width="10" style="43" bestFit="1" customWidth="1"/>
    <col min="4" max="4" width="17.42578125" style="43" bestFit="1" customWidth="1"/>
    <col min="5" max="5" width="12" style="43" bestFit="1" customWidth="1"/>
    <col min="6" max="6" width="10.28515625" style="43" bestFit="1" customWidth="1"/>
    <col min="7" max="7" width="13.85546875" style="43" bestFit="1" customWidth="1"/>
    <col min="8" max="8" width="11.5703125" style="43" bestFit="1" customWidth="1"/>
    <col min="9" max="9" width="10.28515625" style="43" bestFit="1" customWidth="1"/>
    <col min="10" max="10" width="9.140625" style="28" bestFit="1" customWidth="1"/>
    <col min="11" max="11" width="17.42578125" style="43" bestFit="1" customWidth="1"/>
    <col min="12" max="12" width="12.7109375" style="43" bestFit="1" customWidth="1"/>
    <col min="13" max="13" width="6.7109375" style="4" customWidth="1"/>
    <col min="14" max="14" width="6.5703125" style="43" bestFit="1" customWidth="1"/>
    <col min="15" max="15" width="10" style="43" bestFit="1" customWidth="1"/>
    <col min="16" max="16" width="17.42578125" style="43" bestFit="1" customWidth="1"/>
    <col min="17" max="17" width="21.42578125" style="43" bestFit="1" customWidth="1"/>
    <col min="18" max="18" width="10.28515625" style="43" bestFit="1" customWidth="1"/>
    <col min="19" max="19" width="13.85546875" style="43" bestFit="1" customWidth="1"/>
    <col min="20" max="20" width="11.5703125" style="43" bestFit="1" customWidth="1"/>
    <col min="21" max="21" width="10.28515625" style="43" bestFit="1" customWidth="1"/>
    <col min="22" max="22" width="9.140625" style="28" bestFit="1" customWidth="1"/>
    <col min="23" max="23" width="17.42578125" style="43" bestFit="1" customWidth="1"/>
    <col min="24" max="24" width="12.7109375" style="43" bestFit="1" customWidth="1"/>
    <col min="25" max="16384" width="9.140625" style="11"/>
  </cols>
  <sheetData>
    <row r="1" spans="2:24" ht="14.45" customHeight="1" x14ac:dyDescent="0.2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103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2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2">
      <c r="B4" s="43" t="s">
        <v>131</v>
      </c>
      <c r="C4" s="43">
        <v>229</v>
      </c>
      <c r="D4" s="43" t="s">
        <v>378</v>
      </c>
      <c r="E4" s="43" t="s">
        <v>107</v>
      </c>
      <c r="F4" s="43" t="s">
        <v>379</v>
      </c>
      <c r="G4" s="43" t="s">
        <v>380</v>
      </c>
      <c r="H4" s="43">
        <v>60</v>
      </c>
      <c r="I4" s="43">
        <v>-10.059900000000001</v>
      </c>
      <c r="J4" s="28">
        <v>-1.151E-7</v>
      </c>
      <c r="K4" s="43" t="s">
        <v>910</v>
      </c>
      <c r="L4" s="43" t="s">
        <v>65</v>
      </c>
      <c r="N4" s="43" t="s">
        <v>131</v>
      </c>
      <c r="O4" s="43">
        <v>229</v>
      </c>
      <c r="P4" s="43" t="s">
        <v>378</v>
      </c>
      <c r="Q4" s="43" t="s">
        <v>377</v>
      </c>
      <c r="R4" s="43" t="s">
        <v>379</v>
      </c>
      <c r="S4" s="43" t="s">
        <v>380</v>
      </c>
      <c r="T4" s="43">
        <v>10</v>
      </c>
      <c r="U4" s="43">
        <v>-10.078799999999999</v>
      </c>
      <c r="V4" s="28">
        <v>-1.1529999999999999E-7</v>
      </c>
      <c r="W4" s="43" t="s">
        <v>910</v>
      </c>
      <c r="X4" s="43" t="s">
        <v>65</v>
      </c>
    </row>
    <row r="5" spans="2:24" x14ac:dyDescent="0.2">
      <c r="B5" s="43" t="s">
        <v>131</v>
      </c>
      <c r="C5" s="43">
        <v>229</v>
      </c>
      <c r="D5" s="43" t="s">
        <v>378</v>
      </c>
      <c r="E5" s="43" t="s">
        <v>107</v>
      </c>
      <c r="F5" s="43" t="s">
        <v>381</v>
      </c>
      <c r="G5" s="43" t="s">
        <v>382</v>
      </c>
      <c r="H5" s="43">
        <v>60</v>
      </c>
      <c r="I5" s="43">
        <v>-18.5868</v>
      </c>
      <c r="J5" s="28">
        <v>-2.1260000000000001E-7</v>
      </c>
      <c r="K5" s="43" t="s">
        <v>910</v>
      </c>
      <c r="L5" s="43" t="s">
        <v>65</v>
      </c>
      <c r="N5" s="43" t="s">
        <v>131</v>
      </c>
      <c r="O5" s="43">
        <v>229</v>
      </c>
      <c r="P5" s="43" t="s">
        <v>378</v>
      </c>
      <c r="Q5" s="43" t="s">
        <v>377</v>
      </c>
      <c r="R5" s="43" t="s">
        <v>381</v>
      </c>
      <c r="S5" s="43" t="s">
        <v>382</v>
      </c>
      <c r="T5" s="43">
        <v>10</v>
      </c>
      <c r="U5" s="43">
        <v>-18.566700000000001</v>
      </c>
      <c r="V5" s="28">
        <v>-2.124E-7</v>
      </c>
      <c r="W5" s="43" t="s">
        <v>910</v>
      </c>
      <c r="X5" s="43" t="s">
        <v>65</v>
      </c>
    </row>
    <row r="6" spans="2:24" x14ac:dyDescent="0.2">
      <c r="B6" s="43" t="s">
        <v>131</v>
      </c>
      <c r="C6" s="43">
        <v>230</v>
      </c>
      <c r="D6" s="43" t="s">
        <v>383</v>
      </c>
      <c r="E6" s="43" t="s">
        <v>107</v>
      </c>
      <c r="F6" s="43" t="s">
        <v>384</v>
      </c>
      <c r="G6" s="43" t="s">
        <v>380</v>
      </c>
      <c r="H6" s="43">
        <v>60</v>
      </c>
      <c r="I6" s="43">
        <v>-15.874700000000001</v>
      </c>
      <c r="J6" s="28">
        <v>-1.7179999999999999E-7</v>
      </c>
      <c r="K6" s="43" t="s">
        <v>910</v>
      </c>
      <c r="L6" s="43" t="s">
        <v>65</v>
      </c>
      <c r="N6" s="43" t="s">
        <v>131</v>
      </c>
      <c r="O6" s="43">
        <v>230</v>
      </c>
      <c r="P6" s="43" t="s">
        <v>383</v>
      </c>
      <c r="Q6" s="43" t="s">
        <v>377</v>
      </c>
      <c r="R6" s="43" t="s">
        <v>384</v>
      </c>
      <c r="S6" s="43" t="s">
        <v>380</v>
      </c>
      <c r="T6" s="43">
        <v>10</v>
      </c>
      <c r="U6" s="43">
        <v>-15.8972</v>
      </c>
      <c r="V6" s="28">
        <v>-1.72E-7</v>
      </c>
      <c r="W6" s="43" t="s">
        <v>910</v>
      </c>
      <c r="X6" s="43" t="s">
        <v>65</v>
      </c>
    </row>
    <row r="7" spans="2:24" x14ac:dyDescent="0.2">
      <c r="B7" s="43" t="s">
        <v>131</v>
      </c>
      <c r="C7" s="43">
        <v>230</v>
      </c>
      <c r="D7" s="43" t="s">
        <v>383</v>
      </c>
      <c r="E7" s="43" t="s">
        <v>107</v>
      </c>
      <c r="F7" s="43" t="s">
        <v>385</v>
      </c>
      <c r="G7" s="43" t="s">
        <v>382</v>
      </c>
      <c r="H7" s="43">
        <v>60</v>
      </c>
      <c r="I7" s="43">
        <v>-10.384600000000001</v>
      </c>
      <c r="J7" s="28">
        <v>-1.124E-7</v>
      </c>
      <c r="K7" s="43" t="s">
        <v>910</v>
      </c>
      <c r="L7" s="43" t="s">
        <v>65</v>
      </c>
      <c r="N7" s="43" t="s">
        <v>131</v>
      </c>
      <c r="O7" s="43">
        <v>230</v>
      </c>
      <c r="P7" s="43" t="s">
        <v>383</v>
      </c>
      <c r="Q7" s="43" t="s">
        <v>377</v>
      </c>
      <c r="R7" s="43" t="s">
        <v>385</v>
      </c>
      <c r="S7" s="43" t="s">
        <v>382</v>
      </c>
      <c r="T7" s="43">
        <v>10</v>
      </c>
      <c r="U7" s="43">
        <v>-10.3614</v>
      </c>
      <c r="V7" s="28">
        <v>-1.121E-7</v>
      </c>
      <c r="W7" s="43" t="s">
        <v>910</v>
      </c>
      <c r="X7" s="43" t="s">
        <v>65</v>
      </c>
    </row>
    <row r="8" spans="2:24" x14ac:dyDescent="0.2">
      <c r="B8" s="43" t="s">
        <v>131</v>
      </c>
      <c r="C8" s="43">
        <v>231</v>
      </c>
      <c r="D8" s="43" t="s">
        <v>383</v>
      </c>
      <c r="E8" s="43" t="s">
        <v>107</v>
      </c>
      <c r="F8" s="43" t="s">
        <v>386</v>
      </c>
      <c r="G8" s="43" t="s">
        <v>380</v>
      </c>
      <c r="H8" s="43">
        <v>60</v>
      </c>
      <c r="I8" s="43">
        <v>-10.295500000000001</v>
      </c>
      <c r="J8" s="28">
        <v>-1.05E-7</v>
      </c>
      <c r="K8" s="43" t="s">
        <v>910</v>
      </c>
      <c r="L8" s="43" t="s">
        <v>65</v>
      </c>
      <c r="N8" s="43" t="s">
        <v>131</v>
      </c>
      <c r="O8" s="43">
        <v>231</v>
      </c>
      <c r="P8" s="43" t="s">
        <v>383</v>
      </c>
      <c r="Q8" s="43" t="s">
        <v>377</v>
      </c>
      <c r="R8" s="43" t="s">
        <v>386</v>
      </c>
      <c r="S8" s="43" t="s">
        <v>380</v>
      </c>
      <c r="T8" s="43">
        <v>10</v>
      </c>
      <c r="U8" s="43">
        <v>-10.318899999999999</v>
      </c>
      <c r="V8" s="28">
        <v>-1.053E-7</v>
      </c>
      <c r="W8" s="43" t="s">
        <v>910</v>
      </c>
      <c r="X8" s="43" t="s">
        <v>65</v>
      </c>
    </row>
    <row r="9" spans="2:24" x14ac:dyDescent="0.2">
      <c r="B9" s="43" t="s">
        <v>131</v>
      </c>
      <c r="C9" s="43">
        <v>231</v>
      </c>
      <c r="D9" s="43" t="s">
        <v>383</v>
      </c>
      <c r="E9" s="43" t="s">
        <v>107</v>
      </c>
      <c r="F9" s="43" t="s">
        <v>387</v>
      </c>
      <c r="G9" s="43" t="s">
        <v>382</v>
      </c>
      <c r="H9" s="43">
        <v>60</v>
      </c>
      <c r="I9" s="43">
        <v>-10.372299999999999</v>
      </c>
      <c r="J9" s="28">
        <v>-1.0579999999999999E-7</v>
      </c>
      <c r="K9" s="43" t="s">
        <v>910</v>
      </c>
      <c r="L9" s="43" t="s">
        <v>65</v>
      </c>
      <c r="N9" s="43" t="s">
        <v>131</v>
      </c>
      <c r="O9" s="43">
        <v>231</v>
      </c>
      <c r="P9" s="43" t="s">
        <v>383</v>
      </c>
      <c r="Q9" s="43" t="s">
        <v>377</v>
      </c>
      <c r="R9" s="43" t="s">
        <v>387</v>
      </c>
      <c r="S9" s="43" t="s">
        <v>382</v>
      </c>
      <c r="T9" s="43">
        <v>10</v>
      </c>
      <c r="U9" s="43">
        <v>-10.3483</v>
      </c>
      <c r="V9" s="28">
        <v>-1.0560000000000001E-7</v>
      </c>
      <c r="W9" s="43" t="s">
        <v>910</v>
      </c>
      <c r="X9" s="43" t="s">
        <v>65</v>
      </c>
    </row>
    <row r="10" spans="2:24" x14ac:dyDescent="0.2">
      <c r="B10" s="43" t="s">
        <v>131</v>
      </c>
      <c r="C10" s="43">
        <v>232</v>
      </c>
      <c r="D10" s="43" t="s">
        <v>383</v>
      </c>
      <c r="E10" s="43" t="s">
        <v>107</v>
      </c>
      <c r="F10" s="43" t="s">
        <v>388</v>
      </c>
      <c r="G10" s="43" t="s">
        <v>380</v>
      </c>
      <c r="H10" s="43">
        <v>60</v>
      </c>
      <c r="I10" s="43">
        <v>-10.4132</v>
      </c>
      <c r="J10" s="28">
        <v>-1.127E-7</v>
      </c>
      <c r="K10" s="43" t="s">
        <v>910</v>
      </c>
      <c r="L10" s="43" t="s">
        <v>65</v>
      </c>
      <c r="N10" s="43" t="s">
        <v>131</v>
      </c>
      <c r="O10" s="43">
        <v>232</v>
      </c>
      <c r="P10" s="43" t="s">
        <v>383</v>
      </c>
      <c r="Q10" s="43" t="s">
        <v>377</v>
      </c>
      <c r="R10" s="43" t="s">
        <v>388</v>
      </c>
      <c r="S10" s="43" t="s">
        <v>380</v>
      </c>
      <c r="T10" s="43">
        <v>10</v>
      </c>
      <c r="U10" s="43">
        <v>-10.434900000000001</v>
      </c>
      <c r="V10" s="28">
        <v>-1.129E-7</v>
      </c>
      <c r="W10" s="43" t="s">
        <v>910</v>
      </c>
      <c r="X10" s="43" t="s">
        <v>65</v>
      </c>
    </row>
    <row r="11" spans="2:24" x14ac:dyDescent="0.2">
      <c r="B11" s="43" t="s">
        <v>131</v>
      </c>
      <c r="C11" s="43">
        <v>232</v>
      </c>
      <c r="D11" s="43" t="s">
        <v>383</v>
      </c>
      <c r="E11" s="43" t="s">
        <v>107</v>
      </c>
      <c r="F11" s="43" t="s">
        <v>389</v>
      </c>
      <c r="G11" s="43" t="s">
        <v>382</v>
      </c>
      <c r="H11" s="43">
        <v>60</v>
      </c>
      <c r="I11" s="43">
        <v>-15.6166</v>
      </c>
      <c r="J11" s="28">
        <v>-1.6899999999999999E-7</v>
      </c>
      <c r="K11" s="43" t="s">
        <v>910</v>
      </c>
      <c r="L11" s="43" t="s">
        <v>65</v>
      </c>
      <c r="N11" s="43" t="s">
        <v>131</v>
      </c>
      <c r="O11" s="43">
        <v>232</v>
      </c>
      <c r="P11" s="43" t="s">
        <v>383</v>
      </c>
      <c r="Q11" s="43" t="s">
        <v>377</v>
      </c>
      <c r="R11" s="43" t="s">
        <v>389</v>
      </c>
      <c r="S11" s="43" t="s">
        <v>382</v>
      </c>
      <c r="T11" s="43">
        <v>10</v>
      </c>
      <c r="U11" s="43">
        <v>-15.593999999999999</v>
      </c>
      <c r="V11" s="28">
        <v>-1.687E-7</v>
      </c>
      <c r="W11" s="43" t="s">
        <v>910</v>
      </c>
      <c r="X11" s="43" t="s">
        <v>65</v>
      </c>
    </row>
    <row r="12" spans="2:24" x14ac:dyDescent="0.2">
      <c r="B12" s="43" t="s">
        <v>131</v>
      </c>
      <c r="C12" s="43">
        <v>233</v>
      </c>
      <c r="D12" s="43" t="s">
        <v>390</v>
      </c>
      <c r="E12" s="43" t="s">
        <v>107</v>
      </c>
      <c r="F12" s="43" t="s">
        <v>391</v>
      </c>
      <c r="G12" s="43" t="s">
        <v>380</v>
      </c>
      <c r="H12" s="43">
        <v>60</v>
      </c>
      <c r="I12" s="43">
        <v>-17.467600000000001</v>
      </c>
      <c r="J12" s="28">
        <v>-1.998E-7</v>
      </c>
      <c r="K12" s="43" t="s">
        <v>910</v>
      </c>
      <c r="L12" s="43" t="s">
        <v>65</v>
      </c>
      <c r="N12" s="43" t="s">
        <v>131</v>
      </c>
      <c r="O12" s="43">
        <v>233</v>
      </c>
      <c r="P12" s="43" t="s">
        <v>390</v>
      </c>
      <c r="Q12" s="43" t="s">
        <v>377</v>
      </c>
      <c r="R12" s="43" t="s">
        <v>391</v>
      </c>
      <c r="S12" s="43" t="s">
        <v>380</v>
      </c>
      <c r="T12" s="43">
        <v>10</v>
      </c>
      <c r="U12" s="43">
        <v>-17.4877</v>
      </c>
      <c r="V12" s="28">
        <v>-2.001E-7</v>
      </c>
      <c r="W12" s="43" t="s">
        <v>910</v>
      </c>
      <c r="X12" s="43" t="s">
        <v>65</v>
      </c>
    </row>
    <row r="13" spans="2:24" x14ac:dyDescent="0.2">
      <c r="B13" s="43" t="s">
        <v>131</v>
      </c>
      <c r="C13" s="43">
        <v>233</v>
      </c>
      <c r="D13" s="43" t="s">
        <v>390</v>
      </c>
      <c r="E13" s="43" t="s">
        <v>107</v>
      </c>
      <c r="F13" s="43" t="s">
        <v>392</v>
      </c>
      <c r="G13" s="43" t="s">
        <v>382</v>
      </c>
      <c r="H13" s="43">
        <v>60</v>
      </c>
      <c r="I13" s="43">
        <v>-9.4883000000000006</v>
      </c>
      <c r="J13" s="28">
        <v>-1.085E-7</v>
      </c>
      <c r="K13" s="43" t="s">
        <v>910</v>
      </c>
      <c r="L13" s="43" t="s">
        <v>65</v>
      </c>
      <c r="N13" s="43" t="s">
        <v>131</v>
      </c>
      <c r="O13" s="43">
        <v>233</v>
      </c>
      <c r="P13" s="43" t="s">
        <v>390</v>
      </c>
      <c r="Q13" s="43" t="s">
        <v>377</v>
      </c>
      <c r="R13" s="43" t="s">
        <v>392</v>
      </c>
      <c r="S13" s="43" t="s">
        <v>382</v>
      </c>
      <c r="T13" s="43">
        <v>10</v>
      </c>
      <c r="U13" s="43">
        <v>-9.4685000000000006</v>
      </c>
      <c r="V13" s="28">
        <v>-1.083E-7</v>
      </c>
      <c r="W13" s="43" t="s">
        <v>910</v>
      </c>
      <c r="X13" s="43" t="s">
        <v>65</v>
      </c>
    </row>
    <row r="14" spans="2:24" x14ac:dyDescent="0.2">
      <c r="B14" s="43" t="s">
        <v>131</v>
      </c>
      <c r="C14" s="43">
        <v>211</v>
      </c>
      <c r="D14" s="43" t="s">
        <v>393</v>
      </c>
      <c r="E14" s="43" t="s">
        <v>107</v>
      </c>
      <c r="F14" s="43" t="s">
        <v>394</v>
      </c>
      <c r="G14" s="43" t="s">
        <v>380</v>
      </c>
      <c r="H14" s="43">
        <v>60</v>
      </c>
      <c r="I14" s="43">
        <v>-46.473599999999998</v>
      </c>
      <c r="J14" s="28">
        <v>-9.9999999999999995E-7</v>
      </c>
      <c r="K14" s="43" t="s">
        <v>910</v>
      </c>
      <c r="L14" s="43" t="s">
        <v>65</v>
      </c>
      <c r="N14" s="43" t="s">
        <v>131</v>
      </c>
      <c r="O14" s="43">
        <v>211</v>
      </c>
      <c r="P14" s="43" t="s">
        <v>393</v>
      </c>
      <c r="Q14" s="43" t="s">
        <v>377</v>
      </c>
      <c r="R14" s="43" t="s">
        <v>394</v>
      </c>
      <c r="S14" s="43" t="s">
        <v>380</v>
      </c>
      <c r="T14" s="43">
        <v>10</v>
      </c>
      <c r="U14" s="43">
        <v>-46.4617</v>
      </c>
      <c r="V14" s="28">
        <v>-9.9999999999999995E-7</v>
      </c>
      <c r="W14" s="43" t="s">
        <v>910</v>
      </c>
      <c r="X14" s="43" t="s">
        <v>65</v>
      </c>
    </row>
    <row r="15" spans="2:24" x14ac:dyDescent="0.2">
      <c r="B15" s="43" t="s">
        <v>131</v>
      </c>
      <c r="C15" s="43">
        <v>211</v>
      </c>
      <c r="D15" s="43" t="s">
        <v>393</v>
      </c>
      <c r="E15" s="43" t="s">
        <v>107</v>
      </c>
      <c r="F15" s="43" t="s">
        <v>395</v>
      </c>
      <c r="G15" s="43" t="s">
        <v>382</v>
      </c>
      <c r="H15" s="43">
        <v>60</v>
      </c>
      <c r="I15" s="43">
        <v>-14.5922</v>
      </c>
      <c r="J15" s="28">
        <v>-1.6E-7</v>
      </c>
      <c r="K15" s="43" t="s">
        <v>910</v>
      </c>
      <c r="L15" s="43" t="s">
        <v>65</v>
      </c>
      <c r="N15" s="43" t="s">
        <v>131</v>
      </c>
      <c r="O15" s="43">
        <v>211</v>
      </c>
      <c r="P15" s="43" t="s">
        <v>393</v>
      </c>
      <c r="Q15" s="43" t="s">
        <v>377</v>
      </c>
      <c r="R15" s="43" t="s">
        <v>395</v>
      </c>
      <c r="S15" s="43" t="s">
        <v>382</v>
      </c>
      <c r="T15" s="43">
        <v>10</v>
      </c>
      <c r="U15" s="43">
        <v>-14.6098</v>
      </c>
      <c r="V15" s="28">
        <v>-1.6019999999999999E-7</v>
      </c>
      <c r="W15" s="43" t="s">
        <v>910</v>
      </c>
      <c r="X15" s="43" t="s">
        <v>65</v>
      </c>
    </row>
    <row r="16" spans="2:24" x14ac:dyDescent="0.2">
      <c r="B16" s="43" t="s">
        <v>131</v>
      </c>
      <c r="C16" s="43">
        <v>214</v>
      </c>
      <c r="D16" s="43" t="s">
        <v>396</v>
      </c>
      <c r="E16" s="43" t="s">
        <v>107</v>
      </c>
      <c r="F16" s="43" t="s">
        <v>397</v>
      </c>
      <c r="G16" s="43" t="s">
        <v>380</v>
      </c>
      <c r="H16" s="43">
        <v>60</v>
      </c>
      <c r="I16" s="43">
        <v>-71.134500000000003</v>
      </c>
      <c r="J16" s="28">
        <v>-9.9999999999999995E-7</v>
      </c>
      <c r="K16" s="43" t="s">
        <v>910</v>
      </c>
      <c r="L16" s="43" t="s">
        <v>65</v>
      </c>
      <c r="N16" s="43" t="s">
        <v>131</v>
      </c>
      <c r="O16" s="43">
        <v>214</v>
      </c>
      <c r="P16" s="43" t="s">
        <v>396</v>
      </c>
      <c r="Q16" s="43" t="s">
        <v>377</v>
      </c>
      <c r="R16" s="43" t="s">
        <v>397</v>
      </c>
      <c r="S16" s="43" t="s">
        <v>380</v>
      </c>
      <c r="T16" s="43">
        <v>10</v>
      </c>
      <c r="U16" s="43">
        <v>-71.116100000000003</v>
      </c>
      <c r="V16" s="28">
        <v>-9.9999999999999995E-7</v>
      </c>
      <c r="W16" s="43" t="s">
        <v>910</v>
      </c>
      <c r="X16" s="43" t="s">
        <v>65</v>
      </c>
    </row>
    <row r="17" spans="2:24" x14ac:dyDescent="0.2">
      <c r="B17" s="43" t="s">
        <v>131</v>
      </c>
      <c r="C17" s="43">
        <v>214</v>
      </c>
      <c r="D17" s="43" t="s">
        <v>396</v>
      </c>
      <c r="E17" s="43" t="s">
        <v>107</v>
      </c>
      <c r="F17" s="43" t="s">
        <v>398</v>
      </c>
      <c r="G17" s="43" t="s">
        <v>382</v>
      </c>
      <c r="H17" s="43">
        <v>60</v>
      </c>
      <c r="I17" s="43">
        <v>-38.289700000000003</v>
      </c>
      <c r="J17" s="28">
        <v>-3.2090000000000002E-7</v>
      </c>
      <c r="K17" s="43" t="s">
        <v>910</v>
      </c>
      <c r="L17" s="43" t="s">
        <v>65</v>
      </c>
      <c r="N17" s="43" t="s">
        <v>131</v>
      </c>
      <c r="O17" s="43">
        <v>214</v>
      </c>
      <c r="P17" s="43" t="s">
        <v>396</v>
      </c>
      <c r="Q17" s="43" t="s">
        <v>377</v>
      </c>
      <c r="R17" s="43" t="s">
        <v>398</v>
      </c>
      <c r="S17" s="43" t="s">
        <v>382</v>
      </c>
      <c r="T17" s="43">
        <v>10</v>
      </c>
      <c r="U17" s="43">
        <v>-38.307099999999998</v>
      </c>
      <c r="V17" s="28">
        <v>-3.2099999999999998E-7</v>
      </c>
      <c r="W17" s="43" t="s">
        <v>910</v>
      </c>
      <c r="X17" s="43" t="s">
        <v>65</v>
      </c>
    </row>
    <row r="18" spans="2:24" x14ac:dyDescent="0.2">
      <c r="B18" s="43" t="s">
        <v>131</v>
      </c>
      <c r="C18" s="43">
        <v>217</v>
      </c>
      <c r="D18" s="43" t="s">
        <v>399</v>
      </c>
      <c r="E18" s="43" t="s">
        <v>107</v>
      </c>
      <c r="F18" s="43" t="s">
        <v>400</v>
      </c>
      <c r="G18" s="43" t="s">
        <v>380</v>
      </c>
      <c r="H18" s="43">
        <v>60</v>
      </c>
      <c r="I18" s="43">
        <v>-74.969099999999997</v>
      </c>
      <c r="J18" s="28">
        <v>-9.9999999999999995E-7</v>
      </c>
      <c r="K18" s="43" t="s">
        <v>910</v>
      </c>
      <c r="L18" s="43" t="s">
        <v>65</v>
      </c>
      <c r="N18" s="43" t="s">
        <v>131</v>
      </c>
      <c r="O18" s="43">
        <v>217</v>
      </c>
      <c r="P18" s="43" t="s">
        <v>399</v>
      </c>
      <c r="Q18" s="43" t="s">
        <v>377</v>
      </c>
      <c r="R18" s="43" t="s">
        <v>400</v>
      </c>
      <c r="S18" s="43" t="s">
        <v>380</v>
      </c>
      <c r="T18" s="43">
        <v>10</v>
      </c>
      <c r="U18" s="43">
        <v>-74.953599999999994</v>
      </c>
      <c r="V18" s="28">
        <v>-9.9999999999999995E-7</v>
      </c>
      <c r="W18" s="43" t="s">
        <v>910</v>
      </c>
      <c r="X18" s="43" t="s">
        <v>65</v>
      </c>
    </row>
    <row r="19" spans="2:24" x14ac:dyDescent="0.2">
      <c r="B19" s="43" t="s">
        <v>131</v>
      </c>
      <c r="C19" s="43">
        <v>217</v>
      </c>
      <c r="D19" s="43" t="s">
        <v>399</v>
      </c>
      <c r="E19" s="43" t="s">
        <v>107</v>
      </c>
      <c r="F19" s="43" t="s">
        <v>401</v>
      </c>
      <c r="G19" s="43" t="s">
        <v>382</v>
      </c>
      <c r="H19" s="43">
        <v>60</v>
      </c>
      <c r="I19" s="43">
        <v>-26.927700000000002</v>
      </c>
      <c r="J19" s="28">
        <v>-2.241E-7</v>
      </c>
      <c r="K19" s="43" t="s">
        <v>910</v>
      </c>
      <c r="L19" s="43" t="s">
        <v>65</v>
      </c>
      <c r="N19" s="43" t="s">
        <v>131</v>
      </c>
      <c r="O19" s="43">
        <v>217</v>
      </c>
      <c r="P19" s="43" t="s">
        <v>399</v>
      </c>
      <c r="Q19" s="43" t="s">
        <v>377</v>
      </c>
      <c r="R19" s="43" t="s">
        <v>401</v>
      </c>
      <c r="S19" s="43" t="s">
        <v>382</v>
      </c>
      <c r="T19" s="43">
        <v>10</v>
      </c>
      <c r="U19" s="43">
        <v>-26.945</v>
      </c>
      <c r="V19" s="28">
        <v>-2.2420000000000001E-7</v>
      </c>
      <c r="W19" s="43" t="s">
        <v>910</v>
      </c>
      <c r="X19" s="43" t="s">
        <v>65</v>
      </c>
    </row>
    <row r="20" spans="2:24" x14ac:dyDescent="0.2">
      <c r="B20" s="43" t="s">
        <v>131</v>
      </c>
      <c r="C20" s="43">
        <v>220</v>
      </c>
      <c r="D20" s="43" t="s">
        <v>402</v>
      </c>
      <c r="E20" s="43" t="s">
        <v>107</v>
      </c>
      <c r="F20" s="43" t="s">
        <v>403</v>
      </c>
      <c r="G20" s="43" t="s">
        <v>380</v>
      </c>
      <c r="H20" s="43">
        <v>60</v>
      </c>
      <c r="I20" s="43">
        <v>-74.806600000000003</v>
      </c>
      <c r="J20" s="28">
        <v>-9.9999999999999995E-7</v>
      </c>
      <c r="K20" s="43" t="s">
        <v>910</v>
      </c>
      <c r="L20" s="43" t="s">
        <v>65</v>
      </c>
      <c r="N20" s="43" t="s">
        <v>131</v>
      </c>
      <c r="O20" s="43">
        <v>220</v>
      </c>
      <c r="P20" s="43" t="s">
        <v>402</v>
      </c>
      <c r="Q20" s="43" t="s">
        <v>377</v>
      </c>
      <c r="R20" s="43" t="s">
        <v>403</v>
      </c>
      <c r="S20" s="43" t="s">
        <v>380</v>
      </c>
      <c r="T20" s="43">
        <v>10</v>
      </c>
      <c r="U20" s="43">
        <v>-74.7911</v>
      </c>
      <c r="V20" s="28">
        <v>-9.9999999999999995E-7</v>
      </c>
      <c r="W20" s="43" t="s">
        <v>910</v>
      </c>
      <c r="X20" s="43" t="s">
        <v>65</v>
      </c>
    </row>
    <row r="21" spans="2:24" x14ac:dyDescent="0.2">
      <c r="B21" s="43" t="s">
        <v>131</v>
      </c>
      <c r="C21" s="43">
        <v>220</v>
      </c>
      <c r="D21" s="43" t="s">
        <v>402</v>
      </c>
      <c r="E21" s="43" t="s">
        <v>107</v>
      </c>
      <c r="F21" s="43" t="s">
        <v>404</v>
      </c>
      <c r="G21" s="43" t="s">
        <v>382</v>
      </c>
      <c r="H21" s="43">
        <v>60</v>
      </c>
      <c r="I21" s="43">
        <v>-26.85</v>
      </c>
      <c r="J21" s="28">
        <v>-2.234E-7</v>
      </c>
      <c r="K21" s="43" t="s">
        <v>910</v>
      </c>
      <c r="L21" s="43" t="s">
        <v>65</v>
      </c>
      <c r="N21" s="43" t="s">
        <v>131</v>
      </c>
      <c r="O21" s="43">
        <v>220</v>
      </c>
      <c r="P21" s="43" t="s">
        <v>402</v>
      </c>
      <c r="Q21" s="43" t="s">
        <v>377</v>
      </c>
      <c r="R21" s="43" t="s">
        <v>404</v>
      </c>
      <c r="S21" s="43" t="s">
        <v>382</v>
      </c>
      <c r="T21" s="43">
        <v>10</v>
      </c>
      <c r="U21" s="43">
        <v>-26.866900000000001</v>
      </c>
      <c r="V21" s="28">
        <v>-2.2359999999999999E-7</v>
      </c>
      <c r="W21" s="43" t="s">
        <v>910</v>
      </c>
      <c r="X21" s="43" t="s">
        <v>65</v>
      </c>
    </row>
    <row r="22" spans="2:24" x14ac:dyDescent="0.2">
      <c r="B22" s="43" t="s">
        <v>131</v>
      </c>
      <c r="C22" s="43">
        <v>223</v>
      </c>
      <c r="D22" s="43" t="s">
        <v>405</v>
      </c>
      <c r="E22" s="43" t="s">
        <v>107</v>
      </c>
      <c r="F22" s="43" t="s">
        <v>406</v>
      </c>
      <c r="G22" s="43" t="s">
        <v>380</v>
      </c>
      <c r="H22" s="43">
        <v>60</v>
      </c>
      <c r="I22" s="43">
        <v>-69.046899999999994</v>
      </c>
      <c r="J22" s="28">
        <v>-9.9999999999999995E-7</v>
      </c>
      <c r="K22" s="43" t="s">
        <v>910</v>
      </c>
      <c r="L22" s="43" t="s">
        <v>65</v>
      </c>
      <c r="N22" s="43" t="s">
        <v>131</v>
      </c>
      <c r="O22" s="43">
        <v>223</v>
      </c>
      <c r="P22" s="43" t="s">
        <v>405</v>
      </c>
      <c r="Q22" s="43" t="s">
        <v>377</v>
      </c>
      <c r="R22" s="43" t="s">
        <v>406</v>
      </c>
      <c r="S22" s="43" t="s">
        <v>380</v>
      </c>
      <c r="T22" s="43">
        <v>10</v>
      </c>
      <c r="U22" s="43">
        <v>-69.030500000000004</v>
      </c>
      <c r="V22" s="28">
        <v>-9.9999999999999995E-7</v>
      </c>
      <c r="W22" s="43" t="s">
        <v>910</v>
      </c>
      <c r="X22" s="43" t="s">
        <v>65</v>
      </c>
    </row>
    <row r="23" spans="2:24" x14ac:dyDescent="0.2">
      <c r="B23" s="43" t="s">
        <v>131</v>
      </c>
      <c r="C23" s="43">
        <v>223</v>
      </c>
      <c r="D23" s="43" t="s">
        <v>405</v>
      </c>
      <c r="E23" s="43" t="s">
        <v>107</v>
      </c>
      <c r="F23" s="43" t="s">
        <v>407</v>
      </c>
      <c r="G23" s="43" t="s">
        <v>382</v>
      </c>
      <c r="H23" s="43">
        <v>60</v>
      </c>
      <c r="I23" s="43">
        <v>-36.281399999999998</v>
      </c>
      <c r="J23" s="28">
        <v>-3.0409999999999998E-7</v>
      </c>
      <c r="K23" s="43" t="s">
        <v>910</v>
      </c>
      <c r="L23" s="43" t="s">
        <v>65</v>
      </c>
      <c r="N23" s="43" t="s">
        <v>131</v>
      </c>
      <c r="O23" s="43">
        <v>223</v>
      </c>
      <c r="P23" s="43" t="s">
        <v>405</v>
      </c>
      <c r="Q23" s="43" t="s">
        <v>377</v>
      </c>
      <c r="R23" s="43" t="s">
        <v>407</v>
      </c>
      <c r="S23" s="43" t="s">
        <v>382</v>
      </c>
      <c r="T23" s="43">
        <v>10</v>
      </c>
      <c r="U23" s="43">
        <v>-36.295900000000003</v>
      </c>
      <c r="V23" s="28">
        <v>-3.0419999999999998E-7</v>
      </c>
      <c r="W23" s="43" t="s">
        <v>910</v>
      </c>
      <c r="X23" s="43" t="s">
        <v>65</v>
      </c>
    </row>
    <row r="24" spans="2:24" x14ac:dyDescent="0.2">
      <c r="B24" s="43" t="s">
        <v>131</v>
      </c>
      <c r="C24" s="43">
        <v>226</v>
      </c>
      <c r="D24" s="43" t="s">
        <v>408</v>
      </c>
      <c r="E24" s="43" t="s">
        <v>107</v>
      </c>
      <c r="F24" s="43" t="s">
        <v>409</v>
      </c>
      <c r="G24" s="43" t="s">
        <v>380</v>
      </c>
      <c r="H24" s="43">
        <v>60</v>
      </c>
      <c r="I24" s="43">
        <v>-44.6601</v>
      </c>
      <c r="J24" s="28">
        <v>-4.8970000000000005E-7</v>
      </c>
      <c r="K24" s="43" t="s">
        <v>910</v>
      </c>
      <c r="L24" s="43" t="s">
        <v>65</v>
      </c>
      <c r="N24" s="43" t="s">
        <v>131</v>
      </c>
      <c r="O24" s="43">
        <v>226</v>
      </c>
      <c r="P24" s="43" t="s">
        <v>408</v>
      </c>
      <c r="Q24" s="43" t="s">
        <v>377</v>
      </c>
      <c r="R24" s="43" t="s">
        <v>409</v>
      </c>
      <c r="S24" s="43" t="s">
        <v>380</v>
      </c>
      <c r="T24" s="43">
        <v>10</v>
      </c>
      <c r="U24" s="43">
        <v>-44.647799999999997</v>
      </c>
      <c r="V24" s="28">
        <v>-4.8960000000000004E-7</v>
      </c>
      <c r="W24" s="43" t="s">
        <v>910</v>
      </c>
      <c r="X24" s="43" t="s">
        <v>65</v>
      </c>
    </row>
    <row r="25" spans="2:24" x14ac:dyDescent="0.2">
      <c r="B25" s="43" t="s">
        <v>131</v>
      </c>
      <c r="C25" s="43">
        <v>226</v>
      </c>
      <c r="D25" s="43" t="s">
        <v>408</v>
      </c>
      <c r="E25" s="43" t="s">
        <v>107</v>
      </c>
      <c r="F25" s="43" t="s">
        <v>410</v>
      </c>
      <c r="G25" s="43" t="s">
        <v>382</v>
      </c>
      <c r="H25" s="43">
        <v>60</v>
      </c>
      <c r="I25" s="43">
        <v>-12.399699999999999</v>
      </c>
      <c r="J25" s="28">
        <v>-1.36E-7</v>
      </c>
      <c r="K25" s="43" t="s">
        <v>910</v>
      </c>
      <c r="L25" s="43" t="s">
        <v>65</v>
      </c>
      <c r="N25" s="43" t="s">
        <v>131</v>
      </c>
      <c r="O25" s="43">
        <v>226</v>
      </c>
      <c r="P25" s="43" t="s">
        <v>408</v>
      </c>
      <c r="Q25" s="43" t="s">
        <v>377</v>
      </c>
      <c r="R25" s="43" t="s">
        <v>410</v>
      </c>
      <c r="S25" s="43" t="s">
        <v>382</v>
      </c>
      <c r="T25" s="43">
        <v>10</v>
      </c>
      <c r="U25" s="43">
        <v>-12.4087</v>
      </c>
      <c r="V25" s="28">
        <v>-1.3610000000000001E-7</v>
      </c>
      <c r="W25" s="43" t="s">
        <v>910</v>
      </c>
      <c r="X25" s="43" t="s">
        <v>65</v>
      </c>
    </row>
    <row r="26" spans="2:24" x14ac:dyDescent="0.2">
      <c r="B26" s="43" t="s">
        <v>131</v>
      </c>
      <c r="C26" s="43">
        <v>234</v>
      </c>
      <c r="D26" s="43" t="s">
        <v>411</v>
      </c>
      <c r="E26" s="43" t="s">
        <v>107</v>
      </c>
      <c r="F26" s="43" t="s">
        <v>412</v>
      </c>
      <c r="G26" s="43" t="s">
        <v>380</v>
      </c>
      <c r="H26" s="43">
        <v>60</v>
      </c>
      <c r="I26" s="43">
        <v>-19.987300000000001</v>
      </c>
      <c r="J26" s="28">
        <v>-1.6220000000000001E-7</v>
      </c>
      <c r="K26" s="43" t="s">
        <v>910</v>
      </c>
      <c r="L26" s="43" t="s">
        <v>65</v>
      </c>
      <c r="N26" s="43" t="s">
        <v>131</v>
      </c>
      <c r="O26" s="43">
        <v>234</v>
      </c>
      <c r="P26" s="43" t="s">
        <v>411</v>
      </c>
      <c r="Q26" s="43" t="s">
        <v>377</v>
      </c>
      <c r="R26" s="43" t="s">
        <v>412</v>
      </c>
      <c r="S26" s="43" t="s">
        <v>380</v>
      </c>
      <c r="T26" s="43">
        <v>10</v>
      </c>
      <c r="U26" s="43">
        <v>-20.015999999999998</v>
      </c>
      <c r="V26" s="28">
        <v>-1.624E-7</v>
      </c>
      <c r="W26" s="43" t="s">
        <v>910</v>
      </c>
      <c r="X26" s="43" t="s">
        <v>65</v>
      </c>
    </row>
    <row r="27" spans="2:24" x14ac:dyDescent="0.2">
      <c r="B27" s="43" t="s">
        <v>131</v>
      </c>
      <c r="C27" s="43">
        <v>234</v>
      </c>
      <c r="D27" s="43" t="s">
        <v>411</v>
      </c>
      <c r="E27" s="43" t="s">
        <v>107</v>
      </c>
      <c r="F27" s="43" t="s">
        <v>413</v>
      </c>
      <c r="G27" s="43" t="s">
        <v>382</v>
      </c>
      <c r="H27" s="43">
        <v>60</v>
      </c>
      <c r="I27" s="43">
        <v>-16.855399999999999</v>
      </c>
      <c r="J27" s="28">
        <v>-1.3680000000000001E-7</v>
      </c>
      <c r="K27" s="43" t="s">
        <v>910</v>
      </c>
      <c r="L27" s="43" t="s">
        <v>65</v>
      </c>
      <c r="N27" s="43" t="s">
        <v>131</v>
      </c>
      <c r="O27" s="43">
        <v>234</v>
      </c>
      <c r="P27" s="43" t="s">
        <v>411</v>
      </c>
      <c r="Q27" s="43" t="s">
        <v>377</v>
      </c>
      <c r="R27" s="43" t="s">
        <v>413</v>
      </c>
      <c r="S27" s="43" t="s">
        <v>382</v>
      </c>
      <c r="T27" s="43">
        <v>10</v>
      </c>
      <c r="U27" s="43">
        <v>-16.8277</v>
      </c>
      <c r="V27" s="28">
        <v>-1.3659999999999999E-7</v>
      </c>
      <c r="W27" s="43" t="s">
        <v>910</v>
      </c>
      <c r="X27" s="43" t="s">
        <v>65</v>
      </c>
    </row>
    <row r="28" spans="2:24" x14ac:dyDescent="0.2">
      <c r="B28" s="43" t="s">
        <v>131</v>
      </c>
      <c r="C28" s="43">
        <v>235</v>
      </c>
      <c r="D28" s="43" t="s">
        <v>414</v>
      </c>
      <c r="E28" s="43" t="s">
        <v>107</v>
      </c>
      <c r="F28" s="43" t="s">
        <v>415</v>
      </c>
      <c r="G28" s="43" t="s">
        <v>380</v>
      </c>
      <c r="H28" s="43">
        <v>60</v>
      </c>
      <c r="I28" s="43">
        <v>-16.6051</v>
      </c>
      <c r="J28" s="28">
        <v>-1.24E-7</v>
      </c>
      <c r="K28" s="43" t="s">
        <v>910</v>
      </c>
      <c r="L28" s="43" t="s">
        <v>65</v>
      </c>
      <c r="N28" s="43" t="s">
        <v>131</v>
      </c>
      <c r="O28" s="43">
        <v>235</v>
      </c>
      <c r="P28" s="43" t="s">
        <v>414</v>
      </c>
      <c r="Q28" s="43" t="s">
        <v>377</v>
      </c>
      <c r="R28" s="43" t="s">
        <v>415</v>
      </c>
      <c r="S28" s="43" t="s">
        <v>380</v>
      </c>
      <c r="T28" s="43">
        <v>10</v>
      </c>
      <c r="U28" s="43">
        <v>-16.6343</v>
      </c>
      <c r="V28" s="28">
        <v>-1.2419999999999999E-7</v>
      </c>
      <c r="W28" s="43" t="s">
        <v>910</v>
      </c>
      <c r="X28" s="43" t="s">
        <v>65</v>
      </c>
    </row>
    <row r="29" spans="2:24" x14ac:dyDescent="0.2">
      <c r="B29" s="43" t="s">
        <v>131</v>
      </c>
      <c r="C29" s="43">
        <v>235</v>
      </c>
      <c r="D29" s="43" t="s">
        <v>414</v>
      </c>
      <c r="E29" s="43" t="s">
        <v>107</v>
      </c>
      <c r="F29" s="43" t="s">
        <v>416</v>
      </c>
      <c r="G29" s="43" t="s">
        <v>382</v>
      </c>
      <c r="H29" s="43">
        <v>60</v>
      </c>
      <c r="I29" s="43">
        <v>-24.997699999999998</v>
      </c>
      <c r="J29" s="28">
        <v>-1.8659999999999999E-7</v>
      </c>
      <c r="K29" s="43" t="s">
        <v>910</v>
      </c>
      <c r="L29" s="43" t="s">
        <v>65</v>
      </c>
      <c r="N29" s="43" t="s">
        <v>131</v>
      </c>
      <c r="O29" s="43">
        <v>235</v>
      </c>
      <c r="P29" s="43" t="s">
        <v>414</v>
      </c>
      <c r="Q29" s="43" t="s">
        <v>377</v>
      </c>
      <c r="R29" s="43" t="s">
        <v>416</v>
      </c>
      <c r="S29" s="43" t="s">
        <v>382</v>
      </c>
      <c r="T29" s="43">
        <v>10</v>
      </c>
      <c r="U29" s="43">
        <v>-24.969799999999999</v>
      </c>
      <c r="V29" s="28">
        <v>-1.864E-7</v>
      </c>
      <c r="W29" s="43" t="s">
        <v>910</v>
      </c>
      <c r="X29" s="43" t="s">
        <v>65</v>
      </c>
    </row>
    <row r="30" spans="2:24" x14ac:dyDescent="0.2">
      <c r="B30" s="43" t="s">
        <v>131</v>
      </c>
      <c r="C30" s="43">
        <v>236</v>
      </c>
      <c r="D30" s="43" t="s">
        <v>414</v>
      </c>
      <c r="E30" s="43" t="s">
        <v>107</v>
      </c>
      <c r="F30" s="43" t="s">
        <v>417</v>
      </c>
      <c r="G30" s="43" t="s">
        <v>380</v>
      </c>
      <c r="H30" s="43">
        <v>60</v>
      </c>
      <c r="I30" s="43">
        <v>-25.0063</v>
      </c>
      <c r="J30" s="28">
        <v>-1.9740000000000001E-7</v>
      </c>
      <c r="K30" s="43" t="s">
        <v>910</v>
      </c>
      <c r="L30" s="43" t="s">
        <v>65</v>
      </c>
      <c r="N30" s="43" t="s">
        <v>131</v>
      </c>
      <c r="O30" s="43">
        <v>236</v>
      </c>
      <c r="P30" s="43" t="s">
        <v>414</v>
      </c>
      <c r="Q30" s="43" t="s">
        <v>377</v>
      </c>
      <c r="R30" s="43" t="s">
        <v>417</v>
      </c>
      <c r="S30" s="43" t="s">
        <v>380</v>
      </c>
      <c r="T30" s="43">
        <v>10</v>
      </c>
      <c r="U30" s="43">
        <v>-25.031500000000001</v>
      </c>
      <c r="V30" s="28">
        <v>-1.976E-7</v>
      </c>
      <c r="W30" s="43" t="s">
        <v>910</v>
      </c>
      <c r="X30" s="43" t="s">
        <v>65</v>
      </c>
    </row>
    <row r="31" spans="2:24" x14ac:dyDescent="0.2">
      <c r="B31" s="43" t="s">
        <v>131</v>
      </c>
      <c r="C31" s="43">
        <v>236</v>
      </c>
      <c r="D31" s="43" t="s">
        <v>414</v>
      </c>
      <c r="E31" s="43" t="s">
        <v>107</v>
      </c>
      <c r="F31" s="43" t="s">
        <v>418</v>
      </c>
      <c r="G31" s="43" t="s">
        <v>382</v>
      </c>
      <c r="H31" s="43">
        <v>60</v>
      </c>
      <c r="I31" s="43">
        <v>-25.017600000000002</v>
      </c>
      <c r="J31" s="28">
        <v>-1.9749999999999999E-7</v>
      </c>
      <c r="K31" s="43" t="s">
        <v>910</v>
      </c>
      <c r="L31" s="43" t="s">
        <v>65</v>
      </c>
      <c r="N31" s="43" t="s">
        <v>131</v>
      </c>
      <c r="O31" s="43">
        <v>236</v>
      </c>
      <c r="P31" s="43" t="s">
        <v>414</v>
      </c>
      <c r="Q31" s="43" t="s">
        <v>377</v>
      </c>
      <c r="R31" s="43" t="s">
        <v>418</v>
      </c>
      <c r="S31" s="43" t="s">
        <v>382</v>
      </c>
      <c r="T31" s="43">
        <v>10</v>
      </c>
      <c r="U31" s="43">
        <v>-24.9925</v>
      </c>
      <c r="V31" s="28">
        <v>-1.973E-7</v>
      </c>
      <c r="W31" s="43" t="s">
        <v>910</v>
      </c>
      <c r="X31" s="43" t="s">
        <v>65</v>
      </c>
    </row>
    <row r="32" spans="2:24" x14ac:dyDescent="0.2">
      <c r="B32" s="43" t="s">
        <v>131</v>
      </c>
      <c r="C32" s="43">
        <v>237</v>
      </c>
      <c r="D32" s="43" t="s">
        <v>414</v>
      </c>
      <c r="E32" s="43" t="s">
        <v>107</v>
      </c>
      <c r="F32" s="43" t="s">
        <v>419</v>
      </c>
      <c r="G32" s="43" t="s">
        <v>380</v>
      </c>
      <c r="H32" s="43">
        <v>60</v>
      </c>
      <c r="I32" s="43">
        <v>-25.028600000000001</v>
      </c>
      <c r="J32" s="28">
        <v>-1.8690000000000001E-7</v>
      </c>
      <c r="K32" s="43" t="s">
        <v>910</v>
      </c>
      <c r="L32" s="43" t="s">
        <v>65</v>
      </c>
      <c r="N32" s="43" t="s">
        <v>131</v>
      </c>
      <c r="O32" s="43">
        <v>237</v>
      </c>
      <c r="P32" s="43" t="s">
        <v>414</v>
      </c>
      <c r="Q32" s="43" t="s">
        <v>377</v>
      </c>
      <c r="R32" s="43" t="s">
        <v>419</v>
      </c>
      <c r="S32" s="43" t="s">
        <v>380</v>
      </c>
      <c r="T32" s="43">
        <v>10</v>
      </c>
      <c r="U32" s="43">
        <v>-25.057200000000002</v>
      </c>
      <c r="V32" s="28">
        <v>-1.871E-7</v>
      </c>
      <c r="W32" s="43" t="s">
        <v>910</v>
      </c>
      <c r="X32" s="43" t="s">
        <v>65</v>
      </c>
    </row>
    <row r="33" spans="2:24" x14ac:dyDescent="0.2">
      <c r="B33" s="43" t="s">
        <v>131</v>
      </c>
      <c r="C33" s="43">
        <v>237</v>
      </c>
      <c r="D33" s="43" t="s">
        <v>414</v>
      </c>
      <c r="E33" s="43" t="s">
        <v>107</v>
      </c>
      <c r="F33" s="43" t="s">
        <v>420</v>
      </c>
      <c r="G33" s="43" t="s">
        <v>382</v>
      </c>
      <c r="H33" s="43">
        <v>60</v>
      </c>
      <c r="I33" s="43">
        <v>-16.5215</v>
      </c>
      <c r="J33" s="28">
        <v>-1.2340000000000001E-7</v>
      </c>
      <c r="K33" s="43" t="s">
        <v>910</v>
      </c>
      <c r="L33" s="43" t="s">
        <v>65</v>
      </c>
      <c r="N33" s="43" t="s">
        <v>131</v>
      </c>
      <c r="O33" s="43">
        <v>237</v>
      </c>
      <c r="P33" s="43" t="s">
        <v>414</v>
      </c>
      <c r="Q33" s="43" t="s">
        <v>377</v>
      </c>
      <c r="R33" s="43" t="s">
        <v>420</v>
      </c>
      <c r="S33" s="43" t="s">
        <v>382</v>
      </c>
      <c r="T33" s="43">
        <v>10</v>
      </c>
      <c r="U33" s="43">
        <v>-16.491700000000002</v>
      </c>
      <c r="V33" s="28">
        <v>-1.2310000000000001E-7</v>
      </c>
      <c r="W33" s="43" t="s">
        <v>910</v>
      </c>
      <c r="X33" s="43" t="s">
        <v>65</v>
      </c>
    </row>
    <row r="34" spans="2:24" x14ac:dyDescent="0.2">
      <c r="B34" s="43" t="s">
        <v>131</v>
      </c>
      <c r="C34" s="43">
        <v>238</v>
      </c>
      <c r="D34" s="43" t="s">
        <v>421</v>
      </c>
      <c r="E34" s="43" t="s">
        <v>107</v>
      </c>
      <c r="F34" s="43" t="s">
        <v>422</v>
      </c>
      <c r="G34" s="43" t="s">
        <v>380</v>
      </c>
      <c r="H34" s="43">
        <v>60</v>
      </c>
      <c r="I34" s="43">
        <v>-16.1206</v>
      </c>
      <c r="J34" s="28">
        <v>-1.3080000000000001E-7</v>
      </c>
      <c r="K34" s="43" t="s">
        <v>910</v>
      </c>
      <c r="L34" s="43" t="s">
        <v>65</v>
      </c>
      <c r="N34" s="43" t="s">
        <v>131</v>
      </c>
      <c r="O34" s="43">
        <v>238</v>
      </c>
      <c r="P34" s="43" t="s">
        <v>421</v>
      </c>
      <c r="Q34" s="43" t="s">
        <v>377</v>
      </c>
      <c r="R34" s="43" t="s">
        <v>422</v>
      </c>
      <c r="S34" s="43" t="s">
        <v>380</v>
      </c>
      <c r="T34" s="43">
        <v>10</v>
      </c>
      <c r="U34" s="43">
        <v>-16.148099999999999</v>
      </c>
      <c r="V34" s="28">
        <v>-1.311E-7</v>
      </c>
      <c r="W34" s="43" t="s">
        <v>910</v>
      </c>
      <c r="X34" s="43" t="s">
        <v>65</v>
      </c>
    </row>
    <row r="35" spans="2:24" x14ac:dyDescent="0.2">
      <c r="B35" s="43" t="s">
        <v>131</v>
      </c>
      <c r="C35" s="43">
        <v>238</v>
      </c>
      <c r="D35" s="43" t="s">
        <v>421</v>
      </c>
      <c r="E35" s="43" t="s">
        <v>107</v>
      </c>
      <c r="F35" s="43" t="s">
        <v>423</v>
      </c>
      <c r="G35" s="43" t="s">
        <v>382</v>
      </c>
      <c r="H35" s="43">
        <v>60</v>
      </c>
      <c r="I35" s="43">
        <v>-19.331099999999999</v>
      </c>
      <c r="J35" s="28">
        <v>-1.5690000000000001E-7</v>
      </c>
      <c r="K35" s="43" t="s">
        <v>910</v>
      </c>
      <c r="L35" s="43" t="s">
        <v>65</v>
      </c>
      <c r="N35" s="43" t="s">
        <v>131</v>
      </c>
      <c r="O35" s="43">
        <v>238</v>
      </c>
      <c r="P35" s="43" t="s">
        <v>421</v>
      </c>
      <c r="Q35" s="43" t="s">
        <v>377</v>
      </c>
      <c r="R35" s="43" t="s">
        <v>423</v>
      </c>
      <c r="S35" s="43" t="s">
        <v>382</v>
      </c>
      <c r="T35" s="43">
        <v>10</v>
      </c>
      <c r="U35" s="43">
        <v>-19.302800000000001</v>
      </c>
      <c r="V35" s="28">
        <v>-1.5669999999999999E-7</v>
      </c>
      <c r="W35" s="43" t="s">
        <v>910</v>
      </c>
      <c r="X35" s="43" t="s">
        <v>65</v>
      </c>
    </row>
    <row r="36" spans="2:24" x14ac:dyDescent="0.2">
      <c r="B36" s="43" t="s">
        <v>131</v>
      </c>
      <c r="C36" s="43">
        <v>212</v>
      </c>
      <c r="D36" s="43" t="s">
        <v>424</v>
      </c>
      <c r="E36" s="43" t="s">
        <v>107</v>
      </c>
      <c r="F36" s="43" t="s">
        <v>425</v>
      </c>
      <c r="G36" s="43" t="s">
        <v>380</v>
      </c>
      <c r="H36" s="43">
        <v>60</v>
      </c>
      <c r="I36" s="43">
        <v>-50.6327</v>
      </c>
      <c r="J36" s="28">
        <v>-4.9350000000000002E-7</v>
      </c>
      <c r="K36" s="43" t="s">
        <v>910</v>
      </c>
      <c r="L36" s="43" t="s">
        <v>65</v>
      </c>
      <c r="N36" s="43" t="s">
        <v>131</v>
      </c>
      <c r="O36" s="43">
        <v>212</v>
      </c>
      <c r="P36" s="43" t="s">
        <v>424</v>
      </c>
      <c r="Q36" s="43" t="s">
        <v>377</v>
      </c>
      <c r="R36" s="43" t="s">
        <v>425</v>
      </c>
      <c r="S36" s="43" t="s">
        <v>380</v>
      </c>
      <c r="T36" s="43">
        <v>10</v>
      </c>
      <c r="U36" s="43">
        <v>-50.618699999999997</v>
      </c>
      <c r="V36" s="28">
        <v>-4.9340000000000001E-7</v>
      </c>
      <c r="W36" s="43" t="s">
        <v>910</v>
      </c>
      <c r="X36" s="43" t="s">
        <v>65</v>
      </c>
    </row>
    <row r="37" spans="2:24" x14ac:dyDescent="0.2">
      <c r="B37" s="43" t="s">
        <v>131</v>
      </c>
      <c r="C37" s="43">
        <v>212</v>
      </c>
      <c r="D37" s="43" t="s">
        <v>424</v>
      </c>
      <c r="E37" s="43" t="s">
        <v>107</v>
      </c>
      <c r="F37" s="43" t="s">
        <v>426</v>
      </c>
      <c r="G37" s="43" t="s">
        <v>382</v>
      </c>
      <c r="H37" s="43">
        <v>60</v>
      </c>
      <c r="I37" s="43">
        <v>-9.1190999999999995</v>
      </c>
      <c r="J37" s="28">
        <v>-8.8879999999999999E-8</v>
      </c>
      <c r="K37" s="43" t="s">
        <v>910</v>
      </c>
      <c r="L37" s="43" t="s">
        <v>65</v>
      </c>
      <c r="N37" s="43" t="s">
        <v>131</v>
      </c>
      <c r="O37" s="43">
        <v>212</v>
      </c>
      <c r="P37" s="43" t="s">
        <v>424</v>
      </c>
      <c r="Q37" s="43" t="s">
        <v>377</v>
      </c>
      <c r="R37" s="43" t="s">
        <v>426</v>
      </c>
      <c r="S37" s="43" t="s">
        <v>382</v>
      </c>
      <c r="T37" s="43">
        <v>10</v>
      </c>
      <c r="U37" s="43">
        <v>-9.1380999999999997</v>
      </c>
      <c r="V37" s="28">
        <v>-8.9070000000000003E-8</v>
      </c>
      <c r="W37" s="43" t="s">
        <v>910</v>
      </c>
      <c r="X37" s="43" t="s">
        <v>65</v>
      </c>
    </row>
    <row r="38" spans="2:24" x14ac:dyDescent="0.2">
      <c r="B38" s="43" t="s">
        <v>131</v>
      </c>
      <c r="C38" s="43">
        <v>215</v>
      </c>
      <c r="D38" s="43" t="s">
        <v>427</v>
      </c>
      <c r="E38" s="43" t="s">
        <v>107</v>
      </c>
      <c r="F38" s="43" t="s">
        <v>428</v>
      </c>
      <c r="G38" s="43" t="s">
        <v>380</v>
      </c>
      <c r="H38" s="43">
        <v>60</v>
      </c>
      <c r="I38" s="43">
        <v>-82.351900000000001</v>
      </c>
      <c r="J38" s="28">
        <v>-9.9999999999999995E-7</v>
      </c>
      <c r="K38" s="43" t="s">
        <v>910</v>
      </c>
      <c r="L38" s="43" t="s">
        <v>65</v>
      </c>
      <c r="N38" s="43" t="s">
        <v>131</v>
      </c>
      <c r="O38" s="43">
        <v>215</v>
      </c>
      <c r="P38" s="43" t="s">
        <v>427</v>
      </c>
      <c r="Q38" s="43" t="s">
        <v>377</v>
      </c>
      <c r="R38" s="43" t="s">
        <v>428</v>
      </c>
      <c r="S38" s="43" t="s">
        <v>380</v>
      </c>
      <c r="T38" s="43">
        <v>10</v>
      </c>
      <c r="U38" s="43">
        <v>-82.334999999999994</v>
      </c>
      <c r="V38" s="28">
        <v>-9.9999999999999995E-7</v>
      </c>
      <c r="W38" s="43" t="s">
        <v>910</v>
      </c>
      <c r="X38" s="43" t="s">
        <v>65</v>
      </c>
    </row>
    <row r="39" spans="2:24" x14ac:dyDescent="0.2">
      <c r="B39" s="43" t="s">
        <v>131</v>
      </c>
      <c r="C39" s="43">
        <v>215</v>
      </c>
      <c r="D39" s="43" t="s">
        <v>427</v>
      </c>
      <c r="E39" s="43" t="s">
        <v>107</v>
      </c>
      <c r="F39" s="43" t="s">
        <v>429</v>
      </c>
      <c r="G39" s="43" t="s">
        <v>382</v>
      </c>
      <c r="H39" s="43">
        <v>60</v>
      </c>
      <c r="I39" s="43">
        <v>-38.580100000000002</v>
      </c>
      <c r="J39" s="28">
        <v>-3.1489999999999999E-7</v>
      </c>
      <c r="K39" s="43" t="s">
        <v>910</v>
      </c>
      <c r="L39" s="43" t="s">
        <v>65</v>
      </c>
      <c r="N39" s="43" t="s">
        <v>131</v>
      </c>
      <c r="O39" s="43">
        <v>215</v>
      </c>
      <c r="P39" s="43" t="s">
        <v>427</v>
      </c>
      <c r="Q39" s="43" t="s">
        <v>377</v>
      </c>
      <c r="R39" s="43" t="s">
        <v>429</v>
      </c>
      <c r="S39" s="43" t="s">
        <v>382</v>
      </c>
      <c r="T39" s="43">
        <v>10</v>
      </c>
      <c r="U39" s="43">
        <v>-38.5974</v>
      </c>
      <c r="V39" s="28">
        <v>-3.15E-7</v>
      </c>
      <c r="W39" s="43" t="s">
        <v>910</v>
      </c>
      <c r="X39" s="43" t="s">
        <v>65</v>
      </c>
    </row>
    <row r="40" spans="2:24" x14ac:dyDescent="0.2">
      <c r="B40" s="43" t="s">
        <v>131</v>
      </c>
      <c r="C40" s="43">
        <v>218</v>
      </c>
      <c r="D40" s="43" t="s">
        <v>430</v>
      </c>
      <c r="E40" s="43" t="s">
        <v>107</v>
      </c>
      <c r="F40" s="43" t="s">
        <v>431</v>
      </c>
      <c r="G40" s="43" t="s">
        <v>380</v>
      </c>
      <c r="H40" s="43">
        <v>60</v>
      </c>
      <c r="I40" s="43">
        <v>-74.383499999999998</v>
      </c>
      <c r="J40" s="28">
        <v>-9.9999999999999995E-7</v>
      </c>
      <c r="K40" s="43" t="s">
        <v>910</v>
      </c>
      <c r="L40" s="43" t="s">
        <v>65</v>
      </c>
      <c r="N40" s="43" t="s">
        <v>131</v>
      </c>
      <c r="O40" s="43">
        <v>218</v>
      </c>
      <c r="P40" s="43" t="s">
        <v>430</v>
      </c>
      <c r="Q40" s="43" t="s">
        <v>377</v>
      </c>
      <c r="R40" s="43" t="s">
        <v>431</v>
      </c>
      <c r="S40" s="43" t="s">
        <v>380</v>
      </c>
      <c r="T40" s="43">
        <v>10</v>
      </c>
      <c r="U40" s="43">
        <v>-74.363600000000005</v>
      </c>
      <c r="V40" s="28">
        <v>-9.9999999999999995E-7</v>
      </c>
      <c r="W40" s="43" t="s">
        <v>910</v>
      </c>
      <c r="X40" s="43" t="s">
        <v>65</v>
      </c>
    </row>
    <row r="41" spans="2:24" x14ac:dyDescent="0.2">
      <c r="B41" s="43" t="s">
        <v>131</v>
      </c>
      <c r="C41" s="43">
        <v>218</v>
      </c>
      <c r="D41" s="43" t="s">
        <v>430</v>
      </c>
      <c r="E41" s="43" t="s">
        <v>107</v>
      </c>
      <c r="F41" s="43" t="s">
        <v>432</v>
      </c>
      <c r="G41" s="43" t="s">
        <v>382</v>
      </c>
      <c r="H41" s="43">
        <v>60</v>
      </c>
      <c r="I41" s="43">
        <v>-22.601199999999999</v>
      </c>
      <c r="J41" s="28">
        <v>-1.7149999999999999E-7</v>
      </c>
      <c r="K41" s="43" t="s">
        <v>910</v>
      </c>
      <c r="L41" s="43" t="s">
        <v>65</v>
      </c>
      <c r="N41" s="43" t="s">
        <v>131</v>
      </c>
      <c r="O41" s="43">
        <v>218</v>
      </c>
      <c r="P41" s="43" t="s">
        <v>430</v>
      </c>
      <c r="Q41" s="43" t="s">
        <v>377</v>
      </c>
      <c r="R41" s="43" t="s">
        <v>432</v>
      </c>
      <c r="S41" s="43" t="s">
        <v>382</v>
      </c>
      <c r="T41" s="43">
        <v>10</v>
      </c>
      <c r="U41" s="43">
        <v>-22.6204</v>
      </c>
      <c r="V41" s="28">
        <v>-1.7170000000000001E-7</v>
      </c>
      <c r="W41" s="43" t="s">
        <v>910</v>
      </c>
      <c r="X41" s="43" t="s">
        <v>65</v>
      </c>
    </row>
    <row r="42" spans="2:24" x14ac:dyDescent="0.2">
      <c r="B42" s="43" t="s">
        <v>131</v>
      </c>
      <c r="C42" s="43">
        <v>221</v>
      </c>
      <c r="D42" s="43" t="s">
        <v>433</v>
      </c>
      <c r="E42" s="43" t="s">
        <v>107</v>
      </c>
      <c r="F42" s="43" t="s">
        <v>434</v>
      </c>
      <c r="G42" s="43" t="s">
        <v>380</v>
      </c>
      <c r="H42" s="43">
        <v>60</v>
      </c>
      <c r="I42" s="43">
        <v>-74.355599999999995</v>
      </c>
      <c r="J42" s="28">
        <v>-9.9999999999999995E-7</v>
      </c>
      <c r="K42" s="43" t="s">
        <v>910</v>
      </c>
      <c r="L42" s="43" t="s">
        <v>65</v>
      </c>
      <c r="N42" s="43" t="s">
        <v>131</v>
      </c>
      <c r="O42" s="43">
        <v>221</v>
      </c>
      <c r="P42" s="43" t="s">
        <v>433</v>
      </c>
      <c r="Q42" s="43" t="s">
        <v>377</v>
      </c>
      <c r="R42" s="43" t="s">
        <v>434</v>
      </c>
      <c r="S42" s="43" t="s">
        <v>380</v>
      </c>
      <c r="T42" s="43">
        <v>10</v>
      </c>
      <c r="U42" s="43">
        <v>-74.337400000000002</v>
      </c>
      <c r="V42" s="28">
        <v>-9.9999999999999995E-7</v>
      </c>
      <c r="W42" s="43" t="s">
        <v>910</v>
      </c>
      <c r="X42" s="43" t="s">
        <v>65</v>
      </c>
    </row>
    <row r="43" spans="2:24" x14ac:dyDescent="0.2">
      <c r="B43" s="43" t="s">
        <v>131</v>
      </c>
      <c r="C43" s="43">
        <v>221</v>
      </c>
      <c r="D43" s="43" t="s">
        <v>433</v>
      </c>
      <c r="E43" s="43" t="s">
        <v>107</v>
      </c>
      <c r="F43" s="43" t="s">
        <v>435</v>
      </c>
      <c r="G43" s="43" t="s">
        <v>382</v>
      </c>
      <c r="H43" s="43">
        <v>60</v>
      </c>
      <c r="I43" s="43">
        <v>-22.653099999999998</v>
      </c>
      <c r="J43" s="28">
        <v>-1.719E-7</v>
      </c>
      <c r="K43" s="43" t="s">
        <v>910</v>
      </c>
      <c r="L43" s="43" t="s">
        <v>65</v>
      </c>
      <c r="N43" s="43" t="s">
        <v>131</v>
      </c>
      <c r="O43" s="43">
        <v>221</v>
      </c>
      <c r="P43" s="43" t="s">
        <v>433</v>
      </c>
      <c r="Q43" s="43" t="s">
        <v>377</v>
      </c>
      <c r="R43" s="43" t="s">
        <v>435</v>
      </c>
      <c r="S43" s="43" t="s">
        <v>382</v>
      </c>
      <c r="T43" s="43">
        <v>10</v>
      </c>
      <c r="U43" s="43">
        <v>-22.6722</v>
      </c>
      <c r="V43" s="28">
        <v>-1.72E-7</v>
      </c>
      <c r="W43" s="43" t="s">
        <v>910</v>
      </c>
      <c r="X43" s="43" t="s">
        <v>65</v>
      </c>
    </row>
    <row r="44" spans="2:24" x14ac:dyDescent="0.2">
      <c r="B44" s="43" t="s">
        <v>131</v>
      </c>
      <c r="C44" s="43">
        <v>224</v>
      </c>
      <c r="D44" s="43" t="s">
        <v>436</v>
      </c>
      <c r="E44" s="43" t="s">
        <v>107</v>
      </c>
      <c r="F44" s="43" t="s">
        <v>437</v>
      </c>
      <c r="G44" s="43" t="s">
        <v>380</v>
      </c>
      <c r="H44" s="43">
        <v>60</v>
      </c>
      <c r="I44" s="43">
        <v>-81.7654</v>
      </c>
      <c r="J44" s="28">
        <v>-9.9999999999999995E-7</v>
      </c>
      <c r="K44" s="43" t="s">
        <v>910</v>
      </c>
      <c r="L44" s="43" t="s">
        <v>65</v>
      </c>
      <c r="N44" s="43" t="s">
        <v>131</v>
      </c>
      <c r="O44" s="43">
        <v>224</v>
      </c>
      <c r="P44" s="43" t="s">
        <v>436</v>
      </c>
      <c r="Q44" s="43" t="s">
        <v>377</v>
      </c>
      <c r="R44" s="43" t="s">
        <v>437</v>
      </c>
      <c r="S44" s="43" t="s">
        <v>380</v>
      </c>
      <c r="T44" s="43">
        <v>10</v>
      </c>
      <c r="U44" s="43">
        <v>-81.750500000000002</v>
      </c>
      <c r="V44" s="28">
        <v>-9.9999999999999995E-7</v>
      </c>
      <c r="W44" s="43" t="s">
        <v>910</v>
      </c>
      <c r="X44" s="43" t="s">
        <v>65</v>
      </c>
    </row>
    <row r="45" spans="2:24" x14ac:dyDescent="0.2">
      <c r="B45" s="43" t="s">
        <v>131</v>
      </c>
      <c r="C45" s="43">
        <v>224</v>
      </c>
      <c r="D45" s="43" t="s">
        <v>436</v>
      </c>
      <c r="E45" s="43" t="s">
        <v>107</v>
      </c>
      <c r="F45" s="43" t="s">
        <v>438</v>
      </c>
      <c r="G45" s="43" t="s">
        <v>382</v>
      </c>
      <c r="H45" s="43">
        <v>60</v>
      </c>
      <c r="I45" s="43">
        <v>-38.8125</v>
      </c>
      <c r="J45" s="28">
        <v>-3.1679999999999998E-7</v>
      </c>
      <c r="K45" s="43" t="s">
        <v>910</v>
      </c>
      <c r="L45" s="43" t="s">
        <v>65</v>
      </c>
      <c r="N45" s="43" t="s">
        <v>131</v>
      </c>
      <c r="O45" s="43">
        <v>224</v>
      </c>
      <c r="P45" s="43" t="s">
        <v>436</v>
      </c>
      <c r="Q45" s="43" t="s">
        <v>377</v>
      </c>
      <c r="R45" s="43" t="s">
        <v>438</v>
      </c>
      <c r="S45" s="43" t="s">
        <v>382</v>
      </c>
      <c r="T45" s="43">
        <v>10</v>
      </c>
      <c r="U45" s="43">
        <v>-38.827300000000001</v>
      </c>
      <c r="V45" s="28">
        <v>-3.1689999999999999E-7</v>
      </c>
      <c r="W45" s="43" t="s">
        <v>910</v>
      </c>
      <c r="X45" s="43" t="s">
        <v>65</v>
      </c>
    </row>
    <row r="46" spans="2:24" x14ac:dyDescent="0.2">
      <c r="B46" s="43" t="s">
        <v>131</v>
      </c>
      <c r="C46" s="43">
        <v>227</v>
      </c>
      <c r="D46" s="43" t="s">
        <v>439</v>
      </c>
      <c r="E46" s="43" t="s">
        <v>107</v>
      </c>
      <c r="F46" s="43" t="s">
        <v>440</v>
      </c>
      <c r="G46" s="43" t="s">
        <v>380</v>
      </c>
      <c r="H46" s="43">
        <v>60</v>
      </c>
      <c r="I46" s="43">
        <v>-50.398000000000003</v>
      </c>
      <c r="J46" s="28">
        <v>-4.9119999999999995E-7</v>
      </c>
      <c r="K46" s="43" t="s">
        <v>910</v>
      </c>
      <c r="L46" s="43" t="s">
        <v>65</v>
      </c>
      <c r="N46" s="43" t="s">
        <v>131</v>
      </c>
      <c r="O46" s="43">
        <v>227</v>
      </c>
      <c r="P46" s="43" t="s">
        <v>439</v>
      </c>
      <c r="Q46" s="43" t="s">
        <v>377</v>
      </c>
      <c r="R46" s="43" t="s">
        <v>440</v>
      </c>
      <c r="S46" s="43" t="s">
        <v>380</v>
      </c>
      <c r="T46" s="43">
        <v>10</v>
      </c>
      <c r="U46" s="43">
        <v>-50.3825</v>
      </c>
      <c r="V46" s="28">
        <v>-4.9110000000000005E-7</v>
      </c>
      <c r="W46" s="43" t="s">
        <v>910</v>
      </c>
      <c r="X46" s="43" t="s">
        <v>65</v>
      </c>
    </row>
    <row r="47" spans="2:24" x14ac:dyDescent="0.2">
      <c r="B47" s="43" t="s">
        <v>131</v>
      </c>
      <c r="C47" s="43">
        <v>227</v>
      </c>
      <c r="D47" s="43" t="s">
        <v>439</v>
      </c>
      <c r="E47" s="43" t="s">
        <v>107</v>
      </c>
      <c r="F47" s="43" t="s">
        <v>441</v>
      </c>
      <c r="G47" s="43" t="s">
        <v>382</v>
      </c>
      <c r="H47" s="43">
        <v>60</v>
      </c>
      <c r="I47" s="43">
        <v>-9.3117000000000001</v>
      </c>
      <c r="J47" s="28">
        <v>-9.076E-8</v>
      </c>
      <c r="K47" s="43" t="s">
        <v>910</v>
      </c>
      <c r="L47" s="43" t="s">
        <v>65</v>
      </c>
      <c r="N47" s="43" t="s">
        <v>131</v>
      </c>
      <c r="O47" s="43">
        <v>227</v>
      </c>
      <c r="P47" s="43" t="s">
        <v>439</v>
      </c>
      <c r="Q47" s="43" t="s">
        <v>377</v>
      </c>
      <c r="R47" s="43" t="s">
        <v>441</v>
      </c>
      <c r="S47" s="43" t="s">
        <v>382</v>
      </c>
      <c r="T47" s="43">
        <v>10</v>
      </c>
      <c r="U47" s="43">
        <v>-9.3223000000000003</v>
      </c>
      <c r="V47" s="28">
        <v>-9.0870000000000006E-8</v>
      </c>
      <c r="W47" s="43" t="s">
        <v>910</v>
      </c>
      <c r="X47" s="43" t="s">
        <v>65</v>
      </c>
    </row>
    <row r="48" spans="2:24" x14ac:dyDescent="0.2">
      <c r="B48" s="43" t="s">
        <v>131</v>
      </c>
      <c r="C48" s="43">
        <v>239</v>
      </c>
      <c r="D48" s="43" t="s">
        <v>442</v>
      </c>
      <c r="E48" s="43" t="s">
        <v>107</v>
      </c>
      <c r="F48" s="43" t="s">
        <v>443</v>
      </c>
      <c r="G48" s="43" t="s">
        <v>380</v>
      </c>
      <c r="H48" s="43">
        <v>60</v>
      </c>
      <c r="I48" s="43">
        <v>-19.9603</v>
      </c>
      <c r="J48" s="28">
        <v>-1.6199999999999999E-7</v>
      </c>
      <c r="K48" s="43" t="s">
        <v>910</v>
      </c>
      <c r="L48" s="43" t="s">
        <v>65</v>
      </c>
      <c r="N48" s="43" t="s">
        <v>131</v>
      </c>
      <c r="O48" s="43">
        <v>239</v>
      </c>
      <c r="P48" s="43" t="s">
        <v>442</v>
      </c>
      <c r="Q48" s="43" t="s">
        <v>377</v>
      </c>
      <c r="R48" s="43" t="s">
        <v>443</v>
      </c>
      <c r="S48" s="43" t="s">
        <v>380</v>
      </c>
      <c r="T48" s="43">
        <v>10</v>
      </c>
      <c r="U48" s="43">
        <v>-19.987500000000001</v>
      </c>
      <c r="V48" s="28">
        <v>-1.6220000000000001E-7</v>
      </c>
      <c r="W48" s="43" t="s">
        <v>910</v>
      </c>
      <c r="X48" s="43" t="s">
        <v>65</v>
      </c>
    </row>
    <row r="49" spans="2:24" x14ac:dyDescent="0.2">
      <c r="B49" s="43" t="s">
        <v>131</v>
      </c>
      <c r="C49" s="43">
        <v>239</v>
      </c>
      <c r="D49" s="43" t="s">
        <v>442</v>
      </c>
      <c r="E49" s="43" t="s">
        <v>107</v>
      </c>
      <c r="F49" s="43" t="s">
        <v>444</v>
      </c>
      <c r="G49" s="43" t="s">
        <v>382</v>
      </c>
      <c r="H49" s="43">
        <v>60</v>
      </c>
      <c r="I49" s="43">
        <v>-16.773399999999999</v>
      </c>
      <c r="J49" s="28">
        <v>-1.3610000000000001E-7</v>
      </c>
      <c r="K49" s="43" t="s">
        <v>910</v>
      </c>
      <c r="L49" s="43" t="s">
        <v>65</v>
      </c>
      <c r="N49" s="43" t="s">
        <v>131</v>
      </c>
      <c r="O49" s="43">
        <v>239</v>
      </c>
      <c r="P49" s="43" t="s">
        <v>442</v>
      </c>
      <c r="Q49" s="43" t="s">
        <v>377</v>
      </c>
      <c r="R49" s="43" t="s">
        <v>444</v>
      </c>
      <c r="S49" s="43" t="s">
        <v>382</v>
      </c>
      <c r="T49" s="43">
        <v>10</v>
      </c>
      <c r="U49" s="43">
        <v>-16.747199999999999</v>
      </c>
      <c r="V49" s="28">
        <v>-1.3589999999999999E-7</v>
      </c>
      <c r="W49" s="43" t="s">
        <v>910</v>
      </c>
      <c r="X49" s="43" t="s">
        <v>65</v>
      </c>
    </row>
    <row r="50" spans="2:24" x14ac:dyDescent="0.2">
      <c r="B50" s="43" t="s">
        <v>131</v>
      </c>
      <c r="C50" s="43">
        <v>240</v>
      </c>
      <c r="D50" s="43" t="s">
        <v>445</v>
      </c>
      <c r="E50" s="43" t="s">
        <v>107</v>
      </c>
      <c r="F50" s="43" t="s">
        <v>446</v>
      </c>
      <c r="G50" s="43" t="s">
        <v>380</v>
      </c>
      <c r="H50" s="43">
        <v>60</v>
      </c>
      <c r="I50" s="43">
        <v>-16.6267</v>
      </c>
      <c r="J50" s="28">
        <v>-1.2410000000000001E-7</v>
      </c>
      <c r="K50" s="43" t="s">
        <v>910</v>
      </c>
      <c r="L50" s="43" t="s">
        <v>65</v>
      </c>
      <c r="N50" s="43" t="s">
        <v>131</v>
      </c>
      <c r="O50" s="43">
        <v>240</v>
      </c>
      <c r="P50" s="43" t="s">
        <v>445</v>
      </c>
      <c r="Q50" s="43" t="s">
        <v>377</v>
      </c>
      <c r="R50" s="43" t="s">
        <v>446</v>
      </c>
      <c r="S50" s="43" t="s">
        <v>380</v>
      </c>
      <c r="T50" s="43">
        <v>10</v>
      </c>
      <c r="U50" s="43">
        <v>-16.654699999999998</v>
      </c>
      <c r="V50" s="28">
        <v>-1.244E-7</v>
      </c>
      <c r="W50" s="43" t="s">
        <v>910</v>
      </c>
      <c r="X50" s="43" t="s">
        <v>65</v>
      </c>
    </row>
    <row r="51" spans="2:24" x14ac:dyDescent="0.2">
      <c r="B51" s="43" t="s">
        <v>131</v>
      </c>
      <c r="C51" s="43">
        <v>240</v>
      </c>
      <c r="D51" s="43" t="s">
        <v>445</v>
      </c>
      <c r="E51" s="43" t="s">
        <v>107</v>
      </c>
      <c r="F51" s="43" t="s">
        <v>447</v>
      </c>
      <c r="G51" s="43" t="s">
        <v>382</v>
      </c>
      <c r="H51" s="43">
        <v>60</v>
      </c>
      <c r="I51" s="43">
        <v>-24.890999999999998</v>
      </c>
      <c r="J51" s="28">
        <v>-1.8589999999999999E-7</v>
      </c>
      <c r="K51" s="43" t="s">
        <v>910</v>
      </c>
      <c r="L51" s="43" t="s">
        <v>65</v>
      </c>
      <c r="N51" s="43" t="s">
        <v>131</v>
      </c>
      <c r="O51" s="43">
        <v>240</v>
      </c>
      <c r="P51" s="43" t="s">
        <v>445</v>
      </c>
      <c r="Q51" s="43" t="s">
        <v>377</v>
      </c>
      <c r="R51" s="43" t="s">
        <v>447</v>
      </c>
      <c r="S51" s="43" t="s">
        <v>382</v>
      </c>
      <c r="T51" s="43">
        <v>10</v>
      </c>
      <c r="U51" s="43">
        <v>-24.8643</v>
      </c>
      <c r="V51" s="28">
        <v>-1.857E-7</v>
      </c>
      <c r="W51" s="43" t="s">
        <v>910</v>
      </c>
      <c r="X51" s="43" t="s">
        <v>65</v>
      </c>
    </row>
    <row r="52" spans="2:24" x14ac:dyDescent="0.2">
      <c r="B52" s="43" t="s">
        <v>131</v>
      </c>
      <c r="C52" s="43">
        <v>241</v>
      </c>
      <c r="D52" s="43" t="s">
        <v>445</v>
      </c>
      <c r="E52" s="43" t="s">
        <v>107</v>
      </c>
      <c r="F52" s="43" t="s">
        <v>448</v>
      </c>
      <c r="G52" s="43" t="s">
        <v>380</v>
      </c>
      <c r="H52" s="43">
        <v>60</v>
      </c>
      <c r="I52" s="43">
        <v>-24.971800000000002</v>
      </c>
      <c r="J52" s="28">
        <v>-1.9710000000000001E-7</v>
      </c>
      <c r="K52" s="43" t="s">
        <v>910</v>
      </c>
      <c r="L52" s="43" t="s">
        <v>65</v>
      </c>
      <c r="N52" s="43" t="s">
        <v>131</v>
      </c>
      <c r="O52" s="43">
        <v>241</v>
      </c>
      <c r="P52" s="43" t="s">
        <v>445</v>
      </c>
      <c r="Q52" s="43" t="s">
        <v>377</v>
      </c>
      <c r="R52" s="43" t="s">
        <v>448</v>
      </c>
      <c r="S52" s="43" t="s">
        <v>380</v>
      </c>
      <c r="T52" s="43">
        <v>10</v>
      </c>
      <c r="U52" s="43">
        <v>-24.995999999999999</v>
      </c>
      <c r="V52" s="28">
        <v>-1.973E-7</v>
      </c>
      <c r="W52" s="43" t="s">
        <v>910</v>
      </c>
      <c r="X52" s="43" t="s">
        <v>65</v>
      </c>
    </row>
    <row r="53" spans="2:24" x14ac:dyDescent="0.2">
      <c r="B53" s="43" t="s">
        <v>131</v>
      </c>
      <c r="C53" s="43">
        <v>241</v>
      </c>
      <c r="D53" s="43" t="s">
        <v>445</v>
      </c>
      <c r="E53" s="43" t="s">
        <v>107</v>
      </c>
      <c r="F53" s="43" t="s">
        <v>449</v>
      </c>
      <c r="G53" s="43" t="s">
        <v>382</v>
      </c>
      <c r="H53" s="43">
        <v>60</v>
      </c>
      <c r="I53" s="43">
        <v>-24.9299</v>
      </c>
      <c r="J53" s="28">
        <v>-1.9679999999999999E-7</v>
      </c>
      <c r="K53" s="43" t="s">
        <v>910</v>
      </c>
      <c r="L53" s="43" t="s">
        <v>65</v>
      </c>
      <c r="N53" s="43" t="s">
        <v>131</v>
      </c>
      <c r="O53" s="43">
        <v>241</v>
      </c>
      <c r="P53" s="43" t="s">
        <v>445</v>
      </c>
      <c r="Q53" s="43" t="s">
        <v>377</v>
      </c>
      <c r="R53" s="43" t="s">
        <v>449</v>
      </c>
      <c r="S53" s="43" t="s">
        <v>382</v>
      </c>
      <c r="T53" s="43">
        <v>10</v>
      </c>
      <c r="U53" s="43">
        <v>-24.905799999999999</v>
      </c>
      <c r="V53" s="28">
        <v>-1.966E-7</v>
      </c>
      <c r="W53" s="43" t="s">
        <v>910</v>
      </c>
      <c r="X53" s="43" t="s">
        <v>65</v>
      </c>
    </row>
    <row r="54" spans="2:24" x14ac:dyDescent="0.2">
      <c r="B54" s="43" t="s">
        <v>131</v>
      </c>
      <c r="C54" s="43">
        <v>242</v>
      </c>
      <c r="D54" s="43" t="s">
        <v>445</v>
      </c>
      <c r="E54" s="43" t="s">
        <v>107</v>
      </c>
      <c r="F54" s="43" t="s">
        <v>450</v>
      </c>
      <c r="G54" s="43" t="s">
        <v>380</v>
      </c>
      <c r="H54" s="43">
        <v>60</v>
      </c>
      <c r="I54" s="43">
        <v>-24.9453</v>
      </c>
      <c r="J54" s="28">
        <v>-1.8629999999999999E-7</v>
      </c>
      <c r="K54" s="43" t="s">
        <v>910</v>
      </c>
      <c r="L54" s="43" t="s">
        <v>65</v>
      </c>
      <c r="N54" s="43" t="s">
        <v>131</v>
      </c>
      <c r="O54" s="43">
        <v>242</v>
      </c>
      <c r="P54" s="43" t="s">
        <v>445</v>
      </c>
      <c r="Q54" s="43" t="s">
        <v>377</v>
      </c>
      <c r="R54" s="43" t="s">
        <v>450</v>
      </c>
      <c r="S54" s="43" t="s">
        <v>380</v>
      </c>
      <c r="T54" s="43">
        <v>10</v>
      </c>
      <c r="U54" s="43">
        <v>-24.972799999999999</v>
      </c>
      <c r="V54" s="28">
        <v>-1.8650000000000001E-7</v>
      </c>
      <c r="W54" s="43" t="s">
        <v>910</v>
      </c>
      <c r="X54" s="43" t="s">
        <v>65</v>
      </c>
    </row>
    <row r="55" spans="2:24" x14ac:dyDescent="0.2">
      <c r="B55" s="43" t="s">
        <v>131</v>
      </c>
      <c r="C55" s="43">
        <v>242</v>
      </c>
      <c r="D55" s="43" t="s">
        <v>445</v>
      </c>
      <c r="E55" s="43" t="s">
        <v>107</v>
      </c>
      <c r="F55" s="43" t="s">
        <v>451</v>
      </c>
      <c r="G55" s="43" t="s">
        <v>382</v>
      </c>
      <c r="H55" s="43">
        <v>60</v>
      </c>
      <c r="I55" s="43">
        <v>-16.5748</v>
      </c>
      <c r="J55" s="28">
        <v>-1.2380000000000001E-7</v>
      </c>
      <c r="K55" s="43" t="s">
        <v>910</v>
      </c>
      <c r="L55" s="43" t="s">
        <v>65</v>
      </c>
      <c r="N55" s="43" t="s">
        <v>131</v>
      </c>
      <c r="O55" s="43">
        <v>242</v>
      </c>
      <c r="P55" s="43" t="s">
        <v>445</v>
      </c>
      <c r="Q55" s="43" t="s">
        <v>377</v>
      </c>
      <c r="R55" s="43" t="s">
        <v>451</v>
      </c>
      <c r="S55" s="43" t="s">
        <v>382</v>
      </c>
      <c r="T55" s="43">
        <v>10</v>
      </c>
      <c r="U55" s="43">
        <v>-16.546099999999999</v>
      </c>
      <c r="V55" s="28">
        <v>-1.2349999999999999E-7</v>
      </c>
      <c r="W55" s="43" t="s">
        <v>910</v>
      </c>
      <c r="X55" s="43" t="s">
        <v>65</v>
      </c>
    </row>
    <row r="56" spans="2:24" x14ac:dyDescent="0.2">
      <c r="B56" s="43" t="s">
        <v>131</v>
      </c>
      <c r="C56" s="43">
        <v>243</v>
      </c>
      <c r="D56" s="43" t="s">
        <v>452</v>
      </c>
      <c r="E56" s="43" t="s">
        <v>107</v>
      </c>
      <c r="F56" s="43" t="s">
        <v>453</v>
      </c>
      <c r="G56" s="43" t="s">
        <v>380</v>
      </c>
      <c r="H56" s="43">
        <v>60</v>
      </c>
      <c r="I56" s="43">
        <v>-16.796700000000001</v>
      </c>
      <c r="J56" s="28">
        <v>-1.363E-7</v>
      </c>
      <c r="K56" s="43" t="s">
        <v>910</v>
      </c>
      <c r="L56" s="43" t="s">
        <v>65</v>
      </c>
      <c r="N56" s="43" t="s">
        <v>131</v>
      </c>
      <c r="O56" s="43">
        <v>243</v>
      </c>
      <c r="P56" s="43" t="s">
        <v>452</v>
      </c>
      <c r="Q56" s="43" t="s">
        <v>377</v>
      </c>
      <c r="R56" s="43" t="s">
        <v>453</v>
      </c>
      <c r="S56" s="43" t="s">
        <v>380</v>
      </c>
      <c r="T56" s="43">
        <v>10</v>
      </c>
      <c r="U56" s="43">
        <v>-16.823499999999999</v>
      </c>
      <c r="V56" s="28">
        <v>-1.3650000000000001E-7</v>
      </c>
      <c r="W56" s="43" t="s">
        <v>910</v>
      </c>
      <c r="X56" s="43" t="s">
        <v>65</v>
      </c>
    </row>
    <row r="57" spans="2:24" x14ac:dyDescent="0.2">
      <c r="B57" s="43" t="s">
        <v>131</v>
      </c>
      <c r="C57" s="43">
        <v>243</v>
      </c>
      <c r="D57" s="43" t="s">
        <v>452</v>
      </c>
      <c r="E57" s="43" t="s">
        <v>107</v>
      </c>
      <c r="F57" s="43" t="s">
        <v>454</v>
      </c>
      <c r="G57" s="43" t="s">
        <v>382</v>
      </c>
      <c r="H57" s="43">
        <v>60</v>
      </c>
      <c r="I57" s="43">
        <v>-19.885400000000001</v>
      </c>
      <c r="J57" s="28">
        <v>-1.614E-7</v>
      </c>
      <c r="K57" s="43" t="s">
        <v>910</v>
      </c>
      <c r="L57" s="43" t="s">
        <v>65</v>
      </c>
      <c r="N57" s="43" t="s">
        <v>131</v>
      </c>
      <c r="O57" s="43">
        <v>243</v>
      </c>
      <c r="P57" s="43" t="s">
        <v>452</v>
      </c>
      <c r="Q57" s="43" t="s">
        <v>377</v>
      </c>
      <c r="R57" s="43" t="s">
        <v>454</v>
      </c>
      <c r="S57" s="43" t="s">
        <v>382</v>
      </c>
      <c r="T57" s="43">
        <v>10</v>
      </c>
      <c r="U57" s="43">
        <v>-19.857900000000001</v>
      </c>
      <c r="V57" s="28">
        <v>-1.6119999999999999E-7</v>
      </c>
      <c r="W57" s="43" t="s">
        <v>910</v>
      </c>
      <c r="X57" s="43" t="s">
        <v>65</v>
      </c>
    </row>
    <row r="58" spans="2:24" x14ac:dyDescent="0.2">
      <c r="B58" s="43" t="s">
        <v>131</v>
      </c>
      <c r="C58" s="43">
        <v>213</v>
      </c>
      <c r="D58" s="43" t="s">
        <v>455</v>
      </c>
      <c r="E58" s="43" t="s">
        <v>107</v>
      </c>
      <c r="F58" s="43" t="s">
        <v>456</v>
      </c>
      <c r="G58" s="43" t="s">
        <v>380</v>
      </c>
      <c r="H58" s="43">
        <v>60</v>
      </c>
      <c r="I58" s="43">
        <v>-50.707000000000001</v>
      </c>
      <c r="J58" s="28">
        <v>-9.9999999999999995E-7</v>
      </c>
      <c r="K58" s="43" t="s">
        <v>910</v>
      </c>
      <c r="L58" s="43" t="s">
        <v>65</v>
      </c>
      <c r="N58" s="43" t="s">
        <v>131</v>
      </c>
      <c r="O58" s="43">
        <v>213</v>
      </c>
      <c r="P58" s="43" t="s">
        <v>455</v>
      </c>
      <c r="Q58" s="43" t="s">
        <v>377</v>
      </c>
      <c r="R58" s="43" t="s">
        <v>456</v>
      </c>
      <c r="S58" s="43" t="s">
        <v>380</v>
      </c>
      <c r="T58" s="43">
        <v>10</v>
      </c>
      <c r="U58" s="43">
        <v>-50.694400000000002</v>
      </c>
      <c r="V58" s="28">
        <v>-9.9999999999999995E-7</v>
      </c>
      <c r="W58" s="43" t="s">
        <v>910</v>
      </c>
      <c r="X58" s="43" t="s">
        <v>65</v>
      </c>
    </row>
    <row r="59" spans="2:24" x14ac:dyDescent="0.2">
      <c r="B59" s="43" t="s">
        <v>131</v>
      </c>
      <c r="C59" s="43">
        <v>213</v>
      </c>
      <c r="D59" s="43" t="s">
        <v>455</v>
      </c>
      <c r="E59" s="43" t="s">
        <v>107</v>
      </c>
      <c r="F59" s="43" t="s">
        <v>457</v>
      </c>
      <c r="G59" s="43" t="s">
        <v>382</v>
      </c>
      <c r="H59" s="43">
        <v>60</v>
      </c>
      <c r="I59" s="43">
        <v>-12.2667</v>
      </c>
      <c r="J59" s="28">
        <v>-1.3449999999999999E-7</v>
      </c>
      <c r="K59" s="43" t="s">
        <v>910</v>
      </c>
      <c r="L59" s="43" t="s">
        <v>65</v>
      </c>
      <c r="N59" s="43" t="s">
        <v>131</v>
      </c>
      <c r="O59" s="43">
        <v>213</v>
      </c>
      <c r="P59" s="43" t="s">
        <v>455</v>
      </c>
      <c r="Q59" s="43" t="s">
        <v>377</v>
      </c>
      <c r="R59" s="43" t="s">
        <v>457</v>
      </c>
      <c r="S59" s="43" t="s">
        <v>382</v>
      </c>
      <c r="T59" s="43">
        <v>10</v>
      </c>
      <c r="U59" s="43">
        <v>-12.283300000000001</v>
      </c>
      <c r="V59" s="28">
        <v>-1.3470000000000001E-7</v>
      </c>
      <c r="W59" s="43" t="s">
        <v>910</v>
      </c>
      <c r="X59" s="43" t="s">
        <v>65</v>
      </c>
    </row>
    <row r="60" spans="2:24" x14ac:dyDescent="0.2">
      <c r="B60" s="43" t="s">
        <v>131</v>
      </c>
      <c r="C60" s="43">
        <v>216</v>
      </c>
      <c r="D60" s="43" t="s">
        <v>458</v>
      </c>
      <c r="E60" s="43" t="s">
        <v>107</v>
      </c>
      <c r="F60" s="43" t="s">
        <v>459</v>
      </c>
      <c r="G60" s="43" t="s">
        <v>380</v>
      </c>
      <c r="H60" s="43">
        <v>60</v>
      </c>
      <c r="I60" s="43">
        <v>-82.1494</v>
      </c>
      <c r="J60" s="28">
        <v>-9.9999999999999995E-7</v>
      </c>
      <c r="K60" s="43" t="s">
        <v>910</v>
      </c>
      <c r="L60" s="43" t="s">
        <v>65</v>
      </c>
      <c r="N60" s="43" t="s">
        <v>131</v>
      </c>
      <c r="O60" s="43">
        <v>216</v>
      </c>
      <c r="P60" s="43" t="s">
        <v>458</v>
      </c>
      <c r="Q60" s="43" t="s">
        <v>377</v>
      </c>
      <c r="R60" s="43" t="s">
        <v>459</v>
      </c>
      <c r="S60" s="43" t="s">
        <v>380</v>
      </c>
      <c r="T60" s="43">
        <v>10</v>
      </c>
      <c r="U60" s="43">
        <v>-82.132300000000001</v>
      </c>
      <c r="V60" s="28">
        <v>-9.9999999999999995E-7</v>
      </c>
      <c r="W60" s="43" t="s">
        <v>910</v>
      </c>
      <c r="X60" s="43" t="s">
        <v>65</v>
      </c>
    </row>
    <row r="61" spans="2:24" x14ac:dyDescent="0.2">
      <c r="B61" s="43" t="s">
        <v>131</v>
      </c>
      <c r="C61" s="43">
        <v>216</v>
      </c>
      <c r="D61" s="43" t="s">
        <v>458</v>
      </c>
      <c r="E61" s="43" t="s">
        <v>107</v>
      </c>
      <c r="F61" s="43" t="s">
        <v>460</v>
      </c>
      <c r="G61" s="43" t="s">
        <v>382</v>
      </c>
      <c r="H61" s="43">
        <v>60</v>
      </c>
      <c r="I61" s="43">
        <v>-23.6221</v>
      </c>
      <c r="J61" s="28">
        <v>-1.98E-7</v>
      </c>
      <c r="K61" s="43" t="s">
        <v>910</v>
      </c>
      <c r="L61" s="43" t="s">
        <v>65</v>
      </c>
      <c r="N61" s="43" t="s">
        <v>131</v>
      </c>
      <c r="O61" s="43">
        <v>216</v>
      </c>
      <c r="P61" s="43" t="s">
        <v>458</v>
      </c>
      <c r="Q61" s="43" t="s">
        <v>377</v>
      </c>
      <c r="R61" s="43" t="s">
        <v>460</v>
      </c>
      <c r="S61" s="43" t="s">
        <v>382</v>
      </c>
      <c r="T61" s="43">
        <v>10</v>
      </c>
      <c r="U61" s="43">
        <v>-23.641500000000001</v>
      </c>
      <c r="V61" s="28">
        <v>-1.9810000000000001E-7</v>
      </c>
      <c r="W61" s="43" t="s">
        <v>910</v>
      </c>
      <c r="X61" s="43" t="s">
        <v>65</v>
      </c>
    </row>
    <row r="62" spans="2:24" x14ac:dyDescent="0.2">
      <c r="B62" s="43" t="s">
        <v>131</v>
      </c>
      <c r="C62" s="43">
        <v>219</v>
      </c>
      <c r="D62" s="43" t="s">
        <v>461</v>
      </c>
      <c r="E62" s="43" t="s">
        <v>107</v>
      </c>
      <c r="F62" s="43" t="s">
        <v>462</v>
      </c>
      <c r="G62" s="43" t="s">
        <v>380</v>
      </c>
      <c r="H62" s="43">
        <v>60</v>
      </c>
      <c r="I62" s="43">
        <v>-74.130899999999997</v>
      </c>
      <c r="J62" s="28">
        <v>-9.9999999999999995E-7</v>
      </c>
      <c r="K62" s="43" t="s">
        <v>910</v>
      </c>
      <c r="L62" s="43" t="s">
        <v>65</v>
      </c>
      <c r="N62" s="43" t="s">
        <v>131</v>
      </c>
      <c r="O62" s="43">
        <v>219</v>
      </c>
      <c r="P62" s="43" t="s">
        <v>461</v>
      </c>
      <c r="Q62" s="43" t="s">
        <v>377</v>
      </c>
      <c r="R62" s="43" t="s">
        <v>462</v>
      </c>
      <c r="S62" s="43" t="s">
        <v>380</v>
      </c>
      <c r="T62" s="43">
        <v>10</v>
      </c>
      <c r="U62" s="43">
        <v>-74.113</v>
      </c>
      <c r="V62" s="28">
        <v>-9.9999999999999995E-7</v>
      </c>
      <c r="W62" s="43" t="s">
        <v>910</v>
      </c>
      <c r="X62" s="43" t="s">
        <v>65</v>
      </c>
    </row>
    <row r="63" spans="2:24" x14ac:dyDescent="0.2">
      <c r="B63" s="43" t="s">
        <v>131</v>
      </c>
      <c r="C63" s="43">
        <v>219</v>
      </c>
      <c r="D63" s="43" t="s">
        <v>461</v>
      </c>
      <c r="E63" s="43" t="s">
        <v>107</v>
      </c>
      <c r="F63" s="43" t="s">
        <v>463</v>
      </c>
      <c r="G63" s="43" t="s">
        <v>382</v>
      </c>
      <c r="H63" s="43">
        <v>60</v>
      </c>
      <c r="I63" s="43">
        <v>-28.126000000000001</v>
      </c>
      <c r="J63" s="28">
        <v>-2.3410000000000001E-7</v>
      </c>
      <c r="K63" s="43" t="s">
        <v>910</v>
      </c>
      <c r="L63" s="43" t="s">
        <v>65</v>
      </c>
      <c r="N63" s="43" t="s">
        <v>131</v>
      </c>
      <c r="O63" s="43">
        <v>219</v>
      </c>
      <c r="P63" s="43" t="s">
        <v>461</v>
      </c>
      <c r="Q63" s="43" t="s">
        <v>377</v>
      </c>
      <c r="R63" s="43" t="s">
        <v>463</v>
      </c>
      <c r="S63" s="43" t="s">
        <v>382</v>
      </c>
      <c r="T63" s="43">
        <v>10</v>
      </c>
      <c r="U63" s="43">
        <v>-28.144300000000001</v>
      </c>
      <c r="V63" s="28">
        <v>-2.3419999999999999E-7</v>
      </c>
      <c r="W63" s="43" t="s">
        <v>910</v>
      </c>
      <c r="X63" s="43" t="s">
        <v>65</v>
      </c>
    </row>
    <row r="64" spans="2:24" x14ac:dyDescent="0.2">
      <c r="B64" s="43" t="s">
        <v>131</v>
      </c>
      <c r="C64" s="43">
        <v>222</v>
      </c>
      <c r="D64" s="43" t="s">
        <v>464</v>
      </c>
      <c r="E64" s="43" t="s">
        <v>107</v>
      </c>
      <c r="F64" s="43" t="s">
        <v>465</v>
      </c>
      <c r="G64" s="43" t="s">
        <v>380</v>
      </c>
      <c r="H64" s="43">
        <v>60</v>
      </c>
      <c r="I64" s="43">
        <v>-74.1036</v>
      </c>
      <c r="J64" s="28">
        <v>-9.9999999999999995E-7</v>
      </c>
      <c r="K64" s="43" t="s">
        <v>910</v>
      </c>
      <c r="L64" s="43" t="s">
        <v>65</v>
      </c>
      <c r="N64" s="43" t="s">
        <v>131</v>
      </c>
      <c r="O64" s="43">
        <v>222</v>
      </c>
      <c r="P64" s="43" t="s">
        <v>464</v>
      </c>
      <c r="Q64" s="43" t="s">
        <v>377</v>
      </c>
      <c r="R64" s="43" t="s">
        <v>465</v>
      </c>
      <c r="S64" s="43" t="s">
        <v>380</v>
      </c>
      <c r="T64" s="43">
        <v>10</v>
      </c>
      <c r="U64" s="43">
        <v>-74.086799999999997</v>
      </c>
      <c r="V64" s="28">
        <v>-9.9999999999999995E-7</v>
      </c>
      <c r="W64" s="43" t="s">
        <v>910</v>
      </c>
      <c r="X64" s="43" t="s">
        <v>65</v>
      </c>
    </row>
    <row r="65" spans="2:24" x14ac:dyDescent="0.2">
      <c r="B65" s="43" t="s">
        <v>131</v>
      </c>
      <c r="C65" s="43">
        <v>222</v>
      </c>
      <c r="D65" s="43" t="s">
        <v>464</v>
      </c>
      <c r="E65" s="43" t="s">
        <v>107</v>
      </c>
      <c r="F65" s="43" t="s">
        <v>466</v>
      </c>
      <c r="G65" s="43" t="s">
        <v>382</v>
      </c>
      <c r="H65" s="43">
        <v>60</v>
      </c>
      <c r="I65" s="43">
        <v>-28.151599999999998</v>
      </c>
      <c r="J65" s="28">
        <v>-2.343E-7</v>
      </c>
      <c r="K65" s="43" t="s">
        <v>910</v>
      </c>
      <c r="L65" s="43" t="s">
        <v>65</v>
      </c>
      <c r="N65" s="43" t="s">
        <v>131</v>
      </c>
      <c r="O65" s="43">
        <v>222</v>
      </c>
      <c r="P65" s="43" t="s">
        <v>464</v>
      </c>
      <c r="Q65" s="43" t="s">
        <v>377</v>
      </c>
      <c r="R65" s="43" t="s">
        <v>466</v>
      </c>
      <c r="S65" s="43" t="s">
        <v>382</v>
      </c>
      <c r="T65" s="43">
        <v>10</v>
      </c>
      <c r="U65" s="43">
        <v>-28.168900000000001</v>
      </c>
      <c r="V65" s="28">
        <v>-2.3440000000000001E-7</v>
      </c>
      <c r="W65" s="43" t="s">
        <v>910</v>
      </c>
      <c r="X65" s="43" t="s">
        <v>65</v>
      </c>
    </row>
    <row r="66" spans="2:24" x14ac:dyDescent="0.2">
      <c r="B66" s="43" t="s">
        <v>131</v>
      </c>
      <c r="C66" s="43">
        <v>225</v>
      </c>
      <c r="D66" s="43" t="s">
        <v>467</v>
      </c>
      <c r="E66" s="43" t="s">
        <v>107</v>
      </c>
      <c r="F66" s="43" t="s">
        <v>468</v>
      </c>
      <c r="G66" s="43" t="s">
        <v>380</v>
      </c>
      <c r="H66" s="43">
        <v>60</v>
      </c>
      <c r="I66" s="43">
        <v>-82.096699999999998</v>
      </c>
      <c r="J66" s="28">
        <v>-9.9999999999999995E-7</v>
      </c>
      <c r="K66" s="43" t="s">
        <v>910</v>
      </c>
      <c r="L66" s="43" t="s">
        <v>65</v>
      </c>
      <c r="N66" s="43" t="s">
        <v>131</v>
      </c>
      <c r="O66" s="43">
        <v>225</v>
      </c>
      <c r="P66" s="43" t="s">
        <v>467</v>
      </c>
      <c r="Q66" s="43" t="s">
        <v>377</v>
      </c>
      <c r="R66" s="43" t="s">
        <v>468</v>
      </c>
      <c r="S66" s="43" t="s">
        <v>380</v>
      </c>
      <c r="T66" s="43">
        <v>10</v>
      </c>
      <c r="U66" s="43">
        <v>-82.081199999999995</v>
      </c>
      <c r="V66" s="28">
        <v>-9.9999999999999995E-7</v>
      </c>
      <c r="W66" s="43" t="s">
        <v>910</v>
      </c>
      <c r="X66" s="43" t="s">
        <v>65</v>
      </c>
    </row>
    <row r="67" spans="2:24" x14ac:dyDescent="0.2">
      <c r="B67" s="43" t="s">
        <v>131</v>
      </c>
      <c r="C67" s="43">
        <v>225</v>
      </c>
      <c r="D67" s="43" t="s">
        <v>467</v>
      </c>
      <c r="E67" s="43" t="s">
        <v>107</v>
      </c>
      <c r="F67" s="43" t="s">
        <v>469</v>
      </c>
      <c r="G67" s="43" t="s">
        <v>382</v>
      </c>
      <c r="H67" s="43">
        <v>60</v>
      </c>
      <c r="I67" s="43">
        <v>-23.693000000000001</v>
      </c>
      <c r="J67" s="28">
        <v>-1.9859999999999999E-7</v>
      </c>
      <c r="K67" s="43" t="s">
        <v>910</v>
      </c>
      <c r="L67" s="43" t="s">
        <v>65</v>
      </c>
      <c r="N67" s="43" t="s">
        <v>131</v>
      </c>
      <c r="O67" s="43">
        <v>225</v>
      </c>
      <c r="P67" s="43" t="s">
        <v>467</v>
      </c>
      <c r="Q67" s="43" t="s">
        <v>377</v>
      </c>
      <c r="R67" s="43" t="s">
        <v>469</v>
      </c>
      <c r="S67" s="43" t="s">
        <v>382</v>
      </c>
      <c r="T67" s="43">
        <v>10</v>
      </c>
      <c r="U67" s="43">
        <v>-23.709499999999998</v>
      </c>
      <c r="V67" s="28">
        <v>-1.987E-7</v>
      </c>
      <c r="W67" s="43" t="s">
        <v>910</v>
      </c>
      <c r="X67" s="43" t="s">
        <v>65</v>
      </c>
    </row>
    <row r="68" spans="2:24" x14ac:dyDescent="0.2">
      <c r="B68" s="43" t="s">
        <v>131</v>
      </c>
      <c r="C68" s="43">
        <v>228</v>
      </c>
      <c r="D68" s="43" t="s">
        <v>470</v>
      </c>
      <c r="E68" s="43" t="s">
        <v>107</v>
      </c>
      <c r="F68" s="43" t="s">
        <v>471</v>
      </c>
      <c r="G68" s="43" t="s">
        <v>380</v>
      </c>
      <c r="H68" s="43">
        <v>60</v>
      </c>
      <c r="I68" s="43">
        <v>-50.599299999999999</v>
      </c>
      <c r="J68" s="28">
        <v>-9.9999999999999995E-7</v>
      </c>
      <c r="K68" s="43" t="s">
        <v>910</v>
      </c>
      <c r="L68" s="43" t="s">
        <v>65</v>
      </c>
      <c r="N68" s="43" t="s">
        <v>131</v>
      </c>
      <c r="O68" s="43">
        <v>228</v>
      </c>
      <c r="P68" s="43" t="s">
        <v>470</v>
      </c>
      <c r="Q68" s="43" t="s">
        <v>377</v>
      </c>
      <c r="R68" s="43" t="s">
        <v>471</v>
      </c>
      <c r="S68" s="43" t="s">
        <v>380</v>
      </c>
      <c r="T68" s="43">
        <v>10</v>
      </c>
      <c r="U68" s="43">
        <v>-50.584899999999998</v>
      </c>
      <c r="V68" s="28">
        <v>-9.9999999999999995E-7</v>
      </c>
      <c r="W68" s="43" t="s">
        <v>910</v>
      </c>
      <c r="X68" s="43" t="s">
        <v>65</v>
      </c>
    </row>
    <row r="69" spans="2:24" x14ac:dyDescent="0.2">
      <c r="B69" s="43" t="s">
        <v>131</v>
      </c>
      <c r="C69" s="43">
        <v>228</v>
      </c>
      <c r="D69" s="43" t="s">
        <v>470</v>
      </c>
      <c r="E69" s="43" t="s">
        <v>107</v>
      </c>
      <c r="F69" s="43" t="s">
        <v>472</v>
      </c>
      <c r="G69" s="43" t="s">
        <v>382</v>
      </c>
      <c r="H69" s="43">
        <v>60</v>
      </c>
      <c r="I69" s="43">
        <v>-12.353300000000001</v>
      </c>
      <c r="J69" s="28">
        <v>-1.3549999999999999E-7</v>
      </c>
      <c r="K69" s="43" t="s">
        <v>910</v>
      </c>
      <c r="L69" s="43" t="s">
        <v>65</v>
      </c>
      <c r="N69" s="43" t="s">
        <v>131</v>
      </c>
      <c r="O69" s="43">
        <v>228</v>
      </c>
      <c r="P69" s="43" t="s">
        <v>470</v>
      </c>
      <c r="Q69" s="43" t="s">
        <v>377</v>
      </c>
      <c r="R69" s="43" t="s">
        <v>472</v>
      </c>
      <c r="S69" s="43" t="s">
        <v>382</v>
      </c>
      <c r="T69" s="43">
        <v>10</v>
      </c>
      <c r="U69" s="43">
        <v>-12.363</v>
      </c>
      <c r="V69" s="28">
        <v>-1.356E-7</v>
      </c>
      <c r="W69" s="43" t="s">
        <v>910</v>
      </c>
      <c r="X69" s="43" t="s">
        <v>65</v>
      </c>
    </row>
    <row r="70" spans="2:24" x14ac:dyDescent="0.2">
      <c r="B70" s="43" t="s">
        <v>131</v>
      </c>
      <c r="C70" s="43">
        <v>244</v>
      </c>
      <c r="D70" s="43" t="s">
        <v>473</v>
      </c>
      <c r="E70" s="43" t="s">
        <v>107</v>
      </c>
      <c r="F70" s="43" t="s">
        <v>474</v>
      </c>
      <c r="G70" s="43" t="s">
        <v>380</v>
      </c>
      <c r="H70" s="43">
        <v>60</v>
      </c>
      <c r="I70" s="43">
        <v>-9.8343000000000007</v>
      </c>
      <c r="J70" s="28">
        <v>-1.1249999999999999E-7</v>
      </c>
      <c r="K70" s="43" t="s">
        <v>910</v>
      </c>
      <c r="L70" s="43" t="s">
        <v>65</v>
      </c>
      <c r="N70" s="43" t="s">
        <v>131</v>
      </c>
      <c r="O70" s="43">
        <v>244</v>
      </c>
      <c r="P70" s="43" t="s">
        <v>473</v>
      </c>
      <c r="Q70" s="43" t="s">
        <v>377</v>
      </c>
      <c r="R70" s="43" t="s">
        <v>474</v>
      </c>
      <c r="S70" s="43" t="s">
        <v>380</v>
      </c>
      <c r="T70" s="43">
        <v>10</v>
      </c>
      <c r="U70" s="43">
        <v>-9.8521999999999998</v>
      </c>
      <c r="V70" s="28">
        <v>-1.127E-7</v>
      </c>
      <c r="W70" s="43" t="s">
        <v>910</v>
      </c>
      <c r="X70" s="43" t="s">
        <v>65</v>
      </c>
    </row>
    <row r="71" spans="2:24" x14ac:dyDescent="0.2">
      <c r="B71" s="43" t="s">
        <v>131</v>
      </c>
      <c r="C71" s="43">
        <v>244</v>
      </c>
      <c r="D71" s="43" t="s">
        <v>473</v>
      </c>
      <c r="E71" s="43" t="s">
        <v>107</v>
      </c>
      <c r="F71" s="43" t="s">
        <v>475</v>
      </c>
      <c r="G71" s="43" t="s">
        <v>382</v>
      </c>
      <c r="H71" s="43">
        <v>60</v>
      </c>
      <c r="I71" s="43">
        <v>-17.3918</v>
      </c>
      <c r="J71" s="28">
        <v>-1.99E-7</v>
      </c>
      <c r="K71" s="43" t="s">
        <v>910</v>
      </c>
      <c r="L71" s="43" t="s">
        <v>65</v>
      </c>
      <c r="N71" s="43" t="s">
        <v>131</v>
      </c>
      <c r="O71" s="43">
        <v>244</v>
      </c>
      <c r="P71" s="43" t="s">
        <v>473</v>
      </c>
      <c r="Q71" s="43" t="s">
        <v>377</v>
      </c>
      <c r="R71" s="43" t="s">
        <v>475</v>
      </c>
      <c r="S71" s="43" t="s">
        <v>382</v>
      </c>
      <c r="T71" s="43">
        <v>10</v>
      </c>
      <c r="U71" s="43">
        <v>-17.374500000000001</v>
      </c>
      <c r="V71" s="28">
        <v>-1.9880000000000001E-7</v>
      </c>
      <c r="W71" s="43" t="s">
        <v>910</v>
      </c>
      <c r="X71" s="43" t="s">
        <v>65</v>
      </c>
    </row>
    <row r="72" spans="2:24" x14ac:dyDescent="0.2">
      <c r="B72" s="43" t="s">
        <v>131</v>
      </c>
      <c r="C72" s="43">
        <v>245</v>
      </c>
      <c r="D72" s="43" t="s">
        <v>476</v>
      </c>
      <c r="E72" s="43" t="s">
        <v>107</v>
      </c>
      <c r="F72" s="43" t="s">
        <v>477</v>
      </c>
      <c r="G72" s="43" t="s">
        <v>380</v>
      </c>
      <c r="H72" s="43">
        <v>60</v>
      </c>
      <c r="I72" s="43">
        <v>-15.12</v>
      </c>
      <c r="J72" s="28">
        <v>-1.6360000000000001E-7</v>
      </c>
      <c r="K72" s="43" t="s">
        <v>910</v>
      </c>
      <c r="L72" s="43" t="s">
        <v>65</v>
      </c>
      <c r="N72" s="43" t="s">
        <v>131</v>
      </c>
      <c r="O72" s="43">
        <v>245</v>
      </c>
      <c r="P72" s="43" t="s">
        <v>476</v>
      </c>
      <c r="Q72" s="43" t="s">
        <v>377</v>
      </c>
      <c r="R72" s="43" t="s">
        <v>477</v>
      </c>
      <c r="S72" s="43" t="s">
        <v>380</v>
      </c>
      <c r="T72" s="43">
        <v>10</v>
      </c>
      <c r="U72" s="43">
        <v>-15.141</v>
      </c>
      <c r="V72" s="28">
        <v>-1.638E-7</v>
      </c>
      <c r="W72" s="43" t="s">
        <v>910</v>
      </c>
      <c r="X72" s="43" t="s">
        <v>65</v>
      </c>
    </row>
    <row r="73" spans="2:24" x14ac:dyDescent="0.2">
      <c r="B73" s="43" t="s">
        <v>131</v>
      </c>
      <c r="C73" s="43">
        <v>245</v>
      </c>
      <c r="D73" s="43" t="s">
        <v>476</v>
      </c>
      <c r="E73" s="43" t="s">
        <v>107</v>
      </c>
      <c r="F73" s="43" t="s">
        <v>478</v>
      </c>
      <c r="G73" s="43" t="s">
        <v>382</v>
      </c>
      <c r="H73" s="43">
        <v>60</v>
      </c>
      <c r="I73" s="43">
        <v>-9.6333000000000002</v>
      </c>
      <c r="J73" s="28">
        <v>-1.0420000000000001E-7</v>
      </c>
      <c r="K73" s="43" t="s">
        <v>910</v>
      </c>
      <c r="L73" s="43" t="s">
        <v>65</v>
      </c>
      <c r="N73" s="43" t="s">
        <v>131</v>
      </c>
      <c r="O73" s="43">
        <v>245</v>
      </c>
      <c r="P73" s="43" t="s">
        <v>476</v>
      </c>
      <c r="Q73" s="43" t="s">
        <v>377</v>
      </c>
      <c r="R73" s="43" t="s">
        <v>478</v>
      </c>
      <c r="S73" s="43" t="s">
        <v>382</v>
      </c>
      <c r="T73" s="43">
        <v>10</v>
      </c>
      <c r="U73" s="43">
        <v>-9.6134000000000004</v>
      </c>
      <c r="V73" s="28">
        <v>-1.04E-7</v>
      </c>
      <c r="W73" s="43" t="s">
        <v>910</v>
      </c>
      <c r="X73" s="43" t="s">
        <v>65</v>
      </c>
    </row>
    <row r="74" spans="2:24" x14ac:dyDescent="0.2">
      <c r="B74" s="43" t="s">
        <v>131</v>
      </c>
      <c r="C74" s="43">
        <v>246</v>
      </c>
      <c r="D74" s="43" t="s">
        <v>476</v>
      </c>
      <c r="E74" s="43" t="s">
        <v>107</v>
      </c>
      <c r="F74" s="43" t="s">
        <v>479</v>
      </c>
      <c r="G74" s="43" t="s">
        <v>380</v>
      </c>
      <c r="H74" s="43">
        <v>60</v>
      </c>
      <c r="I74" s="43">
        <v>-9.7599</v>
      </c>
      <c r="J74" s="28">
        <v>-9.9579999999999996E-8</v>
      </c>
      <c r="K74" s="43" t="s">
        <v>910</v>
      </c>
      <c r="L74" s="43" t="s">
        <v>65</v>
      </c>
      <c r="N74" s="43" t="s">
        <v>131</v>
      </c>
      <c r="O74" s="43">
        <v>246</v>
      </c>
      <c r="P74" s="43" t="s">
        <v>476</v>
      </c>
      <c r="Q74" s="43" t="s">
        <v>377</v>
      </c>
      <c r="R74" s="43" t="s">
        <v>479</v>
      </c>
      <c r="S74" s="43" t="s">
        <v>380</v>
      </c>
      <c r="T74" s="43">
        <v>10</v>
      </c>
      <c r="U74" s="43">
        <v>-9.7815999999999992</v>
      </c>
      <c r="V74" s="28">
        <v>-9.9799999999999994E-8</v>
      </c>
      <c r="W74" s="43" t="s">
        <v>910</v>
      </c>
      <c r="X74" s="43" t="s">
        <v>65</v>
      </c>
    </row>
    <row r="75" spans="2:24" x14ac:dyDescent="0.2">
      <c r="B75" s="43" t="s">
        <v>131</v>
      </c>
      <c r="C75" s="43">
        <v>246</v>
      </c>
      <c r="D75" s="43" t="s">
        <v>476</v>
      </c>
      <c r="E75" s="43" t="s">
        <v>107</v>
      </c>
      <c r="F75" s="43" t="s">
        <v>480</v>
      </c>
      <c r="G75" s="43" t="s">
        <v>382</v>
      </c>
      <c r="H75" s="43">
        <v>60</v>
      </c>
      <c r="I75" s="43">
        <v>-9.6579999999999995</v>
      </c>
      <c r="J75" s="28">
        <v>-9.8539999999999994E-8</v>
      </c>
      <c r="K75" s="43" t="s">
        <v>910</v>
      </c>
      <c r="L75" s="43" t="s">
        <v>65</v>
      </c>
      <c r="N75" s="43" t="s">
        <v>131</v>
      </c>
      <c r="O75" s="43">
        <v>246</v>
      </c>
      <c r="P75" s="43" t="s">
        <v>476</v>
      </c>
      <c r="Q75" s="43" t="s">
        <v>377</v>
      </c>
      <c r="R75" s="43" t="s">
        <v>480</v>
      </c>
      <c r="S75" s="43" t="s">
        <v>382</v>
      </c>
      <c r="T75" s="43">
        <v>10</v>
      </c>
      <c r="U75" s="43">
        <v>-9.6370000000000005</v>
      </c>
      <c r="V75" s="28">
        <v>-9.8319999999999996E-8</v>
      </c>
      <c r="W75" s="43" t="s">
        <v>910</v>
      </c>
      <c r="X75" s="43" t="s">
        <v>65</v>
      </c>
    </row>
    <row r="76" spans="2:24" x14ac:dyDescent="0.2">
      <c r="B76" s="43" t="s">
        <v>131</v>
      </c>
      <c r="C76" s="43">
        <v>247</v>
      </c>
      <c r="D76" s="43" t="s">
        <v>476</v>
      </c>
      <c r="E76" s="43" t="s">
        <v>107</v>
      </c>
      <c r="F76" s="43" t="s">
        <v>481</v>
      </c>
      <c r="G76" s="43" t="s">
        <v>380</v>
      </c>
      <c r="H76" s="43">
        <v>60</v>
      </c>
      <c r="I76" s="43">
        <v>-9.7301000000000002</v>
      </c>
      <c r="J76" s="28">
        <v>-1.053E-7</v>
      </c>
      <c r="K76" s="43" t="s">
        <v>910</v>
      </c>
      <c r="L76" s="43" t="s">
        <v>65</v>
      </c>
      <c r="N76" s="43" t="s">
        <v>131</v>
      </c>
      <c r="O76" s="43">
        <v>247</v>
      </c>
      <c r="P76" s="43" t="s">
        <v>476</v>
      </c>
      <c r="Q76" s="43" t="s">
        <v>377</v>
      </c>
      <c r="R76" s="43" t="s">
        <v>481</v>
      </c>
      <c r="S76" s="43" t="s">
        <v>380</v>
      </c>
      <c r="T76" s="43">
        <v>10</v>
      </c>
      <c r="U76" s="43">
        <v>-9.7502999999999993</v>
      </c>
      <c r="V76" s="28">
        <v>-1.055E-7</v>
      </c>
      <c r="W76" s="43" t="s">
        <v>910</v>
      </c>
      <c r="X76" s="43" t="s">
        <v>65</v>
      </c>
    </row>
    <row r="77" spans="2:24" x14ac:dyDescent="0.2">
      <c r="B77" s="43" t="s">
        <v>131</v>
      </c>
      <c r="C77" s="43">
        <v>247</v>
      </c>
      <c r="D77" s="43" t="s">
        <v>476</v>
      </c>
      <c r="E77" s="43" t="s">
        <v>107</v>
      </c>
      <c r="F77" s="43" t="s">
        <v>482</v>
      </c>
      <c r="G77" s="43" t="s">
        <v>382</v>
      </c>
      <c r="H77" s="43">
        <v>60</v>
      </c>
      <c r="I77" s="43">
        <v>-15.0275</v>
      </c>
      <c r="J77" s="28">
        <v>-1.6259999999999999E-7</v>
      </c>
      <c r="K77" s="43" t="s">
        <v>910</v>
      </c>
      <c r="L77" s="43" t="s">
        <v>65</v>
      </c>
      <c r="N77" s="43" t="s">
        <v>131</v>
      </c>
      <c r="O77" s="43">
        <v>247</v>
      </c>
      <c r="P77" s="43" t="s">
        <v>476</v>
      </c>
      <c r="Q77" s="43" t="s">
        <v>377</v>
      </c>
      <c r="R77" s="43" t="s">
        <v>482</v>
      </c>
      <c r="S77" s="43" t="s">
        <v>382</v>
      </c>
      <c r="T77" s="43">
        <v>10</v>
      </c>
      <c r="U77" s="43">
        <v>-15.007899999999999</v>
      </c>
      <c r="V77" s="28">
        <v>-1.624E-7</v>
      </c>
      <c r="W77" s="43" t="s">
        <v>910</v>
      </c>
      <c r="X77" s="43" t="s">
        <v>65</v>
      </c>
    </row>
    <row r="78" spans="2:24" x14ac:dyDescent="0.2">
      <c r="B78" s="43" t="s">
        <v>131</v>
      </c>
      <c r="C78" s="43">
        <v>248</v>
      </c>
      <c r="D78" s="43" t="s">
        <v>483</v>
      </c>
      <c r="E78" s="43" t="s">
        <v>107</v>
      </c>
      <c r="F78" s="43" t="s">
        <v>484</v>
      </c>
      <c r="G78" s="43" t="s">
        <v>380</v>
      </c>
      <c r="H78" s="43">
        <v>60</v>
      </c>
      <c r="I78" s="43">
        <v>-17.4666</v>
      </c>
      <c r="J78" s="28">
        <v>-1.998E-7</v>
      </c>
      <c r="K78" s="43" t="s">
        <v>910</v>
      </c>
      <c r="L78" s="43" t="s">
        <v>65</v>
      </c>
      <c r="N78" s="43" t="s">
        <v>131</v>
      </c>
      <c r="O78" s="43">
        <v>248</v>
      </c>
      <c r="P78" s="43" t="s">
        <v>483</v>
      </c>
      <c r="Q78" s="43" t="s">
        <v>377</v>
      </c>
      <c r="R78" s="43" t="s">
        <v>484</v>
      </c>
      <c r="S78" s="43" t="s">
        <v>380</v>
      </c>
      <c r="T78" s="43">
        <v>10</v>
      </c>
      <c r="U78" s="43">
        <v>-17.485399999999998</v>
      </c>
      <c r="V78" s="28">
        <v>-1.9999999999999999E-7</v>
      </c>
      <c r="W78" s="43" t="s">
        <v>910</v>
      </c>
      <c r="X78" s="43" t="s">
        <v>65</v>
      </c>
    </row>
    <row r="79" spans="2:24" x14ac:dyDescent="0.2">
      <c r="B79" s="43" t="s">
        <v>131</v>
      </c>
      <c r="C79" s="43">
        <v>248</v>
      </c>
      <c r="D79" s="43" t="s">
        <v>483</v>
      </c>
      <c r="E79" s="43" t="s">
        <v>107</v>
      </c>
      <c r="F79" s="43" t="s">
        <v>485</v>
      </c>
      <c r="G79" s="43" t="s">
        <v>382</v>
      </c>
      <c r="H79" s="43">
        <v>60</v>
      </c>
      <c r="I79" s="43">
        <v>-9.7547999999999995</v>
      </c>
      <c r="J79" s="28">
        <v>-1.1159999999999999E-7</v>
      </c>
      <c r="K79" s="43" t="s">
        <v>910</v>
      </c>
      <c r="L79" s="43" t="s">
        <v>65</v>
      </c>
      <c r="N79" s="43" t="s">
        <v>131</v>
      </c>
      <c r="O79" s="43">
        <v>248</v>
      </c>
      <c r="P79" s="43" t="s">
        <v>483</v>
      </c>
      <c r="Q79" s="43" t="s">
        <v>377</v>
      </c>
      <c r="R79" s="43" t="s">
        <v>485</v>
      </c>
      <c r="S79" s="43" t="s">
        <v>382</v>
      </c>
      <c r="T79" s="43">
        <v>10</v>
      </c>
      <c r="U79" s="43">
        <v>-9.7370999999999999</v>
      </c>
      <c r="V79" s="28">
        <v>-1.114E-7</v>
      </c>
      <c r="W79" s="43" t="s">
        <v>910</v>
      </c>
      <c r="X79" s="43" t="s">
        <v>65</v>
      </c>
    </row>
    <row r="80" spans="2:24" x14ac:dyDescent="0.2">
      <c r="B80" s="43" t="s">
        <v>180</v>
      </c>
      <c r="C80" s="43">
        <v>291</v>
      </c>
      <c r="D80" s="43" t="s">
        <v>486</v>
      </c>
      <c r="E80" s="43" t="s">
        <v>107</v>
      </c>
      <c r="F80" s="43" t="s">
        <v>487</v>
      </c>
      <c r="G80" s="43" t="s">
        <v>380</v>
      </c>
      <c r="H80" s="43">
        <v>60</v>
      </c>
      <c r="I80" s="43">
        <v>-18.498999999999999</v>
      </c>
      <c r="J80" s="28">
        <v>-1.896E-7</v>
      </c>
      <c r="K80" s="43" t="s">
        <v>910</v>
      </c>
      <c r="L80" s="43" t="s">
        <v>65</v>
      </c>
      <c r="N80" s="43" t="s">
        <v>180</v>
      </c>
      <c r="O80" s="43">
        <v>291</v>
      </c>
      <c r="P80" s="43" t="s">
        <v>486</v>
      </c>
      <c r="Q80" s="43" t="s">
        <v>377</v>
      </c>
      <c r="R80" s="43" t="s">
        <v>487</v>
      </c>
      <c r="S80" s="43" t="s">
        <v>380</v>
      </c>
      <c r="T80" s="43">
        <v>10</v>
      </c>
      <c r="U80" s="43">
        <v>-18.533000000000001</v>
      </c>
      <c r="V80" s="28">
        <v>-1.9000000000000001E-7</v>
      </c>
      <c r="W80" s="43" t="s">
        <v>910</v>
      </c>
      <c r="X80" s="43" t="s">
        <v>65</v>
      </c>
    </row>
    <row r="81" spans="2:24" x14ac:dyDescent="0.2">
      <c r="B81" s="43" t="s">
        <v>180</v>
      </c>
      <c r="C81" s="43">
        <v>291</v>
      </c>
      <c r="D81" s="43" t="s">
        <v>486</v>
      </c>
      <c r="E81" s="43" t="s">
        <v>107</v>
      </c>
      <c r="F81" s="43" t="s">
        <v>488</v>
      </c>
      <c r="G81" s="43" t="s">
        <v>382</v>
      </c>
      <c r="H81" s="43">
        <v>60</v>
      </c>
      <c r="I81" s="43">
        <v>-24.801100000000002</v>
      </c>
      <c r="J81" s="28">
        <v>-2.5419999999999999E-7</v>
      </c>
      <c r="K81" s="43" t="s">
        <v>910</v>
      </c>
      <c r="L81" s="43" t="s">
        <v>65</v>
      </c>
      <c r="N81" s="43" t="s">
        <v>180</v>
      </c>
      <c r="O81" s="43">
        <v>291</v>
      </c>
      <c r="P81" s="43" t="s">
        <v>486</v>
      </c>
      <c r="Q81" s="43" t="s">
        <v>377</v>
      </c>
      <c r="R81" s="43" t="s">
        <v>488</v>
      </c>
      <c r="S81" s="43" t="s">
        <v>382</v>
      </c>
      <c r="T81" s="43">
        <v>10</v>
      </c>
      <c r="U81" s="43">
        <v>-24.766400000000001</v>
      </c>
      <c r="V81" s="28">
        <v>-2.5390000000000002E-7</v>
      </c>
      <c r="W81" s="43" t="s">
        <v>910</v>
      </c>
      <c r="X81" s="43" t="s">
        <v>65</v>
      </c>
    </row>
    <row r="82" spans="2:24" x14ac:dyDescent="0.2">
      <c r="B82" s="43" t="s">
        <v>180</v>
      </c>
      <c r="C82" s="43">
        <v>292</v>
      </c>
      <c r="D82" s="43" t="s">
        <v>489</v>
      </c>
      <c r="E82" s="43" t="s">
        <v>107</v>
      </c>
      <c r="F82" s="43" t="s">
        <v>490</v>
      </c>
      <c r="G82" s="43" t="s">
        <v>380</v>
      </c>
      <c r="H82" s="43">
        <v>60</v>
      </c>
      <c r="I82" s="43">
        <v>-22.839600000000001</v>
      </c>
      <c r="J82" s="28">
        <v>-2.03E-7</v>
      </c>
      <c r="K82" s="43" t="s">
        <v>910</v>
      </c>
      <c r="L82" s="43" t="s">
        <v>65</v>
      </c>
      <c r="N82" s="43" t="s">
        <v>180</v>
      </c>
      <c r="O82" s="43">
        <v>292</v>
      </c>
      <c r="P82" s="43" t="s">
        <v>489</v>
      </c>
      <c r="Q82" s="43" t="s">
        <v>377</v>
      </c>
      <c r="R82" s="43" t="s">
        <v>490</v>
      </c>
      <c r="S82" s="43" t="s">
        <v>380</v>
      </c>
      <c r="T82" s="43">
        <v>10</v>
      </c>
      <c r="U82" s="43">
        <v>-22.879300000000001</v>
      </c>
      <c r="V82" s="28">
        <v>-2.0340000000000001E-7</v>
      </c>
      <c r="W82" s="43" t="s">
        <v>910</v>
      </c>
      <c r="X82" s="43" t="s">
        <v>65</v>
      </c>
    </row>
    <row r="83" spans="2:24" x14ac:dyDescent="0.2">
      <c r="B83" s="43" t="s">
        <v>180</v>
      </c>
      <c r="C83" s="43">
        <v>292</v>
      </c>
      <c r="D83" s="43" t="s">
        <v>489</v>
      </c>
      <c r="E83" s="43" t="s">
        <v>107</v>
      </c>
      <c r="F83" s="43" t="s">
        <v>491</v>
      </c>
      <c r="G83" s="43" t="s">
        <v>382</v>
      </c>
      <c r="H83" s="43">
        <v>60</v>
      </c>
      <c r="I83" s="43">
        <v>-15.3079</v>
      </c>
      <c r="J83" s="28">
        <v>-1.3610000000000001E-7</v>
      </c>
      <c r="K83" s="43" t="s">
        <v>910</v>
      </c>
      <c r="L83" s="43" t="s">
        <v>65</v>
      </c>
      <c r="N83" s="43" t="s">
        <v>180</v>
      </c>
      <c r="O83" s="43">
        <v>292</v>
      </c>
      <c r="P83" s="43" t="s">
        <v>489</v>
      </c>
      <c r="Q83" s="43" t="s">
        <v>377</v>
      </c>
      <c r="R83" s="43" t="s">
        <v>491</v>
      </c>
      <c r="S83" s="43" t="s">
        <v>382</v>
      </c>
      <c r="T83" s="43">
        <v>10</v>
      </c>
      <c r="U83" s="43">
        <v>-15.2697</v>
      </c>
      <c r="V83" s="28">
        <v>-1.357E-7</v>
      </c>
      <c r="W83" s="43" t="s">
        <v>910</v>
      </c>
      <c r="X83" s="43" t="s">
        <v>65</v>
      </c>
    </row>
    <row r="84" spans="2:24" x14ac:dyDescent="0.2">
      <c r="B84" s="43" t="s">
        <v>180</v>
      </c>
      <c r="C84" s="43">
        <v>293</v>
      </c>
      <c r="D84" s="43" t="s">
        <v>489</v>
      </c>
      <c r="E84" s="43" t="s">
        <v>107</v>
      </c>
      <c r="F84" s="43" t="s">
        <v>492</v>
      </c>
      <c r="G84" s="43" t="s">
        <v>380</v>
      </c>
      <c r="H84" s="43">
        <v>60</v>
      </c>
      <c r="I84" s="43">
        <v>-15.2386</v>
      </c>
      <c r="J84" s="28">
        <v>-1.2770000000000001E-7</v>
      </c>
      <c r="K84" s="43" t="s">
        <v>910</v>
      </c>
      <c r="L84" s="43" t="s">
        <v>65</v>
      </c>
      <c r="N84" s="43" t="s">
        <v>180</v>
      </c>
      <c r="O84" s="43">
        <v>293</v>
      </c>
      <c r="P84" s="43" t="s">
        <v>489</v>
      </c>
      <c r="Q84" s="43" t="s">
        <v>377</v>
      </c>
      <c r="R84" s="43" t="s">
        <v>492</v>
      </c>
      <c r="S84" s="43" t="s">
        <v>380</v>
      </c>
      <c r="T84" s="43">
        <v>10</v>
      </c>
      <c r="U84" s="43">
        <v>-15.276899999999999</v>
      </c>
      <c r="V84" s="28">
        <v>-1.2800000000000001E-7</v>
      </c>
      <c r="W84" s="43" t="s">
        <v>910</v>
      </c>
      <c r="X84" s="43" t="s">
        <v>65</v>
      </c>
    </row>
    <row r="85" spans="2:24" x14ac:dyDescent="0.2">
      <c r="B85" s="43" t="s">
        <v>180</v>
      </c>
      <c r="C85" s="43">
        <v>293</v>
      </c>
      <c r="D85" s="43" t="s">
        <v>489</v>
      </c>
      <c r="E85" s="43" t="s">
        <v>107</v>
      </c>
      <c r="F85" s="43" t="s">
        <v>493</v>
      </c>
      <c r="G85" s="43" t="s">
        <v>382</v>
      </c>
      <c r="H85" s="43">
        <v>60</v>
      </c>
      <c r="I85" s="43">
        <v>-15.3407</v>
      </c>
      <c r="J85" s="28">
        <v>-1.286E-7</v>
      </c>
      <c r="K85" s="43" t="s">
        <v>910</v>
      </c>
      <c r="L85" s="43" t="s">
        <v>65</v>
      </c>
      <c r="N85" s="43" t="s">
        <v>180</v>
      </c>
      <c r="O85" s="43">
        <v>293</v>
      </c>
      <c r="P85" s="43" t="s">
        <v>489</v>
      </c>
      <c r="Q85" s="43" t="s">
        <v>377</v>
      </c>
      <c r="R85" s="43" t="s">
        <v>493</v>
      </c>
      <c r="S85" s="43" t="s">
        <v>382</v>
      </c>
      <c r="T85" s="43">
        <v>10</v>
      </c>
      <c r="U85" s="43">
        <v>-15.3018</v>
      </c>
      <c r="V85" s="28">
        <v>-1.282E-7</v>
      </c>
      <c r="W85" s="43" t="s">
        <v>910</v>
      </c>
      <c r="X85" s="43" t="s">
        <v>65</v>
      </c>
    </row>
    <row r="86" spans="2:24" x14ac:dyDescent="0.2">
      <c r="B86" s="43" t="s">
        <v>180</v>
      </c>
      <c r="C86" s="43">
        <v>294</v>
      </c>
      <c r="D86" s="43" t="s">
        <v>489</v>
      </c>
      <c r="E86" s="43" t="s">
        <v>107</v>
      </c>
      <c r="F86" s="43" t="s">
        <v>494</v>
      </c>
      <c r="G86" s="43" t="s">
        <v>380</v>
      </c>
      <c r="H86" s="43">
        <v>60</v>
      </c>
      <c r="I86" s="43">
        <v>-15.1233</v>
      </c>
      <c r="J86" s="28">
        <v>-1.3440000000000001E-7</v>
      </c>
      <c r="K86" s="43" t="s">
        <v>910</v>
      </c>
      <c r="L86" s="43" t="s">
        <v>65</v>
      </c>
      <c r="N86" s="43" t="s">
        <v>180</v>
      </c>
      <c r="O86" s="43">
        <v>294</v>
      </c>
      <c r="P86" s="43" t="s">
        <v>489</v>
      </c>
      <c r="Q86" s="43" t="s">
        <v>377</v>
      </c>
      <c r="R86" s="43" t="s">
        <v>494</v>
      </c>
      <c r="S86" s="43" t="s">
        <v>380</v>
      </c>
      <c r="T86" s="43">
        <v>10</v>
      </c>
      <c r="U86" s="43">
        <v>-15.16</v>
      </c>
      <c r="V86" s="28">
        <v>-1.3479999999999999E-7</v>
      </c>
      <c r="W86" s="43" t="s">
        <v>910</v>
      </c>
      <c r="X86" s="43" t="s">
        <v>65</v>
      </c>
    </row>
    <row r="87" spans="2:24" x14ac:dyDescent="0.2">
      <c r="B87" s="43" t="s">
        <v>180</v>
      </c>
      <c r="C87" s="43">
        <v>294</v>
      </c>
      <c r="D87" s="43" t="s">
        <v>489</v>
      </c>
      <c r="E87" s="43" t="s">
        <v>107</v>
      </c>
      <c r="F87" s="43" t="s">
        <v>495</v>
      </c>
      <c r="G87" s="43" t="s">
        <v>382</v>
      </c>
      <c r="H87" s="43">
        <v>60</v>
      </c>
      <c r="I87" s="43">
        <v>-23.197099999999999</v>
      </c>
      <c r="J87" s="28">
        <v>-2.0620000000000001E-7</v>
      </c>
      <c r="K87" s="43" t="s">
        <v>910</v>
      </c>
      <c r="L87" s="43" t="s">
        <v>65</v>
      </c>
      <c r="N87" s="43" t="s">
        <v>180</v>
      </c>
      <c r="O87" s="43">
        <v>294</v>
      </c>
      <c r="P87" s="43" t="s">
        <v>489</v>
      </c>
      <c r="Q87" s="43" t="s">
        <v>377</v>
      </c>
      <c r="R87" s="43" t="s">
        <v>495</v>
      </c>
      <c r="S87" s="43" t="s">
        <v>382</v>
      </c>
      <c r="T87" s="43">
        <v>10</v>
      </c>
      <c r="U87" s="43">
        <v>-23.157499999999999</v>
      </c>
      <c r="V87" s="28">
        <v>-2.058E-7</v>
      </c>
      <c r="W87" s="43" t="s">
        <v>910</v>
      </c>
      <c r="X87" s="43" t="s">
        <v>65</v>
      </c>
    </row>
    <row r="88" spans="2:24" x14ac:dyDescent="0.2">
      <c r="B88" s="43" t="s">
        <v>180</v>
      </c>
      <c r="C88" s="43">
        <v>295</v>
      </c>
      <c r="D88" s="43" t="s">
        <v>496</v>
      </c>
      <c r="E88" s="43" t="s">
        <v>107</v>
      </c>
      <c r="F88" s="43" t="s">
        <v>497</v>
      </c>
      <c r="G88" s="43" t="s">
        <v>380</v>
      </c>
      <c r="H88" s="43">
        <v>60</v>
      </c>
      <c r="I88" s="43">
        <v>-25.810600000000001</v>
      </c>
      <c r="J88" s="28">
        <v>-2.6459999999999997E-7</v>
      </c>
      <c r="K88" s="43" t="s">
        <v>910</v>
      </c>
      <c r="L88" s="43" t="s">
        <v>65</v>
      </c>
      <c r="N88" s="43" t="s">
        <v>180</v>
      </c>
      <c r="O88" s="43">
        <v>295</v>
      </c>
      <c r="P88" s="43" t="s">
        <v>496</v>
      </c>
      <c r="Q88" s="43" t="s">
        <v>377</v>
      </c>
      <c r="R88" s="43" t="s">
        <v>497</v>
      </c>
      <c r="S88" s="43" t="s">
        <v>380</v>
      </c>
      <c r="T88" s="43">
        <v>10</v>
      </c>
      <c r="U88" s="43">
        <v>-25.8447</v>
      </c>
      <c r="V88" s="28">
        <v>-2.649E-7</v>
      </c>
      <c r="W88" s="43" t="s">
        <v>910</v>
      </c>
      <c r="X88" s="43" t="s">
        <v>65</v>
      </c>
    </row>
    <row r="89" spans="2:24" x14ac:dyDescent="0.2">
      <c r="B89" s="43" t="s">
        <v>180</v>
      </c>
      <c r="C89" s="43">
        <v>295</v>
      </c>
      <c r="D89" s="43" t="s">
        <v>496</v>
      </c>
      <c r="E89" s="43" t="s">
        <v>107</v>
      </c>
      <c r="F89" s="43" t="s">
        <v>498</v>
      </c>
      <c r="G89" s="43" t="s">
        <v>382</v>
      </c>
      <c r="H89" s="43">
        <v>60</v>
      </c>
      <c r="I89" s="43">
        <v>-19.345800000000001</v>
      </c>
      <c r="J89" s="28">
        <v>-1.983E-7</v>
      </c>
      <c r="K89" s="43" t="s">
        <v>910</v>
      </c>
      <c r="L89" s="43" t="s">
        <v>65</v>
      </c>
      <c r="N89" s="43" t="s">
        <v>180</v>
      </c>
      <c r="O89" s="43">
        <v>295</v>
      </c>
      <c r="P89" s="43" t="s">
        <v>496</v>
      </c>
      <c r="Q89" s="43" t="s">
        <v>377</v>
      </c>
      <c r="R89" s="43" t="s">
        <v>498</v>
      </c>
      <c r="S89" s="43" t="s">
        <v>382</v>
      </c>
      <c r="T89" s="43">
        <v>10</v>
      </c>
      <c r="U89" s="43">
        <v>-19.311599999999999</v>
      </c>
      <c r="V89" s="28">
        <v>-1.98E-7</v>
      </c>
      <c r="W89" s="43" t="s">
        <v>910</v>
      </c>
      <c r="X89" s="43" t="s">
        <v>65</v>
      </c>
    </row>
    <row r="90" spans="2:24" x14ac:dyDescent="0.2">
      <c r="B90" s="43" t="s">
        <v>180</v>
      </c>
      <c r="C90" s="43">
        <v>273</v>
      </c>
      <c r="D90" s="43" t="s">
        <v>499</v>
      </c>
      <c r="E90" s="43" t="s">
        <v>107</v>
      </c>
      <c r="F90" s="43" t="s">
        <v>500</v>
      </c>
      <c r="G90" s="43" t="s">
        <v>380</v>
      </c>
      <c r="H90" s="43">
        <v>60</v>
      </c>
      <c r="I90" s="43">
        <v>-73.783299999999997</v>
      </c>
      <c r="J90" s="28">
        <v>-9.9999999999999995E-7</v>
      </c>
      <c r="K90" s="43" t="s">
        <v>910</v>
      </c>
      <c r="L90" s="43" t="s">
        <v>65</v>
      </c>
      <c r="N90" s="43" t="s">
        <v>180</v>
      </c>
      <c r="O90" s="43">
        <v>273</v>
      </c>
      <c r="P90" s="43" t="s">
        <v>499</v>
      </c>
      <c r="Q90" s="43" t="s">
        <v>377</v>
      </c>
      <c r="R90" s="43" t="s">
        <v>500</v>
      </c>
      <c r="S90" s="43" t="s">
        <v>380</v>
      </c>
      <c r="T90" s="43">
        <v>10</v>
      </c>
      <c r="U90" s="43">
        <v>-73.770300000000006</v>
      </c>
      <c r="V90" s="28">
        <v>-9.9999999999999995E-7</v>
      </c>
      <c r="W90" s="43" t="s">
        <v>910</v>
      </c>
      <c r="X90" s="43" t="s">
        <v>65</v>
      </c>
    </row>
    <row r="91" spans="2:24" x14ac:dyDescent="0.2">
      <c r="B91" s="43" t="s">
        <v>180</v>
      </c>
      <c r="C91" s="43">
        <v>273</v>
      </c>
      <c r="D91" s="43" t="s">
        <v>499</v>
      </c>
      <c r="E91" s="43" t="s">
        <v>107</v>
      </c>
      <c r="F91" s="43" t="s">
        <v>501</v>
      </c>
      <c r="G91" s="43" t="s">
        <v>382</v>
      </c>
      <c r="H91" s="43">
        <v>60</v>
      </c>
      <c r="I91" s="43">
        <v>-19.198499999999999</v>
      </c>
      <c r="J91" s="28">
        <v>-1.8169999999999999E-7</v>
      </c>
      <c r="K91" s="43" t="s">
        <v>910</v>
      </c>
      <c r="L91" s="43" t="s">
        <v>65</v>
      </c>
      <c r="N91" s="43" t="s">
        <v>180</v>
      </c>
      <c r="O91" s="43">
        <v>273</v>
      </c>
      <c r="P91" s="43" t="s">
        <v>499</v>
      </c>
      <c r="Q91" s="43" t="s">
        <v>377</v>
      </c>
      <c r="R91" s="43" t="s">
        <v>501</v>
      </c>
      <c r="S91" s="43" t="s">
        <v>382</v>
      </c>
      <c r="T91" s="43">
        <v>10</v>
      </c>
      <c r="U91" s="43">
        <v>-19.22</v>
      </c>
      <c r="V91" s="28">
        <v>-1.8190000000000001E-7</v>
      </c>
      <c r="W91" s="43" t="s">
        <v>910</v>
      </c>
      <c r="X91" s="43" t="s">
        <v>65</v>
      </c>
    </row>
    <row r="92" spans="2:24" x14ac:dyDescent="0.2">
      <c r="B92" s="43" t="s">
        <v>180</v>
      </c>
      <c r="C92" s="43">
        <v>276</v>
      </c>
      <c r="D92" s="43" t="s">
        <v>502</v>
      </c>
      <c r="E92" s="43" t="s">
        <v>107</v>
      </c>
      <c r="F92" s="43" t="s">
        <v>503</v>
      </c>
      <c r="G92" s="43" t="s">
        <v>380</v>
      </c>
      <c r="H92" s="43">
        <v>60</v>
      </c>
      <c r="I92" s="43">
        <v>-95.162999999999997</v>
      </c>
      <c r="J92" s="28">
        <v>-9.9999999999999995E-7</v>
      </c>
      <c r="K92" s="43" t="s">
        <v>910</v>
      </c>
      <c r="L92" s="43" t="s">
        <v>65</v>
      </c>
      <c r="N92" s="43" t="s">
        <v>180</v>
      </c>
      <c r="O92" s="43">
        <v>276</v>
      </c>
      <c r="P92" s="43" t="s">
        <v>502</v>
      </c>
      <c r="Q92" s="43" t="s">
        <v>377</v>
      </c>
      <c r="R92" s="43" t="s">
        <v>503</v>
      </c>
      <c r="S92" s="43" t="s">
        <v>380</v>
      </c>
      <c r="T92" s="43">
        <v>10</v>
      </c>
      <c r="U92" s="43">
        <v>-95.14</v>
      </c>
      <c r="V92" s="28">
        <v>-9.9999999999999995E-7</v>
      </c>
      <c r="W92" s="43" t="s">
        <v>910</v>
      </c>
      <c r="X92" s="43" t="s">
        <v>65</v>
      </c>
    </row>
    <row r="93" spans="2:24" x14ac:dyDescent="0.2">
      <c r="B93" s="43" t="s">
        <v>180</v>
      </c>
      <c r="C93" s="43">
        <v>276</v>
      </c>
      <c r="D93" s="43" t="s">
        <v>502</v>
      </c>
      <c r="E93" s="43" t="s">
        <v>107</v>
      </c>
      <c r="F93" s="43" t="s">
        <v>504</v>
      </c>
      <c r="G93" s="43" t="s">
        <v>382</v>
      </c>
      <c r="H93" s="43">
        <v>60</v>
      </c>
      <c r="I93" s="43">
        <v>-35.1995</v>
      </c>
      <c r="J93" s="28">
        <v>-2.3739999999999999E-7</v>
      </c>
      <c r="K93" s="43" t="s">
        <v>910</v>
      </c>
      <c r="L93" s="43" t="s">
        <v>65</v>
      </c>
      <c r="N93" s="43" t="s">
        <v>180</v>
      </c>
      <c r="O93" s="43">
        <v>276</v>
      </c>
      <c r="P93" s="43" t="s">
        <v>502</v>
      </c>
      <c r="Q93" s="43" t="s">
        <v>377</v>
      </c>
      <c r="R93" s="43" t="s">
        <v>504</v>
      </c>
      <c r="S93" s="43" t="s">
        <v>382</v>
      </c>
      <c r="T93" s="43">
        <v>10</v>
      </c>
      <c r="U93" s="43">
        <v>-35.222900000000003</v>
      </c>
      <c r="V93" s="28">
        <v>-2.375E-7</v>
      </c>
      <c r="W93" s="43" t="s">
        <v>910</v>
      </c>
      <c r="X93" s="43" t="s">
        <v>65</v>
      </c>
    </row>
    <row r="94" spans="2:24" x14ac:dyDescent="0.2">
      <c r="B94" s="43" t="s">
        <v>180</v>
      </c>
      <c r="C94" s="43">
        <v>279</v>
      </c>
      <c r="D94" s="43" t="s">
        <v>505</v>
      </c>
      <c r="E94" s="43" t="s">
        <v>107</v>
      </c>
      <c r="F94" s="43" t="s">
        <v>506</v>
      </c>
      <c r="G94" s="43" t="s">
        <v>380</v>
      </c>
      <c r="H94" s="43">
        <v>60</v>
      </c>
      <c r="I94" s="43">
        <v>-104.517</v>
      </c>
      <c r="J94" s="28">
        <v>-9.9999999999999995E-7</v>
      </c>
      <c r="K94" s="43" t="s">
        <v>910</v>
      </c>
      <c r="L94" s="43" t="s">
        <v>65</v>
      </c>
      <c r="N94" s="43" t="s">
        <v>180</v>
      </c>
      <c r="O94" s="43">
        <v>279</v>
      </c>
      <c r="P94" s="43" t="s">
        <v>505</v>
      </c>
      <c r="Q94" s="43" t="s">
        <v>377</v>
      </c>
      <c r="R94" s="43" t="s">
        <v>506</v>
      </c>
      <c r="S94" s="43" t="s">
        <v>380</v>
      </c>
      <c r="T94" s="43">
        <v>10</v>
      </c>
      <c r="U94" s="43">
        <v>-104.49469999999999</v>
      </c>
      <c r="V94" s="28">
        <v>-9.9999999999999995E-7</v>
      </c>
      <c r="W94" s="43" t="s">
        <v>910</v>
      </c>
      <c r="X94" s="43" t="s">
        <v>65</v>
      </c>
    </row>
    <row r="95" spans="2:24" x14ac:dyDescent="0.2">
      <c r="B95" s="43" t="s">
        <v>180</v>
      </c>
      <c r="C95" s="43">
        <v>279</v>
      </c>
      <c r="D95" s="43" t="s">
        <v>505</v>
      </c>
      <c r="E95" s="43" t="s">
        <v>107</v>
      </c>
      <c r="F95" s="43" t="s">
        <v>507</v>
      </c>
      <c r="G95" s="43" t="s">
        <v>382</v>
      </c>
      <c r="H95" s="43">
        <v>60</v>
      </c>
      <c r="I95" s="43">
        <v>-21.139800000000001</v>
      </c>
      <c r="J95" s="28">
        <v>-1.494E-7</v>
      </c>
      <c r="K95" s="43" t="s">
        <v>910</v>
      </c>
      <c r="L95" s="43" t="s">
        <v>65</v>
      </c>
      <c r="N95" s="43" t="s">
        <v>180</v>
      </c>
      <c r="O95" s="43">
        <v>279</v>
      </c>
      <c r="P95" s="43" t="s">
        <v>505</v>
      </c>
      <c r="Q95" s="43" t="s">
        <v>377</v>
      </c>
      <c r="R95" s="43" t="s">
        <v>507</v>
      </c>
      <c r="S95" s="43" t="s">
        <v>382</v>
      </c>
      <c r="T95" s="43">
        <v>10</v>
      </c>
      <c r="U95" s="43">
        <v>-21.1616</v>
      </c>
      <c r="V95" s="28">
        <v>-1.4959999999999999E-7</v>
      </c>
      <c r="W95" s="43" t="s">
        <v>910</v>
      </c>
      <c r="X95" s="43" t="s">
        <v>65</v>
      </c>
    </row>
    <row r="96" spans="2:24" x14ac:dyDescent="0.2">
      <c r="B96" s="43" t="s">
        <v>180</v>
      </c>
      <c r="C96" s="43">
        <v>282</v>
      </c>
      <c r="D96" s="43" t="s">
        <v>508</v>
      </c>
      <c r="E96" s="43" t="s">
        <v>107</v>
      </c>
      <c r="F96" s="43" t="s">
        <v>509</v>
      </c>
      <c r="G96" s="43" t="s">
        <v>380</v>
      </c>
      <c r="H96" s="43">
        <v>60</v>
      </c>
      <c r="I96" s="43">
        <v>-104.6249</v>
      </c>
      <c r="J96" s="28">
        <v>-9.9999999999999995E-7</v>
      </c>
      <c r="K96" s="43" t="s">
        <v>910</v>
      </c>
      <c r="L96" s="43" t="s">
        <v>65</v>
      </c>
      <c r="N96" s="43" t="s">
        <v>180</v>
      </c>
      <c r="O96" s="43">
        <v>282</v>
      </c>
      <c r="P96" s="43" t="s">
        <v>508</v>
      </c>
      <c r="Q96" s="43" t="s">
        <v>377</v>
      </c>
      <c r="R96" s="43" t="s">
        <v>509</v>
      </c>
      <c r="S96" s="43" t="s">
        <v>380</v>
      </c>
      <c r="T96" s="43">
        <v>10</v>
      </c>
      <c r="U96" s="43">
        <v>-104.6037</v>
      </c>
      <c r="V96" s="28">
        <v>-9.9999999999999995E-7</v>
      </c>
      <c r="W96" s="43" t="s">
        <v>910</v>
      </c>
      <c r="X96" s="43" t="s">
        <v>65</v>
      </c>
    </row>
    <row r="97" spans="2:24" x14ac:dyDescent="0.2">
      <c r="B97" s="43" t="s">
        <v>180</v>
      </c>
      <c r="C97" s="43">
        <v>282</v>
      </c>
      <c r="D97" s="43" t="s">
        <v>508</v>
      </c>
      <c r="E97" s="43" t="s">
        <v>107</v>
      </c>
      <c r="F97" s="43" t="s">
        <v>510</v>
      </c>
      <c r="G97" s="43" t="s">
        <v>382</v>
      </c>
      <c r="H97" s="43">
        <v>60</v>
      </c>
      <c r="I97" s="43">
        <v>-21.269300000000001</v>
      </c>
      <c r="J97" s="28">
        <v>-1.5029999999999999E-7</v>
      </c>
      <c r="K97" s="43" t="s">
        <v>910</v>
      </c>
      <c r="L97" s="43" t="s">
        <v>65</v>
      </c>
      <c r="N97" s="43" t="s">
        <v>180</v>
      </c>
      <c r="O97" s="43">
        <v>282</v>
      </c>
      <c r="P97" s="43" t="s">
        <v>508</v>
      </c>
      <c r="Q97" s="43" t="s">
        <v>377</v>
      </c>
      <c r="R97" s="43" t="s">
        <v>510</v>
      </c>
      <c r="S97" s="43" t="s">
        <v>382</v>
      </c>
      <c r="T97" s="43">
        <v>10</v>
      </c>
      <c r="U97" s="43">
        <v>-21.2897</v>
      </c>
      <c r="V97" s="28">
        <v>-1.505E-7</v>
      </c>
      <c r="W97" s="43" t="s">
        <v>910</v>
      </c>
      <c r="X97" s="43" t="s">
        <v>65</v>
      </c>
    </row>
    <row r="98" spans="2:24" x14ac:dyDescent="0.2">
      <c r="B98" s="43" t="s">
        <v>180</v>
      </c>
      <c r="C98" s="43">
        <v>285</v>
      </c>
      <c r="D98" s="43" t="s">
        <v>511</v>
      </c>
      <c r="E98" s="43" t="s">
        <v>107</v>
      </c>
      <c r="F98" s="43" t="s">
        <v>512</v>
      </c>
      <c r="G98" s="43" t="s">
        <v>380</v>
      </c>
      <c r="H98" s="43">
        <v>60</v>
      </c>
      <c r="I98" s="43">
        <v>-97.170400000000001</v>
      </c>
      <c r="J98" s="28">
        <v>-9.9999999999999995E-7</v>
      </c>
      <c r="K98" s="43" t="s">
        <v>910</v>
      </c>
      <c r="L98" s="43" t="s">
        <v>65</v>
      </c>
      <c r="N98" s="43" t="s">
        <v>180</v>
      </c>
      <c r="O98" s="43">
        <v>285</v>
      </c>
      <c r="P98" s="43" t="s">
        <v>511</v>
      </c>
      <c r="Q98" s="43" t="s">
        <v>377</v>
      </c>
      <c r="R98" s="43" t="s">
        <v>512</v>
      </c>
      <c r="S98" s="43" t="s">
        <v>380</v>
      </c>
      <c r="T98" s="43">
        <v>10</v>
      </c>
      <c r="U98" s="43">
        <v>-97.150800000000004</v>
      </c>
      <c r="V98" s="28">
        <v>-9.9999999999999995E-7</v>
      </c>
      <c r="W98" s="43" t="s">
        <v>910</v>
      </c>
      <c r="X98" s="43" t="s">
        <v>65</v>
      </c>
    </row>
    <row r="99" spans="2:24" x14ac:dyDescent="0.2">
      <c r="B99" s="43" t="s">
        <v>180</v>
      </c>
      <c r="C99" s="43">
        <v>285</v>
      </c>
      <c r="D99" s="43" t="s">
        <v>511</v>
      </c>
      <c r="E99" s="43" t="s">
        <v>107</v>
      </c>
      <c r="F99" s="43" t="s">
        <v>513</v>
      </c>
      <c r="G99" s="43" t="s">
        <v>382</v>
      </c>
      <c r="H99" s="43">
        <v>60</v>
      </c>
      <c r="I99" s="43">
        <v>-37.572200000000002</v>
      </c>
      <c r="J99" s="28">
        <v>-2.5339999999999998E-7</v>
      </c>
      <c r="K99" s="43" t="s">
        <v>910</v>
      </c>
      <c r="L99" s="43" t="s">
        <v>65</v>
      </c>
      <c r="N99" s="43" t="s">
        <v>180</v>
      </c>
      <c r="O99" s="43">
        <v>285</v>
      </c>
      <c r="P99" s="43" t="s">
        <v>511</v>
      </c>
      <c r="Q99" s="43" t="s">
        <v>377</v>
      </c>
      <c r="R99" s="43" t="s">
        <v>513</v>
      </c>
      <c r="S99" s="43" t="s">
        <v>382</v>
      </c>
      <c r="T99" s="43">
        <v>10</v>
      </c>
      <c r="U99" s="43">
        <v>-37.590699999999998</v>
      </c>
      <c r="V99" s="28">
        <v>-2.5349999999999999E-7</v>
      </c>
      <c r="W99" s="43" t="s">
        <v>910</v>
      </c>
      <c r="X99" s="43" t="s">
        <v>65</v>
      </c>
    </row>
    <row r="100" spans="2:24" x14ac:dyDescent="0.2">
      <c r="B100" s="43" t="s">
        <v>180</v>
      </c>
      <c r="C100" s="43">
        <v>288</v>
      </c>
      <c r="D100" s="43" t="s">
        <v>514</v>
      </c>
      <c r="E100" s="43" t="s">
        <v>107</v>
      </c>
      <c r="F100" s="43" t="s">
        <v>515</v>
      </c>
      <c r="G100" s="43" t="s">
        <v>380</v>
      </c>
      <c r="H100" s="43">
        <v>60</v>
      </c>
      <c r="I100" s="43">
        <v>-75.604200000000006</v>
      </c>
      <c r="J100" s="28">
        <v>-9.9999999999999995E-7</v>
      </c>
      <c r="K100" s="43" t="s">
        <v>910</v>
      </c>
      <c r="L100" s="43" t="s">
        <v>65</v>
      </c>
      <c r="N100" s="43" t="s">
        <v>180</v>
      </c>
      <c r="O100" s="43">
        <v>288</v>
      </c>
      <c r="P100" s="43" t="s">
        <v>514</v>
      </c>
      <c r="Q100" s="43" t="s">
        <v>377</v>
      </c>
      <c r="R100" s="43" t="s">
        <v>515</v>
      </c>
      <c r="S100" s="43" t="s">
        <v>380</v>
      </c>
      <c r="T100" s="43">
        <v>10</v>
      </c>
      <c r="U100" s="43">
        <v>-75.589200000000005</v>
      </c>
      <c r="V100" s="28">
        <v>-9.9999999999999995E-7</v>
      </c>
      <c r="W100" s="43" t="s">
        <v>910</v>
      </c>
      <c r="X100" s="43" t="s">
        <v>65</v>
      </c>
    </row>
    <row r="101" spans="2:24" x14ac:dyDescent="0.2">
      <c r="B101" s="43" t="s">
        <v>180</v>
      </c>
      <c r="C101" s="43">
        <v>288</v>
      </c>
      <c r="D101" s="43" t="s">
        <v>514</v>
      </c>
      <c r="E101" s="43" t="s">
        <v>107</v>
      </c>
      <c r="F101" s="43" t="s">
        <v>516</v>
      </c>
      <c r="G101" s="43" t="s">
        <v>382</v>
      </c>
      <c r="H101" s="43">
        <v>60</v>
      </c>
      <c r="I101" s="43">
        <v>-21.6569</v>
      </c>
      <c r="J101" s="28">
        <v>-2.0489999999999999E-7</v>
      </c>
      <c r="K101" s="43" t="s">
        <v>910</v>
      </c>
      <c r="L101" s="43" t="s">
        <v>65</v>
      </c>
      <c r="N101" s="43" t="s">
        <v>180</v>
      </c>
      <c r="O101" s="43">
        <v>288</v>
      </c>
      <c r="P101" s="43" t="s">
        <v>514</v>
      </c>
      <c r="Q101" s="43" t="s">
        <v>377</v>
      </c>
      <c r="R101" s="43" t="s">
        <v>516</v>
      </c>
      <c r="S101" s="43" t="s">
        <v>382</v>
      </c>
      <c r="T101" s="43">
        <v>10</v>
      </c>
      <c r="U101" s="43">
        <v>-21.665600000000001</v>
      </c>
      <c r="V101" s="28">
        <v>-2.05E-7</v>
      </c>
      <c r="W101" s="43" t="s">
        <v>910</v>
      </c>
      <c r="X101" s="43" t="s">
        <v>65</v>
      </c>
    </row>
    <row r="102" spans="2:24" x14ac:dyDescent="0.2">
      <c r="B102" s="43" t="s">
        <v>180</v>
      </c>
      <c r="C102" s="43">
        <v>296</v>
      </c>
      <c r="D102" s="43" t="s">
        <v>517</v>
      </c>
      <c r="E102" s="43" t="s">
        <v>107</v>
      </c>
      <c r="F102" s="43" t="s">
        <v>518</v>
      </c>
      <c r="G102" s="43" t="s">
        <v>380</v>
      </c>
      <c r="H102" s="43">
        <v>60</v>
      </c>
      <c r="I102" s="43">
        <v>-27.792400000000001</v>
      </c>
      <c r="J102" s="28">
        <v>-2.075E-7</v>
      </c>
      <c r="K102" s="43" t="s">
        <v>910</v>
      </c>
      <c r="L102" s="43" t="s">
        <v>65</v>
      </c>
      <c r="N102" s="43" t="s">
        <v>180</v>
      </c>
      <c r="O102" s="43">
        <v>296</v>
      </c>
      <c r="P102" s="43" t="s">
        <v>517</v>
      </c>
      <c r="Q102" s="43" t="s">
        <v>377</v>
      </c>
      <c r="R102" s="43" t="s">
        <v>518</v>
      </c>
      <c r="S102" s="43" t="s">
        <v>380</v>
      </c>
      <c r="T102" s="43">
        <v>10</v>
      </c>
      <c r="U102" s="43">
        <v>-27.838100000000001</v>
      </c>
      <c r="V102" s="28">
        <v>-2.079E-7</v>
      </c>
      <c r="W102" s="43" t="s">
        <v>910</v>
      </c>
      <c r="X102" s="43" t="s">
        <v>65</v>
      </c>
    </row>
    <row r="103" spans="2:24" x14ac:dyDescent="0.2">
      <c r="B103" s="43" t="s">
        <v>180</v>
      </c>
      <c r="C103" s="43">
        <v>296</v>
      </c>
      <c r="D103" s="43" t="s">
        <v>517</v>
      </c>
      <c r="E103" s="43" t="s">
        <v>107</v>
      </c>
      <c r="F103" s="43" t="s">
        <v>519</v>
      </c>
      <c r="G103" s="43" t="s">
        <v>382</v>
      </c>
      <c r="H103" s="43">
        <v>60</v>
      </c>
      <c r="I103" s="43">
        <v>-18.098800000000001</v>
      </c>
      <c r="J103" s="28">
        <v>-1.3510000000000001E-7</v>
      </c>
      <c r="K103" s="43" t="s">
        <v>910</v>
      </c>
      <c r="L103" s="43" t="s">
        <v>65</v>
      </c>
      <c r="N103" s="43" t="s">
        <v>180</v>
      </c>
      <c r="O103" s="43">
        <v>296</v>
      </c>
      <c r="P103" s="43" t="s">
        <v>517</v>
      </c>
      <c r="Q103" s="43" t="s">
        <v>377</v>
      </c>
      <c r="R103" s="43" t="s">
        <v>519</v>
      </c>
      <c r="S103" s="43" t="s">
        <v>382</v>
      </c>
      <c r="T103" s="43">
        <v>10</v>
      </c>
      <c r="U103" s="43">
        <v>-18.0566</v>
      </c>
      <c r="V103" s="28">
        <v>-1.3479999999999999E-7</v>
      </c>
      <c r="W103" s="43" t="s">
        <v>910</v>
      </c>
      <c r="X103" s="43" t="s">
        <v>65</v>
      </c>
    </row>
    <row r="104" spans="2:24" x14ac:dyDescent="0.2">
      <c r="B104" s="43" t="s">
        <v>180</v>
      </c>
      <c r="C104" s="43">
        <v>297</v>
      </c>
      <c r="D104" s="43" t="s">
        <v>520</v>
      </c>
      <c r="E104" s="43" t="s">
        <v>107</v>
      </c>
      <c r="F104" s="43" t="s">
        <v>521</v>
      </c>
      <c r="G104" s="43" t="s">
        <v>380</v>
      </c>
      <c r="H104" s="43">
        <v>60</v>
      </c>
      <c r="I104" s="43">
        <v>-18.551300000000001</v>
      </c>
      <c r="J104" s="28">
        <v>-1.385E-7</v>
      </c>
      <c r="K104" s="43" t="s">
        <v>910</v>
      </c>
      <c r="L104" s="43" t="s">
        <v>65</v>
      </c>
      <c r="N104" s="43" t="s">
        <v>180</v>
      </c>
      <c r="O104" s="43">
        <v>297</v>
      </c>
      <c r="P104" s="43" t="s">
        <v>520</v>
      </c>
      <c r="Q104" s="43" t="s">
        <v>377</v>
      </c>
      <c r="R104" s="43" t="s">
        <v>521</v>
      </c>
      <c r="S104" s="43" t="s">
        <v>380</v>
      </c>
      <c r="T104" s="43">
        <v>10</v>
      </c>
      <c r="U104" s="43">
        <v>-18.592700000000001</v>
      </c>
      <c r="V104" s="28">
        <v>-1.388E-7</v>
      </c>
      <c r="W104" s="43" t="s">
        <v>910</v>
      </c>
      <c r="X104" s="43" t="s">
        <v>65</v>
      </c>
    </row>
    <row r="105" spans="2:24" x14ac:dyDescent="0.2">
      <c r="B105" s="43" t="s">
        <v>180</v>
      </c>
      <c r="C105" s="43">
        <v>297</v>
      </c>
      <c r="D105" s="43" t="s">
        <v>520</v>
      </c>
      <c r="E105" s="43" t="s">
        <v>107</v>
      </c>
      <c r="F105" s="43" t="s">
        <v>522</v>
      </c>
      <c r="G105" s="43" t="s">
        <v>382</v>
      </c>
      <c r="H105" s="43">
        <v>60</v>
      </c>
      <c r="I105" s="43">
        <v>-27.988800000000001</v>
      </c>
      <c r="J105" s="28">
        <v>-2.0900000000000001E-7</v>
      </c>
      <c r="K105" s="43" t="s">
        <v>910</v>
      </c>
      <c r="L105" s="43" t="s">
        <v>65</v>
      </c>
      <c r="N105" s="43" t="s">
        <v>180</v>
      </c>
      <c r="O105" s="43">
        <v>297</v>
      </c>
      <c r="P105" s="43" t="s">
        <v>520</v>
      </c>
      <c r="Q105" s="43" t="s">
        <v>377</v>
      </c>
      <c r="R105" s="43" t="s">
        <v>522</v>
      </c>
      <c r="S105" s="43" t="s">
        <v>382</v>
      </c>
      <c r="T105" s="43">
        <v>10</v>
      </c>
      <c r="U105" s="43">
        <v>-27.945499999999999</v>
      </c>
      <c r="V105" s="28">
        <v>-2.0870000000000001E-7</v>
      </c>
      <c r="W105" s="43" t="s">
        <v>910</v>
      </c>
      <c r="X105" s="43" t="s">
        <v>65</v>
      </c>
    </row>
    <row r="106" spans="2:24" x14ac:dyDescent="0.2">
      <c r="B106" s="43" t="s">
        <v>180</v>
      </c>
      <c r="C106" s="43">
        <v>298</v>
      </c>
      <c r="D106" s="43" t="s">
        <v>520</v>
      </c>
      <c r="E106" s="43" t="s">
        <v>107</v>
      </c>
      <c r="F106" s="43" t="s">
        <v>523</v>
      </c>
      <c r="G106" s="43" t="s">
        <v>380</v>
      </c>
      <c r="H106" s="43">
        <v>60</v>
      </c>
      <c r="I106" s="43">
        <v>-28.505700000000001</v>
      </c>
      <c r="J106" s="28">
        <v>-2.2499999999999999E-7</v>
      </c>
      <c r="K106" s="43" t="s">
        <v>910</v>
      </c>
      <c r="L106" s="43" t="s">
        <v>65</v>
      </c>
      <c r="N106" s="43" t="s">
        <v>180</v>
      </c>
      <c r="O106" s="43">
        <v>298</v>
      </c>
      <c r="P106" s="43" t="s">
        <v>520</v>
      </c>
      <c r="Q106" s="43" t="s">
        <v>377</v>
      </c>
      <c r="R106" s="43" t="s">
        <v>523</v>
      </c>
      <c r="S106" s="43" t="s">
        <v>380</v>
      </c>
      <c r="T106" s="43">
        <v>10</v>
      </c>
      <c r="U106" s="43">
        <v>-28.5474</v>
      </c>
      <c r="V106" s="28">
        <v>-2.2530000000000001E-7</v>
      </c>
      <c r="W106" s="43" t="s">
        <v>910</v>
      </c>
      <c r="X106" s="43" t="s">
        <v>65</v>
      </c>
    </row>
    <row r="107" spans="2:24" x14ac:dyDescent="0.2">
      <c r="B107" s="43" t="s">
        <v>180</v>
      </c>
      <c r="C107" s="43">
        <v>298</v>
      </c>
      <c r="D107" s="43" t="s">
        <v>520</v>
      </c>
      <c r="E107" s="43" t="s">
        <v>107</v>
      </c>
      <c r="F107" s="43" t="s">
        <v>524</v>
      </c>
      <c r="G107" s="43" t="s">
        <v>382</v>
      </c>
      <c r="H107" s="43">
        <v>60</v>
      </c>
      <c r="I107" s="43">
        <v>-28.539899999999999</v>
      </c>
      <c r="J107" s="28">
        <v>-2.2530000000000001E-7</v>
      </c>
      <c r="K107" s="43" t="s">
        <v>910</v>
      </c>
      <c r="L107" s="43" t="s">
        <v>65</v>
      </c>
      <c r="N107" s="43" t="s">
        <v>180</v>
      </c>
      <c r="O107" s="43">
        <v>298</v>
      </c>
      <c r="P107" s="43" t="s">
        <v>520</v>
      </c>
      <c r="Q107" s="43" t="s">
        <v>377</v>
      </c>
      <c r="R107" s="43" t="s">
        <v>524</v>
      </c>
      <c r="S107" s="43" t="s">
        <v>382</v>
      </c>
      <c r="T107" s="43">
        <v>10</v>
      </c>
      <c r="U107" s="43">
        <v>-28.498200000000001</v>
      </c>
      <c r="V107" s="28">
        <v>-2.2490000000000001E-7</v>
      </c>
      <c r="W107" s="43" t="s">
        <v>910</v>
      </c>
      <c r="X107" s="43" t="s">
        <v>65</v>
      </c>
    </row>
    <row r="108" spans="2:24" x14ac:dyDescent="0.2">
      <c r="B108" s="43" t="s">
        <v>180</v>
      </c>
      <c r="C108" s="43">
        <v>299</v>
      </c>
      <c r="D108" s="43" t="s">
        <v>520</v>
      </c>
      <c r="E108" s="43" t="s">
        <v>107</v>
      </c>
      <c r="F108" s="43" t="s">
        <v>525</v>
      </c>
      <c r="G108" s="43" t="s">
        <v>380</v>
      </c>
      <c r="H108" s="43">
        <v>60</v>
      </c>
      <c r="I108" s="43">
        <v>-27.916399999999999</v>
      </c>
      <c r="J108" s="28">
        <v>-2.0840000000000001E-7</v>
      </c>
      <c r="K108" s="43" t="s">
        <v>910</v>
      </c>
      <c r="L108" s="43" t="s">
        <v>65</v>
      </c>
      <c r="N108" s="43" t="s">
        <v>180</v>
      </c>
      <c r="O108" s="43">
        <v>299</v>
      </c>
      <c r="P108" s="43" t="s">
        <v>520</v>
      </c>
      <c r="Q108" s="43" t="s">
        <v>377</v>
      </c>
      <c r="R108" s="43" t="s">
        <v>525</v>
      </c>
      <c r="S108" s="43" t="s">
        <v>380</v>
      </c>
      <c r="T108" s="43">
        <v>10</v>
      </c>
      <c r="U108" s="43">
        <v>-27.9605</v>
      </c>
      <c r="V108" s="28">
        <v>-2.0879999999999999E-7</v>
      </c>
      <c r="W108" s="43" t="s">
        <v>910</v>
      </c>
      <c r="X108" s="43" t="s">
        <v>65</v>
      </c>
    </row>
    <row r="109" spans="2:24" x14ac:dyDescent="0.2">
      <c r="B109" s="43" t="s">
        <v>180</v>
      </c>
      <c r="C109" s="43">
        <v>299</v>
      </c>
      <c r="D109" s="43" t="s">
        <v>520</v>
      </c>
      <c r="E109" s="43" t="s">
        <v>107</v>
      </c>
      <c r="F109" s="43" t="s">
        <v>526</v>
      </c>
      <c r="G109" s="43" t="s">
        <v>382</v>
      </c>
      <c r="H109" s="43">
        <v>60</v>
      </c>
      <c r="I109" s="43">
        <v>-18.649000000000001</v>
      </c>
      <c r="J109" s="28">
        <v>-1.392E-7</v>
      </c>
      <c r="K109" s="43" t="s">
        <v>910</v>
      </c>
      <c r="L109" s="43" t="s">
        <v>65</v>
      </c>
      <c r="N109" s="43" t="s">
        <v>180</v>
      </c>
      <c r="O109" s="43">
        <v>299</v>
      </c>
      <c r="P109" s="43" t="s">
        <v>520</v>
      </c>
      <c r="Q109" s="43" t="s">
        <v>377</v>
      </c>
      <c r="R109" s="43" t="s">
        <v>526</v>
      </c>
      <c r="S109" s="43" t="s">
        <v>382</v>
      </c>
      <c r="T109" s="43">
        <v>10</v>
      </c>
      <c r="U109" s="43">
        <v>-18.6069</v>
      </c>
      <c r="V109" s="28">
        <v>-1.3890000000000001E-7</v>
      </c>
      <c r="W109" s="43" t="s">
        <v>910</v>
      </c>
      <c r="X109" s="43" t="s">
        <v>65</v>
      </c>
    </row>
    <row r="110" spans="2:24" x14ac:dyDescent="0.2">
      <c r="B110" s="43" t="s">
        <v>180</v>
      </c>
      <c r="C110" s="43">
        <v>300</v>
      </c>
      <c r="D110" s="43" t="s">
        <v>527</v>
      </c>
      <c r="E110" s="43" t="s">
        <v>107</v>
      </c>
      <c r="F110" s="43" t="s">
        <v>528</v>
      </c>
      <c r="G110" s="43" t="s">
        <v>380</v>
      </c>
      <c r="H110" s="43">
        <v>60</v>
      </c>
      <c r="I110" s="43">
        <v>-18.779699999999998</v>
      </c>
      <c r="J110" s="28">
        <v>-1.402E-7</v>
      </c>
      <c r="K110" s="43" t="s">
        <v>910</v>
      </c>
      <c r="L110" s="43" t="s">
        <v>65</v>
      </c>
      <c r="N110" s="43" t="s">
        <v>180</v>
      </c>
      <c r="O110" s="43">
        <v>300</v>
      </c>
      <c r="P110" s="43" t="s">
        <v>527</v>
      </c>
      <c r="Q110" s="43" t="s">
        <v>377</v>
      </c>
      <c r="R110" s="43" t="s">
        <v>528</v>
      </c>
      <c r="S110" s="43" t="s">
        <v>380</v>
      </c>
      <c r="T110" s="43">
        <v>10</v>
      </c>
      <c r="U110" s="43">
        <v>-18.8217</v>
      </c>
      <c r="V110" s="28">
        <v>-1.4049999999999999E-7</v>
      </c>
      <c r="W110" s="43" t="s">
        <v>910</v>
      </c>
      <c r="X110" s="43" t="s">
        <v>65</v>
      </c>
    </row>
    <row r="111" spans="2:24" x14ac:dyDescent="0.2">
      <c r="B111" s="43" t="s">
        <v>180</v>
      </c>
      <c r="C111" s="43">
        <v>300</v>
      </c>
      <c r="D111" s="43" t="s">
        <v>527</v>
      </c>
      <c r="E111" s="43" t="s">
        <v>107</v>
      </c>
      <c r="F111" s="43" t="s">
        <v>529</v>
      </c>
      <c r="G111" s="43" t="s">
        <v>382</v>
      </c>
      <c r="H111" s="43">
        <v>60</v>
      </c>
      <c r="I111" s="43">
        <v>-28.6068</v>
      </c>
      <c r="J111" s="28">
        <v>-2.1360000000000001E-7</v>
      </c>
      <c r="K111" s="43" t="s">
        <v>910</v>
      </c>
      <c r="L111" s="43" t="s">
        <v>65</v>
      </c>
      <c r="N111" s="43" t="s">
        <v>180</v>
      </c>
      <c r="O111" s="43">
        <v>300</v>
      </c>
      <c r="P111" s="43" t="s">
        <v>527</v>
      </c>
      <c r="Q111" s="43" t="s">
        <v>377</v>
      </c>
      <c r="R111" s="43" t="s">
        <v>529</v>
      </c>
      <c r="S111" s="43" t="s">
        <v>382</v>
      </c>
      <c r="T111" s="43">
        <v>10</v>
      </c>
      <c r="U111" s="43">
        <v>-28.561399999999999</v>
      </c>
      <c r="V111" s="28">
        <v>-2.1330000000000001E-7</v>
      </c>
      <c r="W111" s="43" t="s">
        <v>910</v>
      </c>
      <c r="X111" s="43" t="s">
        <v>65</v>
      </c>
    </row>
    <row r="112" spans="2:24" x14ac:dyDescent="0.2">
      <c r="B112" s="43" t="s">
        <v>180</v>
      </c>
      <c r="C112" s="43">
        <v>274</v>
      </c>
      <c r="D112" s="43" t="s">
        <v>530</v>
      </c>
      <c r="E112" s="43" t="s">
        <v>107</v>
      </c>
      <c r="F112" s="43" t="s">
        <v>531</v>
      </c>
      <c r="G112" s="43" t="s">
        <v>380</v>
      </c>
      <c r="H112" s="43">
        <v>60</v>
      </c>
      <c r="I112" s="43">
        <v>-72.262299999999996</v>
      </c>
      <c r="J112" s="28">
        <v>-9.9999999999999995E-7</v>
      </c>
      <c r="K112" s="43" t="s">
        <v>910</v>
      </c>
      <c r="L112" s="43" t="s">
        <v>65</v>
      </c>
      <c r="N112" s="43" t="s">
        <v>180</v>
      </c>
      <c r="O112" s="43">
        <v>274</v>
      </c>
      <c r="P112" s="43" t="s">
        <v>530</v>
      </c>
      <c r="Q112" s="43" t="s">
        <v>377</v>
      </c>
      <c r="R112" s="43" t="s">
        <v>531</v>
      </c>
      <c r="S112" s="43" t="s">
        <v>380</v>
      </c>
      <c r="T112" s="43">
        <v>10</v>
      </c>
      <c r="U112" s="43">
        <v>-72.247</v>
      </c>
      <c r="V112" s="28">
        <v>-9.9999999999999995E-7</v>
      </c>
      <c r="W112" s="43" t="s">
        <v>910</v>
      </c>
      <c r="X112" s="43" t="s">
        <v>65</v>
      </c>
    </row>
    <row r="113" spans="2:24" x14ac:dyDescent="0.2">
      <c r="B113" s="43" t="s">
        <v>180</v>
      </c>
      <c r="C113" s="43">
        <v>274</v>
      </c>
      <c r="D113" s="43" t="s">
        <v>530</v>
      </c>
      <c r="E113" s="43" t="s">
        <v>107</v>
      </c>
      <c r="F113" s="43" t="s">
        <v>532</v>
      </c>
      <c r="G113" s="43" t="s">
        <v>382</v>
      </c>
      <c r="H113" s="43">
        <v>60</v>
      </c>
      <c r="I113" s="43">
        <v>-14.1419</v>
      </c>
      <c r="J113" s="28">
        <v>-1.2109999999999999E-7</v>
      </c>
      <c r="K113" s="43" t="s">
        <v>910</v>
      </c>
      <c r="L113" s="43" t="s">
        <v>65</v>
      </c>
      <c r="N113" s="43" t="s">
        <v>180</v>
      </c>
      <c r="O113" s="43">
        <v>274</v>
      </c>
      <c r="P113" s="43" t="s">
        <v>530</v>
      </c>
      <c r="Q113" s="43" t="s">
        <v>377</v>
      </c>
      <c r="R113" s="43" t="s">
        <v>532</v>
      </c>
      <c r="S113" s="43" t="s">
        <v>382</v>
      </c>
      <c r="T113" s="43">
        <v>10</v>
      </c>
      <c r="U113" s="43">
        <v>-14.1646</v>
      </c>
      <c r="V113" s="28">
        <v>-1.2130000000000001E-7</v>
      </c>
      <c r="W113" s="43" t="s">
        <v>910</v>
      </c>
      <c r="X113" s="43" t="s">
        <v>65</v>
      </c>
    </row>
    <row r="114" spans="2:24" x14ac:dyDescent="0.2">
      <c r="B114" s="43" t="s">
        <v>180</v>
      </c>
      <c r="C114" s="43">
        <v>277</v>
      </c>
      <c r="D114" s="43" t="s">
        <v>533</v>
      </c>
      <c r="E114" s="43" t="s">
        <v>107</v>
      </c>
      <c r="F114" s="43" t="s">
        <v>534</v>
      </c>
      <c r="G114" s="43" t="s">
        <v>380</v>
      </c>
      <c r="H114" s="43">
        <v>60</v>
      </c>
      <c r="I114" s="43">
        <v>-109.4075</v>
      </c>
      <c r="J114" s="28">
        <v>-9.9999999999999995E-7</v>
      </c>
      <c r="K114" s="43" t="s">
        <v>910</v>
      </c>
      <c r="L114" s="43" t="s">
        <v>65</v>
      </c>
      <c r="N114" s="43" t="s">
        <v>180</v>
      </c>
      <c r="O114" s="43">
        <v>277</v>
      </c>
      <c r="P114" s="43" t="s">
        <v>533</v>
      </c>
      <c r="Q114" s="43" t="s">
        <v>377</v>
      </c>
      <c r="R114" s="43" t="s">
        <v>534</v>
      </c>
      <c r="S114" s="43" t="s">
        <v>380</v>
      </c>
      <c r="T114" s="43">
        <v>10</v>
      </c>
      <c r="U114" s="43">
        <v>-109.38460000000001</v>
      </c>
      <c r="V114" s="28">
        <v>-9.9999999999999995E-7</v>
      </c>
      <c r="W114" s="43" t="s">
        <v>910</v>
      </c>
      <c r="X114" s="43" t="s">
        <v>65</v>
      </c>
    </row>
    <row r="115" spans="2:24" x14ac:dyDescent="0.2">
      <c r="B115" s="43" t="s">
        <v>180</v>
      </c>
      <c r="C115" s="43">
        <v>277</v>
      </c>
      <c r="D115" s="43" t="s">
        <v>533</v>
      </c>
      <c r="E115" s="43" t="s">
        <v>107</v>
      </c>
      <c r="F115" s="43" t="s">
        <v>535</v>
      </c>
      <c r="G115" s="43" t="s">
        <v>382</v>
      </c>
      <c r="H115" s="43">
        <v>60</v>
      </c>
      <c r="I115" s="43">
        <v>-36.007899999999999</v>
      </c>
      <c r="J115" s="28">
        <v>-2.4060000000000002E-7</v>
      </c>
      <c r="K115" s="43" t="s">
        <v>910</v>
      </c>
      <c r="L115" s="43" t="s">
        <v>65</v>
      </c>
      <c r="N115" s="43" t="s">
        <v>180</v>
      </c>
      <c r="O115" s="43">
        <v>277</v>
      </c>
      <c r="P115" s="43" t="s">
        <v>533</v>
      </c>
      <c r="Q115" s="43" t="s">
        <v>377</v>
      </c>
      <c r="R115" s="43" t="s">
        <v>535</v>
      </c>
      <c r="S115" s="43" t="s">
        <v>382</v>
      </c>
      <c r="T115" s="43">
        <v>10</v>
      </c>
      <c r="U115" s="43">
        <v>-36.031399999999998</v>
      </c>
      <c r="V115" s="28">
        <v>-2.4069999999999998E-7</v>
      </c>
      <c r="W115" s="43" t="s">
        <v>910</v>
      </c>
      <c r="X115" s="43" t="s">
        <v>65</v>
      </c>
    </row>
    <row r="116" spans="2:24" x14ac:dyDescent="0.2">
      <c r="B116" s="43" t="s">
        <v>180</v>
      </c>
      <c r="C116" s="43">
        <v>280</v>
      </c>
      <c r="D116" s="43" t="s">
        <v>536</v>
      </c>
      <c r="E116" s="43" t="s">
        <v>107</v>
      </c>
      <c r="F116" s="43" t="s">
        <v>537</v>
      </c>
      <c r="G116" s="43" t="s">
        <v>380</v>
      </c>
      <c r="H116" s="43">
        <v>60</v>
      </c>
      <c r="I116" s="43">
        <v>-93.115799999999993</v>
      </c>
      <c r="J116" s="28">
        <v>-9.9999999999999995E-7</v>
      </c>
      <c r="K116" s="43" t="s">
        <v>910</v>
      </c>
      <c r="L116" s="43" t="s">
        <v>65</v>
      </c>
      <c r="N116" s="43" t="s">
        <v>180</v>
      </c>
      <c r="O116" s="43">
        <v>280</v>
      </c>
      <c r="P116" s="43" t="s">
        <v>536</v>
      </c>
      <c r="Q116" s="43" t="s">
        <v>377</v>
      </c>
      <c r="R116" s="43" t="s">
        <v>537</v>
      </c>
      <c r="S116" s="43" t="s">
        <v>380</v>
      </c>
      <c r="T116" s="43">
        <v>10</v>
      </c>
      <c r="U116" s="43">
        <v>-93.093999999999994</v>
      </c>
      <c r="V116" s="28">
        <v>-9.9999999999999995E-7</v>
      </c>
      <c r="W116" s="43" t="s">
        <v>910</v>
      </c>
      <c r="X116" s="43" t="s">
        <v>65</v>
      </c>
    </row>
    <row r="117" spans="2:24" x14ac:dyDescent="0.2">
      <c r="B117" s="43" t="s">
        <v>180</v>
      </c>
      <c r="C117" s="43">
        <v>280</v>
      </c>
      <c r="D117" s="43" t="s">
        <v>536</v>
      </c>
      <c r="E117" s="43" t="s">
        <v>107</v>
      </c>
      <c r="F117" s="43" t="s">
        <v>538</v>
      </c>
      <c r="G117" s="43" t="s">
        <v>382</v>
      </c>
      <c r="H117" s="43">
        <v>60</v>
      </c>
      <c r="I117" s="43">
        <v>-21.037500000000001</v>
      </c>
      <c r="J117" s="28">
        <v>-1.4329999999999999E-7</v>
      </c>
      <c r="K117" s="43" t="s">
        <v>910</v>
      </c>
      <c r="L117" s="43" t="s">
        <v>65</v>
      </c>
      <c r="N117" s="43" t="s">
        <v>180</v>
      </c>
      <c r="O117" s="43">
        <v>280</v>
      </c>
      <c r="P117" s="43" t="s">
        <v>536</v>
      </c>
      <c r="Q117" s="43" t="s">
        <v>377</v>
      </c>
      <c r="R117" s="43" t="s">
        <v>538</v>
      </c>
      <c r="S117" s="43" t="s">
        <v>382</v>
      </c>
      <c r="T117" s="43">
        <v>10</v>
      </c>
      <c r="U117" s="43">
        <v>-21.059000000000001</v>
      </c>
      <c r="V117" s="28">
        <v>-1.434E-7</v>
      </c>
      <c r="W117" s="43" t="s">
        <v>910</v>
      </c>
      <c r="X117" s="43" t="s">
        <v>65</v>
      </c>
    </row>
    <row r="118" spans="2:24" x14ac:dyDescent="0.2">
      <c r="B118" s="43" t="s">
        <v>180</v>
      </c>
      <c r="C118" s="43">
        <v>283</v>
      </c>
      <c r="D118" s="43" t="s">
        <v>539</v>
      </c>
      <c r="E118" s="43" t="s">
        <v>107</v>
      </c>
      <c r="F118" s="43" t="s">
        <v>540</v>
      </c>
      <c r="G118" s="43" t="s">
        <v>380</v>
      </c>
      <c r="H118" s="43">
        <v>60</v>
      </c>
      <c r="I118" s="43">
        <v>-93.075400000000002</v>
      </c>
      <c r="J118" s="28">
        <v>-9.9999999999999995E-7</v>
      </c>
      <c r="K118" s="43" t="s">
        <v>910</v>
      </c>
      <c r="L118" s="43" t="s">
        <v>65</v>
      </c>
      <c r="N118" s="43" t="s">
        <v>180</v>
      </c>
      <c r="O118" s="43">
        <v>283</v>
      </c>
      <c r="P118" s="43" t="s">
        <v>539</v>
      </c>
      <c r="Q118" s="43" t="s">
        <v>377</v>
      </c>
      <c r="R118" s="43" t="s">
        <v>540</v>
      </c>
      <c r="S118" s="43" t="s">
        <v>380</v>
      </c>
      <c r="T118" s="43">
        <v>10</v>
      </c>
      <c r="U118" s="43">
        <v>-93.055499999999995</v>
      </c>
      <c r="V118" s="28">
        <v>-9.9999999999999995E-7</v>
      </c>
      <c r="W118" s="43" t="s">
        <v>910</v>
      </c>
      <c r="X118" s="43" t="s">
        <v>65</v>
      </c>
    </row>
    <row r="119" spans="2:24" x14ac:dyDescent="0.2">
      <c r="B119" s="43" t="s">
        <v>180</v>
      </c>
      <c r="C119" s="43">
        <v>283</v>
      </c>
      <c r="D119" s="43" t="s">
        <v>539</v>
      </c>
      <c r="E119" s="43" t="s">
        <v>107</v>
      </c>
      <c r="F119" s="43" t="s">
        <v>541</v>
      </c>
      <c r="G119" s="43" t="s">
        <v>382</v>
      </c>
      <c r="H119" s="43">
        <v>60</v>
      </c>
      <c r="I119" s="43">
        <v>-21.058599999999998</v>
      </c>
      <c r="J119" s="28">
        <v>-1.434E-7</v>
      </c>
      <c r="K119" s="43" t="s">
        <v>910</v>
      </c>
      <c r="L119" s="43" t="s">
        <v>65</v>
      </c>
      <c r="N119" s="43" t="s">
        <v>180</v>
      </c>
      <c r="O119" s="43">
        <v>283</v>
      </c>
      <c r="P119" s="43" t="s">
        <v>539</v>
      </c>
      <c r="Q119" s="43" t="s">
        <v>377</v>
      </c>
      <c r="R119" s="43" t="s">
        <v>541</v>
      </c>
      <c r="S119" s="43" t="s">
        <v>382</v>
      </c>
      <c r="T119" s="43">
        <v>10</v>
      </c>
      <c r="U119" s="43">
        <v>-21.0792</v>
      </c>
      <c r="V119" s="28">
        <v>-1.4359999999999999E-7</v>
      </c>
      <c r="W119" s="43" t="s">
        <v>910</v>
      </c>
      <c r="X119" s="43" t="s">
        <v>65</v>
      </c>
    </row>
    <row r="120" spans="2:24" x14ac:dyDescent="0.2">
      <c r="B120" s="43" t="s">
        <v>180</v>
      </c>
      <c r="C120" s="43">
        <v>286</v>
      </c>
      <c r="D120" s="43" t="s">
        <v>542</v>
      </c>
      <c r="E120" s="43" t="s">
        <v>107</v>
      </c>
      <c r="F120" s="43" t="s">
        <v>543</v>
      </c>
      <c r="G120" s="43" t="s">
        <v>380</v>
      </c>
      <c r="H120" s="43">
        <v>60</v>
      </c>
      <c r="I120" s="43">
        <v>-109.72320000000001</v>
      </c>
      <c r="J120" s="28">
        <v>-9.9999999999999995E-7</v>
      </c>
      <c r="K120" s="43" t="s">
        <v>910</v>
      </c>
      <c r="L120" s="43" t="s">
        <v>65</v>
      </c>
      <c r="N120" s="43" t="s">
        <v>180</v>
      </c>
      <c r="O120" s="43">
        <v>286</v>
      </c>
      <c r="P120" s="43" t="s">
        <v>542</v>
      </c>
      <c r="Q120" s="43" t="s">
        <v>377</v>
      </c>
      <c r="R120" s="43" t="s">
        <v>543</v>
      </c>
      <c r="S120" s="43" t="s">
        <v>380</v>
      </c>
      <c r="T120" s="43">
        <v>10</v>
      </c>
      <c r="U120" s="43">
        <v>-109.7038</v>
      </c>
      <c r="V120" s="28">
        <v>-9.9999999999999995E-7</v>
      </c>
      <c r="W120" s="43" t="s">
        <v>910</v>
      </c>
      <c r="X120" s="43" t="s">
        <v>65</v>
      </c>
    </row>
    <row r="121" spans="2:24" x14ac:dyDescent="0.2">
      <c r="B121" s="43" t="s">
        <v>180</v>
      </c>
      <c r="C121" s="43">
        <v>286</v>
      </c>
      <c r="D121" s="43" t="s">
        <v>542</v>
      </c>
      <c r="E121" s="43" t="s">
        <v>107</v>
      </c>
      <c r="F121" s="43" t="s">
        <v>544</v>
      </c>
      <c r="G121" s="43" t="s">
        <v>382</v>
      </c>
      <c r="H121" s="43">
        <v>60</v>
      </c>
      <c r="I121" s="43">
        <v>-35.9756</v>
      </c>
      <c r="J121" s="28">
        <v>-2.4040000000000001E-7</v>
      </c>
      <c r="K121" s="43" t="s">
        <v>910</v>
      </c>
      <c r="L121" s="43" t="s">
        <v>65</v>
      </c>
      <c r="N121" s="43" t="s">
        <v>180</v>
      </c>
      <c r="O121" s="43">
        <v>286</v>
      </c>
      <c r="P121" s="43" t="s">
        <v>542</v>
      </c>
      <c r="Q121" s="43" t="s">
        <v>377</v>
      </c>
      <c r="R121" s="43" t="s">
        <v>544</v>
      </c>
      <c r="S121" s="43" t="s">
        <v>382</v>
      </c>
      <c r="T121" s="43">
        <v>10</v>
      </c>
      <c r="U121" s="43">
        <v>-35.994700000000002</v>
      </c>
      <c r="V121" s="28">
        <v>-2.4050000000000002E-7</v>
      </c>
      <c r="W121" s="43" t="s">
        <v>910</v>
      </c>
      <c r="X121" s="43" t="s">
        <v>65</v>
      </c>
    </row>
    <row r="122" spans="2:24" x14ac:dyDescent="0.2">
      <c r="B122" s="43" t="s">
        <v>180</v>
      </c>
      <c r="C122" s="43">
        <v>289</v>
      </c>
      <c r="D122" s="43" t="s">
        <v>545</v>
      </c>
      <c r="E122" s="43" t="s">
        <v>107</v>
      </c>
      <c r="F122" s="43" t="s">
        <v>546</v>
      </c>
      <c r="G122" s="43" t="s">
        <v>380</v>
      </c>
      <c r="H122" s="43">
        <v>60</v>
      </c>
      <c r="I122" s="43">
        <v>-72.196600000000004</v>
      </c>
      <c r="J122" s="28">
        <v>-9.9999999999999995E-7</v>
      </c>
      <c r="K122" s="43" t="s">
        <v>910</v>
      </c>
      <c r="L122" s="43" t="s">
        <v>65</v>
      </c>
      <c r="N122" s="43" t="s">
        <v>180</v>
      </c>
      <c r="O122" s="43">
        <v>289</v>
      </c>
      <c r="P122" s="43" t="s">
        <v>545</v>
      </c>
      <c r="Q122" s="43" t="s">
        <v>377</v>
      </c>
      <c r="R122" s="43" t="s">
        <v>546</v>
      </c>
      <c r="S122" s="43" t="s">
        <v>380</v>
      </c>
      <c r="T122" s="43">
        <v>10</v>
      </c>
      <c r="U122" s="43">
        <v>-72.179000000000002</v>
      </c>
      <c r="V122" s="28">
        <v>-9.9999999999999995E-7</v>
      </c>
      <c r="W122" s="43" t="s">
        <v>910</v>
      </c>
      <c r="X122" s="43" t="s">
        <v>65</v>
      </c>
    </row>
    <row r="123" spans="2:24" x14ac:dyDescent="0.2">
      <c r="B123" s="43" t="s">
        <v>180</v>
      </c>
      <c r="C123" s="43">
        <v>289</v>
      </c>
      <c r="D123" s="43" t="s">
        <v>545</v>
      </c>
      <c r="E123" s="43" t="s">
        <v>107</v>
      </c>
      <c r="F123" s="43" t="s">
        <v>547</v>
      </c>
      <c r="G123" s="43" t="s">
        <v>382</v>
      </c>
      <c r="H123" s="43">
        <v>60</v>
      </c>
      <c r="I123" s="43">
        <v>-14.2294</v>
      </c>
      <c r="J123" s="28">
        <v>-1.219E-7</v>
      </c>
      <c r="K123" s="43" t="s">
        <v>910</v>
      </c>
      <c r="L123" s="43" t="s">
        <v>65</v>
      </c>
      <c r="N123" s="43" t="s">
        <v>180</v>
      </c>
      <c r="O123" s="43">
        <v>289</v>
      </c>
      <c r="P123" s="43" t="s">
        <v>545</v>
      </c>
      <c r="Q123" s="43" t="s">
        <v>377</v>
      </c>
      <c r="R123" s="43" t="s">
        <v>547</v>
      </c>
      <c r="S123" s="43" t="s">
        <v>382</v>
      </c>
      <c r="T123" s="43">
        <v>10</v>
      </c>
      <c r="U123" s="43">
        <v>-14.239699999999999</v>
      </c>
      <c r="V123" s="28">
        <v>-1.2200000000000001E-7</v>
      </c>
      <c r="W123" s="43" t="s">
        <v>910</v>
      </c>
      <c r="X123" s="43" t="s">
        <v>65</v>
      </c>
    </row>
    <row r="124" spans="2:24" x14ac:dyDescent="0.2">
      <c r="B124" s="43" t="s">
        <v>180</v>
      </c>
      <c r="C124" s="43">
        <v>301</v>
      </c>
      <c r="D124" s="43" t="s">
        <v>548</v>
      </c>
      <c r="E124" s="43" t="s">
        <v>107</v>
      </c>
      <c r="F124" s="43" t="s">
        <v>549</v>
      </c>
      <c r="G124" s="43" t="s">
        <v>380</v>
      </c>
      <c r="H124" s="43">
        <v>60</v>
      </c>
      <c r="I124" s="43">
        <v>-27.8248</v>
      </c>
      <c r="J124" s="28">
        <v>-2.0779999999999999E-7</v>
      </c>
      <c r="K124" s="43" t="s">
        <v>910</v>
      </c>
      <c r="L124" s="43" t="s">
        <v>65</v>
      </c>
      <c r="N124" s="43" t="s">
        <v>180</v>
      </c>
      <c r="O124" s="43">
        <v>301</v>
      </c>
      <c r="P124" s="43" t="s">
        <v>548</v>
      </c>
      <c r="Q124" s="43" t="s">
        <v>377</v>
      </c>
      <c r="R124" s="43" t="s">
        <v>549</v>
      </c>
      <c r="S124" s="43" t="s">
        <v>380</v>
      </c>
      <c r="T124" s="43">
        <v>10</v>
      </c>
      <c r="U124" s="43">
        <v>-27.868099999999998</v>
      </c>
      <c r="V124" s="28">
        <v>-2.0809999999999999E-7</v>
      </c>
      <c r="W124" s="43" t="s">
        <v>910</v>
      </c>
      <c r="X124" s="43" t="s">
        <v>65</v>
      </c>
    </row>
    <row r="125" spans="2:24" x14ac:dyDescent="0.2">
      <c r="B125" s="43" t="s">
        <v>180</v>
      </c>
      <c r="C125" s="43">
        <v>301</v>
      </c>
      <c r="D125" s="43" t="s">
        <v>548</v>
      </c>
      <c r="E125" s="43" t="s">
        <v>107</v>
      </c>
      <c r="F125" s="43" t="s">
        <v>550</v>
      </c>
      <c r="G125" s="43" t="s">
        <v>382</v>
      </c>
      <c r="H125" s="43">
        <v>60</v>
      </c>
      <c r="I125" s="43">
        <v>-17.979600000000001</v>
      </c>
      <c r="J125" s="28">
        <v>-1.342E-7</v>
      </c>
      <c r="K125" s="43" t="s">
        <v>910</v>
      </c>
      <c r="L125" s="43" t="s">
        <v>65</v>
      </c>
      <c r="N125" s="43" t="s">
        <v>180</v>
      </c>
      <c r="O125" s="43">
        <v>301</v>
      </c>
      <c r="P125" s="43" t="s">
        <v>548</v>
      </c>
      <c r="Q125" s="43" t="s">
        <v>377</v>
      </c>
      <c r="R125" s="43" t="s">
        <v>550</v>
      </c>
      <c r="S125" s="43" t="s">
        <v>382</v>
      </c>
      <c r="T125" s="43">
        <v>10</v>
      </c>
      <c r="U125" s="43">
        <v>-17.939699999999998</v>
      </c>
      <c r="V125" s="28">
        <v>-1.339E-7</v>
      </c>
      <c r="W125" s="43" t="s">
        <v>910</v>
      </c>
      <c r="X125" s="43" t="s">
        <v>65</v>
      </c>
    </row>
    <row r="126" spans="2:24" x14ac:dyDescent="0.2">
      <c r="B126" s="43" t="s">
        <v>180</v>
      </c>
      <c r="C126" s="43">
        <v>302</v>
      </c>
      <c r="D126" s="43" t="s">
        <v>551</v>
      </c>
      <c r="E126" s="43" t="s">
        <v>107</v>
      </c>
      <c r="F126" s="43" t="s">
        <v>552</v>
      </c>
      <c r="G126" s="43" t="s">
        <v>380</v>
      </c>
      <c r="H126" s="43">
        <v>60</v>
      </c>
      <c r="I126" s="43">
        <v>-18.5611</v>
      </c>
      <c r="J126" s="28">
        <v>-1.3860000000000001E-7</v>
      </c>
      <c r="K126" s="43" t="s">
        <v>910</v>
      </c>
      <c r="L126" s="43" t="s">
        <v>65</v>
      </c>
      <c r="N126" s="43" t="s">
        <v>180</v>
      </c>
      <c r="O126" s="43">
        <v>302</v>
      </c>
      <c r="P126" s="43" t="s">
        <v>551</v>
      </c>
      <c r="Q126" s="43" t="s">
        <v>377</v>
      </c>
      <c r="R126" s="43" t="s">
        <v>552</v>
      </c>
      <c r="S126" s="43" t="s">
        <v>380</v>
      </c>
      <c r="T126" s="43">
        <v>10</v>
      </c>
      <c r="U126" s="43">
        <v>-18.600999999999999</v>
      </c>
      <c r="V126" s="28">
        <v>-1.3890000000000001E-7</v>
      </c>
      <c r="W126" s="43" t="s">
        <v>910</v>
      </c>
      <c r="X126" s="43" t="s">
        <v>65</v>
      </c>
    </row>
    <row r="127" spans="2:24" x14ac:dyDescent="0.2">
      <c r="B127" s="43" t="s">
        <v>180</v>
      </c>
      <c r="C127" s="43">
        <v>302</v>
      </c>
      <c r="D127" s="43" t="s">
        <v>551</v>
      </c>
      <c r="E127" s="43" t="s">
        <v>107</v>
      </c>
      <c r="F127" s="43" t="s">
        <v>553</v>
      </c>
      <c r="G127" s="43" t="s">
        <v>382</v>
      </c>
      <c r="H127" s="43">
        <v>60</v>
      </c>
      <c r="I127" s="43">
        <v>-27.932400000000001</v>
      </c>
      <c r="J127" s="28">
        <v>-2.086E-7</v>
      </c>
      <c r="K127" s="43" t="s">
        <v>910</v>
      </c>
      <c r="L127" s="43" t="s">
        <v>65</v>
      </c>
      <c r="N127" s="43" t="s">
        <v>180</v>
      </c>
      <c r="O127" s="43">
        <v>302</v>
      </c>
      <c r="P127" s="43" t="s">
        <v>551</v>
      </c>
      <c r="Q127" s="43" t="s">
        <v>377</v>
      </c>
      <c r="R127" s="43" t="s">
        <v>553</v>
      </c>
      <c r="S127" s="43" t="s">
        <v>382</v>
      </c>
      <c r="T127" s="43">
        <v>10</v>
      </c>
      <c r="U127" s="43">
        <v>-27.890799999999999</v>
      </c>
      <c r="V127" s="28">
        <v>-2.0830000000000001E-7</v>
      </c>
      <c r="W127" s="43" t="s">
        <v>910</v>
      </c>
      <c r="X127" s="43" t="s">
        <v>65</v>
      </c>
    </row>
    <row r="128" spans="2:24" x14ac:dyDescent="0.2">
      <c r="B128" s="43" t="s">
        <v>180</v>
      </c>
      <c r="C128" s="43">
        <v>303</v>
      </c>
      <c r="D128" s="43" t="s">
        <v>551</v>
      </c>
      <c r="E128" s="43" t="s">
        <v>107</v>
      </c>
      <c r="F128" s="43" t="s">
        <v>554</v>
      </c>
      <c r="G128" s="43" t="s">
        <v>380</v>
      </c>
      <c r="H128" s="43">
        <v>60</v>
      </c>
      <c r="I128" s="43">
        <v>-28.477</v>
      </c>
      <c r="J128" s="28">
        <v>-2.248E-7</v>
      </c>
      <c r="K128" s="43" t="s">
        <v>910</v>
      </c>
      <c r="L128" s="43" t="s">
        <v>65</v>
      </c>
      <c r="N128" s="43" t="s">
        <v>180</v>
      </c>
      <c r="O128" s="43">
        <v>303</v>
      </c>
      <c r="P128" s="43" t="s">
        <v>551</v>
      </c>
      <c r="Q128" s="43" t="s">
        <v>377</v>
      </c>
      <c r="R128" s="43" t="s">
        <v>554</v>
      </c>
      <c r="S128" s="43" t="s">
        <v>380</v>
      </c>
      <c r="T128" s="43">
        <v>10</v>
      </c>
      <c r="U128" s="43">
        <v>-28.517199999999999</v>
      </c>
      <c r="V128" s="28">
        <v>-2.251E-7</v>
      </c>
      <c r="W128" s="43" t="s">
        <v>910</v>
      </c>
      <c r="X128" s="43" t="s">
        <v>65</v>
      </c>
    </row>
    <row r="129" spans="2:24" x14ac:dyDescent="0.2">
      <c r="B129" s="43" t="s">
        <v>180</v>
      </c>
      <c r="C129" s="43">
        <v>303</v>
      </c>
      <c r="D129" s="43" t="s">
        <v>551</v>
      </c>
      <c r="E129" s="43" t="s">
        <v>107</v>
      </c>
      <c r="F129" s="43" t="s">
        <v>555</v>
      </c>
      <c r="G129" s="43" t="s">
        <v>382</v>
      </c>
      <c r="H129" s="43">
        <v>60</v>
      </c>
      <c r="I129" s="43">
        <v>-28.414999999999999</v>
      </c>
      <c r="J129" s="28">
        <v>-2.2429999999999999E-7</v>
      </c>
      <c r="K129" s="43" t="s">
        <v>910</v>
      </c>
      <c r="L129" s="43" t="s">
        <v>65</v>
      </c>
      <c r="N129" s="43" t="s">
        <v>180</v>
      </c>
      <c r="O129" s="43">
        <v>303</v>
      </c>
      <c r="P129" s="43" t="s">
        <v>551</v>
      </c>
      <c r="Q129" s="43" t="s">
        <v>377</v>
      </c>
      <c r="R129" s="43" t="s">
        <v>555</v>
      </c>
      <c r="S129" s="43" t="s">
        <v>382</v>
      </c>
      <c r="T129" s="43">
        <v>10</v>
      </c>
      <c r="U129" s="43">
        <v>-28.3749</v>
      </c>
      <c r="V129" s="28">
        <v>-2.2399999999999999E-7</v>
      </c>
      <c r="W129" s="43" t="s">
        <v>910</v>
      </c>
      <c r="X129" s="43" t="s">
        <v>65</v>
      </c>
    </row>
    <row r="130" spans="2:24" x14ac:dyDescent="0.2">
      <c r="B130" s="43" t="s">
        <v>180</v>
      </c>
      <c r="C130" s="43">
        <v>304</v>
      </c>
      <c r="D130" s="43" t="s">
        <v>551</v>
      </c>
      <c r="E130" s="43" t="s">
        <v>107</v>
      </c>
      <c r="F130" s="43" t="s">
        <v>556</v>
      </c>
      <c r="G130" s="43" t="s">
        <v>380</v>
      </c>
      <c r="H130" s="43">
        <v>60</v>
      </c>
      <c r="I130" s="43">
        <v>-27.990300000000001</v>
      </c>
      <c r="J130" s="28">
        <v>-2.0900000000000001E-7</v>
      </c>
      <c r="K130" s="43" t="s">
        <v>910</v>
      </c>
      <c r="L130" s="43" t="s">
        <v>65</v>
      </c>
      <c r="N130" s="43" t="s">
        <v>180</v>
      </c>
      <c r="O130" s="43">
        <v>304</v>
      </c>
      <c r="P130" s="43" t="s">
        <v>551</v>
      </c>
      <c r="Q130" s="43" t="s">
        <v>377</v>
      </c>
      <c r="R130" s="43" t="s">
        <v>556</v>
      </c>
      <c r="S130" s="43" t="s">
        <v>380</v>
      </c>
      <c r="T130" s="43">
        <v>10</v>
      </c>
      <c r="U130" s="43">
        <v>-28.032699999999998</v>
      </c>
      <c r="V130" s="28">
        <v>-2.093E-7</v>
      </c>
      <c r="W130" s="43" t="s">
        <v>910</v>
      </c>
      <c r="X130" s="43" t="s">
        <v>65</v>
      </c>
    </row>
    <row r="131" spans="2:24" x14ac:dyDescent="0.2">
      <c r="B131" s="43" t="s">
        <v>180</v>
      </c>
      <c r="C131" s="43">
        <v>304</v>
      </c>
      <c r="D131" s="43" t="s">
        <v>551</v>
      </c>
      <c r="E131" s="43" t="s">
        <v>107</v>
      </c>
      <c r="F131" s="43" t="s">
        <v>557</v>
      </c>
      <c r="G131" s="43" t="s">
        <v>382</v>
      </c>
      <c r="H131" s="43">
        <v>60</v>
      </c>
      <c r="I131" s="43">
        <v>-18.500599999999999</v>
      </c>
      <c r="J131" s="28">
        <v>-1.381E-7</v>
      </c>
      <c r="K131" s="43" t="s">
        <v>910</v>
      </c>
      <c r="L131" s="43" t="s">
        <v>65</v>
      </c>
      <c r="N131" s="43" t="s">
        <v>180</v>
      </c>
      <c r="O131" s="43">
        <v>304</v>
      </c>
      <c r="P131" s="43" t="s">
        <v>551</v>
      </c>
      <c r="Q131" s="43" t="s">
        <v>377</v>
      </c>
      <c r="R131" s="43" t="s">
        <v>557</v>
      </c>
      <c r="S131" s="43" t="s">
        <v>382</v>
      </c>
      <c r="T131" s="43">
        <v>10</v>
      </c>
      <c r="U131" s="43">
        <v>-18.4602</v>
      </c>
      <c r="V131" s="28">
        <v>-1.378E-7</v>
      </c>
      <c r="W131" s="43" t="s">
        <v>910</v>
      </c>
      <c r="X131" s="43" t="s">
        <v>65</v>
      </c>
    </row>
    <row r="132" spans="2:24" x14ac:dyDescent="0.2">
      <c r="B132" s="43" t="s">
        <v>180</v>
      </c>
      <c r="C132" s="43">
        <v>305</v>
      </c>
      <c r="D132" s="43" t="s">
        <v>558</v>
      </c>
      <c r="E132" s="43" t="s">
        <v>107</v>
      </c>
      <c r="F132" s="43" t="s">
        <v>559</v>
      </c>
      <c r="G132" s="43" t="s">
        <v>380</v>
      </c>
      <c r="H132" s="43">
        <v>60</v>
      </c>
      <c r="I132" s="43">
        <v>-18.064599999999999</v>
      </c>
      <c r="J132" s="28">
        <v>-1.349E-7</v>
      </c>
      <c r="K132" s="43" t="s">
        <v>910</v>
      </c>
      <c r="L132" s="43" t="s">
        <v>65</v>
      </c>
      <c r="N132" s="43" t="s">
        <v>180</v>
      </c>
      <c r="O132" s="43">
        <v>305</v>
      </c>
      <c r="P132" s="43" t="s">
        <v>558</v>
      </c>
      <c r="Q132" s="43" t="s">
        <v>377</v>
      </c>
      <c r="R132" s="43" t="s">
        <v>559</v>
      </c>
      <c r="S132" s="43" t="s">
        <v>380</v>
      </c>
      <c r="T132" s="43">
        <v>10</v>
      </c>
      <c r="U132" s="43">
        <v>-18.1053</v>
      </c>
      <c r="V132" s="28">
        <v>-1.3519999999999999E-7</v>
      </c>
      <c r="W132" s="43" t="s">
        <v>910</v>
      </c>
      <c r="X132" s="43" t="s">
        <v>65</v>
      </c>
    </row>
    <row r="133" spans="2:24" x14ac:dyDescent="0.2">
      <c r="B133" s="43" t="s">
        <v>180</v>
      </c>
      <c r="C133" s="43">
        <v>305</v>
      </c>
      <c r="D133" s="43" t="s">
        <v>558</v>
      </c>
      <c r="E133" s="43" t="s">
        <v>107</v>
      </c>
      <c r="F133" s="43" t="s">
        <v>560</v>
      </c>
      <c r="G133" s="43" t="s">
        <v>382</v>
      </c>
      <c r="H133" s="43">
        <v>60</v>
      </c>
      <c r="I133" s="43">
        <v>-27.794</v>
      </c>
      <c r="J133" s="28">
        <v>-2.075E-7</v>
      </c>
      <c r="K133" s="43" t="s">
        <v>910</v>
      </c>
      <c r="L133" s="43" t="s">
        <v>65</v>
      </c>
      <c r="N133" s="43" t="s">
        <v>180</v>
      </c>
      <c r="O133" s="43">
        <v>305</v>
      </c>
      <c r="P133" s="43" t="s">
        <v>558</v>
      </c>
      <c r="Q133" s="43" t="s">
        <v>377</v>
      </c>
      <c r="R133" s="43" t="s">
        <v>560</v>
      </c>
      <c r="S133" s="43" t="s">
        <v>382</v>
      </c>
      <c r="T133" s="43">
        <v>10</v>
      </c>
      <c r="U133" s="43">
        <v>-27.75</v>
      </c>
      <c r="V133" s="28">
        <v>-2.072E-7</v>
      </c>
      <c r="W133" s="43" t="s">
        <v>910</v>
      </c>
      <c r="X133" s="43" t="s">
        <v>65</v>
      </c>
    </row>
    <row r="134" spans="2:24" x14ac:dyDescent="0.2">
      <c r="B134" s="43" t="s">
        <v>180</v>
      </c>
      <c r="C134" s="43">
        <v>275</v>
      </c>
      <c r="D134" s="43" t="s">
        <v>561</v>
      </c>
      <c r="E134" s="43" t="s">
        <v>107</v>
      </c>
      <c r="F134" s="43" t="s">
        <v>562</v>
      </c>
      <c r="G134" s="43" t="s">
        <v>380</v>
      </c>
      <c r="H134" s="43">
        <v>60</v>
      </c>
      <c r="I134" s="43">
        <v>-71.913399999999996</v>
      </c>
      <c r="J134" s="28">
        <v>-9.9999999999999995E-7</v>
      </c>
      <c r="K134" s="43" t="s">
        <v>910</v>
      </c>
      <c r="L134" s="43" t="s">
        <v>65</v>
      </c>
      <c r="N134" s="43" t="s">
        <v>180</v>
      </c>
      <c r="O134" s="43">
        <v>275</v>
      </c>
      <c r="P134" s="43" t="s">
        <v>561</v>
      </c>
      <c r="Q134" s="43" t="s">
        <v>377</v>
      </c>
      <c r="R134" s="43" t="s">
        <v>562</v>
      </c>
      <c r="S134" s="43" t="s">
        <v>380</v>
      </c>
      <c r="T134" s="43">
        <v>10</v>
      </c>
      <c r="U134" s="43">
        <v>-71.898899999999998</v>
      </c>
      <c r="V134" s="28">
        <v>-9.9999999999999995E-7</v>
      </c>
      <c r="W134" s="43" t="s">
        <v>910</v>
      </c>
      <c r="X134" s="43" t="s">
        <v>65</v>
      </c>
    </row>
    <row r="135" spans="2:24" x14ac:dyDescent="0.2">
      <c r="B135" s="43" t="s">
        <v>180</v>
      </c>
      <c r="C135" s="43">
        <v>275</v>
      </c>
      <c r="D135" s="43" t="s">
        <v>561</v>
      </c>
      <c r="E135" s="43" t="s">
        <v>107</v>
      </c>
      <c r="F135" s="43" t="s">
        <v>563</v>
      </c>
      <c r="G135" s="43" t="s">
        <v>382</v>
      </c>
      <c r="H135" s="43">
        <v>60</v>
      </c>
      <c r="I135" s="43">
        <v>-20.7773</v>
      </c>
      <c r="J135" s="28">
        <v>-1.966E-7</v>
      </c>
      <c r="K135" s="43" t="s">
        <v>910</v>
      </c>
      <c r="L135" s="43" t="s">
        <v>65</v>
      </c>
      <c r="N135" s="43" t="s">
        <v>180</v>
      </c>
      <c r="O135" s="43">
        <v>275</v>
      </c>
      <c r="P135" s="43" t="s">
        <v>561</v>
      </c>
      <c r="Q135" s="43" t="s">
        <v>377</v>
      </c>
      <c r="R135" s="43" t="s">
        <v>563</v>
      </c>
      <c r="S135" s="43" t="s">
        <v>382</v>
      </c>
      <c r="T135" s="43">
        <v>10</v>
      </c>
      <c r="U135" s="43">
        <v>-20.798999999999999</v>
      </c>
      <c r="V135" s="28">
        <v>-1.9679999999999999E-7</v>
      </c>
      <c r="W135" s="43" t="s">
        <v>910</v>
      </c>
      <c r="X135" s="43" t="s">
        <v>65</v>
      </c>
    </row>
    <row r="136" spans="2:24" x14ac:dyDescent="0.2">
      <c r="B136" s="43" t="s">
        <v>180</v>
      </c>
      <c r="C136" s="43">
        <v>278</v>
      </c>
      <c r="D136" s="43" t="s">
        <v>564</v>
      </c>
      <c r="E136" s="43" t="s">
        <v>107</v>
      </c>
      <c r="F136" s="43" t="s">
        <v>565</v>
      </c>
      <c r="G136" s="43" t="s">
        <v>380</v>
      </c>
      <c r="H136" s="43">
        <v>60</v>
      </c>
      <c r="I136" s="43">
        <v>-108.0217</v>
      </c>
      <c r="J136" s="28">
        <v>-9.9999999999999995E-7</v>
      </c>
      <c r="K136" s="43" t="s">
        <v>910</v>
      </c>
      <c r="L136" s="43" t="s">
        <v>65</v>
      </c>
      <c r="N136" s="43" t="s">
        <v>180</v>
      </c>
      <c r="O136" s="43">
        <v>278</v>
      </c>
      <c r="P136" s="43" t="s">
        <v>564</v>
      </c>
      <c r="Q136" s="43" t="s">
        <v>377</v>
      </c>
      <c r="R136" s="43" t="s">
        <v>565</v>
      </c>
      <c r="S136" s="43" t="s">
        <v>380</v>
      </c>
      <c r="T136" s="43">
        <v>10</v>
      </c>
      <c r="U136" s="43">
        <v>-107.9988</v>
      </c>
      <c r="V136" s="28">
        <v>-9.9999999999999995E-7</v>
      </c>
      <c r="W136" s="43" t="s">
        <v>910</v>
      </c>
      <c r="X136" s="43" t="s">
        <v>65</v>
      </c>
    </row>
    <row r="137" spans="2:24" x14ac:dyDescent="0.2">
      <c r="B137" s="43" t="s">
        <v>180</v>
      </c>
      <c r="C137" s="43">
        <v>278</v>
      </c>
      <c r="D137" s="43" t="s">
        <v>564</v>
      </c>
      <c r="E137" s="43" t="s">
        <v>107</v>
      </c>
      <c r="F137" s="43" t="s">
        <v>566</v>
      </c>
      <c r="G137" s="43" t="s">
        <v>382</v>
      </c>
      <c r="H137" s="43">
        <v>60</v>
      </c>
      <c r="I137" s="43">
        <v>-21.766100000000002</v>
      </c>
      <c r="J137" s="28">
        <v>-1.4679999999999999E-7</v>
      </c>
      <c r="K137" s="43" t="s">
        <v>910</v>
      </c>
      <c r="L137" s="43" t="s">
        <v>65</v>
      </c>
      <c r="N137" s="43" t="s">
        <v>180</v>
      </c>
      <c r="O137" s="43">
        <v>278</v>
      </c>
      <c r="P137" s="43" t="s">
        <v>564</v>
      </c>
      <c r="Q137" s="43" t="s">
        <v>377</v>
      </c>
      <c r="R137" s="43" t="s">
        <v>566</v>
      </c>
      <c r="S137" s="43" t="s">
        <v>382</v>
      </c>
      <c r="T137" s="43">
        <v>10</v>
      </c>
      <c r="U137" s="43">
        <v>-21.790099999999999</v>
      </c>
      <c r="V137" s="28">
        <v>-1.469E-7</v>
      </c>
      <c r="W137" s="43" t="s">
        <v>910</v>
      </c>
      <c r="X137" s="43" t="s">
        <v>65</v>
      </c>
    </row>
    <row r="138" spans="2:24" x14ac:dyDescent="0.2">
      <c r="B138" s="43" t="s">
        <v>180</v>
      </c>
      <c r="C138" s="43">
        <v>281</v>
      </c>
      <c r="D138" s="43" t="s">
        <v>567</v>
      </c>
      <c r="E138" s="43" t="s">
        <v>107</v>
      </c>
      <c r="F138" s="43" t="s">
        <v>568</v>
      </c>
      <c r="G138" s="43" t="s">
        <v>380</v>
      </c>
      <c r="H138" s="43">
        <v>60</v>
      </c>
      <c r="I138" s="43">
        <v>-92.0077</v>
      </c>
      <c r="J138" s="28">
        <v>-9.9999999999999995E-7</v>
      </c>
      <c r="K138" s="43" t="s">
        <v>910</v>
      </c>
      <c r="L138" s="43" t="s">
        <v>65</v>
      </c>
      <c r="N138" s="43" t="s">
        <v>180</v>
      </c>
      <c r="O138" s="43">
        <v>281</v>
      </c>
      <c r="P138" s="43" t="s">
        <v>567</v>
      </c>
      <c r="Q138" s="43" t="s">
        <v>377</v>
      </c>
      <c r="R138" s="43" t="s">
        <v>568</v>
      </c>
      <c r="S138" s="43" t="s">
        <v>380</v>
      </c>
      <c r="T138" s="43">
        <v>10</v>
      </c>
      <c r="U138" s="43">
        <v>-91.986599999999996</v>
      </c>
      <c r="V138" s="28">
        <v>-9.9999999999999995E-7</v>
      </c>
      <c r="W138" s="43" t="s">
        <v>910</v>
      </c>
      <c r="X138" s="43" t="s">
        <v>65</v>
      </c>
    </row>
    <row r="139" spans="2:24" x14ac:dyDescent="0.2">
      <c r="B139" s="43" t="s">
        <v>180</v>
      </c>
      <c r="C139" s="43">
        <v>281</v>
      </c>
      <c r="D139" s="43" t="s">
        <v>567</v>
      </c>
      <c r="E139" s="43" t="s">
        <v>107</v>
      </c>
      <c r="F139" s="43" t="s">
        <v>569</v>
      </c>
      <c r="G139" s="43" t="s">
        <v>382</v>
      </c>
      <c r="H139" s="43">
        <v>60</v>
      </c>
      <c r="I139" s="43">
        <v>-30.738</v>
      </c>
      <c r="J139" s="28">
        <v>-2.1729999999999999E-7</v>
      </c>
      <c r="K139" s="43" t="s">
        <v>910</v>
      </c>
      <c r="L139" s="43" t="s">
        <v>65</v>
      </c>
      <c r="N139" s="43" t="s">
        <v>180</v>
      </c>
      <c r="O139" s="43">
        <v>281</v>
      </c>
      <c r="P139" s="43" t="s">
        <v>567</v>
      </c>
      <c r="Q139" s="43" t="s">
        <v>377</v>
      </c>
      <c r="R139" s="43" t="s">
        <v>569</v>
      </c>
      <c r="S139" s="43" t="s">
        <v>382</v>
      </c>
      <c r="T139" s="43">
        <v>10</v>
      </c>
      <c r="U139" s="43">
        <v>-30.760200000000001</v>
      </c>
      <c r="V139" s="28">
        <v>-2.174E-7</v>
      </c>
      <c r="W139" s="43" t="s">
        <v>910</v>
      </c>
      <c r="X139" s="43" t="s">
        <v>65</v>
      </c>
    </row>
    <row r="140" spans="2:24" x14ac:dyDescent="0.2">
      <c r="B140" s="43" t="s">
        <v>180</v>
      </c>
      <c r="C140" s="43">
        <v>284</v>
      </c>
      <c r="D140" s="43" t="s">
        <v>570</v>
      </c>
      <c r="E140" s="43" t="s">
        <v>107</v>
      </c>
      <c r="F140" s="43" t="s">
        <v>571</v>
      </c>
      <c r="G140" s="43" t="s">
        <v>380</v>
      </c>
      <c r="H140" s="43">
        <v>60</v>
      </c>
      <c r="I140" s="43">
        <v>-91.970399999999998</v>
      </c>
      <c r="J140" s="28">
        <v>-9.9999999999999995E-7</v>
      </c>
      <c r="K140" s="43" t="s">
        <v>910</v>
      </c>
      <c r="L140" s="43" t="s">
        <v>65</v>
      </c>
      <c r="N140" s="43" t="s">
        <v>180</v>
      </c>
      <c r="O140" s="43">
        <v>284</v>
      </c>
      <c r="P140" s="43" t="s">
        <v>570</v>
      </c>
      <c r="Q140" s="43" t="s">
        <v>377</v>
      </c>
      <c r="R140" s="43" t="s">
        <v>571</v>
      </c>
      <c r="S140" s="43" t="s">
        <v>380</v>
      </c>
      <c r="T140" s="43">
        <v>10</v>
      </c>
      <c r="U140" s="43">
        <v>-91.950599999999994</v>
      </c>
      <c r="V140" s="28">
        <v>-9.9999999999999995E-7</v>
      </c>
      <c r="W140" s="43" t="s">
        <v>910</v>
      </c>
      <c r="X140" s="43" t="s">
        <v>65</v>
      </c>
    </row>
    <row r="141" spans="2:24" x14ac:dyDescent="0.2">
      <c r="B141" s="43" t="s">
        <v>180</v>
      </c>
      <c r="C141" s="43">
        <v>284</v>
      </c>
      <c r="D141" s="43" t="s">
        <v>570</v>
      </c>
      <c r="E141" s="43" t="s">
        <v>107</v>
      </c>
      <c r="F141" s="43" t="s">
        <v>572</v>
      </c>
      <c r="G141" s="43" t="s">
        <v>382</v>
      </c>
      <c r="H141" s="43">
        <v>60</v>
      </c>
      <c r="I141" s="43">
        <v>-30.775600000000001</v>
      </c>
      <c r="J141" s="28">
        <v>-2.1750000000000001E-7</v>
      </c>
      <c r="K141" s="43" t="s">
        <v>910</v>
      </c>
      <c r="L141" s="43" t="s">
        <v>65</v>
      </c>
      <c r="N141" s="43" t="s">
        <v>180</v>
      </c>
      <c r="O141" s="43">
        <v>284</v>
      </c>
      <c r="P141" s="43" t="s">
        <v>570</v>
      </c>
      <c r="Q141" s="43" t="s">
        <v>377</v>
      </c>
      <c r="R141" s="43" t="s">
        <v>572</v>
      </c>
      <c r="S141" s="43" t="s">
        <v>382</v>
      </c>
      <c r="T141" s="43">
        <v>10</v>
      </c>
      <c r="U141" s="43">
        <v>-30.796399999999998</v>
      </c>
      <c r="V141" s="28">
        <v>-2.177E-7</v>
      </c>
      <c r="W141" s="43" t="s">
        <v>910</v>
      </c>
      <c r="X141" s="43" t="s">
        <v>65</v>
      </c>
    </row>
    <row r="142" spans="2:24" x14ac:dyDescent="0.2">
      <c r="B142" s="43" t="s">
        <v>180</v>
      </c>
      <c r="C142" s="43">
        <v>287</v>
      </c>
      <c r="D142" s="43" t="s">
        <v>573</v>
      </c>
      <c r="E142" s="43" t="s">
        <v>107</v>
      </c>
      <c r="F142" s="43" t="s">
        <v>574</v>
      </c>
      <c r="G142" s="43" t="s">
        <v>380</v>
      </c>
      <c r="H142" s="43">
        <v>60</v>
      </c>
      <c r="I142" s="43">
        <v>-107.89490000000001</v>
      </c>
      <c r="J142" s="28">
        <v>-9.9999999999999995E-7</v>
      </c>
      <c r="K142" s="43" t="s">
        <v>910</v>
      </c>
      <c r="L142" s="43" t="s">
        <v>65</v>
      </c>
      <c r="N142" s="43" t="s">
        <v>180</v>
      </c>
      <c r="O142" s="43">
        <v>287</v>
      </c>
      <c r="P142" s="43" t="s">
        <v>573</v>
      </c>
      <c r="Q142" s="43" t="s">
        <v>377</v>
      </c>
      <c r="R142" s="43" t="s">
        <v>574</v>
      </c>
      <c r="S142" s="43" t="s">
        <v>380</v>
      </c>
      <c r="T142" s="43">
        <v>10</v>
      </c>
      <c r="U142" s="43">
        <v>-107.8751</v>
      </c>
      <c r="V142" s="28">
        <v>-9.9999999999999995E-7</v>
      </c>
      <c r="W142" s="43" t="s">
        <v>910</v>
      </c>
      <c r="X142" s="43" t="s">
        <v>65</v>
      </c>
    </row>
    <row r="143" spans="2:24" x14ac:dyDescent="0.2">
      <c r="B143" s="43" t="s">
        <v>180</v>
      </c>
      <c r="C143" s="43">
        <v>287</v>
      </c>
      <c r="D143" s="43" t="s">
        <v>573</v>
      </c>
      <c r="E143" s="43" t="s">
        <v>107</v>
      </c>
      <c r="F143" s="43" t="s">
        <v>575</v>
      </c>
      <c r="G143" s="43" t="s">
        <v>382</v>
      </c>
      <c r="H143" s="43">
        <v>60</v>
      </c>
      <c r="I143" s="43">
        <v>-21.883299999999998</v>
      </c>
      <c r="J143" s="28">
        <v>-1.476E-7</v>
      </c>
      <c r="K143" s="43" t="s">
        <v>910</v>
      </c>
      <c r="L143" s="43" t="s">
        <v>65</v>
      </c>
      <c r="N143" s="43" t="s">
        <v>180</v>
      </c>
      <c r="O143" s="43">
        <v>287</v>
      </c>
      <c r="P143" s="43" t="s">
        <v>573</v>
      </c>
      <c r="Q143" s="43" t="s">
        <v>377</v>
      </c>
      <c r="R143" s="43" t="s">
        <v>575</v>
      </c>
      <c r="S143" s="43" t="s">
        <v>382</v>
      </c>
      <c r="T143" s="43">
        <v>10</v>
      </c>
      <c r="U143" s="43">
        <v>-21.902899999999999</v>
      </c>
      <c r="V143" s="28">
        <v>-1.4770000000000001E-7</v>
      </c>
      <c r="W143" s="43" t="s">
        <v>910</v>
      </c>
      <c r="X143" s="43" t="s">
        <v>65</v>
      </c>
    </row>
    <row r="144" spans="2:24" x14ac:dyDescent="0.2">
      <c r="B144" s="43" t="s">
        <v>180</v>
      </c>
      <c r="C144" s="43">
        <v>290</v>
      </c>
      <c r="D144" s="43" t="s">
        <v>576</v>
      </c>
      <c r="E144" s="43" t="s">
        <v>107</v>
      </c>
      <c r="F144" s="43" t="s">
        <v>577</v>
      </c>
      <c r="G144" s="43" t="s">
        <v>380</v>
      </c>
      <c r="H144" s="43">
        <v>60</v>
      </c>
      <c r="I144" s="43">
        <v>-71.770799999999994</v>
      </c>
      <c r="J144" s="28">
        <v>-9.9999999999999995E-7</v>
      </c>
      <c r="K144" s="43" t="s">
        <v>910</v>
      </c>
      <c r="L144" s="43" t="s">
        <v>65</v>
      </c>
      <c r="N144" s="43" t="s">
        <v>180</v>
      </c>
      <c r="O144" s="43">
        <v>290</v>
      </c>
      <c r="P144" s="43" t="s">
        <v>576</v>
      </c>
      <c r="Q144" s="43" t="s">
        <v>377</v>
      </c>
      <c r="R144" s="43" t="s">
        <v>577</v>
      </c>
      <c r="S144" s="43" t="s">
        <v>380</v>
      </c>
      <c r="T144" s="43">
        <v>10</v>
      </c>
      <c r="U144" s="43">
        <v>-71.754000000000005</v>
      </c>
      <c r="V144" s="28">
        <v>-9.9999999999999995E-7</v>
      </c>
      <c r="W144" s="43" t="s">
        <v>910</v>
      </c>
      <c r="X144" s="43" t="s">
        <v>65</v>
      </c>
    </row>
    <row r="145" spans="2:24" x14ac:dyDescent="0.2">
      <c r="B145" s="43" t="s">
        <v>180</v>
      </c>
      <c r="C145" s="43">
        <v>290</v>
      </c>
      <c r="D145" s="43" t="s">
        <v>576</v>
      </c>
      <c r="E145" s="43" t="s">
        <v>107</v>
      </c>
      <c r="F145" s="43" t="s">
        <v>578</v>
      </c>
      <c r="G145" s="43" t="s">
        <v>382</v>
      </c>
      <c r="H145" s="43">
        <v>60</v>
      </c>
      <c r="I145" s="43">
        <v>-20.900099999999998</v>
      </c>
      <c r="J145" s="28">
        <v>-1.9780000000000001E-7</v>
      </c>
      <c r="K145" s="43" t="s">
        <v>910</v>
      </c>
      <c r="L145" s="43" t="s">
        <v>65</v>
      </c>
      <c r="N145" s="43" t="s">
        <v>180</v>
      </c>
      <c r="O145" s="43">
        <v>290</v>
      </c>
      <c r="P145" s="43" t="s">
        <v>576</v>
      </c>
      <c r="Q145" s="43" t="s">
        <v>377</v>
      </c>
      <c r="R145" s="43" t="s">
        <v>578</v>
      </c>
      <c r="S145" s="43" t="s">
        <v>382</v>
      </c>
      <c r="T145" s="43">
        <v>10</v>
      </c>
      <c r="U145" s="43">
        <v>-20.9101</v>
      </c>
      <c r="V145" s="28">
        <v>-1.9789999999999999E-7</v>
      </c>
      <c r="W145" s="43" t="s">
        <v>910</v>
      </c>
      <c r="X145" s="43" t="s">
        <v>65</v>
      </c>
    </row>
    <row r="146" spans="2:24" x14ac:dyDescent="0.2">
      <c r="B146" s="43" t="s">
        <v>180</v>
      </c>
      <c r="C146" s="43">
        <v>306</v>
      </c>
      <c r="D146" s="43" t="s">
        <v>579</v>
      </c>
      <c r="E146" s="43" t="s">
        <v>107</v>
      </c>
      <c r="F146" s="43" t="s">
        <v>580</v>
      </c>
      <c r="G146" s="43" t="s">
        <v>380</v>
      </c>
      <c r="H146" s="43">
        <v>60</v>
      </c>
      <c r="I146" s="43">
        <v>-18.0703</v>
      </c>
      <c r="J146" s="28">
        <v>-1.8519999999999999E-7</v>
      </c>
      <c r="K146" s="43" t="s">
        <v>910</v>
      </c>
      <c r="L146" s="43" t="s">
        <v>65</v>
      </c>
      <c r="N146" s="43" t="s">
        <v>180</v>
      </c>
      <c r="O146" s="43">
        <v>306</v>
      </c>
      <c r="P146" s="43" t="s">
        <v>579</v>
      </c>
      <c r="Q146" s="43" t="s">
        <v>377</v>
      </c>
      <c r="R146" s="43" t="s">
        <v>580</v>
      </c>
      <c r="S146" s="43" t="s">
        <v>380</v>
      </c>
      <c r="T146" s="43">
        <v>10</v>
      </c>
      <c r="U146" s="43">
        <v>-18.100999999999999</v>
      </c>
      <c r="V146" s="28">
        <v>-1.8559999999999999E-7</v>
      </c>
      <c r="W146" s="43" t="s">
        <v>910</v>
      </c>
      <c r="X146" s="43" t="s">
        <v>65</v>
      </c>
    </row>
    <row r="147" spans="2:24" x14ac:dyDescent="0.2">
      <c r="B147" s="43" t="s">
        <v>180</v>
      </c>
      <c r="C147" s="43">
        <v>306</v>
      </c>
      <c r="D147" s="43" t="s">
        <v>579</v>
      </c>
      <c r="E147" s="43" t="s">
        <v>107</v>
      </c>
      <c r="F147" s="43" t="s">
        <v>581</v>
      </c>
      <c r="G147" s="43" t="s">
        <v>382</v>
      </c>
      <c r="H147" s="43">
        <v>60</v>
      </c>
      <c r="I147" s="43">
        <v>-23.190999999999999</v>
      </c>
      <c r="J147" s="28">
        <v>-2.3769999999999999E-7</v>
      </c>
      <c r="K147" s="43" t="s">
        <v>910</v>
      </c>
      <c r="L147" s="43" t="s">
        <v>65</v>
      </c>
      <c r="N147" s="43" t="s">
        <v>180</v>
      </c>
      <c r="O147" s="43">
        <v>306</v>
      </c>
      <c r="P147" s="43" t="s">
        <v>579</v>
      </c>
      <c r="Q147" s="43" t="s">
        <v>377</v>
      </c>
      <c r="R147" s="43" t="s">
        <v>581</v>
      </c>
      <c r="S147" s="43" t="s">
        <v>382</v>
      </c>
      <c r="T147" s="43">
        <v>10</v>
      </c>
      <c r="U147" s="43">
        <v>-23.161100000000001</v>
      </c>
      <c r="V147" s="28">
        <v>-2.3739999999999999E-7</v>
      </c>
      <c r="W147" s="43" t="s">
        <v>910</v>
      </c>
      <c r="X147" s="43" t="s">
        <v>65</v>
      </c>
    </row>
    <row r="148" spans="2:24" x14ac:dyDescent="0.2">
      <c r="B148" s="43" t="s">
        <v>180</v>
      </c>
      <c r="C148" s="43">
        <v>307</v>
      </c>
      <c r="D148" s="43" t="s">
        <v>582</v>
      </c>
      <c r="E148" s="43" t="s">
        <v>107</v>
      </c>
      <c r="F148" s="43" t="s">
        <v>583</v>
      </c>
      <c r="G148" s="43" t="s">
        <v>380</v>
      </c>
      <c r="H148" s="43">
        <v>60</v>
      </c>
      <c r="I148" s="43">
        <v>-21.811299999999999</v>
      </c>
      <c r="J148" s="28">
        <v>-1.9390000000000001E-7</v>
      </c>
      <c r="K148" s="43" t="s">
        <v>910</v>
      </c>
      <c r="L148" s="43" t="s">
        <v>65</v>
      </c>
      <c r="N148" s="43" t="s">
        <v>180</v>
      </c>
      <c r="O148" s="43">
        <v>307</v>
      </c>
      <c r="P148" s="43" t="s">
        <v>582</v>
      </c>
      <c r="Q148" s="43" t="s">
        <v>377</v>
      </c>
      <c r="R148" s="43" t="s">
        <v>583</v>
      </c>
      <c r="S148" s="43" t="s">
        <v>380</v>
      </c>
      <c r="T148" s="43">
        <v>10</v>
      </c>
      <c r="U148" s="43">
        <v>-21.8475</v>
      </c>
      <c r="V148" s="28">
        <v>-1.9420000000000001E-7</v>
      </c>
      <c r="W148" s="43" t="s">
        <v>910</v>
      </c>
      <c r="X148" s="43" t="s">
        <v>65</v>
      </c>
    </row>
    <row r="149" spans="2:24" x14ac:dyDescent="0.2">
      <c r="B149" s="43" t="s">
        <v>180</v>
      </c>
      <c r="C149" s="43">
        <v>307</v>
      </c>
      <c r="D149" s="43" t="s">
        <v>582</v>
      </c>
      <c r="E149" s="43" t="s">
        <v>107</v>
      </c>
      <c r="F149" s="43" t="s">
        <v>584</v>
      </c>
      <c r="G149" s="43" t="s">
        <v>382</v>
      </c>
      <c r="H149" s="43">
        <v>60</v>
      </c>
      <c r="I149" s="43">
        <v>-14.3546</v>
      </c>
      <c r="J149" s="28">
        <v>-1.276E-7</v>
      </c>
      <c r="K149" s="43" t="s">
        <v>910</v>
      </c>
      <c r="L149" s="43" t="s">
        <v>65</v>
      </c>
      <c r="N149" s="43" t="s">
        <v>180</v>
      </c>
      <c r="O149" s="43">
        <v>307</v>
      </c>
      <c r="P149" s="43" t="s">
        <v>582</v>
      </c>
      <c r="Q149" s="43" t="s">
        <v>377</v>
      </c>
      <c r="R149" s="43" t="s">
        <v>584</v>
      </c>
      <c r="S149" s="43" t="s">
        <v>382</v>
      </c>
      <c r="T149" s="43">
        <v>10</v>
      </c>
      <c r="U149" s="43">
        <v>-14.321400000000001</v>
      </c>
      <c r="V149" s="28">
        <v>-1.2730000000000001E-7</v>
      </c>
      <c r="W149" s="43" t="s">
        <v>910</v>
      </c>
      <c r="X149" s="43" t="s">
        <v>65</v>
      </c>
    </row>
    <row r="150" spans="2:24" x14ac:dyDescent="0.2">
      <c r="B150" s="43" t="s">
        <v>180</v>
      </c>
      <c r="C150" s="43">
        <v>308</v>
      </c>
      <c r="D150" s="43" t="s">
        <v>582</v>
      </c>
      <c r="E150" s="43" t="s">
        <v>107</v>
      </c>
      <c r="F150" s="43" t="s">
        <v>585</v>
      </c>
      <c r="G150" s="43" t="s">
        <v>380</v>
      </c>
      <c r="H150" s="43">
        <v>60</v>
      </c>
      <c r="I150" s="43">
        <v>-14.5052</v>
      </c>
      <c r="J150" s="28">
        <v>-1.216E-7</v>
      </c>
      <c r="K150" s="43" t="s">
        <v>910</v>
      </c>
      <c r="L150" s="43" t="s">
        <v>65</v>
      </c>
      <c r="N150" s="43" t="s">
        <v>180</v>
      </c>
      <c r="O150" s="43">
        <v>308</v>
      </c>
      <c r="P150" s="43" t="s">
        <v>582</v>
      </c>
      <c r="Q150" s="43" t="s">
        <v>377</v>
      </c>
      <c r="R150" s="43" t="s">
        <v>585</v>
      </c>
      <c r="S150" s="43" t="s">
        <v>380</v>
      </c>
      <c r="T150" s="43">
        <v>10</v>
      </c>
      <c r="U150" s="43">
        <v>-14.5398</v>
      </c>
      <c r="V150" s="28">
        <v>-1.219E-7</v>
      </c>
      <c r="W150" s="43" t="s">
        <v>910</v>
      </c>
      <c r="X150" s="43" t="s">
        <v>65</v>
      </c>
    </row>
    <row r="151" spans="2:24" x14ac:dyDescent="0.2">
      <c r="B151" s="43" t="s">
        <v>180</v>
      </c>
      <c r="C151" s="43">
        <v>308</v>
      </c>
      <c r="D151" s="43" t="s">
        <v>582</v>
      </c>
      <c r="E151" s="43" t="s">
        <v>107</v>
      </c>
      <c r="F151" s="43" t="s">
        <v>586</v>
      </c>
      <c r="G151" s="43" t="s">
        <v>382</v>
      </c>
      <c r="H151" s="43">
        <v>60</v>
      </c>
      <c r="I151" s="43">
        <v>-14.3756</v>
      </c>
      <c r="J151" s="28">
        <v>-1.205E-7</v>
      </c>
      <c r="K151" s="43" t="s">
        <v>910</v>
      </c>
      <c r="L151" s="43" t="s">
        <v>65</v>
      </c>
      <c r="N151" s="43" t="s">
        <v>180</v>
      </c>
      <c r="O151" s="43">
        <v>308</v>
      </c>
      <c r="P151" s="43" t="s">
        <v>582</v>
      </c>
      <c r="Q151" s="43" t="s">
        <v>377</v>
      </c>
      <c r="R151" s="43" t="s">
        <v>586</v>
      </c>
      <c r="S151" s="43" t="s">
        <v>382</v>
      </c>
      <c r="T151" s="43">
        <v>10</v>
      </c>
      <c r="U151" s="43">
        <v>-14.341699999999999</v>
      </c>
      <c r="V151" s="28">
        <v>-1.202E-7</v>
      </c>
      <c r="W151" s="43" t="s">
        <v>910</v>
      </c>
      <c r="X151" s="43" t="s">
        <v>65</v>
      </c>
    </row>
    <row r="152" spans="2:24" x14ac:dyDescent="0.2">
      <c r="B152" s="43" t="s">
        <v>180</v>
      </c>
      <c r="C152" s="43">
        <v>309</v>
      </c>
      <c r="D152" s="43" t="s">
        <v>582</v>
      </c>
      <c r="E152" s="43" t="s">
        <v>107</v>
      </c>
      <c r="F152" s="43" t="s">
        <v>587</v>
      </c>
      <c r="G152" s="43" t="s">
        <v>380</v>
      </c>
      <c r="H152" s="43">
        <v>60</v>
      </c>
      <c r="I152" s="43">
        <v>-14.4817</v>
      </c>
      <c r="J152" s="28">
        <v>-1.2870000000000001E-7</v>
      </c>
      <c r="K152" s="43" t="s">
        <v>910</v>
      </c>
      <c r="L152" s="43" t="s">
        <v>65</v>
      </c>
      <c r="N152" s="43" t="s">
        <v>180</v>
      </c>
      <c r="O152" s="43">
        <v>309</v>
      </c>
      <c r="P152" s="43" t="s">
        <v>582</v>
      </c>
      <c r="Q152" s="43" t="s">
        <v>377</v>
      </c>
      <c r="R152" s="43" t="s">
        <v>587</v>
      </c>
      <c r="S152" s="43" t="s">
        <v>380</v>
      </c>
      <c r="T152" s="43">
        <v>10</v>
      </c>
      <c r="U152" s="43">
        <v>-14.514900000000001</v>
      </c>
      <c r="V152" s="28">
        <v>-1.29E-7</v>
      </c>
      <c r="W152" s="43" t="s">
        <v>910</v>
      </c>
      <c r="X152" s="43" t="s">
        <v>65</v>
      </c>
    </row>
    <row r="153" spans="2:24" x14ac:dyDescent="0.2">
      <c r="B153" s="43" t="s">
        <v>180</v>
      </c>
      <c r="C153" s="43">
        <v>309</v>
      </c>
      <c r="D153" s="43" t="s">
        <v>582</v>
      </c>
      <c r="E153" s="43" t="s">
        <v>107</v>
      </c>
      <c r="F153" s="43" t="s">
        <v>588</v>
      </c>
      <c r="G153" s="43" t="s">
        <v>382</v>
      </c>
      <c r="H153" s="43">
        <v>60</v>
      </c>
      <c r="I153" s="43">
        <v>-21.681899999999999</v>
      </c>
      <c r="J153" s="28">
        <v>-1.927E-7</v>
      </c>
      <c r="K153" s="43" t="s">
        <v>910</v>
      </c>
      <c r="L153" s="43" t="s">
        <v>65</v>
      </c>
      <c r="N153" s="43" t="s">
        <v>180</v>
      </c>
      <c r="O153" s="43">
        <v>309</v>
      </c>
      <c r="P153" s="43" t="s">
        <v>582</v>
      </c>
      <c r="Q153" s="43" t="s">
        <v>377</v>
      </c>
      <c r="R153" s="43" t="s">
        <v>588</v>
      </c>
      <c r="S153" s="43" t="s">
        <v>382</v>
      </c>
      <c r="T153" s="43">
        <v>10</v>
      </c>
      <c r="U153" s="43">
        <v>-21.647200000000002</v>
      </c>
      <c r="V153" s="28">
        <v>-1.924E-7</v>
      </c>
      <c r="W153" s="43" t="s">
        <v>910</v>
      </c>
      <c r="X153" s="43" t="s">
        <v>65</v>
      </c>
    </row>
    <row r="154" spans="2:24" x14ac:dyDescent="0.2">
      <c r="B154" s="43" t="s">
        <v>180</v>
      </c>
      <c r="C154" s="43">
        <v>310</v>
      </c>
      <c r="D154" s="43" t="s">
        <v>589</v>
      </c>
      <c r="E154" s="43" t="s">
        <v>107</v>
      </c>
      <c r="F154" s="43" t="s">
        <v>590</v>
      </c>
      <c r="G154" s="43" t="s">
        <v>380</v>
      </c>
      <c r="H154" s="43">
        <v>60</v>
      </c>
      <c r="I154" s="43">
        <v>-23.312899999999999</v>
      </c>
      <c r="J154" s="28">
        <v>-2.3900000000000001E-7</v>
      </c>
      <c r="K154" s="43" t="s">
        <v>910</v>
      </c>
      <c r="L154" s="43" t="s">
        <v>65</v>
      </c>
      <c r="N154" s="43" t="s">
        <v>180</v>
      </c>
      <c r="O154" s="43">
        <v>310</v>
      </c>
      <c r="P154" s="43" t="s">
        <v>589</v>
      </c>
      <c r="Q154" s="43" t="s">
        <v>377</v>
      </c>
      <c r="R154" s="43" t="s">
        <v>590</v>
      </c>
      <c r="S154" s="43" t="s">
        <v>380</v>
      </c>
      <c r="T154" s="43">
        <v>10</v>
      </c>
      <c r="U154" s="43">
        <v>-23.3445</v>
      </c>
      <c r="V154" s="28">
        <v>-2.3929999999999998E-7</v>
      </c>
      <c r="W154" s="43" t="s">
        <v>910</v>
      </c>
      <c r="X154" s="43" t="s">
        <v>65</v>
      </c>
    </row>
    <row r="155" spans="2:24" x14ac:dyDescent="0.2">
      <c r="B155" s="43" t="s">
        <v>180</v>
      </c>
      <c r="C155" s="43">
        <v>310</v>
      </c>
      <c r="D155" s="43" t="s">
        <v>589</v>
      </c>
      <c r="E155" s="43" t="s">
        <v>107</v>
      </c>
      <c r="F155" s="43" t="s">
        <v>591</v>
      </c>
      <c r="G155" s="43" t="s">
        <v>382</v>
      </c>
      <c r="H155" s="43">
        <v>60</v>
      </c>
      <c r="I155" s="43">
        <v>-17.963999999999999</v>
      </c>
      <c r="J155" s="28">
        <v>-1.842E-7</v>
      </c>
      <c r="K155" s="43" t="s">
        <v>910</v>
      </c>
      <c r="L155" s="43" t="s">
        <v>65</v>
      </c>
      <c r="N155" s="43" t="s">
        <v>180</v>
      </c>
      <c r="O155" s="43">
        <v>310</v>
      </c>
      <c r="P155" s="43" t="s">
        <v>589</v>
      </c>
      <c r="Q155" s="43" t="s">
        <v>377</v>
      </c>
      <c r="R155" s="43" t="s">
        <v>591</v>
      </c>
      <c r="S155" s="43" t="s">
        <v>382</v>
      </c>
      <c r="T155" s="43">
        <v>10</v>
      </c>
      <c r="U155" s="43">
        <v>-17.933299999999999</v>
      </c>
      <c r="V155" s="28">
        <v>-1.8379999999999999E-7</v>
      </c>
      <c r="W155" s="43" t="s">
        <v>910</v>
      </c>
      <c r="X155" s="43" t="s">
        <v>65</v>
      </c>
    </row>
    <row r="156" spans="2:24" x14ac:dyDescent="0.2">
      <c r="B156" s="43" t="s">
        <v>229</v>
      </c>
      <c r="C156" s="43">
        <v>105</v>
      </c>
      <c r="D156" s="43" t="s">
        <v>592</v>
      </c>
      <c r="E156" s="43" t="s">
        <v>107</v>
      </c>
      <c r="F156" s="43" t="s">
        <v>593</v>
      </c>
      <c r="G156" s="43" t="s">
        <v>380</v>
      </c>
      <c r="H156" s="43">
        <v>60</v>
      </c>
      <c r="I156" s="43">
        <v>-18.392399999999999</v>
      </c>
      <c r="J156" s="28">
        <v>-1.885E-7</v>
      </c>
      <c r="K156" s="43" t="s">
        <v>910</v>
      </c>
      <c r="L156" s="43" t="s">
        <v>65</v>
      </c>
      <c r="N156" s="43" t="s">
        <v>229</v>
      </c>
      <c r="O156" s="43">
        <v>105</v>
      </c>
      <c r="P156" s="43" t="s">
        <v>592</v>
      </c>
      <c r="Q156" s="43" t="s">
        <v>377</v>
      </c>
      <c r="R156" s="43" t="s">
        <v>593</v>
      </c>
      <c r="S156" s="43" t="s">
        <v>380</v>
      </c>
      <c r="T156" s="43">
        <v>10</v>
      </c>
      <c r="U156" s="43">
        <v>-18.436699999999998</v>
      </c>
      <c r="V156" s="28">
        <v>-1.8900000000000001E-7</v>
      </c>
      <c r="W156" s="43" t="s">
        <v>910</v>
      </c>
      <c r="X156" s="43" t="s">
        <v>65</v>
      </c>
    </row>
    <row r="157" spans="2:24" x14ac:dyDescent="0.2">
      <c r="B157" s="43" t="s">
        <v>229</v>
      </c>
      <c r="C157" s="43">
        <v>105</v>
      </c>
      <c r="D157" s="43" t="s">
        <v>592</v>
      </c>
      <c r="E157" s="43" t="s">
        <v>107</v>
      </c>
      <c r="F157" s="43" t="s">
        <v>594</v>
      </c>
      <c r="G157" s="43" t="s">
        <v>382</v>
      </c>
      <c r="H157" s="43">
        <v>60</v>
      </c>
      <c r="I157" s="43">
        <v>-24.938500000000001</v>
      </c>
      <c r="J157" s="28">
        <v>-2.5559999999999999E-7</v>
      </c>
      <c r="K157" s="43" t="s">
        <v>910</v>
      </c>
      <c r="L157" s="43" t="s">
        <v>65</v>
      </c>
      <c r="N157" s="43" t="s">
        <v>229</v>
      </c>
      <c r="O157" s="43">
        <v>105</v>
      </c>
      <c r="P157" s="43" t="s">
        <v>592</v>
      </c>
      <c r="Q157" s="43" t="s">
        <v>377</v>
      </c>
      <c r="R157" s="43" t="s">
        <v>594</v>
      </c>
      <c r="S157" s="43" t="s">
        <v>382</v>
      </c>
      <c r="T157" s="43">
        <v>10</v>
      </c>
      <c r="U157" s="43">
        <v>-24.8935</v>
      </c>
      <c r="V157" s="28">
        <v>-2.5520000000000001E-7</v>
      </c>
      <c r="W157" s="43" t="s">
        <v>910</v>
      </c>
      <c r="X157" s="43" t="s">
        <v>65</v>
      </c>
    </row>
    <row r="158" spans="2:24" x14ac:dyDescent="0.2">
      <c r="B158" s="43" t="s">
        <v>229</v>
      </c>
      <c r="C158" s="43">
        <v>106</v>
      </c>
      <c r="D158" s="43" t="s">
        <v>595</v>
      </c>
      <c r="E158" s="43" t="s">
        <v>107</v>
      </c>
      <c r="F158" s="43" t="s">
        <v>596</v>
      </c>
      <c r="G158" s="43" t="s">
        <v>380</v>
      </c>
      <c r="H158" s="43">
        <v>60</v>
      </c>
      <c r="I158" s="43">
        <v>-23.043099999999999</v>
      </c>
      <c r="J158" s="28">
        <v>-2.0480000000000001E-7</v>
      </c>
      <c r="K158" s="43" t="s">
        <v>910</v>
      </c>
      <c r="L158" s="43" t="s">
        <v>65</v>
      </c>
      <c r="N158" s="43" t="s">
        <v>229</v>
      </c>
      <c r="O158" s="43">
        <v>106</v>
      </c>
      <c r="P158" s="43" t="s">
        <v>595</v>
      </c>
      <c r="Q158" s="43" t="s">
        <v>377</v>
      </c>
      <c r="R158" s="43" t="s">
        <v>596</v>
      </c>
      <c r="S158" s="43" t="s">
        <v>380</v>
      </c>
      <c r="T158" s="43">
        <v>10</v>
      </c>
      <c r="U158" s="43">
        <v>-23.095300000000002</v>
      </c>
      <c r="V158" s="28">
        <v>-2.0529999999999999E-7</v>
      </c>
      <c r="W158" s="43" t="s">
        <v>910</v>
      </c>
      <c r="X158" s="43" t="s">
        <v>65</v>
      </c>
    </row>
    <row r="159" spans="2:24" x14ac:dyDescent="0.2">
      <c r="B159" s="43" t="s">
        <v>229</v>
      </c>
      <c r="C159" s="43">
        <v>106</v>
      </c>
      <c r="D159" s="43" t="s">
        <v>595</v>
      </c>
      <c r="E159" s="43" t="s">
        <v>107</v>
      </c>
      <c r="F159" s="43" t="s">
        <v>597</v>
      </c>
      <c r="G159" s="43" t="s">
        <v>382</v>
      </c>
      <c r="H159" s="43">
        <v>60</v>
      </c>
      <c r="I159" s="43">
        <v>-15.355600000000001</v>
      </c>
      <c r="J159" s="28">
        <v>-1.3650000000000001E-7</v>
      </c>
      <c r="K159" s="43" t="s">
        <v>910</v>
      </c>
      <c r="L159" s="43" t="s">
        <v>65</v>
      </c>
      <c r="N159" s="43" t="s">
        <v>229</v>
      </c>
      <c r="O159" s="43">
        <v>106</v>
      </c>
      <c r="P159" s="43" t="s">
        <v>595</v>
      </c>
      <c r="Q159" s="43" t="s">
        <v>377</v>
      </c>
      <c r="R159" s="43" t="s">
        <v>597</v>
      </c>
      <c r="S159" s="43" t="s">
        <v>382</v>
      </c>
      <c r="T159" s="43">
        <v>10</v>
      </c>
      <c r="U159" s="43">
        <v>-15.305899999999999</v>
      </c>
      <c r="V159" s="28">
        <v>-1.3610000000000001E-7</v>
      </c>
      <c r="W159" s="43" t="s">
        <v>910</v>
      </c>
      <c r="X159" s="43" t="s">
        <v>65</v>
      </c>
    </row>
    <row r="160" spans="2:24" x14ac:dyDescent="0.2">
      <c r="B160" s="43" t="s">
        <v>229</v>
      </c>
      <c r="C160" s="43">
        <v>107</v>
      </c>
      <c r="D160" s="43" t="s">
        <v>595</v>
      </c>
      <c r="E160" s="43" t="s">
        <v>107</v>
      </c>
      <c r="F160" s="43" t="s">
        <v>598</v>
      </c>
      <c r="G160" s="43" t="s">
        <v>380</v>
      </c>
      <c r="H160" s="43">
        <v>60</v>
      </c>
      <c r="I160" s="43">
        <v>-15.3157</v>
      </c>
      <c r="J160" s="28">
        <v>-1.2840000000000001E-7</v>
      </c>
      <c r="K160" s="43" t="s">
        <v>910</v>
      </c>
      <c r="L160" s="43" t="s">
        <v>65</v>
      </c>
      <c r="N160" s="43" t="s">
        <v>229</v>
      </c>
      <c r="O160" s="43">
        <v>107</v>
      </c>
      <c r="P160" s="43" t="s">
        <v>595</v>
      </c>
      <c r="Q160" s="43" t="s">
        <v>377</v>
      </c>
      <c r="R160" s="43" t="s">
        <v>598</v>
      </c>
      <c r="S160" s="43" t="s">
        <v>380</v>
      </c>
      <c r="T160" s="43">
        <v>10</v>
      </c>
      <c r="U160" s="43">
        <v>-15.3666</v>
      </c>
      <c r="V160" s="28">
        <v>-1.2879999999999999E-7</v>
      </c>
      <c r="W160" s="43" t="s">
        <v>910</v>
      </c>
      <c r="X160" s="43" t="s">
        <v>65</v>
      </c>
    </row>
    <row r="161" spans="2:24" x14ac:dyDescent="0.2">
      <c r="B161" s="43" t="s">
        <v>229</v>
      </c>
      <c r="C161" s="43">
        <v>107</v>
      </c>
      <c r="D161" s="43" t="s">
        <v>595</v>
      </c>
      <c r="E161" s="43" t="s">
        <v>107</v>
      </c>
      <c r="F161" s="43" t="s">
        <v>599</v>
      </c>
      <c r="G161" s="43" t="s">
        <v>382</v>
      </c>
      <c r="H161" s="43">
        <v>60</v>
      </c>
      <c r="I161" s="43">
        <v>-15.4232</v>
      </c>
      <c r="J161" s="28">
        <v>-1.293E-7</v>
      </c>
      <c r="K161" s="43" t="s">
        <v>910</v>
      </c>
      <c r="L161" s="43" t="s">
        <v>65</v>
      </c>
      <c r="N161" s="43" t="s">
        <v>229</v>
      </c>
      <c r="O161" s="43">
        <v>107</v>
      </c>
      <c r="P161" s="43" t="s">
        <v>595</v>
      </c>
      <c r="Q161" s="43" t="s">
        <v>377</v>
      </c>
      <c r="R161" s="43" t="s">
        <v>599</v>
      </c>
      <c r="S161" s="43" t="s">
        <v>382</v>
      </c>
      <c r="T161" s="43">
        <v>10</v>
      </c>
      <c r="U161" s="43">
        <v>-15.3721</v>
      </c>
      <c r="V161" s="28">
        <v>-1.2879999999999999E-7</v>
      </c>
      <c r="W161" s="43" t="s">
        <v>910</v>
      </c>
      <c r="X161" s="43" t="s">
        <v>65</v>
      </c>
    </row>
    <row r="162" spans="2:24" x14ac:dyDescent="0.2">
      <c r="B162" s="43" t="s">
        <v>229</v>
      </c>
      <c r="C162" s="43">
        <v>108</v>
      </c>
      <c r="D162" s="43" t="s">
        <v>595</v>
      </c>
      <c r="E162" s="43" t="s">
        <v>107</v>
      </c>
      <c r="F162" s="43" t="s">
        <v>600</v>
      </c>
      <c r="G162" s="43" t="s">
        <v>380</v>
      </c>
      <c r="H162" s="43">
        <v>60</v>
      </c>
      <c r="I162" s="43">
        <v>-15.269</v>
      </c>
      <c r="J162" s="28">
        <v>-1.357E-7</v>
      </c>
      <c r="K162" s="43" t="s">
        <v>910</v>
      </c>
      <c r="L162" s="43" t="s">
        <v>65</v>
      </c>
      <c r="N162" s="43" t="s">
        <v>229</v>
      </c>
      <c r="O162" s="43">
        <v>108</v>
      </c>
      <c r="P162" s="43" t="s">
        <v>595</v>
      </c>
      <c r="Q162" s="43" t="s">
        <v>377</v>
      </c>
      <c r="R162" s="43" t="s">
        <v>600</v>
      </c>
      <c r="S162" s="43" t="s">
        <v>380</v>
      </c>
      <c r="T162" s="43">
        <v>10</v>
      </c>
      <c r="U162" s="43">
        <v>-15.3178</v>
      </c>
      <c r="V162" s="28">
        <v>-1.3619999999999999E-7</v>
      </c>
      <c r="W162" s="43" t="s">
        <v>910</v>
      </c>
      <c r="X162" s="43" t="s">
        <v>65</v>
      </c>
    </row>
    <row r="163" spans="2:24" x14ac:dyDescent="0.2">
      <c r="B163" s="43" t="s">
        <v>229</v>
      </c>
      <c r="C163" s="43">
        <v>108</v>
      </c>
      <c r="D163" s="43" t="s">
        <v>595</v>
      </c>
      <c r="E163" s="43" t="s">
        <v>107</v>
      </c>
      <c r="F163" s="43" t="s">
        <v>601</v>
      </c>
      <c r="G163" s="43" t="s">
        <v>382</v>
      </c>
      <c r="H163" s="43">
        <v>60</v>
      </c>
      <c r="I163" s="43">
        <v>-23.099699999999999</v>
      </c>
      <c r="J163" s="28">
        <v>-2.0529999999999999E-7</v>
      </c>
      <c r="K163" s="43" t="s">
        <v>910</v>
      </c>
      <c r="L163" s="43" t="s">
        <v>65</v>
      </c>
      <c r="N163" s="43" t="s">
        <v>229</v>
      </c>
      <c r="O163" s="43">
        <v>108</v>
      </c>
      <c r="P163" s="43" t="s">
        <v>595</v>
      </c>
      <c r="Q163" s="43" t="s">
        <v>377</v>
      </c>
      <c r="R163" s="43" t="s">
        <v>601</v>
      </c>
      <c r="S163" s="43" t="s">
        <v>382</v>
      </c>
      <c r="T163" s="43">
        <v>10</v>
      </c>
      <c r="U163" s="43">
        <v>-23.048100000000002</v>
      </c>
      <c r="V163" s="28">
        <v>-2.0489999999999999E-7</v>
      </c>
      <c r="W163" s="43" t="s">
        <v>910</v>
      </c>
      <c r="X163" s="43" t="s">
        <v>65</v>
      </c>
    </row>
    <row r="164" spans="2:24" x14ac:dyDescent="0.2">
      <c r="B164" s="43" t="s">
        <v>229</v>
      </c>
      <c r="C164" s="43">
        <v>109</v>
      </c>
      <c r="D164" s="43" t="s">
        <v>602</v>
      </c>
      <c r="E164" s="43" t="s">
        <v>107</v>
      </c>
      <c r="F164" s="43" t="s">
        <v>603</v>
      </c>
      <c r="G164" s="43" t="s">
        <v>380</v>
      </c>
      <c r="H164" s="43">
        <v>60</v>
      </c>
      <c r="I164" s="43">
        <v>-24.854600000000001</v>
      </c>
      <c r="J164" s="28">
        <v>-2.5479999999999998E-7</v>
      </c>
      <c r="K164" s="43" t="s">
        <v>910</v>
      </c>
      <c r="L164" s="43" t="s">
        <v>65</v>
      </c>
      <c r="N164" s="43" t="s">
        <v>229</v>
      </c>
      <c r="O164" s="43">
        <v>109</v>
      </c>
      <c r="P164" s="43" t="s">
        <v>602</v>
      </c>
      <c r="Q164" s="43" t="s">
        <v>377</v>
      </c>
      <c r="R164" s="43" t="s">
        <v>603</v>
      </c>
      <c r="S164" s="43" t="s">
        <v>380</v>
      </c>
      <c r="T164" s="43">
        <v>10</v>
      </c>
      <c r="U164" s="43">
        <v>-24.899699999999999</v>
      </c>
      <c r="V164" s="28">
        <v>-2.5520000000000001E-7</v>
      </c>
      <c r="W164" s="43" t="s">
        <v>910</v>
      </c>
      <c r="X164" s="43" t="s">
        <v>65</v>
      </c>
    </row>
    <row r="165" spans="2:24" x14ac:dyDescent="0.2">
      <c r="B165" s="43" t="s">
        <v>229</v>
      </c>
      <c r="C165" s="43">
        <v>109</v>
      </c>
      <c r="D165" s="43" t="s">
        <v>602</v>
      </c>
      <c r="E165" s="43" t="s">
        <v>107</v>
      </c>
      <c r="F165" s="43" t="s">
        <v>604</v>
      </c>
      <c r="G165" s="43" t="s">
        <v>382</v>
      </c>
      <c r="H165" s="43">
        <v>60</v>
      </c>
      <c r="I165" s="43">
        <v>-18.5395</v>
      </c>
      <c r="J165" s="28">
        <v>-1.9009999999999999E-7</v>
      </c>
      <c r="K165" s="43" t="s">
        <v>910</v>
      </c>
      <c r="L165" s="43" t="s">
        <v>65</v>
      </c>
      <c r="N165" s="43" t="s">
        <v>229</v>
      </c>
      <c r="O165" s="43">
        <v>109</v>
      </c>
      <c r="P165" s="43" t="s">
        <v>602</v>
      </c>
      <c r="Q165" s="43" t="s">
        <v>377</v>
      </c>
      <c r="R165" s="43" t="s">
        <v>604</v>
      </c>
      <c r="S165" s="43" t="s">
        <v>382</v>
      </c>
      <c r="T165" s="43">
        <v>10</v>
      </c>
      <c r="U165" s="43">
        <v>-18.494900000000001</v>
      </c>
      <c r="V165" s="28">
        <v>-1.896E-7</v>
      </c>
      <c r="W165" s="43" t="s">
        <v>910</v>
      </c>
      <c r="X165" s="43" t="s">
        <v>65</v>
      </c>
    </row>
    <row r="166" spans="2:24" x14ac:dyDescent="0.2">
      <c r="B166" s="43" t="s">
        <v>229</v>
      </c>
      <c r="C166" s="43">
        <v>87</v>
      </c>
      <c r="D166" s="43" t="s">
        <v>605</v>
      </c>
      <c r="E166" s="43" t="s">
        <v>107</v>
      </c>
      <c r="F166" s="43" t="s">
        <v>606</v>
      </c>
      <c r="G166" s="43" t="s">
        <v>380</v>
      </c>
      <c r="H166" s="43">
        <v>60</v>
      </c>
      <c r="I166" s="43">
        <v>-79.624799999999993</v>
      </c>
      <c r="J166" s="28">
        <v>-9.9999999999999995E-7</v>
      </c>
      <c r="K166" s="43" t="s">
        <v>910</v>
      </c>
      <c r="L166" s="43" t="s">
        <v>65</v>
      </c>
      <c r="N166" s="43" t="s">
        <v>229</v>
      </c>
      <c r="O166" s="43">
        <v>87</v>
      </c>
      <c r="P166" s="43" t="s">
        <v>605</v>
      </c>
      <c r="Q166" s="43" t="s">
        <v>377</v>
      </c>
      <c r="R166" s="43" t="s">
        <v>606</v>
      </c>
      <c r="S166" s="43" t="s">
        <v>380</v>
      </c>
      <c r="T166" s="43">
        <v>10</v>
      </c>
      <c r="U166" s="43">
        <v>-79.620400000000004</v>
      </c>
      <c r="V166" s="28">
        <v>-9.9999999999999995E-7</v>
      </c>
      <c r="W166" s="43" t="s">
        <v>910</v>
      </c>
      <c r="X166" s="43" t="s">
        <v>65</v>
      </c>
    </row>
    <row r="167" spans="2:24" x14ac:dyDescent="0.2">
      <c r="B167" s="43" t="s">
        <v>229</v>
      </c>
      <c r="C167" s="43">
        <v>87</v>
      </c>
      <c r="D167" s="43" t="s">
        <v>605</v>
      </c>
      <c r="E167" s="43" t="s">
        <v>107</v>
      </c>
      <c r="F167" s="43" t="s">
        <v>607</v>
      </c>
      <c r="G167" s="43" t="s">
        <v>382</v>
      </c>
      <c r="H167" s="43">
        <v>60</v>
      </c>
      <c r="I167" s="43">
        <v>-13.194000000000001</v>
      </c>
      <c r="J167" s="28">
        <v>-1.2480000000000001E-7</v>
      </c>
      <c r="K167" s="43" t="s">
        <v>910</v>
      </c>
      <c r="L167" s="43" t="s">
        <v>65</v>
      </c>
      <c r="N167" s="43" t="s">
        <v>229</v>
      </c>
      <c r="O167" s="43">
        <v>87</v>
      </c>
      <c r="P167" s="43" t="s">
        <v>605</v>
      </c>
      <c r="Q167" s="43" t="s">
        <v>377</v>
      </c>
      <c r="R167" s="43" t="s">
        <v>607</v>
      </c>
      <c r="S167" s="43" t="s">
        <v>382</v>
      </c>
      <c r="T167" s="43">
        <v>10</v>
      </c>
      <c r="U167" s="43">
        <v>-13.209</v>
      </c>
      <c r="V167" s="28">
        <v>-1.2499999999999999E-7</v>
      </c>
      <c r="W167" s="43" t="s">
        <v>910</v>
      </c>
      <c r="X167" s="43" t="s">
        <v>65</v>
      </c>
    </row>
    <row r="168" spans="2:24" x14ac:dyDescent="0.2">
      <c r="B168" s="43" t="s">
        <v>229</v>
      </c>
      <c r="C168" s="43">
        <v>90</v>
      </c>
      <c r="D168" s="43" t="s">
        <v>608</v>
      </c>
      <c r="E168" s="43" t="s">
        <v>107</v>
      </c>
      <c r="F168" s="43" t="s">
        <v>609</v>
      </c>
      <c r="G168" s="43" t="s">
        <v>380</v>
      </c>
      <c r="H168" s="43">
        <v>60</v>
      </c>
      <c r="I168" s="43">
        <v>-102.72790000000001</v>
      </c>
      <c r="J168" s="28">
        <v>-9.9999999999999995E-7</v>
      </c>
      <c r="K168" s="43" t="s">
        <v>910</v>
      </c>
      <c r="L168" s="43" t="s">
        <v>65</v>
      </c>
      <c r="N168" s="43" t="s">
        <v>229</v>
      </c>
      <c r="O168" s="43">
        <v>90</v>
      </c>
      <c r="P168" s="43" t="s">
        <v>608</v>
      </c>
      <c r="Q168" s="43" t="s">
        <v>377</v>
      </c>
      <c r="R168" s="43" t="s">
        <v>609</v>
      </c>
      <c r="S168" s="43" t="s">
        <v>380</v>
      </c>
      <c r="T168" s="43">
        <v>10</v>
      </c>
      <c r="U168" s="43">
        <v>-102.7162</v>
      </c>
      <c r="V168" s="28">
        <v>-9.9999999999999995E-7</v>
      </c>
      <c r="W168" s="43" t="s">
        <v>910</v>
      </c>
      <c r="X168" s="43" t="s">
        <v>65</v>
      </c>
    </row>
    <row r="169" spans="2:24" x14ac:dyDescent="0.2">
      <c r="B169" s="43" t="s">
        <v>229</v>
      </c>
      <c r="C169" s="43">
        <v>90</v>
      </c>
      <c r="D169" s="43" t="s">
        <v>608</v>
      </c>
      <c r="E169" s="43" t="s">
        <v>107</v>
      </c>
      <c r="F169" s="43" t="s">
        <v>610</v>
      </c>
      <c r="G169" s="43" t="s">
        <v>382</v>
      </c>
      <c r="H169" s="43">
        <v>60</v>
      </c>
      <c r="I169" s="43">
        <v>-27.9346</v>
      </c>
      <c r="J169" s="28">
        <v>-1.8839999999999999E-7</v>
      </c>
      <c r="K169" s="43" t="s">
        <v>910</v>
      </c>
      <c r="L169" s="43" t="s">
        <v>65</v>
      </c>
      <c r="N169" s="43" t="s">
        <v>229</v>
      </c>
      <c r="O169" s="43">
        <v>90</v>
      </c>
      <c r="P169" s="43" t="s">
        <v>608</v>
      </c>
      <c r="Q169" s="43" t="s">
        <v>377</v>
      </c>
      <c r="R169" s="43" t="s">
        <v>610</v>
      </c>
      <c r="S169" s="43" t="s">
        <v>382</v>
      </c>
      <c r="T169" s="43">
        <v>10</v>
      </c>
      <c r="U169" s="43">
        <v>-27.9468</v>
      </c>
      <c r="V169" s="28">
        <v>-1.885E-7</v>
      </c>
      <c r="W169" s="43" t="s">
        <v>910</v>
      </c>
      <c r="X169" s="43" t="s">
        <v>65</v>
      </c>
    </row>
    <row r="170" spans="2:24" x14ac:dyDescent="0.2">
      <c r="B170" s="43" t="s">
        <v>229</v>
      </c>
      <c r="C170" s="43">
        <v>93</v>
      </c>
      <c r="D170" s="43" t="s">
        <v>611</v>
      </c>
      <c r="E170" s="43" t="s">
        <v>107</v>
      </c>
      <c r="F170" s="43" t="s">
        <v>612</v>
      </c>
      <c r="G170" s="43" t="s">
        <v>380</v>
      </c>
      <c r="H170" s="43">
        <v>60</v>
      </c>
      <c r="I170" s="43">
        <v>-110.9584</v>
      </c>
      <c r="J170" s="28">
        <v>-9.9999999999999995E-7</v>
      </c>
      <c r="K170" s="43" t="s">
        <v>910</v>
      </c>
      <c r="L170" s="43" t="s">
        <v>65</v>
      </c>
      <c r="N170" s="43" t="s">
        <v>229</v>
      </c>
      <c r="O170" s="43">
        <v>93</v>
      </c>
      <c r="P170" s="43" t="s">
        <v>611</v>
      </c>
      <c r="Q170" s="43" t="s">
        <v>377</v>
      </c>
      <c r="R170" s="43" t="s">
        <v>612</v>
      </c>
      <c r="S170" s="43" t="s">
        <v>380</v>
      </c>
      <c r="T170" s="43">
        <v>10</v>
      </c>
      <c r="U170" s="43">
        <v>-110.94799999999999</v>
      </c>
      <c r="V170" s="28">
        <v>-9.9999999999999995E-7</v>
      </c>
      <c r="W170" s="43" t="s">
        <v>910</v>
      </c>
      <c r="X170" s="43" t="s">
        <v>65</v>
      </c>
    </row>
    <row r="171" spans="2:24" x14ac:dyDescent="0.2">
      <c r="B171" s="43" t="s">
        <v>229</v>
      </c>
      <c r="C171" s="43">
        <v>93</v>
      </c>
      <c r="D171" s="43" t="s">
        <v>611</v>
      </c>
      <c r="E171" s="43" t="s">
        <v>107</v>
      </c>
      <c r="F171" s="43" t="s">
        <v>613</v>
      </c>
      <c r="G171" s="43" t="s">
        <v>382</v>
      </c>
      <c r="H171" s="43">
        <v>60</v>
      </c>
      <c r="I171" s="43">
        <v>-13.9763</v>
      </c>
      <c r="J171" s="28">
        <v>-9.879E-8</v>
      </c>
      <c r="K171" s="43" t="s">
        <v>910</v>
      </c>
      <c r="L171" s="43" t="s">
        <v>65</v>
      </c>
      <c r="N171" s="43" t="s">
        <v>229</v>
      </c>
      <c r="O171" s="43">
        <v>93</v>
      </c>
      <c r="P171" s="43" t="s">
        <v>611</v>
      </c>
      <c r="Q171" s="43" t="s">
        <v>377</v>
      </c>
      <c r="R171" s="43" t="s">
        <v>613</v>
      </c>
      <c r="S171" s="43" t="s">
        <v>382</v>
      </c>
      <c r="T171" s="43">
        <v>10</v>
      </c>
      <c r="U171" s="43">
        <v>-13.986700000000001</v>
      </c>
      <c r="V171" s="28">
        <v>-9.886E-8</v>
      </c>
      <c r="W171" s="43" t="s">
        <v>910</v>
      </c>
      <c r="X171" s="43" t="s">
        <v>65</v>
      </c>
    </row>
    <row r="172" spans="2:24" x14ac:dyDescent="0.2">
      <c r="B172" s="43" t="s">
        <v>229</v>
      </c>
      <c r="C172" s="43">
        <v>96</v>
      </c>
      <c r="D172" s="43" t="s">
        <v>614</v>
      </c>
      <c r="E172" s="43" t="s">
        <v>107</v>
      </c>
      <c r="F172" s="43" t="s">
        <v>615</v>
      </c>
      <c r="G172" s="43" t="s">
        <v>380</v>
      </c>
      <c r="H172" s="43">
        <v>60</v>
      </c>
      <c r="I172" s="43">
        <v>-110.92610000000001</v>
      </c>
      <c r="J172" s="28">
        <v>-9.9999999999999995E-7</v>
      </c>
      <c r="K172" s="43" t="s">
        <v>910</v>
      </c>
      <c r="L172" s="43" t="s">
        <v>65</v>
      </c>
      <c r="N172" s="43" t="s">
        <v>229</v>
      </c>
      <c r="O172" s="43">
        <v>96</v>
      </c>
      <c r="P172" s="43" t="s">
        <v>614</v>
      </c>
      <c r="Q172" s="43" t="s">
        <v>377</v>
      </c>
      <c r="R172" s="43" t="s">
        <v>615</v>
      </c>
      <c r="S172" s="43" t="s">
        <v>380</v>
      </c>
      <c r="T172" s="43">
        <v>10</v>
      </c>
      <c r="U172" s="43">
        <v>-110.917</v>
      </c>
      <c r="V172" s="28">
        <v>-9.9999999999999995E-7</v>
      </c>
      <c r="W172" s="43" t="s">
        <v>910</v>
      </c>
      <c r="X172" s="43" t="s">
        <v>65</v>
      </c>
    </row>
    <row r="173" spans="2:24" x14ac:dyDescent="0.2">
      <c r="B173" s="43" t="s">
        <v>229</v>
      </c>
      <c r="C173" s="43">
        <v>96</v>
      </c>
      <c r="D173" s="43" t="s">
        <v>614</v>
      </c>
      <c r="E173" s="43" t="s">
        <v>107</v>
      </c>
      <c r="F173" s="43" t="s">
        <v>616</v>
      </c>
      <c r="G173" s="43" t="s">
        <v>382</v>
      </c>
      <c r="H173" s="43">
        <v>60</v>
      </c>
      <c r="I173" s="43">
        <v>-14.013400000000001</v>
      </c>
      <c r="J173" s="28">
        <v>-9.9050000000000004E-8</v>
      </c>
      <c r="K173" s="43" t="s">
        <v>910</v>
      </c>
      <c r="L173" s="43" t="s">
        <v>65</v>
      </c>
      <c r="N173" s="43" t="s">
        <v>229</v>
      </c>
      <c r="O173" s="43">
        <v>96</v>
      </c>
      <c r="P173" s="43" t="s">
        <v>614</v>
      </c>
      <c r="Q173" s="43" t="s">
        <v>377</v>
      </c>
      <c r="R173" s="43" t="s">
        <v>616</v>
      </c>
      <c r="S173" s="43" t="s">
        <v>382</v>
      </c>
      <c r="T173" s="43">
        <v>10</v>
      </c>
      <c r="U173" s="43">
        <v>-14.0222</v>
      </c>
      <c r="V173" s="28">
        <v>-9.9110000000000005E-8</v>
      </c>
      <c r="W173" s="43" t="s">
        <v>910</v>
      </c>
      <c r="X173" s="43" t="s">
        <v>65</v>
      </c>
    </row>
    <row r="174" spans="2:24" x14ac:dyDescent="0.2">
      <c r="B174" s="43" t="s">
        <v>229</v>
      </c>
      <c r="C174" s="43">
        <v>99</v>
      </c>
      <c r="D174" s="43" t="s">
        <v>617</v>
      </c>
      <c r="E174" s="43" t="s">
        <v>107</v>
      </c>
      <c r="F174" s="43" t="s">
        <v>618</v>
      </c>
      <c r="G174" s="43" t="s">
        <v>380</v>
      </c>
      <c r="H174" s="43">
        <v>60</v>
      </c>
      <c r="I174" s="43">
        <v>-102.6121</v>
      </c>
      <c r="J174" s="28">
        <v>-9.9999999999999995E-7</v>
      </c>
      <c r="K174" s="43" t="s">
        <v>910</v>
      </c>
      <c r="L174" s="43" t="s">
        <v>65</v>
      </c>
      <c r="N174" s="43" t="s">
        <v>229</v>
      </c>
      <c r="O174" s="43">
        <v>99</v>
      </c>
      <c r="P174" s="43" t="s">
        <v>617</v>
      </c>
      <c r="Q174" s="43" t="s">
        <v>377</v>
      </c>
      <c r="R174" s="43" t="s">
        <v>618</v>
      </c>
      <c r="S174" s="43" t="s">
        <v>380</v>
      </c>
      <c r="T174" s="43">
        <v>10</v>
      </c>
      <c r="U174" s="43">
        <v>-102.6049</v>
      </c>
      <c r="V174" s="28">
        <v>-9.9999999999999995E-7</v>
      </c>
      <c r="W174" s="43" t="s">
        <v>910</v>
      </c>
      <c r="X174" s="43" t="s">
        <v>65</v>
      </c>
    </row>
    <row r="175" spans="2:24" x14ac:dyDescent="0.2">
      <c r="B175" s="43" t="s">
        <v>229</v>
      </c>
      <c r="C175" s="43">
        <v>99</v>
      </c>
      <c r="D175" s="43" t="s">
        <v>617</v>
      </c>
      <c r="E175" s="43" t="s">
        <v>107</v>
      </c>
      <c r="F175" s="43" t="s">
        <v>619</v>
      </c>
      <c r="G175" s="43" t="s">
        <v>382</v>
      </c>
      <c r="H175" s="43">
        <v>60</v>
      </c>
      <c r="I175" s="43">
        <v>-28.0916</v>
      </c>
      <c r="J175" s="28">
        <v>-1.8939999999999999E-7</v>
      </c>
      <c r="K175" s="43" t="s">
        <v>910</v>
      </c>
      <c r="L175" s="43" t="s">
        <v>65</v>
      </c>
      <c r="N175" s="43" t="s">
        <v>229</v>
      </c>
      <c r="O175" s="43">
        <v>99</v>
      </c>
      <c r="P175" s="43" t="s">
        <v>617</v>
      </c>
      <c r="Q175" s="43" t="s">
        <v>377</v>
      </c>
      <c r="R175" s="43" t="s">
        <v>619</v>
      </c>
      <c r="S175" s="43" t="s">
        <v>382</v>
      </c>
      <c r="T175" s="43">
        <v>10</v>
      </c>
      <c r="U175" s="43">
        <v>-28.0975</v>
      </c>
      <c r="V175" s="28">
        <v>-1.895E-7</v>
      </c>
      <c r="W175" s="43" t="s">
        <v>910</v>
      </c>
      <c r="X175" s="43" t="s">
        <v>65</v>
      </c>
    </row>
    <row r="176" spans="2:24" x14ac:dyDescent="0.2">
      <c r="B176" s="43" t="s">
        <v>229</v>
      </c>
      <c r="C176" s="43">
        <v>102</v>
      </c>
      <c r="D176" s="43" t="s">
        <v>620</v>
      </c>
      <c r="E176" s="43" t="s">
        <v>107</v>
      </c>
      <c r="F176" s="43" t="s">
        <v>621</v>
      </c>
      <c r="G176" s="43" t="s">
        <v>380</v>
      </c>
      <c r="H176" s="43">
        <v>60</v>
      </c>
      <c r="I176" s="43">
        <v>-79.595500000000001</v>
      </c>
      <c r="J176" s="28">
        <v>-9.9999999999999995E-7</v>
      </c>
      <c r="K176" s="43" t="s">
        <v>910</v>
      </c>
      <c r="L176" s="43" t="s">
        <v>65</v>
      </c>
      <c r="N176" s="43" t="s">
        <v>229</v>
      </c>
      <c r="O176" s="43">
        <v>102</v>
      </c>
      <c r="P176" s="43" t="s">
        <v>620</v>
      </c>
      <c r="Q176" s="43" t="s">
        <v>377</v>
      </c>
      <c r="R176" s="43" t="s">
        <v>621</v>
      </c>
      <c r="S176" s="43" t="s">
        <v>380</v>
      </c>
      <c r="T176" s="43">
        <v>10</v>
      </c>
      <c r="U176" s="43">
        <v>-79.589299999999994</v>
      </c>
      <c r="V176" s="28">
        <v>-9.9999999999999995E-7</v>
      </c>
      <c r="W176" s="43" t="s">
        <v>910</v>
      </c>
      <c r="X176" s="43" t="s">
        <v>65</v>
      </c>
    </row>
    <row r="177" spans="2:24" x14ac:dyDescent="0.2">
      <c r="B177" s="43" t="s">
        <v>229</v>
      </c>
      <c r="C177" s="43">
        <v>102</v>
      </c>
      <c r="D177" s="43" t="s">
        <v>620</v>
      </c>
      <c r="E177" s="43" t="s">
        <v>107</v>
      </c>
      <c r="F177" s="43" t="s">
        <v>622</v>
      </c>
      <c r="G177" s="43" t="s">
        <v>382</v>
      </c>
      <c r="H177" s="43">
        <v>60</v>
      </c>
      <c r="I177" s="43">
        <v>-13.3142</v>
      </c>
      <c r="J177" s="28">
        <v>-1.2599999999999999E-7</v>
      </c>
      <c r="K177" s="43" t="s">
        <v>910</v>
      </c>
      <c r="L177" s="43" t="s">
        <v>65</v>
      </c>
      <c r="N177" s="43" t="s">
        <v>229</v>
      </c>
      <c r="O177" s="43">
        <v>102</v>
      </c>
      <c r="P177" s="43" t="s">
        <v>620</v>
      </c>
      <c r="Q177" s="43" t="s">
        <v>377</v>
      </c>
      <c r="R177" s="43" t="s">
        <v>622</v>
      </c>
      <c r="S177" s="43" t="s">
        <v>382</v>
      </c>
      <c r="T177" s="43">
        <v>10</v>
      </c>
      <c r="U177" s="43">
        <v>-13.312099999999999</v>
      </c>
      <c r="V177" s="28">
        <v>-1.2599999999999999E-7</v>
      </c>
      <c r="W177" s="43" t="s">
        <v>910</v>
      </c>
      <c r="X177" s="43" t="s">
        <v>65</v>
      </c>
    </row>
    <row r="178" spans="2:24" x14ac:dyDescent="0.2">
      <c r="B178" s="43" t="s">
        <v>229</v>
      </c>
      <c r="C178" s="43">
        <v>110</v>
      </c>
      <c r="D178" s="43" t="s">
        <v>623</v>
      </c>
      <c r="E178" s="43" t="s">
        <v>107</v>
      </c>
      <c r="F178" s="43" t="s">
        <v>624</v>
      </c>
      <c r="G178" s="43" t="s">
        <v>380</v>
      </c>
      <c r="H178" s="43">
        <v>60</v>
      </c>
      <c r="I178" s="43">
        <v>-26.663599999999999</v>
      </c>
      <c r="J178" s="28">
        <v>-1.991E-7</v>
      </c>
      <c r="K178" s="43" t="s">
        <v>910</v>
      </c>
      <c r="L178" s="43" t="s">
        <v>65</v>
      </c>
      <c r="N178" s="43" t="s">
        <v>229</v>
      </c>
      <c r="O178" s="43">
        <v>110</v>
      </c>
      <c r="P178" s="43" t="s">
        <v>623</v>
      </c>
      <c r="Q178" s="43" t="s">
        <v>377</v>
      </c>
      <c r="R178" s="43" t="s">
        <v>624</v>
      </c>
      <c r="S178" s="43" t="s">
        <v>380</v>
      </c>
      <c r="T178" s="43">
        <v>10</v>
      </c>
      <c r="U178" s="43">
        <v>-26.723600000000001</v>
      </c>
      <c r="V178" s="28">
        <v>-1.9950000000000001E-7</v>
      </c>
      <c r="W178" s="43" t="s">
        <v>910</v>
      </c>
      <c r="X178" s="43" t="s">
        <v>65</v>
      </c>
    </row>
    <row r="179" spans="2:24" x14ac:dyDescent="0.2">
      <c r="B179" s="43" t="s">
        <v>229</v>
      </c>
      <c r="C179" s="43">
        <v>110</v>
      </c>
      <c r="D179" s="43" t="s">
        <v>623</v>
      </c>
      <c r="E179" s="43" t="s">
        <v>107</v>
      </c>
      <c r="F179" s="43" t="s">
        <v>625</v>
      </c>
      <c r="G179" s="43" t="s">
        <v>382</v>
      </c>
      <c r="H179" s="43">
        <v>60</v>
      </c>
      <c r="I179" s="43">
        <v>-18.644500000000001</v>
      </c>
      <c r="J179" s="28">
        <v>-1.392E-7</v>
      </c>
      <c r="K179" s="43" t="s">
        <v>910</v>
      </c>
      <c r="L179" s="43" t="s">
        <v>65</v>
      </c>
      <c r="N179" s="43" t="s">
        <v>229</v>
      </c>
      <c r="O179" s="43">
        <v>110</v>
      </c>
      <c r="P179" s="43" t="s">
        <v>623</v>
      </c>
      <c r="Q179" s="43" t="s">
        <v>377</v>
      </c>
      <c r="R179" s="43" t="s">
        <v>625</v>
      </c>
      <c r="S179" s="43" t="s">
        <v>382</v>
      </c>
      <c r="T179" s="43">
        <v>10</v>
      </c>
      <c r="U179" s="43">
        <v>-18.5886</v>
      </c>
      <c r="V179" s="28">
        <v>-1.388E-7</v>
      </c>
      <c r="W179" s="43" t="s">
        <v>910</v>
      </c>
      <c r="X179" s="43" t="s">
        <v>65</v>
      </c>
    </row>
    <row r="180" spans="2:24" x14ac:dyDescent="0.2">
      <c r="B180" s="43" t="s">
        <v>229</v>
      </c>
      <c r="C180" s="43">
        <v>111</v>
      </c>
      <c r="D180" s="43" t="s">
        <v>626</v>
      </c>
      <c r="E180" s="43" t="s">
        <v>107</v>
      </c>
      <c r="F180" s="43" t="s">
        <v>627</v>
      </c>
      <c r="G180" s="43" t="s">
        <v>380</v>
      </c>
      <c r="H180" s="43">
        <v>60</v>
      </c>
      <c r="I180" s="43">
        <v>-18.577100000000002</v>
      </c>
      <c r="J180" s="28">
        <v>-1.3869999999999999E-7</v>
      </c>
      <c r="K180" s="43" t="s">
        <v>910</v>
      </c>
      <c r="L180" s="43" t="s">
        <v>65</v>
      </c>
      <c r="N180" s="43" t="s">
        <v>229</v>
      </c>
      <c r="O180" s="43">
        <v>111</v>
      </c>
      <c r="P180" s="43" t="s">
        <v>626</v>
      </c>
      <c r="Q180" s="43" t="s">
        <v>377</v>
      </c>
      <c r="R180" s="43" t="s">
        <v>627</v>
      </c>
      <c r="S180" s="43" t="s">
        <v>380</v>
      </c>
      <c r="T180" s="43">
        <v>10</v>
      </c>
      <c r="U180" s="43">
        <v>-18.631499999999999</v>
      </c>
      <c r="V180" s="28">
        <v>-1.3909999999999999E-7</v>
      </c>
      <c r="W180" s="43" t="s">
        <v>910</v>
      </c>
      <c r="X180" s="43" t="s">
        <v>65</v>
      </c>
    </row>
    <row r="181" spans="2:24" x14ac:dyDescent="0.2">
      <c r="B181" s="43" t="s">
        <v>229</v>
      </c>
      <c r="C181" s="43">
        <v>111</v>
      </c>
      <c r="D181" s="43" t="s">
        <v>626</v>
      </c>
      <c r="E181" s="43" t="s">
        <v>107</v>
      </c>
      <c r="F181" s="43" t="s">
        <v>628</v>
      </c>
      <c r="G181" s="43" t="s">
        <v>382</v>
      </c>
      <c r="H181" s="43">
        <v>60</v>
      </c>
      <c r="I181" s="43">
        <v>-27.996500000000001</v>
      </c>
      <c r="J181" s="28">
        <v>-2.0900000000000001E-7</v>
      </c>
      <c r="K181" s="43" t="s">
        <v>910</v>
      </c>
      <c r="L181" s="43" t="s">
        <v>65</v>
      </c>
      <c r="N181" s="43" t="s">
        <v>229</v>
      </c>
      <c r="O181" s="43">
        <v>111</v>
      </c>
      <c r="P181" s="43" t="s">
        <v>626</v>
      </c>
      <c r="Q181" s="43" t="s">
        <v>377</v>
      </c>
      <c r="R181" s="43" t="s">
        <v>628</v>
      </c>
      <c r="S181" s="43" t="s">
        <v>382</v>
      </c>
      <c r="T181" s="43">
        <v>10</v>
      </c>
      <c r="U181" s="43">
        <v>-27.940300000000001</v>
      </c>
      <c r="V181" s="28">
        <v>-2.086E-7</v>
      </c>
      <c r="W181" s="43" t="s">
        <v>910</v>
      </c>
      <c r="X181" s="43" t="s">
        <v>65</v>
      </c>
    </row>
    <row r="182" spans="2:24" x14ac:dyDescent="0.2">
      <c r="B182" s="43" t="s">
        <v>229</v>
      </c>
      <c r="C182" s="43">
        <v>112</v>
      </c>
      <c r="D182" s="43" t="s">
        <v>626</v>
      </c>
      <c r="E182" s="43" t="s">
        <v>107</v>
      </c>
      <c r="F182" s="43" t="s">
        <v>629</v>
      </c>
      <c r="G182" s="43" t="s">
        <v>380</v>
      </c>
      <c r="H182" s="43">
        <v>60</v>
      </c>
      <c r="I182" s="43">
        <v>-28.536200000000001</v>
      </c>
      <c r="J182" s="28">
        <v>-2.252E-7</v>
      </c>
      <c r="K182" s="43" t="s">
        <v>910</v>
      </c>
      <c r="L182" s="43" t="s">
        <v>65</v>
      </c>
      <c r="N182" s="43" t="s">
        <v>229</v>
      </c>
      <c r="O182" s="43">
        <v>112</v>
      </c>
      <c r="P182" s="43" t="s">
        <v>626</v>
      </c>
      <c r="Q182" s="43" t="s">
        <v>377</v>
      </c>
      <c r="R182" s="43" t="s">
        <v>629</v>
      </c>
      <c r="S182" s="43" t="s">
        <v>380</v>
      </c>
      <c r="T182" s="43">
        <v>10</v>
      </c>
      <c r="U182" s="43">
        <v>-28.589700000000001</v>
      </c>
      <c r="V182" s="28">
        <v>-2.2569999999999999E-7</v>
      </c>
      <c r="W182" s="43" t="s">
        <v>910</v>
      </c>
      <c r="X182" s="43" t="s">
        <v>65</v>
      </c>
    </row>
    <row r="183" spans="2:24" x14ac:dyDescent="0.2">
      <c r="B183" s="43" t="s">
        <v>229</v>
      </c>
      <c r="C183" s="43">
        <v>112</v>
      </c>
      <c r="D183" s="43" t="s">
        <v>626</v>
      </c>
      <c r="E183" s="43" t="s">
        <v>107</v>
      </c>
      <c r="F183" s="43" t="s">
        <v>630</v>
      </c>
      <c r="G183" s="43" t="s">
        <v>382</v>
      </c>
      <c r="H183" s="43">
        <v>60</v>
      </c>
      <c r="I183" s="43">
        <v>-28.566600000000001</v>
      </c>
      <c r="J183" s="28">
        <v>-2.255E-7</v>
      </c>
      <c r="K183" s="43" t="s">
        <v>910</v>
      </c>
      <c r="L183" s="43" t="s">
        <v>65</v>
      </c>
      <c r="N183" s="43" t="s">
        <v>229</v>
      </c>
      <c r="O183" s="43">
        <v>112</v>
      </c>
      <c r="P183" s="43" t="s">
        <v>626</v>
      </c>
      <c r="Q183" s="43" t="s">
        <v>377</v>
      </c>
      <c r="R183" s="43" t="s">
        <v>630</v>
      </c>
      <c r="S183" s="43" t="s">
        <v>382</v>
      </c>
      <c r="T183" s="43">
        <v>10</v>
      </c>
      <c r="U183" s="43">
        <v>-28.513200000000001</v>
      </c>
      <c r="V183" s="28">
        <v>-2.251E-7</v>
      </c>
      <c r="W183" s="43" t="s">
        <v>910</v>
      </c>
      <c r="X183" s="43" t="s">
        <v>65</v>
      </c>
    </row>
    <row r="184" spans="2:24" x14ac:dyDescent="0.2">
      <c r="B184" s="43" t="s">
        <v>229</v>
      </c>
      <c r="C184" s="43">
        <v>113</v>
      </c>
      <c r="D184" s="43" t="s">
        <v>626</v>
      </c>
      <c r="E184" s="43" t="s">
        <v>107</v>
      </c>
      <c r="F184" s="43" t="s">
        <v>631</v>
      </c>
      <c r="G184" s="43" t="s">
        <v>380</v>
      </c>
      <c r="H184" s="43">
        <v>60</v>
      </c>
      <c r="I184" s="43">
        <v>-27.970700000000001</v>
      </c>
      <c r="J184" s="28">
        <v>-2.0879999999999999E-7</v>
      </c>
      <c r="K184" s="43" t="s">
        <v>910</v>
      </c>
      <c r="L184" s="43" t="s">
        <v>65</v>
      </c>
      <c r="N184" s="43" t="s">
        <v>229</v>
      </c>
      <c r="O184" s="43">
        <v>113</v>
      </c>
      <c r="P184" s="43" t="s">
        <v>626</v>
      </c>
      <c r="Q184" s="43" t="s">
        <v>377</v>
      </c>
      <c r="R184" s="43" t="s">
        <v>631</v>
      </c>
      <c r="S184" s="43" t="s">
        <v>380</v>
      </c>
      <c r="T184" s="43">
        <v>10</v>
      </c>
      <c r="U184" s="43">
        <v>-28.0276</v>
      </c>
      <c r="V184" s="28">
        <v>-2.093E-7</v>
      </c>
      <c r="W184" s="43" t="s">
        <v>910</v>
      </c>
      <c r="X184" s="43" t="s">
        <v>65</v>
      </c>
    </row>
    <row r="185" spans="2:24" x14ac:dyDescent="0.2">
      <c r="B185" s="43" t="s">
        <v>229</v>
      </c>
      <c r="C185" s="43">
        <v>113</v>
      </c>
      <c r="D185" s="43" t="s">
        <v>626</v>
      </c>
      <c r="E185" s="43" t="s">
        <v>107</v>
      </c>
      <c r="F185" s="43" t="s">
        <v>632</v>
      </c>
      <c r="G185" s="43" t="s">
        <v>382</v>
      </c>
      <c r="H185" s="43">
        <v>60</v>
      </c>
      <c r="I185" s="43">
        <v>-18.5962</v>
      </c>
      <c r="J185" s="28">
        <v>-1.3890000000000001E-7</v>
      </c>
      <c r="K185" s="43" t="s">
        <v>910</v>
      </c>
      <c r="L185" s="43" t="s">
        <v>65</v>
      </c>
      <c r="N185" s="43" t="s">
        <v>229</v>
      </c>
      <c r="O185" s="43">
        <v>113</v>
      </c>
      <c r="P185" s="43" t="s">
        <v>626</v>
      </c>
      <c r="Q185" s="43" t="s">
        <v>377</v>
      </c>
      <c r="R185" s="43" t="s">
        <v>632</v>
      </c>
      <c r="S185" s="43" t="s">
        <v>382</v>
      </c>
      <c r="T185" s="43">
        <v>10</v>
      </c>
      <c r="U185" s="43">
        <v>-18.541</v>
      </c>
      <c r="V185" s="28">
        <v>-1.384E-7</v>
      </c>
      <c r="W185" s="43" t="s">
        <v>910</v>
      </c>
      <c r="X185" s="43" t="s">
        <v>65</v>
      </c>
    </row>
    <row r="186" spans="2:24" x14ac:dyDescent="0.2">
      <c r="B186" s="43" t="s">
        <v>229</v>
      </c>
      <c r="C186" s="43">
        <v>114</v>
      </c>
      <c r="D186" s="43" t="s">
        <v>633</v>
      </c>
      <c r="E186" s="43" t="s">
        <v>107</v>
      </c>
      <c r="F186" s="43" t="s">
        <v>634</v>
      </c>
      <c r="G186" s="43" t="s">
        <v>380</v>
      </c>
      <c r="H186" s="43">
        <v>60</v>
      </c>
      <c r="I186" s="43">
        <v>-18.606100000000001</v>
      </c>
      <c r="J186" s="28">
        <v>-1.3890000000000001E-7</v>
      </c>
      <c r="K186" s="43" t="s">
        <v>910</v>
      </c>
      <c r="L186" s="43" t="s">
        <v>65</v>
      </c>
      <c r="N186" s="43" t="s">
        <v>229</v>
      </c>
      <c r="O186" s="43">
        <v>114</v>
      </c>
      <c r="P186" s="43" t="s">
        <v>633</v>
      </c>
      <c r="Q186" s="43" t="s">
        <v>377</v>
      </c>
      <c r="R186" s="43" t="s">
        <v>634</v>
      </c>
      <c r="S186" s="43" t="s">
        <v>380</v>
      </c>
      <c r="T186" s="43">
        <v>10</v>
      </c>
      <c r="U186" s="43">
        <v>-18.6616</v>
      </c>
      <c r="V186" s="28">
        <v>-1.3930000000000001E-7</v>
      </c>
      <c r="W186" s="43" t="s">
        <v>910</v>
      </c>
      <c r="X186" s="43" t="s">
        <v>65</v>
      </c>
    </row>
    <row r="187" spans="2:24" x14ac:dyDescent="0.2">
      <c r="B187" s="43" t="s">
        <v>229</v>
      </c>
      <c r="C187" s="43">
        <v>114</v>
      </c>
      <c r="D187" s="43" t="s">
        <v>633</v>
      </c>
      <c r="E187" s="43" t="s">
        <v>107</v>
      </c>
      <c r="F187" s="43" t="s">
        <v>635</v>
      </c>
      <c r="G187" s="43" t="s">
        <v>382</v>
      </c>
      <c r="H187" s="43">
        <v>60</v>
      </c>
      <c r="I187" s="43">
        <v>-26.742100000000001</v>
      </c>
      <c r="J187" s="28">
        <v>-1.9969999999999999E-7</v>
      </c>
      <c r="K187" s="43" t="s">
        <v>910</v>
      </c>
      <c r="L187" s="43" t="s">
        <v>65</v>
      </c>
      <c r="N187" s="43" t="s">
        <v>229</v>
      </c>
      <c r="O187" s="43">
        <v>114</v>
      </c>
      <c r="P187" s="43" t="s">
        <v>633</v>
      </c>
      <c r="Q187" s="43" t="s">
        <v>377</v>
      </c>
      <c r="R187" s="43" t="s">
        <v>635</v>
      </c>
      <c r="S187" s="43" t="s">
        <v>382</v>
      </c>
      <c r="T187" s="43">
        <v>10</v>
      </c>
      <c r="U187" s="43">
        <v>-26.682400000000001</v>
      </c>
      <c r="V187" s="28">
        <v>-1.9920000000000001E-7</v>
      </c>
      <c r="W187" s="43" t="s">
        <v>910</v>
      </c>
      <c r="X187" s="43" t="s">
        <v>65</v>
      </c>
    </row>
    <row r="188" spans="2:24" x14ac:dyDescent="0.2">
      <c r="B188" s="43" t="s">
        <v>229</v>
      </c>
      <c r="C188" s="43">
        <v>88</v>
      </c>
      <c r="D188" s="43" t="s">
        <v>636</v>
      </c>
      <c r="E188" s="43" t="s">
        <v>107</v>
      </c>
      <c r="F188" s="43" t="s">
        <v>637</v>
      </c>
      <c r="G188" s="43" t="s">
        <v>380</v>
      </c>
      <c r="H188" s="43">
        <v>60</v>
      </c>
      <c r="I188" s="43">
        <v>-78.704499999999996</v>
      </c>
      <c r="J188" s="28">
        <v>-9.9999999999999995E-7</v>
      </c>
      <c r="K188" s="43" t="s">
        <v>910</v>
      </c>
      <c r="L188" s="43" t="s">
        <v>65</v>
      </c>
      <c r="N188" s="43" t="s">
        <v>229</v>
      </c>
      <c r="O188" s="43">
        <v>88</v>
      </c>
      <c r="P188" s="43" t="s">
        <v>636</v>
      </c>
      <c r="Q188" s="43" t="s">
        <v>377</v>
      </c>
      <c r="R188" s="43" t="s">
        <v>637</v>
      </c>
      <c r="S188" s="43" t="s">
        <v>380</v>
      </c>
      <c r="T188" s="43">
        <v>10</v>
      </c>
      <c r="U188" s="43">
        <v>-78.698800000000006</v>
      </c>
      <c r="V188" s="28">
        <v>-9.9999999999999995E-7</v>
      </c>
      <c r="W188" s="43" t="s">
        <v>910</v>
      </c>
      <c r="X188" s="43" t="s">
        <v>65</v>
      </c>
    </row>
    <row r="189" spans="2:24" x14ac:dyDescent="0.2">
      <c r="B189" s="43" t="s">
        <v>229</v>
      </c>
      <c r="C189" s="43">
        <v>88</v>
      </c>
      <c r="D189" s="43" t="s">
        <v>636</v>
      </c>
      <c r="E189" s="43" t="s">
        <v>107</v>
      </c>
      <c r="F189" s="43" t="s">
        <v>638</v>
      </c>
      <c r="G189" s="43" t="s">
        <v>382</v>
      </c>
      <c r="H189" s="43">
        <v>60</v>
      </c>
      <c r="I189" s="43">
        <v>-7.5782999999999996</v>
      </c>
      <c r="J189" s="28">
        <v>-6.4910000000000004E-8</v>
      </c>
      <c r="K189" s="43" t="s">
        <v>910</v>
      </c>
      <c r="L189" s="43" t="s">
        <v>65</v>
      </c>
      <c r="N189" s="43" t="s">
        <v>229</v>
      </c>
      <c r="O189" s="43">
        <v>88</v>
      </c>
      <c r="P189" s="43" t="s">
        <v>636</v>
      </c>
      <c r="Q189" s="43" t="s">
        <v>377</v>
      </c>
      <c r="R189" s="43" t="s">
        <v>638</v>
      </c>
      <c r="S189" s="43" t="s">
        <v>382</v>
      </c>
      <c r="T189" s="43">
        <v>10</v>
      </c>
      <c r="U189" s="43">
        <v>-7.5936000000000003</v>
      </c>
      <c r="V189" s="28">
        <v>-6.5040000000000005E-8</v>
      </c>
      <c r="W189" s="43" t="s">
        <v>910</v>
      </c>
      <c r="X189" s="43" t="s">
        <v>65</v>
      </c>
    </row>
    <row r="190" spans="2:24" x14ac:dyDescent="0.2">
      <c r="B190" s="43" t="s">
        <v>229</v>
      </c>
      <c r="C190" s="43">
        <v>91</v>
      </c>
      <c r="D190" s="43" t="s">
        <v>639</v>
      </c>
      <c r="E190" s="43" t="s">
        <v>107</v>
      </c>
      <c r="F190" s="43" t="s">
        <v>640</v>
      </c>
      <c r="G190" s="43" t="s">
        <v>380</v>
      </c>
      <c r="H190" s="43">
        <v>60</v>
      </c>
      <c r="I190" s="43">
        <v>-116.9781</v>
      </c>
      <c r="J190" s="28">
        <v>-9.9999999999999995E-7</v>
      </c>
      <c r="K190" s="43" t="s">
        <v>910</v>
      </c>
      <c r="L190" s="43" t="s">
        <v>65</v>
      </c>
      <c r="N190" s="43" t="s">
        <v>229</v>
      </c>
      <c r="O190" s="43">
        <v>91</v>
      </c>
      <c r="P190" s="43" t="s">
        <v>639</v>
      </c>
      <c r="Q190" s="43" t="s">
        <v>377</v>
      </c>
      <c r="R190" s="43" t="s">
        <v>640</v>
      </c>
      <c r="S190" s="43" t="s">
        <v>380</v>
      </c>
      <c r="T190" s="43">
        <v>10</v>
      </c>
      <c r="U190" s="43">
        <v>-116.9666</v>
      </c>
      <c r="V190" s="28">
        <v>-9.9999999999999995E-7</v>
      </c>
      <c r="W190" s="43" t="s">
        <v>910</v>
      </c>
      <c r="X190" s="43" t="s">
        <v>65</v>
      </c>
    </row>
    <row r="191" spans="2:24" x14ac:dyDescent="0.2">
      <c r="B191" s="43" t="s">
        <v>229</v>
      </c>
      <c r="C191" s="43">
        <v>91</v>
      </c>
      <c r="D191" s="43" t="s">
        <v>639</v>
      </c>
      <c r="E191" s="43" t="s">
        <v>107</v>
      </c>
      <c r="F191" s="43" t="s">
        <v>641</v>
      </c>
      <c r="G191" s="43" t="s">
        <v>382</v>
      </c>
      <c r="H191" s="43">
        <v>60</v>
      </c>
      <c r="I191" s="43">
        <v>-28.728100000000001</v>
      </c>
      <c r="J191" s="28">
        <v>-1.9189999999999999E-7</v>
      </c>
      <c r="K191" s="43" t="s">
        <v>910</v>
      </c>
      <c r="L191" s="43" t="s">
        <v>65</v>
      </c>
      <c r="N191" s="43" t="s">
        <v>229</v>
      </c>
      <c r="O191" s="43">
        <v>91</v>
      </c>
      <c r="P191" s="43" t="s">
        <v>639</v>
      </c>
      <c r="Q191" s="43" t="s">
        <v>377</v>
      </c>
      <c r="R191" s="43" t="s">
        <v>641</v>
      </c>
      <c r="S191" s="43" t="s">
        <v>382</v>
      </c>
      <c r="T191" s="43">
        <v>10</v>
      </c>
      <c r="U191" s="43">
        <v>-28.739899999999999</v>
      </c>
      <c r="V191" s="28">
        <v>-1.92E-7</v>
      </c>
      <c r="W191" s="43" t="s">
        <v>910</v>
      </c>
      <c r="X191" s="43" t="s">
        <v>65</v>
      </c>
    </row>
    <row r="192" spans="2:24" x14ac:dyDescent="0.2">
      <c r="B192" s="43" t="s">
        <v>229</v>
      </c>
      <c r="C192" s="43">
        <v>94</v>
      </c>
      <c r="D192" s="43" t="s">
        <v>642</v>
      </c>
      <c r="E192" s="43" t="s">
        <v>107</v>
      </c>
      <c r="F192" s="43" t="s">
        <v>643</v>
      </c>
      <c r="G192" s="43" t="s">
        <v>380</v>
      </c>
      <c r="H192" s="43">
        <v>60</v>
      </c>
      <c r="I192" s="43">
        <v>-101.0904</v>
      </c>
      <c r="J192" s="28">
        <v>-9.9999999999999995E-7</v>
      </c>
      <c r="K192" s="43" t="s">
        <v>910</v>
      </c>
      <c r="L192" s="43" t="s">
        <v>65</v>
      </c>
      <c r="N192" s="43" t="s">
        <v>229</v>
      </c>
      <c r="O192" s="43">
        <v>94</v>
      </c>
      <c r="P192" s="43" t="s">
        <v>642</v>
      </c>
      <c r="Q192" s="43" t="s">
        <v>377</v>
      </c>
      <c r="R192" s="43" t="s">
        <v>643</v>
      </c>
      <c r="S192" s="43" t="s">
        <v>380</v>
      </c>
      <c r="T192" s="43">
        <v>10</v>
      </c>
      <c r="U192" s="43">
        <v>-101.0797</v>
      </c>
      <c r="V192" s="28">
        <v>-9.9999999999999995E-7</v>
      </c>
      <c r="W192" s="43" t="s">
        <v>910</v>
      </c>
      <c r="X192" s="43" t="s">
        <v>65</v>
      </c>
    </row>
    <row r="193" spans="2:24" x14ac:dyDescent="0.2">
      <c r="B193" s="43" t="s">
        <v>229</v>
      </c>
      <c r="C193" s="43">
        <v>94</v>
      </c>
      <c r="D193" s="43" t="s">
        <v>642</v>
      </c>
      <c r="E193" s="43" t="s">
        <v>107</v>
      </c>
      <c r="F193" s="43" t="s">
        <v>644</v>
      </c>
      <c r="G193" s="43" t="s">
        <v>382</v>
      </c>
      <c r="H193" s="43">
        <v>60</v>
      </c>
      <c r="I193" s="43">
        <v>-13.125500000000001</v>
      </c>
      <c r="J193" s="28">
        <v>-8.9400000000000006E-8</v>
      </c>
      <c r="K193" s="43" t="s">
        <v>910</v>
      </c>
      <c r="L193" s="43" t="s">
        <v>65</v>
      </c>
      <c r="N193" s="43" t="s">
        <v>229</v>
      </c>
      <c r="O193" s="43">
        <v>94</v>
      </c>
      <c r="P193" s="43" t="s">
        <v>642</v>
      </c>
      <c r="Q193" s="43" t="s">
        <v>377</v>
      </c>
      <c r="R193" s="43" t="s">
        <v>644</v>
      </c>
      <c r="S193" s="43" t="s">
        <v>382</v>
      </c>
      <c r="T193" s="43">
        <v>10</v>
      </c>
      <c r="U193" s="43">
        <v>-13.1355</v>
      </c>
      <c r="V193" s="28">
        <v>-8.9470000000000006E-8</v>
      </c>
      <c r="W193" s="43" t="s">
        <v>910</v>
      </c>
      <c r="X193" s="43" t="s">
        <v>65</v>
      </c>
    </row>
    <row r="194" spans="2:24" x14ac:dyDescent="0.2">
      <c r="B194" s="43" t="s">
        <v>229</v>
      </c>
      <c r="C194" s="43">
        <v>97</v>
      </c>
      <c r="D194" s="43" t="s">
        <v>645</v>
      </c>
      <c r="E194" s="43" t="s">
        <v>107</v>
      </c>
      <c r="F194" s="43" t="s">
        <v>646</v>
      </c>
      <c r="G194" s="43" t="s">
        <v>380</v>
      </c>
      <c r="H194" s="43">
        <v>60</v>
      </c>
      <c r="I194" s="43">
        <v>-101.053</v>
      </c>
      <c r="J194" s="28">
        <v>-9.9999999999999995E-7</v>
      </c>
      <c r="K194" s="43" t="s">
        <v>910</v>
      </c>
      <c r="L194" s="43" t="s">
        <v>65</v>
      </c>
      <c r="N194" s="43" t="s">
        <v>229</v>
      </c>
      <c r="O194" s="43">
        <v>97</v>
      </c>
      <c r="P194" s="43" t="s">
        <v>645</v>
      </c>
      <c r="Q194" s="43" t="s">
        <v>377</v>
      </c>
      <c r="R194" s="43" t="s">
        <v>646</v>
      </c>
      <c r="S194" s="43" t="s">
        <v>380</v>
      </c>
      <c r="T194" s="43">
        <v>10</v>
      </c>
      <c r="U194" s="43">
        <v>-101.0448</v>
      </c>
      <c r="V194" s="28">
        <v>-9.9999999999999995E-7</v>
      </c>
      <c r="W194" s="43" t="s">
        <v>910</v>
      </c>
      <c r="X194" s="43" t="s">
        <v>65</v>
      </c>
    </row>
    <row r="195" spans="2:24" x14ac:dyDescent="0.2">
      <c r="B195" s="43" t="s">
        <v>229</v>
      </c>
      <c r="C195" s="43">
        <v>97</v>
      </c>
      <c r="D195" s="43" t="s">
        <v>645</v>
      </c>
      <c r="E195" s="43" t="s">
        <v>107</v>
      </c>
      <c r="F195" s="43" t="s">
        <v>647</v>
      </c>
      <c r="G195" s="43" t="s">
        <v>382</v>
      </c>
      <c r="H195" s="43">
        <v>60</v>
      </c>
      <c r="I195" s="43">
        <v>-13.1652</v>
      </c>
      <c r="J195" s="28">
        <v>-8.9669999999999995E-8</v>
      </c>
      <c r="K195" s="43" t="s">
        <v>910</v>
      </c>
      <c r="L195" s="43" t="s">
        <v>65</v>
      </c>
      <c r="N195" s="43" t="s">
        <v>229</v>
      </c>
      <c r="O195" s="43">
        <v>97</v>
      </c>
      <c r="P195" s="43" t="s">
        <v>645</v>
      </c>
      <c r="Q195" s="43" t="s">
        <v>377</v>
      </c>
      <c r="R195" s="43" t="s">
        <v>647</v>
      </c>
      <c r="S195" s="43" t="s">
        <v>382</v>
      </c>
      <c r="T195" s="43">
        <v>10</v>
      </c>
      <c r="U195" s="43">
        <v>-13.174300000000001</v>
      </c>
      <c r="V195" s="28">
        <v>-8.9729999999999997E-8</v>
      </c>
      <c r="W195" s="43" t="s">
        <v>910</v>
      </c>
      <c r="X195" s="43" t="s">
        <v>65</v>
      </c>
    </row>
    <row r="196" spans="2:24" x14ac:dyDescent="0.2">
      <c r="B196" s="43" t="s">
        <v>229</v>
      </c>
      <c r="C196" s="43">
        <v>100</v>
      </c>
      <c r="D196" s="43" t="s">
        <v>648</v>
      </c>
      <c r="E196" s="43" t="s">
        <v>107</v>
      </c>
      <c r="F196" s="43" t="s">
        <v>649</v>
      </c>
      <c r="G196" s="43" t="s">
        <v>380</v>
      </c>
      <c r="H196" s="43">
        <v>60</v>
      </c>
      <c r="I196" s="43">
        <v>-116.79810000000001</v>
      </c>
      <c r="J196" s="28">
        <v>-9.9999999999999995E-7</v>
      </c>
      <c r="K196" s="43" t="s">
        <v>910</v>
      </c>
      <c r="L196" s="43" t="s">
        <v>65</v>
      </c>
      <c r="N196" s="43" t="s">
        <v>229</v>
      </c>
      <c r="O196" s="43">
        <v>100</v>
      </c>
      <c r="P196" s="43" t="s">
        <v>648</v>
      </c>
      <c r="Q196" s="43" t="s">
        <v>377</v>
      </c>
      <c r="R196" s="43" t="s">
        <v>649</v>
      </c>
      <c r="S196" s="43" t="s">
        <v>380</v>
      </c>
      <c r="T196" s="43">
        <v>10</v>
      </c>
      <c r="U196" s="43">
        <v>-116.7912</v>
      </c>
      <c r="V196" s="28">
        <v>-9.9999999999999995E-7</v>
      </c>
      <c r="W196" s="43" t="s">
        <v>910</v>
      </c>
      <c r="X196" s="43" t="s">
        <v>65</v>
      </c>
    </row>
    <row r="197" spans="2:24" x14ac:dyDescent="0.2">
      <c r="B197" s="43" t="s">
        <v>229</v>
      </c>
      <c r="C197" s="43">
        <v>100</v>
      </c>
      <c r="D197" s="43" t="s">
        <v>648</v>
      </c>
      <c r="E197" s="43" t="s">
        <v>107</v>
      </c>
      <c r="F197" s="43" t="s">
        <v>650</v>
      </c>
      <c r="G197" s="43" t="s">
        <v>382</v>
      </c>
      <c r="H197" s="43">
        <v>60</v>
      </c>
      <c r="I197" s="43">
        <v>-28.8584</v>
      </c>
      <c r="J197" s="28">
        <v>-1.9280000000000001E-7</v>
      </c>
      <c r="K197" s="43" t="s">
        <v>910</v>
      </c>
      <c r="L197" s="43" t="s">
        <v>65</v>
      </c>
      <c r="N197" s="43" t="s">
        <v>229</v>
      </c>
      <c r="O197" s="43">
        <v>100</v>
      </c>
      <c r="P197" s="43" t="s">
        <v>648</v>
      </c>
      <c r="Q197" s="43" t="s">
        <v>377</v>
      </c>
      <c r="R197" s="43" t="s">
        <v>650</v>
      </c>
      <c r="S197" s="43" t="s">
        <v>382</v>
      </c>
      <c r="T197" s="43">
        <v>10</v>
      </c>
      <c r="U197" s="43">
        <v>-28.864699999999999</v>
      </c>
      <c r="V197" s="28">
        <v>-1.9289999999999999E-7</v>
      </c>
      <c r="W197" s="43" t="s">
        <v>910</v>
      </c>
      <c r="X197" s="43" t="s">
        <v>65</v>
      </c>
    </row>
    <row r="198" spans="2:24" x14ac:dyDescent="0.2">
      <c r="B198" s="43" t="s">
        <v>229</v>
      </c>
      <c r="C198" s="43">
        <v>103</v>
      </c>
      <c r="D198" s="43" t="s">
        <v>651</v>
      </c>
      <c r="E198" s="43" t="s">
        <v>107</v>
      </c>
      <c r="F198" s="43" t="s">
        <v>652</v>
      </c>
      <c r="G198" s="43" t="s">
        <v>380</v>
      </c>
      <c r="H198" s="43">
        <v>60</v>
      </c>
      <c r="I198" s="43">
        <v>-78.538600000000002</v>
      </c>
      <c r="J198" s="28">
        <v>-9.9999999999999995E-7</v>
      </c>
      <c r="K198" s="43" t="s">
        <v>910</v>
      </c>
      <c r="L198" s="43" t="s">
        <v>65</v>
      </c>
      <c r="N198" s="43" t="s">
        <v>229</v>
      </c>
      <c r="O198" s="43">
        <v>103</v>
      </c>
      <c r="P198" s="43" t="s">
        <v>651</v>
      </c>
      <c r="Q198" s="43" t="s">
        <v>377</v>
      </c>
      <c r="R198" s="43" t="s">
        <v>652</v>
      </c>
      <c r="S198" s="43" t="s">
        <v>380</v>
      </c>
      <c r="T198" s="43">
        <v>10</v>
      </c>
      <c r="U198" s="43">
        <v>-78.529799999999994</v>
      </c>
      <c r="V198" s="28">
        <v>-9.9999999999999995E-7</v>
      </c>
      <c r="W198" s="43" t="s">
        <v>910</v>
      </c>
      <c r="X198" s="43" t="s">
        <v>65</v>
      </c>
    </row>
    <row r="199" spans="2:24" x14ac:dyDescent="0.2">
      <c r="B199" s="43" t="s">
        <v>229</v>
      </c>
      <c r="C199" s="43">
        <v>103</v>
      </c>
      <c r="D199" s="43" t="s">
        <v>651</v>
      </c>
      <c r="E199" s="43" t="s">
        <v>107</v>
      </c>
      <c r="F199" s="43" t="s">
        <v>653</v>
      </c>
      <c r="G199" s="43" t="s">
        <v>382</v>
      </c>
      <c r="H199" s="43">
        <v>60</v>
      </c>
      <c r="I199" s="43">
        <v>-7.7354000000000003</v>
      </c>
      <c r="J199" s="28">
        <v>-6.6259999999999999E-8</v>
      </c>
      <c r="K199" s="43" t="s">
        <v>910</v>
      </c>
      <c r="L199" s="43" t="s">
        <v>65</v>
      </c>
      <c r="N199" s="43" t="s">
        <v>229</v>
      </c>
      <c r="O199" s="43">
        <v>103</v>
      </c>
      <c r="P199" s="43" t="s">
        <v>651</v>
      </c>
      <c r="Q199" s="43" t="s">
        <v>377</v>
      </c>
      <c r="R199" s="43" t="s">
        <v>653</v>
      </c>
      <c r="S199" s="43" t="s">
        <v>382</v>
      </c>
      <c r="T199" s="43">
        <v>10</v>
      </c>
      <c r="U199" s="43">
        <v>-7.7344999999999997</v>
      </c>
      <c r="V199" s="28">
        <v>-6.6250000000000001E-8</v>
      </c>
      <c r="W199" s="43" t="s">
        <v>910</v>
      </c>
      <c r="X199" s="43" t="s">
        <v>65</v>
      </c>
    </row>
    <row r="200" spans="2:24" x14ac:dyDescent="0.2">
      <c r="B200" s="43" t="s">
        <v>229</v>
      </c>
      <c r="C200" s="43">
        <v>115</v>
      </c>
      <c r="D200" s="43" t="s">
        <v>654</v>
      </c>
      <c r="E200" s="43" t="s">
        <v>107</v>
      </c>
      <c r="F200" s="43" t="s">
        <v>655</v>
      </c>
      <c r="G200" s="43" t="s">
        <v>380</v>
      </c>
      <c r="H200" s="43">
        <v>60</v>
      </c>
      <c r="I200" s="43">
        <v>-26.650200000000002</v>
      </c>
      <c r="J200" s="28">
        <v>-1.99E-7</v>
      </c>
      <c r="K200" s="43" t="s">
        <v>910</v>
      </c>
      <c r="L200" s="43" t="s">
        <v>65</v>
      </c>
      <c r="N200" s="43" t="s">
        <v>229</v>
      </c>
      <c r="O200" s="43">
        <v>115</v>
      </c>
      <c r="P200" s="43" t="s">
        <v>654</v>
      </c>
      <c r="Q200" s="43" t="s">
        <v>377</v>
      </c>
      <c r="R200" s="43" t="s">
        <v>655</v>
      </c>
      <c r="S200" s="43" t="s">
        <v>380</v>
      </c>
      <c r="T200" s="43">
        <v>10</v>
      </c>
      <c r="U200" s="43">
        <v>-26.7074</v>
      </c>
      <c r="V200" s="28">
        <v>-1.994E-7</v>
      </c>
      <c r="W200" s="43" t="s">
        <v>910</v>
      </c>
      <c r="X200" s="43" t="s">
        <v>65</v>
      </c>
    </row>
    <row r="201" spans="2:24" x14ac:dyDescent="0.2">
      <c r="B201" s="43" t="s">
        <v>229</v>
      </c>
      <c r="C201" s="43">
        <v>115</v>
      </c>
      <c r="D201" s="43" t="s">
        <v>654</v>
      </c>
      <c r="E201" s="43" t="s">
        <v>107</v>
      </c>
      <c r="F201" s="43" t="s">
        <v>656</v>
      </c>
      <c r="G201" s="43" t="s">
        <v>382</v>
      </c>
      <c r="H201" s="43">
        <v>60</v>
      </c>
      <c r="I201" s="43">
        <v>-18.552700000000002</v>
      </c>
      <c r="J201" s="28">
        <v>-1.385E-7</v>
      </c>
      <c r="K201" s="43" t="s">
        <v>910</v>
      </c>
      <c r="L201" s="43" t="s">
        <v>65</v>
      </c>
      <c r="N201" s="43" t="s">
        <v>229</v>
      </c>
      <c r="O201" s="43">
        <v>115</v>
      </c>
      <c r="P201" s="43" t="s">
        <v>654</v>
      </c>
      <c r="Q201" s="43" t="s">
        <v>377</v>
      </c>
      <c r="R201" s="43" t="s">
        <v>656</v>
      </c>
      <c r="S201" s="43" t="s">
        <v>382</v>
      </c>
      <c r="T201" s="43">
        <v>10</v>
      </c>
      <c r="U201" s="43">
        <v>-18.499600000000001</v>
      </c>
      <c r="V201" s="28">
        <v>-1.381E-7</v>
      </c>
      <c r="W201" s="43" t="s">
        <v>910</v>
      </c>
      <c r="X201" s="43" t="s">
        <v>65</v>
      </c>
    </row>
    <row r="202" spans="2:24" x14ac:dyDescent="0.2">
      <c r="B202" s="43" t="s">
        <v>229</v>
      </c>
      <c r="C202" s="43">
        <v>116</v>
      </c>
      <c r="D202" s="43" t="s">
        <v>657</v>
      </c>
      <c r="E202" s="43" t="s">
        <v>107</v>
      </c>
      <c r="F202" s="43" t="s">
        <v>658</v>
      </c>
      <c r="G202" s="43" t="s">
        <v>380</v>
      </c>
      <c r="H202" s="43">
        <v>60</v>
      </c>
      <c r="I202" s="43">
        <v>-18.610900000000001</v>
      </c>
      <c r="J202" s="28">
        <v>-1.3899999999999999E-7</v>
      </c>
      <c r="K202" s="43" t="s">
        <v>910</v>
      </c>
      <c r="L202" s="43" t="s">
        <v>65</v>
      </c>
      <c r="N202" s="43" t="s">
        <v>229</v>
      </c>
      <c r="O202" s="43">
        <v>116</v>
      </c>
      <c r="P202" s="43" t="s">
        <v>657</v>
      </c>
      <c r="Q202" s="43" t="s">
        <v>377</v>
      </c>
      <c r="R202" s="43" t="s">
        <v>658</v>
      </c>
      <c r="S202" s="43" t="s">
        <v>380</v>
      </c>
      <c r="T202" s="43">
        <v>10</v>
      </c>
      <c r="U202" s="43">
        <v>-18.6633</v>
      </c>
      <c r="V202" s="28">
        <v>-1.3939999999999999E-7</v>
      </c>
      <c r="W202" s="43" t="s">
        <v>910</v>
      </c>
      <c r="X202" s="43" t="s">
        <v>65</v>
      </c>
    </row>
    <row r="203" spans="2:24" x14ac:dyDescent="0.2">
      <c r="B203" s="43" t="s">
        <v>229</v>
      </c>
      <c r="C203" s="43">
        <v>116</v>
      </c>
      <c r="D203" s="43" t="s">
        <v>657</v>
      </c>
      <c r="E203" s="43" t="s">
        <v>107</v>
      </c>
      <c r="F203" s="43" t="s">
        <v>659</v>
      </c>
      <c r="G203" s="43" t="s">
        <v>382</v>
      </c>
      <c r="H203" s="43">
        <v>60</v>
      </c>
      <c r="I203" s="43">
        <v>-27.903300000000002</v>
      </c>
      <c r="J203" s="28">
        <v>-2.0830000000000001E-7</v>
      </c>
      <c r="K203" s="43" t="s">
        <v>910</v>
      </c>
      <c r="L203" s="43" t="s">
        <v>65</v>
      </c>
      <c r="N203" s="43" t="s">
        <v>229</v>
      </c>
      <c r="O203" s="43">
        <v>116</v>
      </c>
      <c r="P203" s="43" t="s">
        <v>657</v>
      </c>
      <c r="Q203" s="43" t="s">
        <v>377</v>
      </c>
      <c r="R203" s="43" t="s">
        <v>659</v>
      </c>
      <c r="S203" s="43" t="s">
        <v>382</v>
      </c>
      <c r="T203" s="43">
        <v>10</v>
      </c>
      <c r="U203" s="43">
        <v>-27.8492</v>
      </c>
      <c r="V203" s="28">
        <v>-2.079E-7</v>
      </c>
      <c r="W203" s="43" t="s">
        <v>910</v>
      </c>
      <c r="X203" s="43" t="s">
        <v>65</v>
      </c>
    </row>
    <row r="204" spans="2:24" x14ac:dyDescent="0.2">
      <c r="B204" s="43" t="s">
        <v>229</v>
      </c>
      <c r="C204" s="43">
        <v>117</v>
      </c>
      <c r="D204" s="43" t="s">
        <v>657</v>
      </c>
      <c r="E204" s="43" t="s">
        <v>107</v>
      </c>
      <c r="F204" s="43" t="s">
        <v>660</v>
      </c>
      <c r="G204" s="43" t="s">
        <v>380</v>
      </c>
      <c r="H204" s="43">
        <v>60</v>
      </c>
      <c r="I204" s="43">
        <v>-28.496200000000002</v>
      </c>
      <c r="J204" s="28">
        <v>-2.2490000000000001E-7</v>
      </c>
      <c r="K204" s="43" t="s">
        <v>910</v>
      </c>
      <c r="L204" s="43" t="s">
        <v>65</v>
      </c>
      <c r="N204" s="43" t="s">
        <v>229</v>
      </c>
      <c r="O204" s="43">
        <v>117</v>
      </c>
      <c r="P204" s="43" t="s">
        <v>657</v>
      </c>
      <c r="Q204" s="43" t="s">
        <v>377</v>
      </c>
      <c r="R204" s="43" t="s">
        <v>660</v>
      </c>
      <c r="S204" s="43" t="s">
        <v>380</v>
      </c>
      <c r="T204" s="43">
        <v>10</v>
      </c>
      <c r="U204" s="43">
        <v>-28.547599999999999</v>
      </c>
      <c r="V204" s="28">
        <v>-2.2530000000000001E-7</v>
      </c>
      <c r="W204" s="43" t="s">
        <v>910</v>
      </c>
      <c r="X204" s="43" t="s">
        <v>65</v>
      </c>
    </row>
    <row r="205" spans="2:24" x14ac:dyDescent="0.2">
      <c r="B205" s="43" t="s">
        <v>229</v>
      </c>
      <c r="C205" s="43">
        <v>117</v>
      </c>
      <c r="D205" s="43" t="s">
        <v>657</v>
      </c>
      <c r="E205" s="43" t="s">
        <v>107</v>
      </c>
      <c r="F205" s="43" t="s">
        <v>661</v>
      </c>
      <c r="G205" s="43" t="s">
        <v>382</v>
      </c>
      <c r="H205" s="43">
        <v>60</v>
      </c>
      <c r="I205" s="43">
        <v>-28.439900000000002</v>
      </c>
      <c r="J205" s="28">
        <v>-2.2450000000000001E-7</v>
      </c>
      <c r="K205" s="43" t="s">
        <v>910</v>
      </c>
      <c r="L205" s="43" t="s">
        <v>65</v>
      </c>
      <c r="N205" s="43" t="s">
        <v>229</v>
      </c>
      <c r="O205" s="43">
        <v>117</v>
      </c>
      <c r="P205" s="43" t="s">
        <v>657</v>
      </c>
      <c r="Q205" s="43" t="s">
        <v>377</v>
      </c>
      <c r="R205" s="43" t="s">
        <v>661</v>
      </c>
      <c r="S205" s="43" t="s">
        <v>382</v>
      </c>
      <c r="T205" s="43">
        <v>10</v>
      </c>
      <c r="U205" s="43">
        <v>-28.388400000000001</v>
      </c>
      <c r="V205" s="28">
        <v>-2.241E-7</v>
      </c>
      <c r="W205" s="43" t="s">
        <v>910</v>
      </c>
      <c r="X205" s="43" t="s">
        <v>65</v>
      </c>
    </row>
    <row r="206" spans="2:24" x14ac:dyDescent="0.2">
      <c r="B206" s="43" t="s">
        <v>229</v>
      </c>
      <c r="C206" s="43">
        <v>118</v>
      </c>
      <c r="D206" s="43" t="s">
        <v>657</v>
      </c>
      <c r="E206" s="43" t="s">
        <v>107</v>
      </c>
      <c r="F206" s="43" t="s">
        <v>662</v>
      </c>
      <c r="G206" s="43" t="s">
        <v>380</v>
      </c>
      <c r="H206" s="43">
        <v>60</v>
      </c>
      <c r="I206" s="43">
        <v>-27.962399999999999</v>
      </c>
      <c r="J206" s="28">
        <v>-2.0879999999999999E-7</v>
      </c>
      <c r="K206" s="43" t="s">
        <v>910</v>
      </c>
      <c r="L206" s="43" t="s">
        <v>65</v>
      </c>
      <c r="N206" s="43" t="s">
        <v>229</v>
      </c>
      <c r="O206" s="43">
        <v>118</v>
      </c>
      <c r="P206" s="43" t="s">
        <v>657</v>
      </c>
      <c r="Q206" s="43" t="s">
        <v>377</v>
      </c>
      <c r="R206" s="43" t="s">
        <v>662</v>
      </c>
      <c r="S206" s="43" t="s">
        <v>380</v>
      </c>
      <c r="T206" s="43">
        <v>10</v>
      </c>
      <c r="U206" s="43">
        <v>-28.017199999999999</v>
      </c>
      <c r="V206" s="28">
        <v>-2.0919999999999999E-7</v>
      </c>
      <c r="W206" s="43" t="s">
        <v>910</v>
      </c>
      <c r="X206" s="43" t="s">
        <v>65</v>
      </c>
    </row>
    <row r="207" spans="2:24" x14ac:dyDescent="0.2">
      <c r="B207" s="43" t="s">
        <v>229</v>
      </c>
      <c r="C207" s="43">
        <v>118</v>
      </c>
      <c r="D207" s="43" t="s">
        <v>657</v>
      </c>
      <c r="E207" s="43" t="s">
        <v>107</v>
      </c>
      <c r="F207" s="43" t="s">
        <v>663</v>
      </c>
      <c r="G207" s="43" t="s">
        <v>382</v>
      </c>
      <c r="H207" s="43">
        <v>60</v>
      </c>
      <c r="I207" s="43">
        <v>-18.5533</v>
      </c>
      <c r="J207" s="28">
        <v>-1.385E-7</v>
      </c>
      <c r="K207" s="43" t="s">
        <v>910</v>
      </c>
      <c r="L207" s="43" t="s">
        <v>65</v>
      </c>
      <c r="N207" s="43" t="s">
        <v>229</v>
      </c>
      <c r="O207" s="43">
        <v>118</v>
      </c>
      <c r="P207" s="43" t="s">
        <v>657</v>
      </c>
      <c r="Q207" s="43" t="s">
        <v>377</v>
      </c>
      <c r="R207" s="43" t="s">
        <v>663</v>
      </c>
      <c r="S207" s="43" t="s">
        <v>382</v>
      </c>
      <c r="T207" s="43">
        <v>10</v>
      </c>
      <c r="U207" s="43">
        <v>-18.5002</v>
      </c>
      <c r="V207" s="28">
        <v>-1.381E-7</v>
      </c>
      <c r="W207" s="43" t="s">
        <v>910</v>
      </c>
      <c r="X207" s="43" t="s">
        <v>65</v>
      </c>
    </row>
    <row r="208" spans="2:24" x14ac:dyDescent="0.2">
      <c r="B208" s="43" t="s">
        <v>229</v>
      </c>
      <c r="C208" s="43">
        <v>119</v>
      </c>
      <c r="D208" s="43" t="s">
        <v>664</v>
      </c>
      <c r="E208" s="43" t="s">
        <v>107</v>
      </c>
      <c r="F208" s="43" t="s">
        <v>665</v>
      </c>
      <c r="G208" s="43" t="s">
        <v>380</v>
      </c>
      <c r="H208" s="43">
        <v>60</v>
      </c>
      <c r="I208" s="43">
        <v>-18.6111</v>
      </c>
      <c r="J208" s="28">
        <v>-1.3899999999999999E-7</v>
      </c>
      <c r="K208" s="43" t="s">
        <v>910</v>
      </c>
      <c r="L208" s="43" t="s">
        <v>65</v>
      </c>
      <c r="N208" s="43" t="s">
        <v>229</v>
      </c>
      <c r="O208" s="43">
        <v>119</v>
      </c>
      <c r="P208" s="43" t="s">
        <v>664</v>
      </c>
      <c r="Q208" s="43" t="s">
        <v>377</v>
      </c>
      <c r="R208" s="43" t="s">
        <v>665</v>
      </c>
      <c r="S208" s="43" t="s">
        <v>380</v>
      </c>
      <c r="T208" s="43">
        <v>10</v>
      </c>
      <c r="U208" s="43">
        <v>-18.664999999999999</v>
      </c>
      <c r="V208" s="28">
        <v>-1.3939999999999999E-7</v>
      </c>
      <c r="W208" s="43" t="s">
        <v>910</v>
      </c>
      <c r="X208" s="43" t="s">
        <v>65</v>
      </c>
    </row>
    <row r="209" spans="2:24" x14ac:dyDescent="0.2">
      <c r="B209" s="43" t="s">
        <v>229</v>
      </c>
      <c r="C209" s="43">
        <v>119</v>
      </c>
      <c r="D209" s="43" t="s">
        <v>664</v>
      </c>
      <c r="E209" s="43" t="s">
        <v>107</v>
      </c>
      <c r="F209" s="43" t="s">
        <v>666</v>
      </c>
      <c r="G209" s="43" t="s">
        <v>382</v>
      </c>
      <c r="H209" s="43">
        <v>60</v>
      </c>
      <c r="I209" s="43">
        <v>-26.591699999999999</v>
      </c>
      <c r="J209" s="28">
        <v>-1.9859999999999999E-7</v>
      </c>
      <c r="K209" s="43" t="s">
        <v>910</v>
      </c>
      <c r="L209" s="43" t="s">
        <v>65</v>
      </c>
      <c r="N209" s="43" t="s">
        <v>229</v>
      </c>
      <c r="O209" s="43">
        <v>119</v>
      </c>
      <c r="P209" s="43" t="s">
        <v>664</v>
      </c>
      <c r="Q209" s="43" t="s">
        <v>377</v>
      </c>
      <c r="R209" s="43" t="s">
        <v>666</v>
      </c>
      <c r="S209" s="43" t="s">
        <v>382</v>
      </c>
      <c r="T209" s="43">
        <v>10</v>
      </c>
      <c r="U209" s="43">
        <v>-26.533799999999999</v>
      </c>
      <c r="V209" s="28">
        <v>-1.9810000000000001E-7</v>
      </c>
      <c r="W209" s="43" t="s">
        <v>910</v>
      </c>
      <c r="X209" s="43" t="s">
        <v>65</v>
      </c>
    </row>
    <row r="210" spans="2:24" x14ac:dyDescent="0.2">
      <c r="B210" s="43" t="s">
        <v>229</v>
      </c>
      <c r="C210" s="43">
        <v>89</v>
      </c>
      <c r="D210" s="43" t="s">
        <v>667</v>
      </c>
      <c r="E210" s="43" t="s">
        <v>107</v>
      </c>
      <c r="F210" s="43" t="s">
        <v>668</v>
      </c>
      <c r="G210" s="43" t="s">
        <v>380</v>
      </c>
      <c r="H210" s="43">
        <v>60</v>
      </c>
      <c r="I210" s="43">
        <v>-77.881900000000002</v>
      </c>
      <c r="J210" s="28">
        <v>-9.9999999999999995E-7</v>
      </c>
      <c r="K210" s="43" t="s">
        <v>910</v>
      </c>
      <c r="L210" s="43" t="s">
        <v>65</v>
      </c>
      <c r="N210" s="43" t="s">
        <v>229</v>
      </c>
      <c r="O210" s="43">
        <v>89</v>
      </c>
      <c r="P210" s="43" t="s">
        <v>667</v>
      </c>
      <c r="Q210" s="43" t="s">
        <v>377</v>
      </c>
      <c r="R210" s="43" t="s">
        <v>668</v>
      </c>
      <c r="S210" s="43" t="s">
        <v>380</v>
      </c>
      <c r="T210" s="43">
        <v>10</v>
      </c>
      <c r="U210" s="43">
        <v>-77.876400000000004</v>
      </c>
      <c r="V210" s="28">
        <v>-9.9999999999999995E-7</v>
      </c>
      <c r="W210" s="43" t="s">
        <v>910</v>
      </c>
      <c r="X210" s="43" t="s">
        <v>65</v>
      </c>
    </row>
    <row r="211" spans="2:24" x14ac:dyDescent="0.2">
      <c r="B211" s="43" t="s">
        <v>229</v>
      </c>
      <c r="C211" s="43">
        <v>89</v>
      </c>
      <c r="D211" s="43" t="s">
        <v>667</v>
      </c>
      <c r="E211" s="43" t="s">
        <v>107</v>
      </c>
      <c r="F211" s="43" t="s">
        <v>669</v>
      </c>
      <c r="G211" s="43" t="s">
        <v>382</v>
      </c>
      <c r="H211" s="43">
        <v>60</v>
      </c>
      <c r="I211" s="43">
        <v>-14.5999</v>
      </c>
      <c r="J211" s="28">
        <v>-1.381E-7</v>
      </c>
      <c r="K211" s="43" t="s">
        <v>910</v>
      </c>
      <c r="L211" s="43" t="s">
        <v>65</v>
      </c>
      <c r="N211" s="43" t="s">
        <v>229</v>
      </c>
      <c r="O211" s="43">
        <v>89</v>
      </c>
      <c r="P211" s="43" t="s">
        <v>667</v>
      </c>
      <c r="Q211" s="43" t="s">
        <v>377</v>
      </c>
      <c r="R211" s="43" t="s">
        <v>669</v>
      </c>
      <c r="S211" s="43" t="s">
        <v>382</v>
      </c>
      <c r="T211" s="43">
        <v>10</v>
      </c>
      <c r="U211" s="43">
        <v>-14.614699999999999</v>
      </c>
      <c r="V211" s="28">
        <v>-1.3829999999999999E-7</v>
      </c>
      <c r="W211" s="43" t="s">
        <v>910</v>
      </c>
      <c r="X211" s="43" t="s">
        <v>65</v>
      </c>
    </row>
    <row r="212" spans="2:24" x14ac:dyDescent="0.2">
      <c r="B212" s="43" t="s">
        <v>229</v>
      </c>
      <c r="C212" s="43">
        <v>92</v>
      </c>
      <c r="D212" s="43" t="s">
        <v>670</v>
      </c>
      <c r="E212" s="43" t="s">
        <v>107</v>
      </c>
      <c r="F212" s="43" t="s">
        <v>671</v>
      </c>
      <c r="G212" s="43" t="s">
        <v>380</v>
      </c>
      <c r="H212" s="43">
        <v>60</v>
      </c>
      <c r="I212" s="43">
        <v>-116.24290000000001</v>
      </c>
      <c r="J212" s="28">
        <v>-9.9999999999999995E-7</v>
      </c>
      <c r="K212" s="43" t="s">
        <v>910</v>
      </c>
      <c r="L212" s="43" t="s">
        <v>65</v>
      </c>
      <c r="N212" s="43" t="s">
        <v>229</v>
      </c>
      <c r="O212" s="43">
        <v>92</v>
      </c>
      <c r="P212" s="43" t="s">
        <v>670</v>
      </c>
      <c r="Q212" s="43" t="s">
        <v>377</v>
      </c>
      <c r="R212" s="43" t="s">
        <v>671</v>
      </c>
      <c r="S212" s="43" t="s">
        <v>380</v>
      </c>
      <c r="T212" s="43">
        <v>10</v>
      </c>
      <c r="U212" s="43">
        <v>-116.23139999999999</v>
      </c>
      <c r="V212" s="28">
        <v>-9.9999999999999995E-7</v>
      </c>
      <c r="W212" s="43" t="s">
        <v>910</v>
      </c>
      <c r="X212" s="43" t="s">
        <v>65</v>
      </c>
    </row>
    <row r="213" spans="2:24" x14ac:dyDescent="0.2">
      <c r="B213" s="43" t="s">
        <v>229</v>
      </c>
      <c r="C213" s="43">
        <v>92</v>
      </c>
      <c r="D213" s="43" t="s">
        <v>670</v>
      </c>
      <c r="E213" s="43" t="s">
        <v>107</v>
      </c>
      <c r="F213" s="43" t="s">
        <v>672</v>
      </c>
      <c r="G213" s="43" t="s">
        <v>382</v>
      </c>
      <c r="H213" s="43">
        <v>60</v>
      </c>
      <c r="I213" s="43">
        <v>-12.954700000000001</v>
      </c>
      <c r="J213" s="28">
        <v>-8.7359999999999996E-8</v>
      </c>
      <c r="K213" s="43" t="s">
        <v>910</v>
      </c>
      <c r="L213" s="43" t="s">
        <v>65</v>
      </c>
      <c r="N213" s="43" t="s">
        <v>229</v>
      </c>
      <c r="O213" s="43">
        <v>92</v>
      </c>
      <c r="P213" s="43" t="s">
        <v>670</v>
      </c>
      <c r="Q213" s="43" t="s">
        <v>377</v>
      </c>
      <c r="R213" s="43" t="s">
        <v>672</v>
      </c>
      <c r="S213" s="43" t="s">
        <v>382</v>
      </c>
      <c r="T213" s="43">
        <v>10</v>
      </c>
      <c r="U213" s="43">
        <v>-12.967499999999999</v>
      </c>
      <c r="V213" s="28">
        <v>-8.7439999999999994E-8</v>
      </c>
      <c r="W213" s="43" t="s">
        <v>910</v>
      </c>
      <c r="X213" s="43" t="s">
        <v>65</v>
      </c>
    </row>
    <row r="214" spans="2:24" x14ac:dyDescent="0.2">
      <c r="B214" s="43" t="s">
        <v>229</v>
      </c>
      <c r="C214" s="43">
        <v>95</v>
      </c>
      <c r="D214" s="43" t="s">
        <v>673</v>
      </c>
      <c r="E214" s="43" t="s">
        <v>107</v>
      </c>
      <c r="F214" s="43" t="s">
        <v>674</v>
      </c>
      <c r="G214" s="43" t="s">
        <v>380</v>
      </c>
      <c r="H214" s="43">
        <v>60</v>
      </c>
      <c r="I214" s="43">
        <v>-100.51649999999999</v>
      </c>
      <c r="J214" s="28">
        <v>-9.9999999999999995E-7</v>
      </c>
      <c r="K214" s="43" t="s">
        <v>910</v>
      </c>
      <c r="L214" s="43" t="s">
        <v>65</v>
      </c>
      <c r="N214" s="43" t="s">
        <v>229</v>
      </c>
      <c r="O214" s="43">
        <v>95</v>
      </c>
      <c r="P214" s="43" t="s">
        <v>673</v>
      </c>
      <c r="Q214" s="43" t="s">
        <v>377</v>
      </c>
      <c r="R214" s="43" t="s">
        <v>674</v>
      </c>
      <c r="S214" s="43" t="s">
        <v>380</v>
      </c>
      <c r="T214" s="43">
        <v>10</v>
      </c>
      <c r="U214" s="43">
        <v>-100.50660000000001</v>
      </c>
      <c r="V214" s="28">
        <v>-9.9999999999999995E-7</v>
      </c>
      <c r="W214" s="43" t="s">
        <v>910</v>
      </c>
      <c r="X214" s="43" t="s">
        <v>65</v>
      </c>
    </row>
    <row r="215" spans="2:24" x14ac:dyDescent="0.2">
      <c r="B215" s="43" t="s">
        <v>229</v>
      </c>
      <c r="C215" s="43">
        <v>95</v>
      </c>
      <c r="D215" s="43" t="s">
        <v>673</v>
      </c>
      <c r="E215" s="43" t="s">
        <v>107</v>
      </c>
      <c r="F215" s="43" t="s">
        <v>675</v>
      </c>
      <c r="G215" s="43" t="s">
        <v>382</v>
      </c>
      <c r="H215" s="43">
        <v>60</v>
      </c>
      <c r="I215" s="43">
        <v>-21.228200000000001</v>
      </c>
      <c r="J215" s="28">
        <v>-1.4999999999999999E-7</v>
      </c>
      <c r="K215" s="43" t="s">
        <v>910</v>
      </c>
      <c r="L215" s="43" t="s">
        <v>65</v>
      </c>
      <c r="N215" s="43" t="s">
        <v>229</v>
      </c>
      <c r="O215" s="43">
        <v>95</v>
      </c>
      <c r="P215" s="43" t="s">
        <v>673</v>
      </c>
      <c r="Q215" s="43" t="s">
        <v>377</v>
      </c>
      <c r="R215" s="43" t="s">
        <v>675</v>
      </c>
      <c r="S215" s="43" t="s">
        <v>382</v>
      </c>
      <c r="T215" s="43">
        <v>10</v>
      </c>
      <c r="U215" s="43">
        <v>-21.238499999999998</v>
      </c>
      <c r="V215" s="28">
        <v>-1.501E-7</v>
      </c>
      <c r="W215" s="43" t="s">
        <v>910</v>
      </c>
      <c r="X215" s="43" t="s">
        <v>65</v>
      </c>
    </row>
    <row r="216" spans="2:24" x14ac:dyDescent="0.2">
      <c r="B216" s="43" t="s">
        <v>229</v>
      </c>
      <c r="C216" s="43">
        <v>98</v>
      </c>
      <c r="D216" s="43" t="s">
        <v>676</v>
      </c>
      <c r="E216" s="43" t="s">
        <v>107</v>
      </c>
      <c r="F216" s="43" t="s">
        <v>677</v>
      </c>
      <c r="G216" s="43" t="s">
        <v>380</v>
      </c>
      <c r="H216" s="43">
        <v>60</v>
      </c>
      <c r="I216" s="43">
        <v>-100.4796</v>
      </c>
      <c r="J216" s="28">
        <v>-9.9999999999999995E-7</v>
      </c>
      <c r="K216" s="43" t="s">
        <v>910</v>
      </c>
      <c r="L216" s="43" t="s">
        <v>65</v>
      </c>
      <c r="N216" s="43" t="s">
        <v>229</v>
      </c>
      <c r="O216" s="43">
        <v>98</v>
      </c>
      <c r="P216" s="43" t="s">
        <v>676</v>
      </c>
      <c r="Q216" s="43" t="s">
        <v>377</v>
      </c>
      <c r="R216" s="43" t="s">
        <v>677</v>
      </c>
      <c r="S216" s="43" t="s">
        <v>380</v>
      </c>
      <c r="T216" s="43">
        <v>10</v>
      </c>
      <c r="U216" s="43">
        <v>-100.47150000000001</v>
      </c>
      <c r="V216" s="28">
        <v>-9.9999999999999995E-7</v>
      </c>
      <c r="W216" s="43" t="s">
        <v>910</v>
      </c>
      <c r="X216" s="43" t="s">
        <v>65</v>
      </c>
    </row>
    <row r="217" spans="2:24" x14ac:dyDescent="0.2">
      <c r="B217" s="43" t="s">
        <v>229</v>
      </c>
      <c r="C217" s="43">
        <v>98</v>
      </c>
      <c r="D217" s="43" t="s">
        <v>676</v>
      </c>
      <c r="E217" s="43" t="s">
        <v>107</v>
      </c>
      <c r="F217" s="43" t="s">
        <v>678</v>
      </c>
      <c r="G217" s="43" t="s">
        <v>382</v>
      </c>
      <c r="H217" s="43">
        <v>60</v>
      </c>
      <c r="I217" s="43">
        <v>-21.265000000000001</v>
      </c>
      <c r="J217" s="28">
        <v>-1.5029999999999999E-7</v>
      </c>
      <c r="K217" s="43" t="s">
        <v>910</v>
      </c>
      <c r="L217" s="43" t="s">
        <v>65</v>
      </c>
      <c r="N217" s="43" t="s">
        <v>229</v>
      </c>
      <c r="O217" s="43">
        <v>98</v>
      </c>
      <c r="P217" s="43" t="s">
        <v>676</v>
      </c>
      <c r="Q217" s="43" t="s">
        <v>377</v>
      </c>
      <c r="R217" s="43" t="s">
        <v>678</v>
      </c>
      <c r="S217" s="43" t="s">
        <v>382</v>
      </c>
      <c r="T217" s="43">
        <v>10</v>
      </c>
      <c r="U217" s="43">
        <v>-21.273299999999999</v>
      </c>
      <c r="V217" s="28">
        <v>-1.504E-7</v>
      </c>
      <c r="W217" s="43" t="s">
        <v>910</v>
      </c>
      <c r="X217" s="43" t="s">
        <v>65</v>
      </c>
    </row>
    <row r="218" spans="2:24" x14ac:dyDescent="0.2">
      <c r="B218" s="43" t="s">
        <v>229</v>
      </c>
      <c r="C218" s="43">
        <v>101</v>
      </c>
      <c r="D218" s="43" t="s">
        <v>679</v>
      </c>
      <c r="E218" s="43" t="s">
        <v>107</v>
      </c>
      <c r="F218" s="43" t="s">
        <v>680</v>
      </c>
      <c r="G218" s="43" t="s">
        <v>380</v>
      </c>
      <c r="H218" s="43">
        <v>60</v>
      </c>
      <c r="I218" s="43">
        <v>-116.1383</v>
      </c>
      <c r="J218" s="28">
        <v>-9.9999999999999995E-7</v>
      </c>
      <c r="K218" s="43" t="s">
        <v>910</v>
      </c>
      <c r="L218" s="43" t="s">
        <v>65</v>
      </c>
      <c r="N218" s="43" t="s">
        <v>229</v>
      </c>
      <c r="O218" s="43">
        <v>101</v>
      </c>
      <c r="P218" s="43" t="s">
        <v>679</v>
      </c>
      <c r="Q218" s="43" t="s">
        <v>377</v>
      </c>
      <c r="R218" s="43" t="s">
        <v>680</v>
      </c>
      <c r="S218" s="43" t="s">
        <v>380</v>
      </c>
      <c r="T218" s="43">
        <v>10</v>
      </c>
      <c r="U218" s="43">
        <v>-116.1309</v>
      </c>
      <c r="V218" s="28">
        <v>-9.9999999999999995E-7</v>
      </c>
      <c r="W218" s="43" t="s">
        <v>910</v>
      </c>
      <c r="X218" s="43" t="s">
        <v>65</v>
      </c>
    </row>
    <row r="219" spans="2:24" x14ac:dyDescent="0.2">
      <c r="B219" s="43" t="s">
        <v>229</v>
      </c>
      <c r="C219" s="43">
        <v>101</v>
      </c>
      <c r="D219" s="43" t="s">
        <v>679</v>
      </c>
      <c r="E219" s="43" t="s">
        <v>107</v>
      </c>
      <c r="F219" s="43" t="s">
        <v>681</v>
      </c>
      <c r="G219" s="43" t="s">
        <v>382</v>
      </c>
      <c r="H219" s="43">
        <v>60</v>
      </c>
      <c r="I219" s="43">
        <v>-13.064</v>
      </c>
      <c r="J219" s="28">
        <v>-8.8090000000000003E-8</v>
      </c>
      <c r="K219" s="43" t="s">
        <v>910</v>
      </c>
      <c r="L219" s="43" t="s">
        <v>65</v>
      </c>
      <c r="N219" s="43" t="s">
        <v>229</v>
      </c>
      <c r="O219" s="43">
        <v>101</v>
      </c>
      <c r="P219" s="43" t="s">
        <v>679</v>
      </c>
      <c r="Q219" s="43" t="s">
        <v>377</v>
      </c>
      <c r="R219" s="43" t="s">
        <v>681</v>
      </c>
      <c r="S219" s="43" t="s">
        <v>382</v>
      </c>
      <c r="T219" s="43">
        <v>10</v>
      </c>
      <c r="U219" s="43">
        <v>-13.071</v>
      </c>
      <c r="V219" s="28">
        <v>-8.8139999999999994E-8</v>
      </c>
      <c r="W219" s="43" t="s">
        <v>910</v>
      </c>
      <c r="X219" s="43" t="s">
        <v>65</v>
      </c>
    </row>
    <row r="220" spans="2:24" x14ac:dyDescent="0.2">
      <c r="B220" s="43" t="s">
        <v>229</v>
      </c>
      <c r="C220" s="43">
        <v>104</v>
      </c>
      <c r="D220" s="43" t="s">
        <v>682</v>
      </c>
      <c r="E220" s="43" t="s">
        <v>107</v>
      </c>
      <c r="F220" s="43" t="s">
        <v>683</v>
      </c>
      <c r="G220" s="43" t="s">
        <v>380</v>
      </c>
      <c r="H220" s="43">
        <v>60</v>
      </c>
      <c r="I220" s="43">
        <v>-77.7393</v>
      </c>
      <c r="J220" s="28">
        <v>-9.9999999999999995E-7</v>
      </c>
      <c r="K220" s="43" t="s">
        <v>910</v>
      </c>
      <c r="L220" s="43" t="s">
        <v>65</v>
      </c>
      <c r="N220" s="43" t="s">
        <v>229</v>
      </c>
      <c r="O220" s="43">
        <v>104</v>
      </c>
      <c r="P220" s="43" t="s">
        <v>682</v>
      </c>
      <c r="Q220" s="43" t="s">
        <v>377</v>
      </c>
      <c r="R220" s="43" t="s">
        <v>683</v>
      </c>
      <c r="S220" s="43" t="s">
        <v>380</v>
      </c>
      <c r="T220" s="43">
        <v>10</v>
      </c>
      <c r="U220" s="43">
        <v>-77.730500000000006</v>
      </c>
      <c r="V220" s="28">
        <v>-9.9999999999999995E-7</v>
      </c>
      <c r="W220" s="43" t="s">
        <v>910</v>
      </c>
      <c r="X220" s="43" t="s">
        <v>65</v>
      </c>
    </row>
    <row r="221" spans="2:24" x14ac:dyDescent="0.2">
      <c r="B221" s="43" t="s">
        <v>229</v>
      </c>
      <c r="C221" s="43">
        <v>104</v>
      </c>
      <c r="D221" s="43" t="s">
        <v>682</v>
      </c>
      <c r="E221" s="43" t="s">
        <v>107</v>
      </c>
      <c r="F221" s="43" t="s">
        <v>684</v>
      </c>
      <c r="G221" s="43" t="s">
        <v>382</v>
      </c>
      <c r="H221" s="43">
        <v>60</v>
      </c>
      <c r="I221" s="43">
        <v>-14.722300000000001</v>
      </c>
      <c r="J221" s="28">
        <v>-1.3930000000000001E-7</v>
      </c>
      <c r="K221" s="43" t="s">
        <v>910</v>
      </c>
      <c r="L221" s="43" t="s">
        <v>65</v>
      </c>
      <c r="N221" s="43" t="s">
        <v>229</v>
      </c>
      <c r="O221" s="43">
        <v>104</v>
      </c>
      <c r="P221" s="43" t="s">
        <v>682</v>
      </c>
      <c r="Q221" s="43" t="s">
        <v>377</v>
      </c>
      <c r="R221" s="43" t="s">
        <v>684</v>
      </c>
      <c r="S221" s="43" t="s">
        <v>382</v>
      </c>
      <c r="T221" s="43">
        <v>10</v>
      </c>
      <c r="U221" s="43">
        <v>-14.7218</v>
      </c>
      <c r="V221" s="28">
        <v>-1.3930000000000001E-7</v>
      </c>
      <c r="W221" s="43" t="s">
        <v>910</v>
      </c>
      <c r="X221" s="43" t="s">
        <v>65</v>
      </c>
    </row>
    <row r="222" spans="2:24" x14ac:dyDescent="0.2">
      <c r="B222" s="43" t="s">
        <v>229</v>
      </c>
      <c r="C222" s="43">
        <v>120</v>
      </c>
      <c r="D222" s="43" t="s">
        <v>685</v>
      </c>
      <c r="E222" s="43" t="s">
        <v>107</v>
      </c>
      <c r="F222" s="43" t="s">
        <v>686</v>
      </c>
      <c r="G222" s="43" t="s">
        <v>380</v>
      </c>
      <c r="H222" s="43">
        <v>60</v>
      </c>
      <c r="I222" s="43">
        <v>-17.644200000000001</v>
      </c>
      <c r="J222" s="28">
        <v>-1.8090000000000001E-7</v>
      </c>
      <c r="K222" s="43" t="s">
        <v>910</v>
      </c>
      <c r="L222" s="43" t="s">
        <v>65</v>
      </c>
      <c r="N222" s="43" t="s">
        <v>229</v>
      </c>
      <c r="O222" s="43">
        <v>120</v>
      </c>
      <c r="P222" s="43" t="s">
        <v>685</v>
      </c>
      <c r="Q222" s="43" t="s">
        <v>377</v>
      </c>
      <c r="R222" s="43" t="s">
        <v>686</v>
      </c>
      <c r="S222" s="43" t="s">
        <v>380</v>
      </c>
      <c r="T222" s="43">
        <v>10</v>
      </c>
      <c r="U222" s="43">
        <v>-17.684200000000001</v>
      </c>
      <c r="V222" s="28">
        <v>-1.8129999999999999E-7</v>
      </c>
      <c r="W222" s="43" t="s">
        <v>910</v>
      </c>
      <c r="X222" s="43" t="s">
        <v>65</v>
      </c>
    </row>
    <row r="223" spans="2:24" x14ac:dyDescent="0.2">
      <c r="B223" s="43" t="s">
        <v>229</v>
      </c>
      <c r="C223" s="43">
        <v>120</v>
      </c>
      <c r="D223" s="43" t="s">
        <v>685</v>
      </c>
      <c r="E223" s="43" t="s">
        <v>107</v>
      </c>
      <c r="F223" s="43" t="s">
        <v>687</v>
      </c>
      <c r="G223" s="43" t="s">
        <v>382</v>
      </c>
      <c r="H223" s="43">
        <v>60</v>
      </c>
      <c r="I223" s="43">
        <v>-23.1234</v>
      </c>
      <c r="J223" s="28">
        <v>-2.3699999999999999E-7</v>
      </c>
      <c r="K223" s="43" t="s">
        <v>910</v>
      </c>
      <c r="L223" s="43" t="s">
        <v>65</v>
      </c>
      <c r="N223" s="43" t="s">
        <v>229</v>
      </c>
      <c r="O223" s="43">
        <v>120</v>
      </c>
      <c r="P223" s="43" t="s">
        <v>685</v>
      </c>
      <c r="Q223" s="43" t="s">
        <v>377</v>
      </c>
      <c r="R223" s="43" t="s">
        <v>687</v>
      </c>
      <c r="S223" s="43" t="s">
        <v>382</v>
      </c>
      <c r="T223" s="43">
        <v>10</v>
      </c>
      <c r="U223" s="43">
        <v>-23.083500000000001</v>
      </c>
      <c r="V223" s="28">
        <v>-2.3659999999999999E-7</v>
      </c>
      <c r="W223" s="43" t="s">
        <v>910</v>
      </c>
      <c r="X223" s="43" t="s">
        <v>65</v>
      </c>
    </row>
    <row r="224" spans="2:24" x14ac:dyDescent="0.2">
      <c r="B224" s="43" t="s">
        <v>229</v>
      </c>
      <c r="C224" s="43">
        <v>121</v>
      </c>
      <c r="D224" s="43" t="s">
        <v>688</v>
      </c>
      <c r="E224" s="43" t="s">
        <v>107</v>
      </c>
      <c r="F224" s="43" t="s">
        <v>689</v>
      </c>
      <c r="G224" s="43" t="s">
        <v>380</v>
      </c>
      <c r="H224" s="43">
        <v>60</v>
      </c>
      <c r="I224" s="43">
        <v>-21.763000000000002</v>
      </c>
      <c r="J224" s="28">
        <v>-1.934E-7</v>
      </c>
      <c r="K224" s="43" t="s">
        <v>910</v>
      </c>
      <c r="L224" s="43" t="s">
        <v>65</v>
      </c>
      <c r="N224" s="43" t="s">
        <v>229</v>
      </c>
      <c r="O224" s="43">
        <v>121</v>
      </c>
      <c r="P224" s="43" t="s">
        <v>688</v>
      </c>
      <c r="Q224" s="43" t="s">
        <v>377</v>
      </c>
      <c r="R224" s="43" t="s">
        <v>689</v>
      </c>
      <c r="S224" s="43" t="s">
        <v>380</v>
      </c>
      <c r="T224" s="43">
        <v>10</v>
      </c>
      <c r="U224" s="43">
        <v>-21.809899999999999</v>
      </c>
      <c r="V224" s="28">
        <v>-1.9390000000000001E-7</v>
      </c>
      <c r="W224" s="43" t="s">
        <v>910</v>
      </c>
      <c r="X224" s="43" t="s">
        <v>65</v>
      </c>
    </row>
    <row r="225" spans="2:24" x14ac:dyDescent="0.2">
      <c r="B225" s="43" t="s">
        <v>229</v>
      </c>
      <c r="C225" s="43">
        <v>121</v>
      </c>
      <c r="D225" s="43" t="s">
        <v>688</v>
      </c>
      <c r="E225" s="43" t="s">
        <v>107</v>
      </c>
      <c r="F225" s="43" t="s">
        <v>690</v>
      </c>
      <c r="G225" s="43" t="s">
        <v>382</v>
      </c>
      <c r="H225" s="43">
        <v>60</v>
      </c>
      <c r="I225" s="43">
        <v>-14.218500000000001</v>
      </c>
      <c r="J225" s="28">
        <v>-1.2639999999999999E-7</v>
      </c>
      <c r="K225" s="43" t="s">
        <v>910</v>
      </c>
      <c r="L225" s="43" t="s">
        <v>65</v>
      </c>
      <c r="N225" s="43" t="s">
        <v>229</v>
      </c>
      <c r="O225" s="43">
        <v>121</v>
      </c>
      <c r="P225" s="43" t="s">
        <v>688</v>
      </c>
      <c r="Q225" s="43" t="s">
        <v>377</v>
      </c>
      <c r="R225" s="43" t="s">
        <v>690</v>
      </c>
      <c r="S225" s="43" t="s">
        <v>382</v>
      </c>
      <c r="T225" s="43">
        <v>10</v>
      </c>
      <c r="U225" s="43">
        <v>-14.1744</v>
      </c>
      <c r="V225" s="28">
        <v>-1.2599999999999999E-7</v>
      </c>
      <c r="W225" s="43" t="s">
        <v>910</v>
      </c>
      <c r="X225" s="43" t="s">
        <v>65</v>
      </c>
    </row>
    <row r="226" spans="2:24" x14ac:dyDescent="0.2">
      <c r="B226" s="43" t="s">
        <v>229</v>
      </c>
      <c r="C226" s="43">
        <v>122</v>
      </c>
      <c r="D226" s="43" t="s">
        <v>688</v>
      </c>
      <c r="E226" s="43" t="s">
        <v>107</v>
      </c>
      <c r="F226" s="43" t="s">
        <v>691</v>
      </c>
      <c r="G226" s="43" t="s">
        <v>380</v>
      </c>
      <c r="H226" s="43">
        <v>60</v>
      </c>
      <c r="I226" s="43">
        <v>-14.4025</v>
      </c>
      <c r="J226" s="28">
        <v>-1.2069999999999999E-7</v>
      </c>
      <c r="K226" s="43" t="s">
        <v>910</v>
      </c>
      <c r="L226" s="43" t="s">
        <v>65</v>
      </c>
      <c r="N226" s="43" t="s">
        <v>229</v>
      </c>
      <c r="O226" s="43">
        <v>122</v>
      </c>
      <c r="P226" s="43" t="s">
        <v>688</v>
      </c>
      <c r="Q226" s="43" t="s">
        <v>377</v>
      </c>
      <c r="R226" s="43" t="s">
        <v>691</v>
      </c>
      <c r="S226" s="43" t="s">
        <v>380</v>
      </c>
      <c r="T226" s="43">
        <v>10</v>
      </c>
      <c r="U226" s="43">
        <v>-14.4481</v>
      </c>
      <c r="V226" s="28">
        <v>-1.2109999999999999E-7</v>
      </c>
      <c r="W226" s="43" t="s">
        <v>910</v>
      </c>
      <c r="X226" s="43" t="s">
        <v>65</v>
      </c>
    </row>
    <row r="227" spans="2:24" x14ac:dyDescent="0.2">
      <c r="B227" s="43" t="s">
        <v>229</v>
      </c>
      <c r="C227" s="43">
        <v>122</v>
      </c>
      <c r="D227" s="43" t="s">
        <v>688</v>
      </c>
      <c r="E227" s="43" t="s">
        <v>107</v>
      </c>
      <c r="F227" s="43" t="s">
        <v>692</v>
      </c>
      <c r="G227" s="43" t="s">
        <v>382</v>
      </c>
      <c r="H227" s="43">
        <v>60</v>
      </c>
      <c r="I227" s="43">
        <v>-14.2712</v>
      </c>
      <c r="J227" s="28">
        <v>-1.1960000000000001E-7</v>
      </c>
      <c r="K227" s="43" t="s">
        <v>910</v>
      </c>
      <c r="L227" s="43" t="s">
        <v>65</v>
      </c>
      <c r="N227" s="43" t="s">
        <v>229</v>
      </c>
      <c r="O227" s="43">
        <v>122</v>
      </c>
      <c r="P227" s="43" t="s">
        <v>688</v>
      </c>
      <c r="Q227" s="43" t="s">
        <v>377</v>
      </c>
      <c r="R227" s="43" t="s">
        <v>692</v>
      </c>
      <c r="S227" s="43" t="s">
        <v>382</v>
      </c>
      <c r="T227" s="43">
        <v>10</v>
      </c>
      <c r="U227" s="43">
        <v>-14.225899999999999</v>
      </c>
      <c r="V227" s="28">
        <v>-1.192E-7</v>
      </c>
      <c r="W227" s="43" t="s">
        <v>910</v>
      </c>
      <c r="X227" s="43" t="s">
        <v>65</v>
      </c>
    </row>
    <row r="228" spans="2:24" x14ac:dyDescent="0.2">
      <c r="B228" s="43" t="s">
        <v>229</v>
      </c>
      <c r="C228" s="43">
        <v>123</v>
      </c>
      <c r="D228" s="43" t="s">
        <v>688</v>
      </c>
      <c r="E228" s="43" t="s">
        <v>107</v>
      </c>
      <c r="F228" s="43" t="s">
        <v>693</v>
      </c>
      <c r="G228" s="43" t="s">
        <v>380</v>
      </c>
      <c r="H228" s="43">
        <v>60</v>
      </c>
      <c r="I228" s="43">
        <v>-14.346399999999999</v>
      </c>
      <c r="J228" s="28">
        <v>-1.275E-7</v>
      </c>
      <c r="K228" s="43" t="s">
        <v>910</v>
      </c>
      <c r="L228" s="43" t="s">
        <v>65</v>
      </c>
      <c r="N228" s="43" t="s">
        <v>229</v>
      </c>
      <c r="O228" s="43">
        <v>123</v>
      </c>
      <c r="P228" s="43" t="s">
        <v>688</v>
      </c>
      <c r="Q228" s="43" t="s">
        <v>377</v>
      </c>
      <c r="R228" s="43" t="s">
        <v>693</v>
      </c>
      <c r="S228" s="43" t="s">
        <v>380</v>
      </c>
      <c r="T228" s="43">
        <v>10</v>
      </c>
      <c r="U228" s="43">
        <v>-14.3901</v>
      </c>
      <c r="V228" s="28">
        <v>-1.279E-7</v>
      </c>
      <c r="W228" s="43" t="s">
        <v>910</v>
      </c>
      <c r="X228" s="43" t="s">
        <v>65</v>
      </c>
    </row>
    <row r="229" spans="2:24" x14ac:dyDescent="0.2">
      <c r="B229" s="43" t="s">
        <v>229</v>
      </c>
      <c r="C229" s="43">
        <v>123</v>
      </c>
      <c r="D229" s="43" t="s">
        <v>688</v>
      </c>
      <c r="E229" s="43" t="s">
        <v>107</v>
      </c>
      <c r="F229" s="43" t="s">
        <v>694</v>
      </c>
      <c r="G229" s="43" t="s">
        <v>382</v>
      </c>
      <c r="H229" s="43">
        <v>60</v>
      </c>
      <c r="I229" s="43">
        <v>-21.633800000000001</v>
      </c>
      <c r="J229" s="28">
        <v>-1.9229999999999999E-7</v>
      </c>
      <c r="K229" s="43" t="s">
        <v>910</v>
      </c>
      <c r="L229" s="43" t="s">
        <v>65</v>
      </c>
      <c r="N229" s="43" t="s">
        <v>229</v>
      </c>
      <c r="O229" s="43">
        <v>123</v>
      </c>
      <c r="P229" s="43" t="s">
        <v>688</v>
      </c>
      <c r="Q229" s="43" t="s">
        <v>377</v>
      </c>
      <c r="R229" s="43" t="s">
        <v>694</v>
      </c>
      <c r="S229" s="43" t="s">
        <v>382</v>
      </c>
      <c r="T229" s="43">
        <v>10</v>
      </c>
      <c r="U229" s="43">
        <v>-21.587800000000001</v>
      </c>
      <c r="V229" s="28">
        <v>-1.9189999999999999E-7</v>
      </c>
      <c r="W229" s="43" t="s">
        <v>910</v>
      </c>
      <c r="X229" s="43" t="s">
        <v>65</v>
      </c>
    </row>
    <row r="230" spans="2:24" x14ac:dyDescent="0.2">
      <c r="B230" s="43" t="s">
        <v>229</v>
      </c>
      <c r="C230" s="43">
        <v>124</v>
      </c>
      <c r="D230" s="43" t="s">
        <v>695</v>
      </c>
      <c r="E230" s="43" t="s">
        <v>107</v>
      </c>
      <c r="F230" s="43" t="s">
        <v>696</v>
      </c>
      <c r="G230" s="43" t="s">
        <v>380</v>
      </c>
      <c r="H230" s="43">
        <v>60</v>
      </c>
      <c r="I230" s="43">
        <v>-23.2363</v>
      </c>
      <c r="J230" s="28">
        <v>-2.382E-7</v>
      </c>
      <c r="K230" s="43" t="s">
        <v>910</v>
      </c>
      <c r="L230" s="43" t="s">
        <v>65</v>
      </c>
      <c r="N230" s="43" t="s">
        <v>229</v>
      </c>
      <c r="O230" s="43">
        <v>124</v>
      </c>
      <c r="P230" s="43" t="s">
        <v>695</v>
      </c>
      <c r="Q230" s="43" t="s">
        <v>377</v>
      </c>
      <c r="R230" s="43" t="s">
        <v>696</v>
      </c>
      <c r="S230" s="43" t="s">
        <v>380</v>
      </c>
      <c r="T230" s="43">
        <v>10</v>
      </c>
      <c r="U230" s="43">
        <v>-23.277100000000001</v>
      </c>
      <c r="V230" s="28">
        <v>-2.3859999999999998E-7</v>
      </c>
      <c r="W230" s="43" t="s">
        <v>910</v>
      </c>
      <c r="X230" s="43" t="s">
        <v>65</v>
      </c>
    </row>
    <row r="231" spans="2:24" x14ac:dyDescent="0.2">
      <c r="B231" s="43" t="s">
        <v>229</v>
      </c>
      <c r="C231" s="43">
        <v>124</v>
      </c>
      <c r="D231" s="43" t="s">
        <v>695</v>
      </c>
      <c r="E231" s="43" t="s">
        <v>107</v>
      </c>
      <c r="F231" s="43" t="s">
        <v>697</v>
      </c>
      <c r="G231" s="43" t="s">
        <v>382</v>
      </c>
      <c r="H231" s="43">
        <v>60</v>
      </c>
      <c r="I231" s="43">
        <v>-17.536999999999999</v>
      </c>
      <c r="J231" s="28">
        <v>-1.7980000000000001E-7</v>
      </c>
      <c r="K231" s="43" t="s">
        <v>910</v>
      </c>
      <c r="L231" s="43" t="s">
        <v>65</v>
      </c>
      <c r="N231" s="43" t="s">
        <v>229</v>
      </c>
      <c r="O231" s="43">
        <v>124</v>
      </c>
      <c r="P231" s="43" t="s">
        <v>695</v>
      </c>
      <c r="Q231" s="43" t="s">
        <v>377</v>
      </c>
      <c r="R231" s="43" t="s">
        <v>697</v>
      </c>
      <c r="S231" s="43" t="s">
        <v>382</v>
      </c>
      <c r="T231" s="43">
        <v>10</v>
      </c>
      <c r="U231" s="43">
        <v>-17.496500000000001</v>
      </c>
      <c r="V231" s="28">
        <v>-1.7940000000000001E-7</v>
      </c>
      <c r="W231" s="43" t="s">
        <v>910</v>
      </c>
      <c r="X231" s="43" t="s">
        <v>65</v>
      </c>
    </row>
    <row r="232" spans="2:24" x14ac:dyDescent="0.2">
      <c r="B232" s="43" t="s">
        <v>278</v>
      </c>
      <c r="C232" s="43">
        <v>167</v>
      </c>
      <c r="D232" s="43" t="s">
        <v>698</v>
      </c>
      <c r="E232" s="43" t="s">
        <v>107</v>
      </c>
      <c r="F232" s="43" t="s">
        <v>699</v>
      </c>
      <c r="G232" s="43" t="s">
        <v>380</v>
      </c>
      <c r="H232" s="43">
        <v>60</v>
      </c>
      <c r="I232" s="43">
        <v>-18.730799999999999</v>
      </c>
      <c r="J232" s="28">
        <v>-1.92E-7</v>
      </c>
      <c r="K232" s="43" t="s">
        <v>910</v>
      </c>
      <c r="L232" s="43" t="s">
        <v>65</v>
      </c>
      <c r="N232" s="43" t="s">
        <v>278</v>
      </c>
      <c r="O232" s="43">
        <v>167</v>
      </c>
      <c r="P232" s="43" t="s">
        <v>698</v>
      </c>
      <c r="Q232" s="43" t="s">
        <v>377</v>
      </c>
      <c r="R232" s="43" t="s">
        <v>699</v>
      </c>
      <c r="S232" s="43" t="s">
        <v>380</v>
      </c>
      <c r="T232" s="43">
        <v>10</v>
      </c>
      <c r="U232" s="43">
        <v>-18.779800000000002</v>
      </c>
      <c r="V232" s="28">
        <v>-1.9250000000000001E-7</v>
      </c>
      <c r="W232" s="43" t="s">
        <v>910</v>
      </c>
      <c r="X232" s="43" t="s">
        <v>65</v>
      </c>
    </row>
    <row r="233" spans="2:24" x14ac:dyDescent="0.2">
      <c r="B233" s="43" t="s">
        <v>278</v>
      </c>
      <c r="C233" s="43">
        <v>167</v>
      </c>
      <c r="D233" s="43" t="s">
        <v>698</v>
      </c>
      <c r="E233" s="43" t="s">
        <v>107</v>
      </c>
      <c r="F233" s="43" t="s">
        <v>700</v>
      </c>
      <c r="G233" s="43" t="s">
        <v>382</v>
      </c>
      <c r="H233" s="43">
        <v>60</v>
      </c>
      <c r="I233" s="43">
        <v>-24.721399999999999</v>
      </c>
      <c r="J233" s="28">
        <v>-2.5339999999999998E-7</v>
      </c>
      <c r="K233" s="43" t="s">
        <v>910</v>
      </c>
      <c r="L233" s="43" t="s">
        <v>65</v>
      </c>
      <c r="N233" s="43" t="s">
        <v>278</v>
      </c>
      <c r="O233" s="43">
        <v>167</v>
      </c>
      <c r="P233" s="43" t="s">
        <v>698</v>
      </c>
      <c r="Q233" s="43" t="s">
        <v>377</v>
      </c>
      <c r="R233" s="43" t="s">
        <v>700</v>
      </c>
      <c r="S233" s="43" t="s">
        <v>382</v>
      </c>
      <c r="T233" s="43">
        <v>10</v>
      </c>
      <c r="U233" s="43">
        <v>-24.6724</v>
      </c>
      <c r="V233" s="28">
        <v>-2.5289999999999999E-7</v>
      </c>
      <c r="W233" s="43" t="s">
        <v>910</v>
      </c>
      <c r="X233" s="43" t="s">
        <v>65</v>
      </c>
    </row>
    <row r="234" spans="2:24" x14ac:dyDescent="0.2">
      <c r="B234" s="43" t="s">
        <v>278</v>
      </c>
      <c r="C234" s="43">
        <v>168</v>
      </c>
      <c r="D234" s="43" t="s">
        <v>701</v>
      </c>
      <c r="E234" s="43" t="s">
        <v>107</v>
      </c>
      <c r="F234" s="43" t="s">
        <v>702</v>
      </c>
      <c r="G234" s="43" t="s">
        <v>380</v>
      </c>
      <c r="H234" s="43">
        <v>60</v>
      </c>
      <c r="I234" s="43">
        <v>-23.043900000000001</v>
      </c>
      <c r="J234" s="28">
        <v>-2.0480000000000001E-7</v>
      </c>
      <c r="K234" s="43" t="s">
        <v>910</v>
      </c>
      <c r="L234" s="43" t="s">
        <v>65</v>
      </c>
      <c r="N234" s="43" t="s">
        <v>278</v>
      </c>
      <c r="O234" s="43">
        <v>168</v>
      </c>
      <c r="P234" s="43" t="s">
        <v>701</v>
      </c>
      <c r="Q234" s="43" t="s">
        <v>377</v>
      </c>
      <c r="R234" s="43" t="s">
        <v>702</v>
      </c>
      <c r="S234" s="43" t="s">
        <v>380</v>
      </c>
      <c r="T234" s="43">
        <v>10</v>
      </c>
      <c r="U234" s="43">
        <v>-23.100999999999999</v>
      </c>
      <c r="V234" s="28">
        <v>-2.0529999999999999E-7</v>
      </c>
      <c r="W234" s="43" t="s">
        <v>910</v>
      </c>
      <c r="X234" s="43" t="s">
        <v>65</v>
      </c>
    </row>
    <row r="235" spans="2:24" x14ac:dyDescent="0.2">
      <c r="B235" s="43" t="s">
        <v>278</v>
      </c>
      <c r="C235" s="43">
        <v>168</v>
      </c>
      <c r="D235" s="43" t="s">
        <v>701</v>
      </c>
      <c r="E235" s="43" t="s">
        <v>107</v>
      </c>
      <c r="F235" s="43" t="s">
        <v>703</v>
      </c>
      <c r="G235" s="43" t="s">
        <v>382</v>
      </c>
      <c r="H235" s="43">
        <v>60</v>
      </c>
      <c r="I235" s="43">
        <v>-15.3659</v>
      </c>
      <c r="J235" s="28">
        <v>-1.3659999999999999E-7</v>
      </c>
      <c r="K235" s="43" t="s">
        <v>910</v>
      </c>
      <c r="L235" s="43" t="s">
        <v>65</v>
      </c>
      <c r="N235" s="43" t="s">
        <v>278</v>
      </c>
      <c r="O235" s="43">
        <v>168</v>
      </c>
      <c r="P235" s="43" t="s">
        <v>701</v>
      </c>
      <c r="Q235" s="43" t="s">
        <v>377</v>
      </c>
      <c r="R235" s="43" t="s">
        <v>703</v>
      </c>
      <c r="S235" s="43" t="s">
        <v>382</v>
      </c>
      <c r="T235" s="43">
        <v>10</v>
      </c>
      <c r="U235" s="43">
        <v>-15.3119</v>
      </c>
      <c r="V235" s="28">
        <v>-1.3610000000000001E-7</v>
      </c>
      <c r="W235" s="43" t="s">
        <v>910</v>
      </c>
      <c r="X235" s="43" t="s">
        <v>65</v>
      </c>
    </row>
    <row r="236" spans="2:24" x14ac:dyDescent="0.2">
      <c r="B236" s="43" t="s">
        <v>278</v>
      </c>
      <c r="C236" s="43">
        <v>169</v>
      </c>
      <c r="D236" s="43" t="s">
        <v>701</v>
      </c>
      <c r="E236" s="43" t="s">
        <v>107</v>
      </c>
      <c r="F236" s="43" t="s">
        <v>704</v>
      </c>
      <c r="G236" s="43" t="s">
        <v>380</v>
      </c>
      <c r="H236" s="43">
        <v>60</v>
      </c>
      <c r="I236" s="43">
        <v>-15.339399999999999</v>
      </c>
      <c r="J236" s="28">
        <v>-1.286E-7</v>
      </c>
      <c r="K236" s="43" t="s">
        <v>910</v>
      </c>
      <c r="L236" s="43" t="s">
        <v>65</v>
      </c>
      <c r="N236" s="43" t="s">
        <v>278</v>
      </c>
      <c r="O236" s="43">
        <v>169</v>
      </c>
      <c r="P236" s="43" t="s">
        <v>701</v>
      </c>
      <c r="Q236" s="43" t="s">
        <v>377</v>
      </c>
      <c r="R236" s="43" t="s">
        <v>704</v>
      </c>
      <c r="S236" s="43" t="s">
        <v>380</v>
      </c>
      <c r="T236" s="43">
        <v>10</v>
      </c>
      <c r="U236" s="43">
        <v>-15.395099999999999</v>
      </c>
      <c r="V236" s="28">
        <v>-1.29E-7</v>
      </c>
      <c r="W236" s="43" t="s">
        <v>910</v>
      </c>
      <c r="X236" s="43" t="s">
        <v>65</v>
      </c>
    </row>
    <row r="237" spans="2:24" x14ac:dyDescent="0.2">
      <c r="B237" s="43" t="s">
        <v>278</v>
      </c>
      <c r="C237" s="43">
        <v>169</v>
      </c>
      <c r="D237" s="43" t="s">
        <v>701</v>
      </c>
      <c r="E237" s="43" t="s">
        <v>107</v>
      </c>
      <c r="F237" s="43" t="s">
        <v>705</v>
      </c>
      <c r="G237" s="43" t="s">
        <v>382</v>
      </c>
      <c r="H237" s="43">
        <v>60</v>
      </c>
      <c r="I237" s="43">
        <v>-15.44</v>
      </c>
      <c r="J237" s="28">
        <v>-1.2940000000000001E-7</v>
      </c>
      <c r="K237" s="43" t="s">
        <v>910</v>
      </c>
      <c r="L237" s="43" t="s">
        <v>65</v>
      </c>
      <c r="N237" s="43" t="s">
        <v>278</v>
      </c>
      <c r="O237" s="43">
        <v>169</v>
      </c>
      <c r="P237" s="43" t="s">
        <v>701</v>
      </c>
      <c r="Q237" s="43" t="s">
        <v>377</v>
      </c>
      <c r="R237" s="43" t="s">
        <v>705</v>
      </c>
      <c r="S237" s="43" t="s">
        <v>382</v>
      </c>
      <c r="T237" s="43">
        <v>10</v>
      </c>
      <c r="U237" s="43">
        <v>-15.384600000000001</v>
      </c>
      <c r="V237" s="28">
        <v>-1.289E-7</v>
      </c>
      <c r="W237" s="43" t="s">
        <v>910</v>
      </c>
      <c r="X237" s="43" t="s">
        <v>65</v>
      </c>
    </row>
    <row r="238" spans="2:24" x14ac:dyDescent="0.2">
      <c r="B238" s="43" t="s">
        <v>278</v>
      </c>
      <c r="C238" s="43">
        <v>170</v>
      </c>
      <c r="D238" s="43" t="s">
        <v>701</v>
      </c>
      <c r="E238" s="43" t="s">
        <v>107</v>
      </c>
      <c r="F238" s="43" t="s">
        <v>706</v>
      </c>
      <c r="G238" s="43" t="s">
        <v>380</v>
      </c>
      <c r="H238" s="43">
        <v>60</v>
      </c>
      <c r="I238" s="43">
        <v>-15.2644</v>
      </c>
      <c r="J238" s="28">
        <v>-1.357E-7</v>
      </c>
      <c r="K238" s="43" t="s">
        <v>910</v>
      </c>
      <c r="L238" s="43" t="s">
        <v>65</v>
      </c>
      <c r="N238" s="43" t="s">
        <v>278</v>
      </c>
      <c r="O238" s="43">
        <v>170</v>
      </c>
      <c r="P238" s="43" t="s">
        <v>701</v>
      </c>
      <c r="Q238" s="43" t="s">
        <v>377</v>
      </c>
      <c r="R238" s="43" t="s">
        <v>706</v>
      </c>
      <c r="S238" s="43" t="s">
        <v>380</v>
      </c>
      <c r="T238" s="43">
        <v>10</v>
      </c>
      <c r="U238" s="43">
        <v>-15.318</v>
      </c>
      <c r="V238" s="28">
        <v>-1.3619999999999999E-7</v>
      </c>
      <c r="W238" s="43" t="s">
        <v>910</v>
      </c>
      <c r="X238" s="43" t="s">
        <v>65</v>
      </c>
    </row>
    <row r="239" spans="2:24" x14ac:dyDescent="0.2">
      <c r="B239" s="43" t="s">
        <v>278</v>
      </c>
      <c r="C239" s="43">
        <v>170</v>
      </c>
      <c r="D239" s="43" t="s">
        <v>701</v>
      </c>
      <c r="E239" s="43" t="s">
        <v>107</v>
      </c>
      <c r="F239" s="43" t="s">
        <v>707</v>
      </c>
      <c r="G239" s="43" t="s">
        <v>382</v>
      </c>
      <c r="H239" s="43">
        <v>60</v>
      </c>
      <c r="I239" s="43">
        <v>-23.151700000000002</v>
      </c>
      <c r="J239" s="28">
        <v>-2.058E-7</v>
      </c>
      <c r="K239" s="43" t="s">
        <v>910</v>
      </c>
      <c r="L239" s="43" t="s">
        <v>65</v>
      </c>
      <c r="N239" s="43" t="s">
        <v>278</v>
      </c>
      <c r="O239" s="43">
        <v>170</v>
      </c>
      <c r="P239" s="43" t="s">
        <v>701</v>
      </c>
      <c r="Q239" s="43" t="s">
        <v>377</v>
      </c>
      <c r="R239" s="43" t="s">
        <v>707</v>
      </c>
      <c r="S239" s="43" t="s">
        <v>382</v>
      </c>
      <c r="T239" s="43">
        <v>10</v>
      </c>
      <c r="U239" s="43">
        <v>-23.095400000000001</v>
      </c>
      <c r="V239" s="28">
        <v>-2.0529999999999999E-7</v>
      </c>
      <c r="W239" s="43" t="s">
        <v>910</v>
      </c>
      <c r="X239" s="43" t="s">
        <v>65</v>
      </c>
    </row>
    <row r="240" spans="2:24" x14ac:dyDescent="0.2">
      <c r="B240" s="43" t="s">
        <v>278</v>
      </c>
      <c r="C240" s="43">
        <v>171</v>
      </c>
      <c r="D240" s="43" t="s">
        <v>708</v>
      </c>
      <c r="E240" s="43" t="s">
        <v>107</v>
      </c>
      <c r="F240" s="43" t="s">
        <v>709</v>
      </c>
      <c r="G240" s="43" t="s">
        <v>380</v>
      </c>
      <c r="H240" s="43">
        <v>60</v>
      </c>
      <c r="I240" s="43">
        <v>-24.631399999999999</v>
      </c>
      <c r="J240" s="28">
        <v>-2.5250000000000002E-7</v>
      </c>
      <c r="K240" s="43" t="s">
        <v>910</v>
      </c>
      <c r="L240" s="43" t="s">
        <v>65</v>
      </c>
      <c r="N240" s="43" t="s">
        <v>278</v>
      </c>
      <c r="O240" s="43">
        <v>171</v>
      </c>
      <c r="P240" s="43" t="s">
        <v>708</v>
      </c>
      <c r="Q240" s="43" t="s">
        <v>377</v>
      </c>
      <c r="R240" s="43" t="s">
        <v>709</v>
      </c>
      <c r="S240" s="43" t="s">
        <v>380</v>
      </c>
      <c r="T240" s="43">
        <v>10</v>
      </c>
      <c r="U240" s="43">
        <v>-24.6816</v>
      </c>
      <c r="V240" s="28">
        <v>-2.53E-7</v>
      </c>
      <c r="W240" s="43" t="s">
        <v>910</v>
      </c>
      <c r="X240" s="43" t="s">
        <v>65</v>
      </c>
    </row>
    <row r="241" spans="2:24" x14ac:dyDescent="0.2">
      <c r="B241" s="43" t="s">
        <v>278</v>
      </c>
      <c r="C241" s="43">
        <v>171</v>
      </c>
      <c r="D241" s="43" t="s">
        <v>708</v>
      </c>
      <c r="E241" s="43" t="s">
        <v>107</v>
      </c>
      <c r="F241" s="43" t="s">
        <v>710</v>
      </c>
      <c r="G241" s="43" t="s">
        <v>382</v>
      </c>
      <c r="H241" s="43">
        <v>60</v>
      </c>
      <c r="I241" s="43">
        <v>-18.802099999999999</v>
      </c>
      <c r="J241" s="28">
        <v>-1.927E-7</v>
      </c>
      <c r="K241" s="43" t="s">
        <v>910</v>
      </c>
      <c r="L241" s="43" t="s">
        <v>65</v>
      </c>
      <c r="N241" s="43" t="s">
        <v>278</v>
      </c>
      <c r="O241" s="43">
        <v>171</v>
      </c>
      <c r="P241" s="43" t="s">
        <v>708</v>
      </c>
      <c r="Q241" s="43" t="s">
        <v>377</v>
      </c>
      <c r="R241" s="43" t="s">
        <v>710</v>
      </c>
      <c r="S241" s="43" t="s">
        <v>382</v>
      </c>
      <c r="T241" s="43">
        <v>10</v>
      </c>
      <c r="U241" s="43">
        <v>-18.7532</v>
      </c>
      <c r="V241" s="28">
        <v>-1.9219999999999999E-7</v>
      </c>
      <c r="W241" s="43" t="s">
        <v>910</v>
      </c>
      <c r="X241" s="43" t="s">
        <v>65</v>
      </c>
    </row>
    <row r="242" spans="2:24" x14ac:dyDescent="0.2">
      <c r="B242" s="43" t="s">
        <v>278</v>
      </c>
      <c r="C242" s="43">
        <v>149</v>
      </c>
      <c r="D242" s="43" t="s">
        <v>711</v>
      </c>
      <c r="E242" s="43" t="s">
        <v>107</v>
      </c>
      <c r="F242" s="43" t="s">
        <v>712</v>
      </c>
      <c r="G242" s="43" t="s">
        <v>380</v>
      </c>
      <c r="H242" s="43">
        <v>60</v>
      </c>
      <c r="I242" s="43">
        <v>-83.645399999999995</v>
      </c>
      <c r="J242" s="28">
        <v>-9.9999999999999995E-7</v>
      </c>
      <c r="K242" s="43" t="s">
        <v>910</v>
      </c>
      <c r="L242" s="43" t="s">
        <v>65</v>
      </c>
      <c r="N242" s="43" t="s">
        <v>278</v>
      </c>
      <c r="O242" s="43">
        <v>149</v>
      </c>
      <c r="P242" s="43" t="s">
        <v>711</v>
      </c>
      <c r="Q242" s="43" t="s">
        <v>377</v>
      </c>
      <c r="R242" s="43" t="s">
        <v>712</v>
      </c>
      <c r="S242" s="43" t="s">
        <v>380</v>
      </c>
      <c r="T242" s="43">
        <v>10</v>
      </c>
      <c r="U242" s="43">
        <v>-83.656199999999998</v>
      </c>
      <c r="V242" s="28">
        <v>-9.9999999999999995E-7</v>
      </c>
      <c r="W242" s="43" t="s">
        <v>910</v>
      </c>
      <c r="X242" s="43" t="s">
        <v>65</v>
      </c>
    </row>
    <row r="243" spans="2:24" x14ac:dyDescent="0.2">
      <c r="B243" s="43" t="s">
        <v>278</v>
      </c>
      <c r="C243" s="43">
        <v>149</v>
      </c>
      <c r="D243" s="43" t="s">
        <v>711</v>
      </c>
      <c r="E243" s="43" t="s">
        <v>107</v>
      </c>
      <c r="F243" s="43" t="s">
        <v>713</v>
      </c>
      <c r="G243" s="43" t="s">
        <v>382</v>
      </c>
      <c r="H243" s="43">
        <v>60</v>
      </c>
      <c r="I243" s="43">
        <v>-10.3543</v>
      </c>
      <c r="J243" s="28">
        <v>-9.2039999999999996E-8</v>
      </c>
      <c r="K243" s="43" t="s">
        <v>910</v>
      </c>
      <c r="L243" s="43" t="s">
        <v>65</v>
      </c>
      <c r="N243" s="43" t="s">
        <v>278</v>
      </c>
      <c r="O243" s="43">
        <v>149</v>
      </c>
      <c r="P243" s="43" t="s">
        <v>711</v>
      </c>
      <c r="Q243" s="43" t="s">
        <v>377</v>
      </c>
      <c r="R243" s="43" t="s">
        <v>713</v>
      </c>
      <c r="S243" s="43" t="s">
        <v>382</v>
      </c>
      <c r="T243" s="43">
        <v>10</v>
      </c>
      <c r="U243" s="43">
        <v>-10.354799999999999</v>
      </c>
      <c r="V243" s="28">
        <v>-9.2039999999999996E-8</v>
      </c>
      <c r="W243" s="43" t="s">
        <v>910</v>
      </c>
      <c r="X243" s="43" t="s">
        <v>65</v>
      </c>
    </row>
    <row r="244" spans="2:24" x14ac:dyDescent="0.2">
      <c r="B244" s="43" t="s">
        <v>278</v>
      </c>
      <c r="C244" s="43">
        <v>152</v>
      </c>
      <c r="D244" s="43" t="s">
        <v>714</v>
      </c>
      <c r="E244" s="43" t="s">
        <v>107</v>
      </c>
      <c r="F244" s="43" t="s">
        <v>715</v>
      </c>
      <c r="G244" s="43" t="s">
        <v>380</v>
      </c>
      <c r="H244" s="43">
        <v>60</v>
      </c>
      <c r="I244" s="43">
        <v>-104.2668</v>
      </c>
      <c r="J244" s="28">
        <v>-9.9999999999999995E-7</v>
      </c>
      <c r="K244" s="43" t="s">
        <v>910</v>
      </c>
      <c r="L244" s="43" t="s">
        <v>65</v>
      </c>
      <c r="N244" s="43" t="s">
        <v>278</v>
      </c>
      <c r="O244" s="43">
        <v>152</v>
      </c>
      <c r="P244" s="43" t="s">
        <v>714</v>
      </c>
      <c r="Q244" s="43" t="s">
        <v>377</v>
      </c>
      <c r="R244" s="43" t="s">
        <v>715</v>
      </c>
      <c r="S244" s="43" t="s">
        <v>380</v>
      </c>
      <c r="T244" s="43">
        <v>10</v>
      </c>
      <c r="U244" s="43">
        <v>-104.27670000000001</v>
      </c>
      <c r="V244" s="28">
        <v>-9.9999999999999995E-7</v>
      </c>
      <c r="W244" s="43" t="s">
        <v>910</v>
      </c>
      <c r="X244" s="43" t="s">
        <v>65</v>
      </c>
    </row>
    <row r="245" spans="2:24" x14ac:dyDescent="0.2">
      <c r="B245" s="43" t="s">
        <v>278</v>
      </c>
      <c r="C245" s="43">
        <v>152</v>
      </c>
      <c r="D245" s="43" t="s">
        <v>714</v>
      </c>
      <c r="E245" s="43" t="s">
        <v>107</v>
      </c>
      <c r="F245" s="43" t="s">
        <v>716</v>
      </c>
      <c r="G245" s="43" t="s">
        <v>382</v>
      </c>
      <c r="H245" s="43">
        <v>60</v>
      </c>
      <c r="I245" s="43">
        <v>-26.159700000000001</v>
      </c>
      <c r="J245" s="28">
        <v>-1.7639999999999999E-7</v>
      </c>
      <c r="K245" s="43" t="s">
        <v>910</v>
      </c>
      <c r="L245" s="43" t="s">
        <v>65</v>
      </c>
      <c r="N245" s="43" t="s">
        <v>278</v>
      </c>
      <c r="O245" s="43">
        <v>152</v>
      </c>
      <c r="P245" s="43" t="s">
        <v>714</v>
      </c>
      <c r="Q245" s="43" t="s">
        <v>377</v>
      </c>
      <c r="R245" s="43" t="s">
        <v>716</v>
      </c>
      <c r="S245" s="43" t="s">
        <v>382</v>
      </c>
      <c r="T245" s="43">
        <v>10</v>
      </c>
      <c r="U245" s="43">
        <v>-26.151</v>
      </c>
      <c r="V245" s="28">
        <v>-1.7630000000000001E-7</v>
      </c>
      <c r="W245" s="43" t="s">
        <v>910</v>
      </c>
      <c r="X245" s="43" t="s">
        <v>65</v>
      </c>
    </row>
    <row r="246" spans="2:24" x14ac:dyDescent="0.2">
      <c r="B246" s="43" t="s">
        <v>278</v>
      </c>
      <c r="C246" s="43">
        <v>155</v>
      </c>
      <c r="D246" s="43" t="s">
        <v>717</v>
      </c>
      <c r="E246" s="43" t="s">
        <v>107</v>
      </c>
      <c r="F246" s="43" t="s">
        <v>718</v>
      </c>
      <c r="G246" s="43" t="s">
        <v>380</v>
      </c>
      <c r="H246" s="43">
        <v>60</v>
      </c>
      <c r="I246" s="43">
        <v>-112.7941</v>
      </c>
      <c r="J246" s="28">
        <v>-9.9999999999999995E-7</v>
      </c>
      <c r="K246" s="43" t="s">
        <v>910</v>
      </c>
      <c r="L246" s="43" t="s">
        <v>65</v>
      </c>
      <c r="N246" s="43" t="s">
        <v>278</v>
      </c>
      <c r="O246" s="43">
        <v>155</v>
      </c>
      <c r="P246" s="43" t="s">
        <v>717</v>
      </c>
      <c r="Q246" s="43" t="s">
        <v>377</v>
      </c>
      <c r="R246" s="43" t="s">
        <v>718</v>
      </c>
      <c r="S246" s="43" t="s">
        <v>380</v>
      </c>
      <c r="T246" s="43">
        <v>10</v>
      </c>
      <c r="U246" s="43">
        <v>-112.80629999999999</v>
      </c>
      <c r="V246" s="28">
        <v>-9.9999999999999995E-7</v>
      </c>
      <c r="W246" s="43" t="s">
        <v>910</v>
      </c>
      <c r="X246" s="43" t="s">
        <v>65</v>
      </c>
    </row>
    <row r="247" spans="2:24" x14ac:dyDescent="0.2">
      <c r="B247" s="43" t="s">
        <v>278</v>
      </c>
      <c r="C247" s="43">
        <v>155</v>
      </c>
      <c r="D247" s="43" t="s">
        <v>717</v>
      </c>
      <c r="E247" s="43" t="s">
        <v>107</v>
      </c>
      <c r="F247" s="43" t="s">
        <v>719</v>
      </c>
      <c r="G247" s="43" t="s">
        <v>382</v>
      </c>
      <c r="H247" s="43">
        <v>60</v>
      </c>
      <c r="I247" s="43">
        <v>-12.380100000000001</v>
      </c>
      <c r="J247" s="28">
        <v>-8.7509999999999994E-8</v>
      </c>
      <c r="K247" s="43" t="s">
        <v>910</v>
      </c>
      <c r="L247" s="43" t="s">
        <v>65</v>
      </c>
      <c r="N247" s="43" t="s">
        <v>278</v>
      </c>
      <c r="O247" s="43">
        <v>155</v>
      </c>
      <c r="P247" s="43" t="s">
        <v>717</v>
      </c>
      <c r="Q247" s="43" t="s">
        <v>377</v>
      </c>
      <c r="R247" s="43" t="s">
        <v>719</v>
      </c>
      <c r="S247" s="43" t="s">
        <v>382</v>
      </c>
      <c r="T247" s="43">
        <v>10</v>
      </c>
      <c r="U247" s="43">
        <v>-12.369199999999999</v>
      </c>
      <c r="V247" s="28">
        <v>-8.7429999999999996E-8</v>
      </c>
      <c r="W247" s="43" t="s">
        <v>910</v>
      </c>
      <c r="X247" s="43" t="s">
        <v>65</v>
      </c>
    </row>
    <row r="248" spans="2:24" x14ac:dyDescent="0.2">
      <c r="B248" s="43" t="s">
        <v>278</v>
      </c>
      <c r="C248" s="43">
        <v>158</v>
      </c>
      <c r="D248" s="43" t="s">
        <v>720</v>
      </c>
      <c r="E248" s="43" t="s">
        <v>107</v>
      </c>
      <c r="F248" s="43" t="s">
        <v>721</v>
      </c>
      <c r="G248" s="43" t="s">
        <v>380</v>
      </c>
      <c r="H248" s="43">
        <v>60</v>
      </c>
      <c r="I248" s="43">
        <v>-112.7576</v>
      </c>
      <c r="J248" s="28">
        <v>-9.9999999999999995E-7</v>
      </c>
      <c r="K248" s="43" t="s">
        <v>910</v>
      </c>
      <c r="L248" s="43" t="s">
        <v>65</v>
      </c>
      <c r="N248" s="43" t="s">
        <v>278</v>
      </c>
      <c r="O248" s="43">
        <v>158</v>
      </c>
      <c r="P248" s="43" t="s">
        <v>720</v>
      </c>
      <c r="Q248" s="43" t="s">
        <v>377</v>
      </c>
      <c r="R248" s="43" t="s">
        <v>721</v>
      </c>
      <c r="S248" s="43" t="s">
        <v>380</v>
      </c>
      <c r="T248" s="43">
        <v>10</v>
      </c>
      <c r="U248" s="43">
        <v>-112.7713</v>
      </c>
      <c r="V248" s="28">
        <v>-9.9999999999999995E-7</v>
      </c>
      <c r="W248" s="43" t="s">
        <v>910</v>
      </c>
      <c r="X248" s="43" t="s">
        <v>65</v>
      </c>
    </row>
    <row r="249" spans="2:24" x14ac:dyDescent="0.2">
      <c r="B249" s="43" t="s">
        <v>278</v>
      </c>
      <c r="C249" s="43">
        <v>158</v>
      </c>
      <c r="D249" s="43" t="s">
        <v>720</v>
      </c>
      <c r="E249" s="43" t="s">
        <v>107</v>
      </c>
      <c r="F249" s="43" t="s">
        <v>722</v>
      </c>
      <c r="G249" s="43" t="s">
        <v>382</v>
      </c>
      <c r="H249" s="43">
        <v>60</v>
      </c>
      <c r="I249" s="43">
        <v>-12.415699999999999</v>
      </c>
      <c r="J249" s="28">
        <v>-8.776E-8</v>
      </c>
      <c r="K249" s="43" t="s">
        <v>910</v>
      </c>
      <c r="L249" s="43" t="s">
        <v>65</v>
      </c>
      <c r="N249" s="43" t="s">
        <v>278</v>
      </c>
      <c r="O249" s="43">
        <v>158</v>
      </c>
      <c r="P249" s="43" t="s">
        <v>720</v>
      </c>
      <c r="Q249" s="43" t="s">
        <v>377</v>
      </c>
      <c r="R249" s="43" t="s">
        <v>722</v>
      </c>
      <c r="S249" s="43" t="s">
        <v>382</v>
      </c>
      <c r="T249" s="43">
        <v>10</v>
      </c>
      <c r="U249" s="43">
        <v>-12.4031</v>
      </c>
      <c r="V249" s="28">
        <v>-8.7670000000000004E-8</v>
      </c>
      <c r="W249" s="43" t="s">
        <v>910</v>
      </c>
      <c r="X249" s="43" t="s">
        <v>65</v>
      </c>
    </row>
    <row r="250" spans="2:24" x14ac:dyDescent="0.2">
      <c r="B250" s="43" t="s">
        <v>278</v>
      </c>
      <c r="C250" s="43">
        <v>161</v>
      </c>
      <c r="D250" s="43" t="s">
        <v>723</v>
      </c>
      <c r="E250" s="43" t="s">
        <v>107</v>
      </c>
      <c r="F250" s="43" t="s">
        <v>724</v>
      </c>
      <c r="G250" s="43" t="s">
        <v>380</v>
      </c>
      <c r="H250" s="43">
        <v>60</v>
      </c>
      <c r="I250" s="43">
        <v>-104.1559</v>
      </c>
      <c r="J250" s="28">
        <v>-9.9999999999999995E-7</v>
      </c>
      <c r="K250" s="43" t="s">
        <v>910</v>
      </c>
      <c r="L250" s="43" t="s">
        <v>65</v>
      </c>
      <c r="N250" s="43" t="s">
        <v>278</v>
      </c>
      <c r="O250" s="43">
        <v>161</v>
      </c>
      <c r="P250" s="43" t="s">
        <v>723</v>
      </c>
      <c r="Q250" s="43" t="s">
        <v>377</v>
      </c>
      <c r="R250" s="43" t="s">
        <v>724</v>
      </c>
      <c r="S250" s="43" t="s">
        <v>380</v>
      </c>
      <c r="T250" s="43">
        <v>10</v>
      </c>
      <c r="U250" s="43">
        <v>-104.1709</v>
      </c>
      <c r="V250" s="28">
        <v>-9.9999999999999995E-7</v>
      </c>
      <c r="W250" s="43" t="s">
        <v>910</v>
      </c>
      <c r="X250" s="43" t="s">
        <v>65</v>
      </c>
    </row>
    <row r="251" spans="2:24" x14ac:dyDescent="0.2">
      <c r="B251" s="43" t="s">
        <v>278</v>
      </c>
      <c r="C251" s="43">
        <v>161</v>
      </c>
      <c r="D251" s="43" t="s">
        <v>723</v>
      </c>
      <c r="E251" s="43" t="s">
        <v>107</v>
      </c>
      <c r="F251" s="43" t="s">
        <v>725</v>
      </c>
      <c r="G251" s="43" t="s">
        <v>382</v>
      </c>
      <c r="H251" s="43">
        <v>60</v>
      </c>
      <c r="I251" s="43">
        <v>-26.2607</v>
      </c>
      <c r="J251" s="28">
        <v>-1.7709999999999999E-7</v>
      </c>
      <c r="K251" s="43" t="s">
        <v>910</v>
      </c>
      <c r="L251" s="43" t="s">
        <v>65</v>
      </c>
      <c r="N251" s="43" t="s">
        <v>278</v>
      </c>
      <c r="O251" s="43">
        <v>161</v>
      </c>
      <c r="P251" s="43" t="s">
        <v>723</v>
      </c>
      <c r="Q251" s="43" t="s">
        <v>377</v>
      </c>
      <c r="R251" s="43" t="s">
        <v>725</v>
      </c>
      <c r="S251" s="43" t="s">
        <v>382</v>
      </c>
      <c r="T251" s="43">
        <v>10</v>
      </c>
      <c r="U251" s="43">
        <v>-26.245100000000001</v>
      </c>
      <c r="V251" s="28">
        <v>-1.7700000000000001E-7</v>
      </c>
      <c r="W251" s="43" t="s">
        <v>910</v>
      </c>
      <c r="X251" s="43" t="s">
        <v>65</v>
      </c>
    </row>
    <row r="252" spans="2:24" x14ac:dyDescent="0.2">
      <c r="B252" s="43" t="s">
        <v>278</v>
      </c>
      <c r="C252" s="43">
        <v>164</v>
      </c>
      <c r="D252" s="43" t="s">
        <v>726</v>
      </c>
      <c r="E252" s="43" t="s">
        <v>107</v>
      </c>
      <c r="F252" s="43" t="s">
        <v>727</v>
      </c>
      <c r="G252" s="43" t="s">
        <v>380</v>
      </c>
      <c r="H252" s="43">
        <v>60</v>
      </c>
      <c r="I252" s="43">
        <v>-83.505399999999995</v>
      </c>
      <c r="J252" s="28">
        <v>-9.9999999999999995E-7</v>
      </c>
      <c r="K252" s="43" t="s">
        <v>910</v>
      </c>
      <c r="L252" s="43" t="s">
        <v>65</v>
      </c>
      <c r="N252" s="43" t="s">
        <v>278</v>
      </c>
      <c r="O252" s="43">
        <v>164</v>
      </c>
      <c r="P252" s="43" t="s">
        <v>726</v>
      </c>
      <c r="Q252" s="43" t="s">
        <v>377</v>
      </c>
      <c r="R252" s="43" t="s">
        <v>727</v>
      </c>
      <c r="S252" s="43" t="s">
        <v>380</v>
      </c>
      <c r="T252" s="43">
        <v>10</v>
      </c>
      <c r="U252" s="43">
        <v>-83.5154</v>
      </c>
      <c r="V252" s="28">
        <v>-9.9999999999999995E-7</v>
      </c>
      <c r="W252" s="43" t="s">
        <v>910</v>
      </c>
      <c r="X252" s="43" t="s">
        <v>65</v>
      </c>
    </row>
    <row r="253" spans="2:24" x14ac:dyDescent="0.2">
      <c r="B253" s="43" t="s">
        <v>278</v>
      </c>
      <c r="C253" s="43">
        <v>164</v>
      </c>
      <c r="D253" s="43" t="s">
        <v>726</v>
      </c>
      <c r="E253" s="43" t="s">
        <v>107</v>
      </c>
      <c r="F253" s="43" t="s">
        <v>728</v>
      </c>
      <c r="G253" s="43" t="s">
        <v>382</v>
      </c>
      <c r="H253" s="43">
        <v>60</v>
      </c>
      <c r="I253" s="43">
        <v>-10.499000000000001</v>
      </c>
      <c r="J253" s="28">
        <v>-9.3320000000000004E-8</v>
      </c>
      <c r="K253" s="43" t="s">
        <v>910</v>
      </c>
      <c r="L253" s="43" t="s">
        <v>65</v>
      </c>
      <c r="N253" s="43" t="s">
        <v>278</v>
      </c>
      <c r="O253" s="43">
        <v>164</v>
      </c>
      <c r="P253" s="43" t="s">
        <v>726</v>
      </c>
      <c r="Q253" s="43" t="s">
        <v>377</v>
      </c>
      <c r="R253" s="43" t="s">
        <v>728</v>
      </c>
      <c r="S253" s="43" t="s">
        <v>382</v>
      </c>
      <c r="T253" s="43">
        <v>10</v>
      </c>
      <c r="U253" s="43">
        <v>-10.4795</v>
      </c>
      <c r="V253" s="28">
        <v>-9.3149999999999997E-8</v>
      </c>
      <c r="W253" s="43" t="s">
        <v>910</v>
      </c>
      <c r="X253" s="43" t="s">
        <v>65</v>
      </c>
    </row>
    <row r="254" spans="2:24" x14ac:dyDescent="0.2">
      <c r="B254" s="43" t="s">
        <v>278</v>
      </c>
      <c r="C254" s="43">
        <v>172</v>
      </c>
      <c r="D254" s="43" t="s">
        <v>729</v>
      </c>
      <c r="E254" s="43" t="s">
        <v>107</v>
      </c>
      <c r="F254" s="43" t="s">
        <v>730</v>
      </c>
      <c r="G254" s="43" t="s">
        <v>380</v>
      </c>
      <c r="H254" s="43">
        <v>60</v>
      </c>
      <c r="I254" s="43">
        <v>-26.5548</v>
      </c>
      <c r="J254" s="28">
        <v>-1.983E-7</v>
      </c>
      <c r="K254" s="43" t="s">
        <v>910</v>
      </c>
      <c r="L254" s="43" t="s">
        <v>65</v>
      </c>
      <c r="N254" s="43" t="s">
        <v>278</v>
      </c>
      <c r="O254" s="43">
        <v>172</v>
      </c>
      <c r="P254" s="43" t="s">
        <v>729</v>
      </c>
      <c r="Q254" s="43" t="s">
        <v>377</v>
      </c>
      <c r="R254" s="43" t="s">
        <v>730</v>
      </c>
      <c r="S254" s="43" t="s">
        <v>380</v>
      </c>
      <c r="T254" s="43">
        <v>10</v>
      </c>
      <c r="U254" s="43">
        <v>-26.620699999999999</v>
      </c>
      <c r="V254" s="28">
        <v>-1.9880000000000001E-7</v>
      </c>
      <c r="W254" s="43" t="s">
        <v>910</v>
      </c>
      <c r="X254" s="43" t="s">
        <v>65</v>
      </c>
    </row>
    <row r="255" spans="2:24" x14ac:dyDescent="0.2">
      <c r="B255" s="43" t="s">
        <v>278</v>
      </c>
      <c r="C255" s="43">
        <v>172</v>
      </c>
      <c r="D255" s="43" t="s">
        <v>729</v>
      </c>
      <c r="E255" s="43" t="s">
        <v>107</v>
      </c>
      <c r="F255" s="43" t="s">
        <v>731</v>
      </c>
      <c r="G255" s="43" t="s">
        <v>382</v>
      </c>
      <c r="H255" s="43">
        <v>60</v>
      </c>
      <c r="I255" s="43">
        <v>-18.855899999999998</v>
      </c>
      <c r="J255" s="28">
        <v>-1.4079999999999999E-7</v>
      </c>
      <c r="K255" s="43" t="s">
        <v>910</v>
      </c>
      <c r="L255" s="43" t="s">
        <v>65</v>
      </c>
      <c r="N255" s="43" t="s">
        <v>278</v>
      </c>
      <c r="O255" s="43">
        <v>172</v>
      </c>
      <c r="P255" s="43" t="s">
        <v>729</v>
      </c>
      <c r="Q255" s="43" t="s">
        <v>377</v>
      </c>
      <c r="R255" s="43" t="s">
        <v>731</v>
      </c>
      <c r="S255" s="43" t="s">
        <v>382</v>
      </c>
      <c r="T255" s="43">
        <v>10</v>
      </c>
      <c r="U255" s="43">
        <v>-18.794599999999999</v>
      </c>
      <c r="V255" s="28">
        <v>-1.4030000000000001E-7</v>
      </c>
      <c r="W255" s="43" t="s">
        <v>910</v>
      </c>
      <c r="X255" s="43" t="s">
        <v>65</v>
      </c>
    </row>
    <row r="256" spans="2:24" x14ac:dyDescent="0.2">
      <c r="B256" s="43" t="s">
        <v>278</v>
      </c>
      <c r="C256" s="43">
        <v>173</v>
      </c>
      <c r="D256" s="43" t="s">
        <v>732</v>
      </c>
      <c r="E256" s="43" t="s">
        <v>107</v>
      </c>
      <c r="F256" s="43" t="s">
        <v>733</v>
      </c>
      <c r="G256" s="43" t="s">
        <v>380</v>
      </c>
      <c r="H256" s="43">
        <v>60</v>
      </c>
      <c r="I256" s="43">
        <v>-18.562100000000001</v>
      </c>
      <c r="J256" s="28">
        <v>-1.3860000000000001E-7</v>
      </c>
      <c r="K256" s="43" t="s">
        <v>910</v>
      </c>
      <c r="L256" s="43" t="s">
        <v>65</v>
      </c>
      <c r="N256" s="43" t="s">
        <v>278</v>
      </c>
      <c r="O256" s="43">
        <v>173</v>
      </c>
      <c r="P256" s="43" t="s">
        <v>732</v>
      </c>
      <c r="Q256" s="43" t="s">
        <v>377</v>
      </c>
      <c r="R256" s="43" t="s">
        <v>733</v>
      </c>
      <c r="S256" s="43" t="s">
        <v>380</v>
      </c>
      <c r="T256" s="43">
        <v>10</v>
      </c>
      <c r="U256" s="43">
        <v>-18.6218</v>
      </c>
      <c r="V256" s="28">
        <v>-1.3899999999999999E-7</v>
      </c>
      <c r="W256" s="43" t="s">
        <v>910</v>
      </c>
      <c r="X256" s="43" t="s">
        <v>65</v>
      </c>
    </row>
    <row r="257" spans="2:24" x14ac:dyDescent="0.2">
      <c r="B257" s="43" t="s">
        <v>278</v>
      </c>
      <c r="C257" s="43">
        <v>173</v>
      </c>
      <c r="D257" s="43" t="s">
        <v>732</v>
      </c>
      <c r="E257" s="43" t="s">
        <v>107</v>
      </c>
      <c r="F257" s="43" t="s">
        <v>734</v>
      </c>
      <c r="G257" s="43" t="s">
        <v>382</v>
      </c>
      <c r="H257" s="43">
        <v>60</v>
      </c>
      <c r="I257" s="43">
        <v>-28.0091</v>
      </c>
      <c r="J257" s="28">
        <v>-2.0910000000000001E-7</v>
      </c>
      <c r="K257" s="43" t="s">
        <v>910</v>
      </c>
      <c r="L257" s="43" t="s">
        <v>65</v>
      </c>
      <c r="N257" s="43" t="s">
        <v>278</v>
      </c>
      <c r="O257" s="43">
        <v>173</v>
      </c>
      <c r="P257" s="43" t="s">
        <v>732</v>
      </c>
      <c r="Q257" s="43" t="s">
        <v>377</v>
      </c>
      <c r="R257" s="43" t="s">
        <v>734</v>
      </c>
      <c r="S257" s="43" t="s">
        <v>382</v>
      </c>
      <c r="T257" s="43">
        <v>10</v>
      </c>
      <c r="U257" s="43">
        <v>-27.947399999999998</v>
      </c>
      <c r="V257" s="28">
        <v>-2.0870000000000001E-7</v>
      </c>
      <c r="W257" s="43" t="s">
        <v>910</v>
      </c>
      <c r="X257" s="43" t="s">
        <v>65</v>
      </c>
    </row>
    <row r="258" spans="2:24" x14ac:dyDescent="0.2">
      <c r="B258" s="43" t="s">
        <v>278</v>
      </c>
      <c r="C258" s="43">
        <v>174</v>
      </c>
      <c r="D258" s="43" t="s">
        <v>732</v>
      </c>
      <c r="E258" s="43" t="s">
        <v>107</v>
      </c>
      <c r="F258" s="43" t="s">
        <v>735</v>
      </c>
      <c r="G258" s="43" t="s">
        <v>380</v>
      </c>
      <c r="H258" s="43">
        <v>60</v>
      </c>
      <c r="I258" s="43">
        <v>-28.5426</v>
      </c>
      <c r="J258" s="28">
        <v>-2.2530000000000001E-7</v>
      </c>
      <c r="K258" s="43" t="s">
        <v>910</v>
      </c>
      <c r="L258" s="43" t="s">
        <v>65</v>
      </c>
      <c r="N258" s="43" t="s">
        <v>278</v>
      </c>
      <c r="O258" s="43">
        <v>174</v>
      </c>
      <c r="P258" s="43" t="s">
        <v>732</v>
      </c>
      <c r="Q258" s="43" t="s">
        <v>377</v>
      </c>
      <c r="R258" s="43" t="s">
        <v>735</v>
      </c>
      <c r="S258" s="43" t="s">
        <v>380</v>
      </c>
      <c r="T258" s="43">
        <v>10</v>
      </c>
      <c r="U258" s="43">
        <v>-28.601299999999998</v>
      </c>
      <c r="V258" s="28">
        <v>-2.258E-7</v>
      </c>
      <c r="W258" s="43" t="s">
        <v>910</v>
      </c>
      <c r="X258" s="43" t="s">
        <v>65</v>
      </c>
    </row>
    <row r="259" spans="2:24" x14ac:dyDescent="0.2">
      <c r="B259" s="43" t="s">
        <v>278</v>
      </c>
      <c r="C259" s="43">
        <v>174</v>
      </c>
      <c r="D259" s="43" t="s">
        <v>732</v>
      </c>
      <c r="E259" s="43" t="s">
        <v>107</v>
      </c>
      <c r="F259" s="43" t="s">
        <v>736</v>
      </c>
      <c r="G259" s="43" t="s">
        <v>382</v>
      </c>
      <c r="H259" s="43">
        <v>60</v>
      </c>
      <c r="I259" s="43">
        <v>-28.5687</v>
      </c>
      <c r="J259" s="28">
        <v>-2.255E-7</v>
      </c>
      <c r="K259" s="43" t="s">
        <v>910</v>
      </c>
      <c r="L259" s="43" t="s">
        <v>65</v>
      </c>
      <c r="N259" s="43" t="s">
        <v>278</v>
      </c>
      <c r="O259" s="43">
        <v>174</v>
      </c>
      <c r="P259" s="43" t="s">
        <v>732</v>
      </c>
      <c r="Q259" s="43" t="s">
        <v>377</v>
      </c>
      <c r="R259" s="43" t="s">
        <v>736</v>
      </c>
      <c r="S259" s="43" t="s">
        <v>382</v>
      </c>
      <c r="T259" s="43">
        <v>10</v>
      </c>
      <c r="U259" s="43">
        <v>-28.51</v>
      </c>
      <c r="V259" s="28">
        <v>-2.2499999999999999E-7</v>
      </c>
      <c r="W259" s="43" t="s">
        <v>910</v>
      </c>
      <c r="X259" s="43" t="s">
        <v>65</v>
      </c>
    </row>
    <row r="260" spans="2:24" x14ac:dyDescent="0.2">
      <c r="B260" s="43" t="s">
        <v>278</v>
      </c>
      <c r="C260" s="43">
        <v>175</v>
      </c>
      <c r="D260" s="43" t="s">
        <v>732</v>
      </c>
      <c r="E260" s="43" t="s">
        <v>107</v>
      </c>
      <c r="F260" s="43" t="s">
        <v>737</v>
      </c>
      <c r="G260" s="43" t="s">
        <v>380</v>
      </c>
      <c r="H260" s="43">
        <v>60</v>
      </c>
      <c r="I260" s="43">
        <v>-27.978999999999999</v>
      </c>
      <c r="J260" s="28">
        <v>-2.089E-7</v>
      </c>
      <c r="K260" s="43" t="s">
        <v>910</v>
      </c>
      <c r="L260" s="43" t="s">
        <v>65</v>
      </c>
      <c r="N260" s="43" t="s">
        <v>278</v>
      </c>
      <c r="O260" s="43">
        <v>175</v>
      </c>
      <c r="P260" s="43" t="s">
        <v>732</v>
      </c>
      <c r="Q260" s="43" t="s">
        <v>377</v>
      </c>
      <c r="R260" s="43" t="s">
        <v>737</v>
      </c>
      <c r="S260" s="43" t="s">
        <v>380</v>
      </c>
      <c r="T260" s="43">
        <v>10</v>
      </c>
      <c r="U260" s="43">
        <v>-28.041399999999999</v>
      </c>
      <c r="V260" s="28">
        <v>-2.0940000000000001E-7</v>
      </c>
      <c r="W260" s="43" t="s">
        <v>910</v>
      </c>
      <c r="X260" s="43" t="s">
        <v>65</v>
      </c>
    </row>
    <row r="261" spans="2:24" x14ac:dyDescent="0.2">
      <c r="B261" s="43" t="s">
        <v>278</v>
      </c>
      <c r="C261" s="43">
        <v>175</v>
      </c>
      <c r="D261" s="43" t="s">
        <v>732</v>
      </c>
      <c r="E261" s="43" t="s">
        <v>107</v>
      </c>
      <c r="F261" s="43" t="s">
        <v>738</v>
      </c>
      <c r="G261" s="43" t="s">
        <v>382</v>
      </c>
      <c r="H261" s="43">
        <v>60</v>
      </c>
      <c r="I261" s="43">
        <v>-18.5932</v>
      </c>
      <c r="J261" s="28">
        <v>-1.388E-7</v>
      </c>
      <c r="K261" s="43" t="s">
        <v>910</v>
      </c>
      <c r="L261" s="43" t="s">
        <v>65</v>
      </c>
      <c r="N261" s="43" t="s">
        <v>278</v>
      </c>
      <c r="O261" s="43">
        <v>175</v>
      </c>
      <c r="P261" s="43" t="s">
        <v>732</v>
      </c>
      <c r="Q261" s="43" t="s">
        <v>377</v>
      </c>
      <c r="R261" s="43" t="s">
        <v>738</v>
      </c>
      <c r="S261" s="43" t="s">
        <v>382</v>
      </c>
      <c r="T261" s="43">
        <v>10</v>
      </c>
      <c r="U261" s="43">
        <v>-18.532800000000002</v>
      </c>
      <c r="V261" s="28">
        <v>-1.384E-7</v>
      </c>
      <c r="W261" s="43" t="s">
        <v>910</v>
      </c>
      <c r="X261" s="43" t="s">
        <v>65</v>
      </c>
    </row>
    <row r="262" spans="2:24" x14ac:dyDescent="0.2">
      <c r="B262" s="43" t="s">
        <v>278</v>
      </c>
      <c r="C262" s="43">
        <v>176</v>
      </c>
      <c r="D262" s="43" t="s">
        <v>739</v>
      </c>
      <c r="E262" s="43" t="s">
        <v>107</v>
      </c>
      <c r="F262" s="43" t="s">
        <v>740</v>
      </c>
      <c r="G262" s="43" t="s">
        <v>380</v>
      </c>
      <c r="H262" s="43">
        <v>60</v>
      </c>
      <c r="I262" s="43">
        <v>-18.831</v>
      </c>
      <c r="J262" s="28">
        <v>-1.406E-7</v>
      </c>
      <c r="K262" s="43" t="s">
        <v>910</v>
      </c>
      <c r="L262" s="43" t="s">
        <v>65</v>
      </c>
      <c r="N262" s="43" t="s">
        <v>278</v>
      </c>
      <c r="O262" s="43">
        <v>176</v>
      </c>
      <c r="P262" s="43" t="s">
        <v>739</v>
      </c>
      <c r="Q262" s="43" t="s">
        <v>377</v>
      </c>
      <c r="R262" s="43" t="s">
        <v>740</v>
      </c>
      <c r="S262" s="43" t="s">
        <v>380</v>
      </c>
      <c r="T262" s="43">
        <v>10</v>
      </c>
      <c r="U262" s="43">
        <v>-18.892099999999999</v>
      </c>
      <c r="V262" s="28">
        <v>-1.4110000000000001E-7</v>
      </c>
      <c r="W262" s="43" t="s">
        <v>910</v>
      </c>
      <c r="X262" s="43" t="s">
        <v>65</v>
      </c>
    </row>
    <row r="263" spans="2:24" x14ac:dyDescent="0.2">
      <c r="B263" s="43" t="s">
        <v>278</v>
      </c>
      <c r="C263" s="43">
        <v>176</v>
      </c>
      <c r="D263" s="43" t="s">
        <v>739</v>
      </c>
      <c r="E263" s="43" t="s">
        <v>107</v>
      </c>
      <c r="F263" s="43" t="s">
        <v>741</v>
      </c>
      <c r="G263" s="43" t="s">
        <v>382</v>
      </c>
      <c r="H263" s="43">
        <v>60</v>
      </c>
      <c r="I263" s="43">
        <v>-26.572700000000001</v>
      </c>
      <c r="J263" s="28">
        <v>-1.984E-7</v>
      </c>
      <c r="K263" s="43" t="s">
        <v>910</v>
      </c>
      <c r="L263" s="43" t="s">
        <v>65</v>
      </c>
      <c r="N263" s="43" t="s">
        <v>278</v>
      </c>
      <c r="O263" s="43">
        <v>176</v>
      </c>
      <c r="P263" s="43" t="s">
        <v>739</v>
      </c>
      <c r="Q263" s="43" t="s">
        <v>377</v>
      </c>
      <c r="R263" s="43" t="s">
        <v>741</v>
      </c>
      <c r="S263" s="43" t="s">
        <v>382</v>
      </c>
      <c r="T263" s="43">
        <v>10</v>
      </c>
      <c r="U263" s="43">
        <v>-26.506799999999998</v>
      </c>
      <c r="V263" s="28">
        <v>-1.9789999999999999E-7</v>
      </c>
      <c r="W263" s="43" t="s">
        <v>910</v>
      </c>
      <c r="X263" s="43" t="s">
        <v>65</v>
      </c>
    </row>
    <row r="264" spans="2:24" x14ac:dyDescent="0.2">
      <c r="B264" s="43" t="s">
        <v>278</v>
      </c>
      <c r="C264" s="43">
        <v>150</v>
      </c>
      <c r="D264" s="43" t="s">
        <v>742</v>
      </c>
      <c r="E264" s="43" t="s">
        <v>107</v>
      </c>
      <c r="F264" s="43" t="s">
        <v>743</v>
      </c>
      <c r="G264" s="43" t="s">
        <v>380</v>
      </c>
      <c r="H264" s="43">
        <v>60</v>
      </c>
      <c r="I264" s="43">
        <v>-80.093100000000007</v>
      </c>
      <c r="J264" s="28">
        <v>-9.9999999999999995E-7</v>
      </c>
      <c r="K264" s="43" t="s">
        <v>910</v>
      </c>
      <c r="L264" s="43" t="s">
        <v>65</v>
      </c>
      <c r="N264" s="43" t="s">
        <v>278</v>
      </c>
      <c r="O264" s="43">
        <v>150</v>
      </c>
      <c r="P264" s="43" t="s">
        <v>742</v>
      </c>
      <c r="Q264" s="43" t="s">
        <v>377</v>
      </c>
      <c r="R264" s="43" t="s">
        <v>743</v>
      </c>
      <c r="S264" s="43" t="s">
        <v>380</v>
      </c>
      <c r="T264" s="43">
        <v>10</v>
      </c>
      <c r="U264" s="43">
        <v>-80.103999999999999</v>
      </c>
      <c r="V264" s="28">
        <v>-9.9999999999999995E-7</v>
      </c>
      <c r="W264" s="43" t="s">
        <v>910</v>
      </c>
      <c r="X264" s="43" t="s">
        <v>65</v>
      </c>
    </row>
    <row r="265" spans="2:24" x14ac:dyDescent="0.2">
      <c r="B265" s="43" t="s">
        <v>278</v>
      </c>
      <c r="C265" s="43">
        <v>150</v>
      </c>
      <c r="D265" s="43" t="s">
        <v>742</v>
      </c>
      <c r="E265" s="43" t="s">
        <v>107</v>
      </c>
      <c r="F265" s="43" t="s">
        <v>744</v>
      </c>
      <c r="G265" s="43" t="s">
        <v>382</v>
      </c>
      <c r="H265" s="43">
        <v>60</v>
      </c>
      <c r="I265" s="43">
        <v>-6.1643999999999997</v>
      </c>
      <c r="J265" s="28">
        <v>-5.2800000000000003E-8</v>
      </c>
      <c r="K265" s="43" t="s">
        <v>910</v>
      </c>
      <c r="L265" s="43" t="s">
        <v>65</v>
      </c>
      <c r="N265" s="43" t="s">
        <v>278</v>
      </c>
      <c r="O265" s="43">
        <v>150</v>
      </c>
      <c r="P265" s="43" t="s">
        <v>742</v>
      </c>
      <c r="Q265" s="43" t="s">
        <v>377</v>
      </c>
      <c r="R265" s="43" t="s">
        <v>744</v>
      </c>
      <c r="S265" s="43" t="s">
        <v>382</v>
      </c>
      <c r="T265" s="43">
        <v>10</v>
      </c>
      <c r="U265" s="43">
        <v>-6.1642999999999999</v>
      </c>
      <c r="V265" s="28">
        <v>-5.2800000000000003E-8</v>
      </c>
      <c r="W265" s="43" t="s">
        <v>910</v>
      </c>
      <c r="X265" s="43" t="s">
        <v>65</v>
      </c>
    </row>
    <row r="266" spans="2:24" x14ac:dyDescent="0.2">
      <c r="B266" s="43" t="s">
        <v>278</v>
      </c>
      <c r="C266" s="43">
        <v>153</v>
      </c>
      <c r="D266" s="43" t="s">
        <v>745</v>
      </c>
      <c r="E266" s="43" t="s">
        <v>107</v>
      </c>
      <c r="F266" s="43" t="s">
        <v>746</v>
      </c>
      <c r="G266" s="43" t="s">
        <v>380</v>
      </c>
      <c r="H266" s="43">
        <v>60</v>
      </c>
      <c r="I266" s="43">
        <v>-118.66670000000001</v>
      </c>
      <c r="J266" s="28">
        <v>-9.9999999999999995E-7</v>
      </c>
      <c r="K266" s="43" t="s">
        <v>910</v>
      </c>
      <c r="L266" s="43" t="s">
        <v>65</v>
      </c>
      <c r="N266" s="43" t="s">
        <v>278</v>
      </c>
      <c r="O266" s="43">
        <v>153</v>
      </c>
      <c r="P266" s="43" t="s">
        <v>745</v>
      </c>
      <c r="Q266" s="43" t="s">
        <v>377</v>
      </c>
      <c r="R266" s="43" t="s">
        <v>746</v>
      </c>
      <c r="S266" s="43" t="s">
        <v>380</v>
      </c>
      <c r="T266" s="43">
        <v>10</v>
      </c>
      <c r="U266" s="43">
        <v>-118.6755</v>
      </c>
      <c r="V266" s="28">
        <v>-9.9999999999999995E-7</v>
      </c>
      <c r="W266" s="43" t="s">
        <v>910</v>
      </c>
      <c r="X266" s="43" t="s">
        <v>65</v>
      </c>
    </row>
    <row r="267" spans="2:24" x14ac:dyDescent="0.2">
      <c r="B267" s="43" t="s">
        <v>278</v>
      </c>
      <c r="C267" s="43">
        <v>153</v>
      </c>
      <c r="D267" s="43" t="s">
        <v>745</v>
      </c>
      <c r="E267" s="43" t="s">
        <v>107</v>
      </c>
      <c r="F267" s="43" t="s">
        <v>747</v>
      </c>
      <c r="G267" s="43" t="s">
        <v>382</v>
      </c>
      <c r="H267" s="43">
        <v>60</v>
      </c>
      <c r="I267" s="43">
        <v>-27.039899999999999</v>
      </c>
      <c r="J267" s="28">
        <v>-1.807E-7</v>
      </c>
      <c r="K267" s="43" t="s">
        <v>910</v>
      </c>
      <c r="L267" s="43" t="s">
        <v>65</v>
      </c>
      <c r="N267" s="43" t="s">
        <v>278</v>
      </c>
      <c r="O267" s="43">
        <v>153</v>
      </c>
      <c r="P267" s="43" t="s">
        <v>745</v>
      </c>
      <c r="Q267" s="43" t="s">
        <v>377</v>
      </c>
      <c r="R267" s="43" t="s">
        <v>747</v>
      </c>
      <c r="S267" s="43" t="s">
        <v>382</v>
      </c>
      <c r="T267" s="43">
        <v>10</v>
      </c>
      <c r="U267" s="43">
        <v>-27.031500000000001</v>
      </c>
      <c r="V267" s="28">
        <v>-1.8059999999999999E-7</v>
      </c>
      <c r="W267" s="43" t="s">
        <v>910</v>
      </c>
      <c r="X267" s="43" t="s">
        <v>65</v>
      </c>
    </row>
    <row r="268" spans="2:24" x14ac:dyDescent="0.2">
      <c r="B268" s="43" t="s">
        <v>278</v>
      </c>
      <c r="C268" s="43">
        <v>156</v>
      </c>
      <c r="D268" s="43" t="s">
        <v>748</v>
      </c>
      <c r="E268" s="43" t="s">
        <v>107</v>
      </c>
      <c r="F268" s="43" t="s">
        <v>749</v>
      </c>
      <c r="G268" s="43" t="s">
        <v>380</v>
      </c>
      <c r="H268" s="43">
        <v>60</v>
      </c>
      <c r="I268" s="43">
        <v>-102.81610000000001</v>
      </c>
      <c r="J268" s="28">
        <v>-9.9999999999999995E-7</v>
      </c>
      <c r="K268" s="43" t="s">
        <v>910</v>
      </c>
      <c r="L268" s="43" t="s">
        <v>65</v>
      </c>
      <c r="N268" s="43" t="s">
        <v>278</v>
      </c>
      <c r="O268" s="43">
        <v>156</v>
      </c>
      <c r="P268" s="43" t="s">
        <v>748</v>
      </c>
      <c r="Q268" s="43" t="s">
        <v>377</v>
      </c>
      <c r="R268" s="43" t="s">
        <v>749</v>
      </c>
      <c r="S268" s="43" t="s">
        <v>380</v>
      </c>
      <c r="T268" s="43">
        <v>10</v>
      </c>
      <c r="U268" s="43">
        <v>-102.8266</v>
      </c>
      <c r="V268" s="28">
        <v>-9.9999999999999995E-7</v>
      </c>
      <c r="W268" s="43" t="s">
        <v>910</v>
      </c>
      <c r="X268" s="43" t="s">
        <v>65</v>
      </c>
    </row>
    <row r="269" spans="2:24" x14ac:dyDescent="0.2">
      <c r="B269" s="43" t="s">
        <v>278</v>
      </c>
      <c r="C269" s="43">
        <v>156</v>
      </c>
      <c r="D269" s="43" t="s">
        <v>748</v>
      </c>
      <c r="E269" s="43" t="s">
        <v>107</v>
      </c>
      <c r="F269" s="43" t="s">
        <v>750</v>
      </c>
      <c r="G269" s="43" t="s">
        <v>382</v>
      </c>
      <c r="H269" s="43">
        <v>60</v>
      </c>
      <c r="I269" s="43">
        <v>-11.3819</v>
      </c>
      <c r="J269" s="28">
        <v>-7.7519999999999995E-8</v>
      </c>
      <c r="K269" s="43" t="s">
        <v>910</v>
      </c>
      <c r="L269" s="43" t="s">
        <v>65</v>
      </c>
      <c r="N269" s="43" t="s">
        <v>278</v>
      </c>
      <c r="O269" s="43">
        <v>156</v>
      </c>
      <c r="P269" s="43" t="s">
        <v>748</v>
      </c>
      <c r="Q269" s="43" t="s">
        <v>377</v>
      </c>
      <c r="R269" s="43" t="s">
        <v>750</v>
      </c>
      <c r="S269" s="43" t="s">
        <v>382</v>
      </c>
      <c r="T269" s="43">
        <v>10</v>
      </c>
      <c r="U269" s="43">
        <v>-11.3706</v>
      </c>
      <c r="V269" s="28">
        <v>-7.7449999999999995E-8</v>
      </c>
      <c r="W269" s="43" t="s">
        <v>910</v>
      </c>
      <c r="X269" s="43" t="s">
        <v>65</v>
      </c>
    </row>
    <row r="270" spans="2:24" x14ac:dyDescent="0.2">
      <c r="B270" s="43" t="s">
        <v>278</v>
      </c>
      <c r="C270" s="43">
        <v>159</v>
      </c>
      <c r="D270" s="43" t="s">
        <v>751</v>
      </c>
      <c r="E270" s="43" t="s">
        <v>107</v>
      </c>
      <c r="F270" s="43" t="s">
        <v>752</v>
      </c>
      <c r="G270" s="43" t="s">
        <v>380</v>
      </c>
      <c r="H270" s="43">
        <v>60</v>
      </c>
      <c r="I270" s="43">
        <v>-102.7804</v>
      </c>
      <c r="J270" s="28">
        <v>-9.9999999999999995E-7</v>
      </c>
      <c r="K270" s="43" t="s">
        <v>910</v>
      </c>
      <c r="L270" s="43" t="s">
        <v>65</v>
      </c>
      <c r="N270" s="43" t="s">
        <v>278</v>
      </c>
      <c r="O270" s="43">
        <v>159</v>
      </c>
      <c r="P270" s="43" t="s">
        <v>751</v>
      </c>
      <c r="Q270" s="43" t="s">
        <v>377</v>
      </c>
      <c r="R270" s="43" t="s">
        <v>752</v>
      </c>
      <c r="S270" s="43" t="s">
        <v>380</v>
      </c>
      <c r="T270" s="43">
        <v>10</v>
      </c>
      <c r="U270" s="43">
        <v>-102.7936</v>
      </c>
      <c r="V270" s="28">
        <v>-9.9999999999999995E-7</v>
      </c>
      <c r="W270" s="43" t="s">
        <v>910</v>
      </c>
      <c r="X270" s="43" t="s">
        <v>65</v>
      </c>
    </row>
    <row r="271" spans="2:24" x14ac:dyDescent="0.2">
      <c r="B271" s="43" t="s">
        <v>278</v>
      </c>
      <c r="C271" s="43">
        <v>159</v>
      </c>
      <c r="D271" s="43" t="s">
        <v>751</v>
      </c>
      <c r="E271" s="43" t="s">
        <v>107</v>
      </c>
      <c r="F271" s="43" t="s">
        <v>753</v>
      </c>
      <c r="G271" s="43" t="s">
        <v>382</v>
      </c>
      <c r="H271" s="43">
        <v>60</v>
      </c>
      <c r="I271" s="43">
        <v>-11.417400000000001</v>
      </c>
      <c r="J271" s="28">
        <v>-7.7770000000000001E-8</v>
      </c>
      <c r="K271" s="43" t="s">
        <v>910</v>
      </c>
      <c r="L271" s="43" t="s">
        <v>65</v>
      </c>
      <c r="N271" s="43" t="s">
        <v>278</v>
      </c>
      <c r="O271" s="43">
        <v>159</v>
      </c>
      <c r="P271" s="43" t="s">
        <v>751</v>
      </c>
      <c r="Q271" s="43" t="s">
        <v>377</v>
      </c>
      <c r="R271" s="43" t="s">
        <v>753</v>
      </c>
      <c r="S271" s="43" t="s">
        <v>382</v>
      </c>
      <c r="T271" s="43">
        <v>10</v>
      </c>
      <c r="U271" s="43">
        <v>-11.405099999999999</v>
      </c>
      <c r="V271" s="28">
        <v>-7.7680000000000005E-8</v>
      </c>
      <c r="W271" s="43" t="s">
        <v>910</v>
      </c>
      <c r="X271" s="43" t="s">
        <v>65</v>
      </c>
    </row>
    <row r="272" spans="2:24" x14ac:dyDescent="0.2">
      <c r="B272" s="43" t="s">
        <v>278</v>
      </c>
      <c r="C272" s="43">
        <v>162</v>
      </c>
      <c r="D272" s="43" t="s">
        <v>754</v>
      </c>
      <c r="E272" s="43" t="s">
        <v>107</v>
      </c>
      <c r="F272" s="43" t="s">
        <v>755</v>
      </c>
      <c r="G272" s="43" t="s">
        <v>380</v>
      </c>
      <c r="H272" s="43">
        <v>60</v>
      </c>
      <c r="I272" s="43">
        <v>-118.57299999999999</v>
      </c>
      <c r="J272" s="28">
        <v>-9.9999999999999995E-7</v>
      </c>
      <c r="K272" s="43" t="s">
        <v>910</v>
      </c>
      <c r="L272" s="43" t="s">
        <v>65</v>
      </c>
      <c r="N272" s="43" t="s">
        <v>278</v>
      </c>
      <c r="O272" s="43">
        <v>162</v>
      </c>
      <c r="P272" s="43" t="s">
        <v>754</v>
      </c>
      <c r="Q272" s="43" t="s">
        <v>377</v>
      </c>
      <c r="R272" s="43" t="s">
        <v>755</v>
      </c>
      <c r="S272" s="43" t="s">
        <v>380</v>
      </c>
      <c r="T272" s="43">
        <v>10</v>
      </c>
      <c r="U272" s="43">
        <v>-118.587</v>
      </c>
      <c r="V272" s="28">
        <v>-9.9999999999999995E-7</v>
      </c>
      <c r="W272" s="43" t="s">
        <v>910</v>
      </c>
      <c r="X272" s="43" t="s">
        <v>65</v>
      </c>
    </row>
    <row r="273" spans="2:24" x14ac:dyDescent="0.2">
      <c r="B273" s="43" t="s">
        <v>278</v>
      </c>
      <c r="C273" s="43">
        <v>162</v>
      </c>
      <c r="D273" s="43" t="s">
        <v>754</v>
      </c>
      <c r="E273" s="43" t="s">
        <v>107</v>
      </c>
      <c r="F273" s="43" t="s">
        <v>756</v>
      </c>
      <c r="G273" s="43" t="s">
        <v>382</v>
      </c>
      <c r="H273" s="43">
        <v>60</v>
      </c>
      <c r="I273" s="43">
        <v>-27.143000000000001</v>
      </c>
      <c r="J273" s="28">
        <v>-1.814E-7</v>
      </c>
      <c r="K273" s="43" t="s">
        <v>910</v>
      </c>
      <c r="L273" s="43" t="s">
        <v>65</v>
      </c>
      <c r="N273" s="43" t="s">
        <v>278</v>
      </c>
      <c r="O273" s="43">
        <v>162</v>
      </c>
      <c r="P273" s="43" t="s">
        <v>754</v>
      </c>
      <c r="Q273" s="43" t="s">
        <v>377</v>
      </c>
      <c r="R273" s="43" t="s">
        <v>756</v>
      </c>
      <c r="S273" s="43" t="s">
        <v>382</v>
      </c>
      <c r="T273" s="43">
        <v>10</v>
      </c>
      <c r="U273" s="43">
        <v>-27.128499999999999</v>
      </c>
      <c r="V273" s="28">
        <v>-1.8129999999999999E-7</v>
      </c>
      <c r="W273" s="43" t="s">
        <v>910</v>
      </c>
      <c r="X273" s="43" t="s">
        <v>65</v>
      </c>
    </row>
    <row r="274" spans="2:24" x14ac:dyDescent="0.2">
      <c r="B274" s="43" t="s">
        <v>278</v>
      </c>
      <c r="C274" s="43">
        <v>165</v>
      </c>
      <c r="D274" s="43" t="s">
        <v>757</v>
      </c>
      <c r="E274" s="43" t="s">
        <v>107</v>
      </c>
      <c r="F274" s="43" t="s">
        <v>758</v>
      </c>
      <c r="G274" s="43" t="s">
        <v>380</v>
      </c>
      <c r="H274" s="43">
        <v>60</v>
      </c>
      <c r="I274" s="43">
        <v>-79.950900000000004</v>
      </c>
      <c r="J274" s="28">
        <v>-9.9999999999999995E-7</v>
      </c>
      <c r="K274" s="43" t="s">
        <v>910</v>
      </c>
      <c r="L274" s="43" t="s">
        <v>65</v>
      </c>
      <c r="N274" s="43" t="s">
        <v>278</v>
      </c>
      <c r="O274" s="43">
        <v>165</v>
      </c>
      <c r="P274" s="43" t="s">
        <v>757</v>
      </c>
      <c r="Q274" s="43" t="s">
        <v>377</v>
      </c>
      <c r="R274" s="43" t="s">
        <v>758</v>
      </c>
      <c r="S274" s="43" t="s">
        <v>380</v>
      </c>
      <c r="T274" s="43">
        <v>10</v>
      </c>
      <c r="U274" s="43">
        <v>-79.959000000000003</v>
      </c>
      <c r="V274" s="28">
        <v>-9.9999999999999995E-7</v>
      </c>
      <c r="W274" s="43" t="s">
        <v>910</v>
      </c>
      <c r="X274" s="43" t="s">
        <v>65</v>
      </c>
    </row>
    <row r="275" spans="2:24" x14ac:dyDescent="0.2">
      <c r="B275" s="43" t="s">
        <v>278</v>
      </c>
      <c r="C275" s="43">
        <v>165</v>
      </c>
      <c r="D275" s="43" t="s">
        <v>757</v>
      </c>
      <c r="E275" s="43" t="s">
        <v>107</v>
      </c>
      <c r="F275" s="43" t="s">
        <v>759</v>
      </c>
      <c r="G275" s="43" t="s">
        <v>382</v>
      </c>
      <c r="H275" s="43">
        <v>60</v>
      </c>
      <c r="I275" s="43">
        <v>-6.3048999999999999</v>
      </c>
      <c r="J275" s="28">
        <v>-5.4009999999999999E-8</v>
      </c>
      <c r="K275" s="43" t="s">
        <v>910</v>
      </c>
      <c r="L275" s="43" t="s">
        <v>65</v>
      </c>
      <c r="N275" s="43" t="s">
        <v>278</v>
      </c>
      <c r="O275" s="43">
        <v>165</v>
      </c>
      <c r="P275" s="43" t="s">
        <v>757</v>
      </c>
      <c r="Q275" s="43" t="s">
        <v>377</v>
      </c>
      <c r="R275" s="43" t="s">
        <v>759</v>
      </c>
      <c r="S275" s="43" t="s">
        <v>382</v>
      </c>
      <c r="T275" s="43">
        <v>10</v>
      </c>
      <c r="U275" s="43">
        <v>-6.2864000000000004</v>
      </c>
      <c r="V275" s="28">
        <v>-5.3850000000000002E-8</v>
      </c>
      <c r="W275" s="43" t="s">
        <v>910</v>
      </c>
      <c r="X275" s="43" t="s">
        <v>65</v>
      </c>
    </row>
    <row r="276" spans="2:24" x14ac:dyDescent="0.2">
      <c r="B276" s="43" t="s">
        <v>278</v>
      </c>
      <c r="C276" s="43">
        <v>177</v>
      </c>
      <c r="D276" s="43" t="s">
        <v>760</v>
      </c>
      <c r="E276" s="43" t="s">
        <v>107</v>
      </c>
      <c r="F276" s="43" t="s">
        <v>761</v>
      </c>
      <c r="G276" s="43" t="s">
        <v>380</v>
      </c>
      <c r="H276" s="43">
        <v>60</v>
      </c>
      <c r="I276" s="43">
        <v>-26.5136</v>
      </c>
      <c r="J276" s="28">
        <v>-1.98E-7</v>
      </c>
      <c r="K276" s="43" t="s">
        <v>910</v>
      </c>
      <c r="L276" s="43" t="s">
        <v>65</v>
      </c>
      <c r="N276" s="43" t="s">
        <v>278</v>
      </c>
      <c r="O276" s="43">
        <v>177</v>
      </c>
      <c r="P276" s="43" t="s">
        <v>760</v>
      </c>
      <c r="Q276" s="43" t="s">
        <v>377</v>
      </c>
      <c r="R276" s="43" t="s">
        <v>761</v>
      </c>
      <c r="S276" s="43" t="s">
        <v>380</v>
      </c>
      <c r="T276" s="43">
        <v>10</v>
      </c>
      <c r="U276" s="43">
        <v>-26.576000000000001</v>
      </c>
      <c r="V276" s="28">
        <v>-1.984E-7</v>
      </c>
      <c r="W276" s="43" t="s">
        <v>910</v>
      </c>
      <c r="X276" s="43" t="s">
        <v>65</v>
      </c>
    </row>
    <row r="277" spans="2:24" x14ac:dyDescent="0.2">
      <c r="B277" s="43" t="s">
        <v>278</v>
      </c>
      <c r="C277" s="43">
        <v>177</v>
      </c>
      <c r="D277" s="43" t="s">
        <v>760</v>
      </c>
      <c r="E277" s="43" t="s">
        <v>107</v>
      </c>
      <c r="F277" s="43" t="s">
        <v>762</v>
      </c>
      <c r="G277" s="43" t="s">
        <v>382</v>
      </c>
      <c r="H277" s="43">
        <v>60</v>
      </c>
      <c r="I277" s="43">
        <v>-18.7819</v>
      </c>
      <c r="J277" s="28">
        <v>-1.402E-7</v>
      </c>
      <c r="K277" s="43" t="s">
        <v>910</v>
      </c>
      <c r="L277" s="43" t="s">
        <v>65</v>
      </c>
      <c r="N277" s="43" t="s">
        <v>278</v>
      </c>
      <c r="O277" s="43">
        <v>177</v>
      </c>
      <c r="P277" s="43" t="s">
        <v>760</v>
      </c>
      <c r="Q277" s="43" t="s">
        <v>377</v>
      </c>
      <c r="R277" s="43" t="s">
        <v>762</v>
      </c>
      <c r="S277" s="43" t="s">
        <v>382</v>
      </c>
      <c r="T277" s="43">
        <v>10</v>
      </c>
      <c r="U277" s="43">
        <v>-18.723600000000001</v>
      </c>
      <c r="V277" s="28">
        <v>-1.3979999999999999E-7</v>
      </c>
      <c r="W277" s="43" t="s">
        <v>910</v>
      </c>
      <c r="X277" s="43" t="s">
        <v>65</v>
      </c>
    </row>
    <row r="278" spans="2:24" x14ac:dyDescent="0.2">
      <c r="B278" s="43" t="s">
        <v>278</v>
      </c>
      <c r="C278" s="43">
        <v>178</v>
      </c>
      <c r="D278" s="43" t="s">
        <v>763</v>
      </c>
      <c r="E278" s="43" t="s">
        <v>107</v>
      </c>
      <c r="F278" s="43" t="s">
        <v>764</v>
      </c>
      <c r="G278" s="43" t="s">
        <v>380</v>
      </c>
      <c r="H278" s="43">
        <v>60</v>
      </c>
      <c r="I278" s="43">
        <v>-18.607700000000001</v>
      </c>
      <c r="J278" s="28">
        <v>-1.3890000000000001E-7</v>
      </c>
      <c r="K278" s="43" t="s">
        <v>910</v>
      </c>
      <c r="L278" s="43" t="s">
        <v>65</v>
      </c>
      <c r="N278" s="43" t="s">
        <v>278</v>
      </c>
      <c r="O278" s="43">
        <v>178</v>
      </c>
      <c r="P278" s="43" t="s">
        <v>763</v>
      </c>
      <c r="Q278" s="43" t="s">
        <v>377</v>
      </c>
      <c r="R278" s="43" t="s">
        <v>764</v>
      </c>
      <c r="S278" s="43" t="s">
        <v>380</v>
      </c>
      <c r="T278" s="43">
        <v>10</v>
      </c>
      <c r="U278" s="43">
        <v>-18.665099999999999</v>
      </c>
      <c r="V278" s="28">
        <v>-1.3939999999999999E-7</v>
      </c>
      <c r="W278" s="43" t="s">
        <v>910</v>
      </c>
      <c r="X278" s="43" t="s">
        <v>65</v>
      </c>
    </row>
    <row r="279" spans="2:24" x14ac:dyDescent="0.2">
      <c r="B279" s="43" t="s">
        <v>278</v>
      </c>
      <c r="C279" s="43">
        <v>178</v>
      </c>
      <c r="D279" s="43" t="s">
        <v>763</v>
      </c>
      <c r="E279" s="43" t="s">
        <v>107</v>
      </c>
      <c r="F279" s="43" t="s">
        <v>765</v>
      </c>
      <c r="G279" s="43" t="s">
        <v>382</v>
      </c>
      <c r="H279" s="43">
        <v>60</v>
      </c>
      <c r="I279" s="43">
        <v>-27.905799999999999</v>
      </c>
      <c r="J279" s="28">
        <v>-2.0840000000000001E-7</v>
      </c>
      <c r="K279" s="43" t="s">
        <v>910</v>
      </c>
      <c r="L279" s="43" t="s">
        <v>65</v>
      </c>
      <c r="N279" s="43" t="s">
        <v>278</v>
      </c>
      <c r="O279" s="43">
        <v>178</v>
      </c>
      <c r="P279" s="43" t="s">
        <v>763</v>
      </c>
      <c r="Q279" s="43" t="s">
        <v>377</v>
      </c>
      <c r="R279" s="43" t="s">
        <v>765</v>
      </c>
      <c r="S279" s="43" t="s">
        <v>382</v>
      </c>
      <c r="T279" s="43">
        <v>10</v>
      </c>
      <c r="U279" s="43">
        <v>-27.846399999999999</v>
      </c>
      <c r="V279" s="28">
        <v>-2.079E-7</v>
      </c>
      <c r="W279" s="43" t="s">
        <v>910</v>
      </c>
      <c r="X279" s="43" t="s">
        <v>65</v>
      </c>
    </row>
    <row r="280" spans="2:24" x14ac:dyDescent="0.2">
      <c r="B280" s="43" t="s">
        <v>278</v>
      </c>
      <c r="C280" s="43">
        <v>179</v>
      </c>
      <c r="D280" s="43" t="s">
        <v>763</v>
      </c>
      <c r="E280" s="43" t="s">
        <v>107</v>
      </c>
      <c r="F280" s="43" t="s">
        <v>766</v>
      </c>
      <c r="G280" s="43" t="s">
        <v>380</v>
      </c>
      <c r="H280" s="43">
        <v>60</v>
      </c>
      <c r="I280" s="43">
        <v>-28.497499999999999</v>
      </c>
      <c r="J280" s="28">
        <v>-2.2490000000000001E-7</v>
      </c>
      <c r="K280" s="43" t="s">
        <v>910</v>
      </c>
      <c r="L280" s="43" t="s">
        <v>65</v>
      </c>
      <c r="N280" s="43" t="s">
        <v>278</v>
      </c>
      <c r="O280" s="43">
        <v>179</v>
      </c>
      <c r="P280" s="43" t="s">
        <v>763</v>
      </c>
      <c r="Q280" s="43" t="s">
        <v>377</v>
      </c>
      <c r="R280" s="43" t="s">
        <v>766</v>
      </c>
      <c r="S280" s="43" t="s">
        <v>380</v>
      </c>
      <c r="T280" s="43">
        <v>10</v>
      </c>
      <c r="U280" s="43">
        <v>-28.553999999999998</v>
      </c>
      <c r="V280" s="28">
        <v>-2.2539999999999999E-7</v>
      </c>
      <c r="W280" s="43" t="s">
        <v>910</v>
      </c>
      <c r="X280" s="43" t="s">
        <v>65</v>
      </c>
    </row>
    <row r="281" spans="2:24" x14ac:dyDescent="0.2">
      <c r="B281" s="43" t="s">
        <v>278</v>
      </c>
      <c r="C281" s="43">
        <v>179</v>
      </c>
      <c r="D281" s="43" t="s">
        <v>763</v>
      </c>
      <c r="E281" s="43" t="s">
        <v>107</v>
      </c>
      <c r="F281" s="43" t="s">
        <v>767</v>
      </c>
      <c r="G281" s="43" t="s">
        <v>382</v>
      </c>
      <c r="H281" s="43">
        <v>60</v>
      </c>
      <c r="I281" s="43">
        <v>-28.439299999999999</v>
      </c>
      <c r="J281" s="28">
        <v>-2.2450000000000001E-7</v>
      </c>
      <c r="K281" s="43" t="s">
        <v>910</v>
      </c>
      <c r="L281" s="43" t="s">
        <v>65</v>
      </c>
      <c r="N281" s="43" t="s">
        <v>278</v>
      </c>
      <c r="O281" s="43">
        <v>179</v>
      </c>
      <c r="P281" s="43" t="s">
        <v>763</v>
      </c>
      <c r="Q281" s="43" t="s">
        <v>377</v>
      </c>
      <c r="R281" s="43" t="s">
        <v>767</v>
      </c>
      <c r="S281" s="43" t="s">
        <v>382</v>
      </c>
      <c r="T281" s="43">
        <v>10</v>
      </c>
      <c r="U281" s="43">
        <v>-28.3828</v>
      </c>
      <c r="V281" s="28">
        <v>-2.2399999999999999E-7</v>
      </c>
      <c r="W281" s="43" t="s">
        <v>910</v>
      </c>
      <c r="X281" s="43" t="s">
        <v>65</v>
      </c>
    </row>
    <row r="282" spans="2:24" x14ac:dyDescent="0.2">
      <c r="B282" s="43" t="s">
        <v>278</v>
      </c>
      <c r="C282" s="43">
        <v>180</v>
      </c>
      <c r="D282" s="43" t="s">
        <v>763</v>
      </c>
      <c r="E282" s="43" t="s">
        <v>107</v>
      </c>
      <c r="F282" s="43" t="s">
        <v>768</v>
      </c>
      <c r="G282" s="43" t="s">
        <v>380</v>
      </c>
      <c r="H282" s="43">
        <v>60</v>
      </c>
      <c r="I282" s="43">
        <v>-27.965599999999998</v>
      </c>
      <c r="J282" s="28">
        <v>-2.0879999999999999E-7</v>
      </c>
      <c r="K282" s="43" t="s">
        <v>910</v>
      </c>
      <c r="L282" s="43" t="s">
        <v>65</v>
      </c>
      <c r="N282" s="43" t="s">
        <v>278</v>
      </c>
      <c r="O282" s="43">
        <v>180</v>
      </c>
      <c r="P282" s="43" t="s">
        <v>763</v>
      </c>
      <c r="Q282" s="43" t="s">
        <v>377</v>
      </c>
      <c r="R282" s="43" t="s">
        <v>768</v>
      </c>
      <c r="S282" s="43" t="s">
        <v>380</v>
      </c>
      <c r="T282" s="43">
        <v>10</v>
      </c>
      <c r="U282" s="43">
        <v>-28.025700000000001</v>
      </c>
      <c r="V282" s="28">
        <v>-2.093E-7</v>
      </c>
      <c r="W282" s="43" t="s">
        <v>910</v>
      </c>
      <c r="X282" s="43" t="s">
        <v>65</v>
      </c>
    </row>
    <row r="283" spans="2:24" x14ac:dyDescent="0.2">
      <c r="B283" s="43" t="s">
        <v>278</v>
      </c>
      <c r="C283" s="43">
        <v>180</v>
      </c>
      <c r="D283" s="43" t="s">
        <v>763</v>
      </c>
      <c r="E283" s="43" t="s">
        <v>107</v>
      </c>
      <c r="F283" s="43" t="s">
        <v>769</v>
      </c>
      <c r="G283" s="43" t="s">
        <v>382</v>
      </c>
      <c r="H283" s="43">
        <v>60</v>
      </c>
      <c r="I283" s="43">
        <v>-18.549199999999999</v>
      </c>
      <c r="J283" s="28">
        <v>-1.385E-7</v>
      </c>
      <c r="K283" s="43" t="s">
        <v>910</v>
      </c>
      <c r="L283" s="43" t="s">
        <v>65</v>
      </c>
      <c r="N283" s="43" t="s">
        <v>278</v>
      </c>
      <c r="O283" s="43">
        <v>180</v>
      </c>
      <c r="P283" s="43" t="s">
        <v>763</v>
      </c>
      <c r="Q283" s="43" t="s">
        <v>377</v>
      </c>
      <c r="R283" s="43" t="s">
        <v>769</v>
      </c>
      <c r="S283" s="43" t="s">
        <v>382</v>
      </c>
      <c r="T283" s="43">
        <v>10</v>
      </c>
      <c r="U283" s="43">
        <v>-18.491199999999999</v>
      </c>
      <c r="V283" s="28">
        <v>-1.381E-7</v>
      </c>
      <c r="W283" s="43" t="s">
        <v>910</v>
      </c>
      <c r="X283" s="43" t="s">
        <v>65</v>
      </c>
    </row>
    <row r="284" spans="2:24" x14ac:dyDescent="0.2">
      <c r="B284" s="43" t="s">
        <v>278</v>
      </c>
      <c r="C284" s="43">
        <v>181</v>
      </c>
      <c r="D284" s="43" t="s">
        <v>770</v>
      </c>
      <c r="E284" s="43" t="s">
        <v>107</v>
      </c>
      <c r="F284" s="43" t="s">
        <v>771</v>
      </c>
      <c r="G284" s="43" t="s">
        <v>380</v>
      </c>
      <c r="H284" s="43">
        <v>60</v>
      </c>
      <c r="I284" s="43">
        <v>-18.8432</v>
      </c>
      <c r="J284" s="28">
        <v>-1.4070000000000001E-7</v>
      </c>
      <c r="K284" s="43" t="s">
        <v>910</v>
      </c>
      <c r="L284" s="43" t="s">
        <v>65</v>
      </c>
      <c r="N284" s="43" t="s">
        <v>278</v>
      </c>
      <c r="O284" s="43">
        <v>181</v>
      </c>
      <c r="P284" s="43" t="s">
        <v>770</v>
      </c>
      <c r="Q284" s="43" t="s">
        <v>377</v>
      </c>
      <c r="R284" s="43" t="s">
        <v>771</v>
      </c>
      <c r="S284" s="43" t="s">
        <v>380</v>
      </c>
      <c r="T284" s="43">
        <v>10</v>
      </c>
      <c r="U284" s="43">
        <v>-18.9025</v>
      </c>
      <c r="V284" s="28">
        <v>-1.4110000000000001E-7</v>
      </c>
      <c r="W284" s="43" t="s">
        <v>910</v>
      </c>
      <c r="X284" s="43" t="s">
        <v>65</v>
      </c>
    </row>
    <row r="285" spans="2:24" x14ac:dyDescent="0.2">
      <c r="B285" s="43" t="s">
        <v>278</v>
      </c>
      <c r="C285" s="43">
        <v>181</v>
      </c>
      <c r="D285" s="43" t="s">
        <v>770</v>
      </c>
      <c r="E285" s="43" t="s">
        <v>107</v>
      </c>
      <c r="F285" s="43" t="s">
        <v>772</v>
      </c>
      <c r="G285" s="43" t="s">
        <v>382</v>
      </c>
      <c r="H285" s="43">
        <v>60</v>
      </c>
      <c r="I285" s="43">
        <v>-26.447500000000002</v>
      </c>
      <c r="J285" s="28">
        <v>-1.9749999999999999E-7</v>
      </c>
      <c r="K285" s="43" t="s">
        <v>910</v>
      </c>
      <c r="L285" s="43" t="s">
        <v>65</v>
      </c>
      <c r="N285" s="43" t="s">
        <v>278</v>
      </c>
      <c r="O285" s="43">
        <v>181</v>
      </c>
      <c r="P285" s="43" t="s">
        <v>770</v>
      </c>
      <c r="Q285" s="43" t="s">
        <v>377</v>
      </c>
      <c r="R285" s="43" t="s">
        <v>772</v>
      </c>
      <c r="S285" s="43" t="s">
        <v>382</v>
      </c>
      <c r="T285" s="43">
        <v>10</v>
      </c>
      <c r="U285" s="43">
        <v>-26.383500000000002</v>
      </c>
      <c r="V285" s="28">
        <v>-1.97E-7</v>
      </c>
      <c r="W285" s="43" t="s">
        <v>910</v>
      </c>
      <c r="X285" s="43" t="s">
        <v>65</v>
      </c>
    </row>
    <row r="286" spans="2:24" x14ac:dyDescent="0.2">
      <c r="B286" s="43" t="s">
        <v>278</v>
      </c>
      <c r="C286" s="43">
        <v>151</v>
      </c>
      <c r="D286" s="43" t="s">
        <v>773</v>
      </c>
      <c r="E286" s="43" t="s">
        <v>107</v>
      </c>
      <c r="F286" s="43" t="s">
        <v>774</v>
      </c>
      <c r="G286" s="43" t="s">
        <v>380</v>
      </c>
      <c r="H286" s="43">
        <v>60</v>
      </c>
      <c r="I286" s="43">
        <v>-81.725999999999999</v>
      </c>
      <c r="J286" s="28">
        <v>-9.9999999999999995E-7</v>
      </c>
      <c r="K286" s="43" t="s">
        <v>910</v>
      </c>
      <c r="L286" s="43" t="s">
        <v>65</v>
      </c>
      <c r="N286" s="43" t="s">
        <v>278</v>
      </c>
      <c r="O286" s="43">
        <v>151</v>
      </c>
      <c r="P286" s="43" t="s">
        <v>773</v>
      </c>
      <c r="Q286" s="43" t="s">
        <v>377</v>
      </c>
      <c r="R286" s="43" t="s">
        <v>774</v>
      </c>
      <c r="S286" s="43" t="s">
        <v>380</v>
      </c>
      <c r="T286" s="43">
        <v>10</v>
      </c>
      <c r="U286" s="43">
        <v>-81.735799999999998</v>
      </c>
      <c r="V286" s="28">
        <v>-9.9999999999999995E-7</v>
      </c>
      <c r="W286" s="43" t="s">
        <v>910</v>
      </c>
      <c r="X286" s="43" t="s">
        <v>65</v>
      </c>
    </row>
    <row r="287" spans="2:24" x14ac:dyDescent="0.2">
      <c r="B287" s="43" t="s">
        <v>278</v>
      </c>
      <c r="C287" s="43">
        <v>151</v>
      </c>
      <c r="D287" s="43" t="s">
        <v>773</v>
      </c>
      <c r="E287" s="43" t="s">
        <v>107</v>
      </c>
      <c r="F287" s="43" t="s">
        <v>775</v>
      </c>
      <c r="G287" s="43" t="s">
        <v>382</v>
      </c>
      <c r="H287" s="43">
        <v>60</v>
      </c>
      <c r="I287" s="43">
        <v>-12.216900000000001</v>
      </c>
      <c r="J287" s="28">
        <v>-1.0860000000000001E-7</v>
      </c>
      <c r="K287" s="43" t="s">
        <v>910</v>
      </c>
      <c r="L287" s="43" t="s">
        <v>65</v>
      </c>
      <c r="N287" s="43" t="s">
        <v>278</v>
      </c>
      <c r="O287" s="43">
        <v>151</v>
      </c>
      <c r="P287" s="43" t="s">
        <v>773</v>
      </c>
      <c r="Q287" s="43" t="s">
        <v>377</v>
      </c>
      <c r="R287" s="43" t="s">
        <v>775</v>
      </c>
      <c r="S287" s="43" t="s">
        <v>382</v>
      </c>
      <c r="T287" s="43">
        <v>10</v>
      </c>
      <c r="U287" s="43">
        <v>-12.216900000000001</v>
      </c>
      <c r="V287" s="28">
        <v>-1.0860000000000001E-7</v>
      </c>
      <c r="W287" s="43" t="s">
        <v>910</v>
      </c>
      <c r="X287" s="43" t="s">
        <v>65</v>
      </c>
    </row>
    <row r="288" spans="2:24" x14ac:dyDescent="0.2">
      <c r="B288" s="43" t="s">
        <v>278</v>
      </c>
      <c r="C288" s="43">
        <v>154</v>
      </c>
      <c r="D288" s="43" t="s">
        <v>776</v>
      </c>
      <c r="E288" s="43" t="s">
        <v>107</v>
      </c>
      <c r="F288" s="43" t="s">
        <v>777</v>
      </c>
      <c r="G288" s="43" t="s">
        <v>380</v>
      </c>
      <c r="H288" s="43">
        <v>60</v>
      </c>
      <c r="I288" s="43">
        <v>-118.0356</v>
      </c>
      <c r="J288" s="28">
        <v>-9.9999999999999995E-7</v>
      </c>
      <c r="K288" s="43" t="s">
        <v>910</v>
      </c>
      <c r="L288" s="43" t="s">
        <v>65</v>
      </c>
      <c r="N288" s="43" t="s">
        <v>278</v>
      </c>
      <c r="O288" s="43">
        <v>154</v>
      </c>
      <c r="P288" s="43" t="s">
        <v>776</v>
      </c>
      <c r="Q288" s="43" t="s">
        <v>377</v>
      </c>
      <c r="R288" s="43" t="s">
        <v>777</v>
      </c>
      <c r="S288" s="43" t="s">
        <v>380</v>
      </c>
      <c r="T288" s="43">
        <v>10</v>
      </c>
      <c r="U288" s="43">
        <v>-118.0446</v>
      </c>
      <c r="V288" s="28">
        <v>-9.9999999999999995E-7</v>
      </c>
      <c r="W288" s="43" t="s">
        <v>910</v>
      </c>
      <c r="X288" s="43" t="s">
        <v>65</v>
      </c>
    </row>
    <row r="289" spans="2:24" x14ac:dyDescent="0.2">
      <c r="B289" s="43" t="s">
        <v>278</v>
      </c>
      <c r="C289" s="43">
        <v>154</v>
      </c>
      <c r="D289" s="43" t="s">
        <v>776</v>
      </c>
      <c r="E289" s="43" t="s">
        <v>107</v>
      </c>
      <c r="F289" s="43" t="s">
        <v>778</v>
      </c>
      <c r="G289" s="43" t="s">
        <v>382</v>
      </c>
      <c r="H289" s="43">
        <v>60</v>
      </c>
      <c r="I289" s="43">
        <v>-10.742000000000001</v>
      </c>
      <c r="J289" s="28">
        <v>-7.2440000000000005E-8</v>
      </c>
      <c r="K289" s="43" t="s">
        <v>910</v>
      </c>
      <c r="L289" s="43" t="s">
        <v>65</v>
      </c>
      <c r="N289" s="43" t="s">
        <v>278</v>
      </c>
      <c r="O289" s="43">
        <v>154</v>
      </c>
      <c r="P289" s="43" t="s">
        <v>776</v>
      </c>
      <c r="Q289" s="43" t="s">
        <v>377</v>
      </c>
      <c r="R289" s="43" t="s">
        <v>778</v>
      </c>
      <c r="S289" s="43" t="s">
        <v>382</v>
      </c>
      <c r="T289" s="43">
        <v>10</v>
      </c>
      <c r="U289" s="43">
        <v>-10.733599999999999</v>
      </c>
      <c r="V289" s="28">
        <v>-7.2380000000000004E-8</v>
      </c>
      <c r="W289" s="43" t="s">
        <v>910</v>
      </c>
      <c r="X289" s="43" t="s">
        <v>65</v>
      </c>
    </row>
    <row r="290" spans="2:24" x14ac:dyDescent="0.2">
      <c r="B290" s="43" t="s">
        <v>278</v>
      </c>
      <c r="C290" s="43">
        <v>157</v>
      </c>
      <c r="D290" s="43" t="s">
        <v>779</v>
      </c>
      <c r="E290" s="43" t="s">
        <v>107</v>
      </c>
      <c r="F290" s="43" t="s">
        <v>780</v>
      </c>
      <c r="G290" s="43" t="s">
        <v>380</v>
      </c>
      <c r="H290" s="43">
        <v>60</v>
      </c>
      <c r="I290" s="43">
        <v>-102.4104</v>
      </c>
      <c r="J290" s="28">
        <v>-9.9999999999999995E-7</v>
      </c>
      <c r="K290" s="43" t="s">
        <v>910</v>
      </c>
      <c r="L290" s="43" t="s">
        <v>65</v>
      </c>
      <c r="N290" s="43" t="s">
        <v>278</v>
      </c>
      <c r="O290" s="43">
        <v>157</v>
      </c>
      <c r="P290" s="43" t="s">
        <v>779</v>
      </c>
      <c r="Q290" s="43" t="s">
        <v>377</v>
      </c>
      <c r="R290" s="43" t="s">
        <v>780</v>
      </c>
      <c r="S290" s="43" t="s">
        <v>380</v>
      </c>
      <c r="T290" s="43">
        <v>10</v>
      </c>
      <c r="U290" s="43">
        <v>-102.4212</v>
      </c>
      <c r="V290" s="28">
        <v>-9.9999999999999995E-7</v>
      </c>
      <c r="W290" s="43" t="s">
        <v>910</v>
      </c>
      <c r="X290" s="43" t="s">
        <v>65</v>
      </c>
    </row>
    <row r="291" spans="2:24" x14ac:dyDescent="0.2">
      <c r="B291" s="43" t="s">
        <v>278</v>
      </c>
      <c r="C291" s="43">
        <v>157</v>
      </c>
      <c r="D291" s="43" t="s">
        <v>779</v>
      </c>
      <c r="E291" s="43" t="s">
        <v>107</v>
      </c>
      <c r="F291" s="43" t="s">
        <v>781</v>
      </c>
      <c r="G291" s="43" t="s">
        <v>382</v>
      </c>
      <c r="H291" s="43">
        <v>60</v>
      </c>
      <c r="I291" s="43">
        <v>-19.496600000000001</v>
      </c>
      <c r="J291" s="28">
        <v>-1.378E-7</v>
      </c>
      <c r="K291" s="43" t="s">
        <v>910</v>
      </c>
      <c r="L291" s="43" t="s">
        <v>65</v>
      </c>
      <c r="N291" s="43" t="s">
        <v>278</v>
      </c>
      <c r="O291" s="43">
        <v>157</v>
      </c>
      <c r="P291" s="43" t="s">
        <v>779</v>
      </c>
      <c r="Q291" s="43" t="s">
        <v>377</v>
      </c>
      <c r="R291" s="43" t="s">
        <v>781</v>
      </c>
      <c r="S291" s="43" t="s">
        <v>382</v>
      </c>
      <c r="T291" s="43">
        <v>10</v>
      </c>
      <c r="U291" s="43">
        <v>-19.485399999999998</v>
      </c>
      <c r="V291" s="28">
        <v>-1.377E-7</v>
      </c>
      <c r="W291" s="43" t="s">
        <v>910</v>
      </c>
      <c r="X291" s="43" t="s">
        <v>65</v>
      </c>
    </row>
    <row r="292" spans="2:24" x14ac:dyDescent="0.2">
      <c r="B292" s="43" t="s">
        <v>278</v>
      </c>
      <c r="C292" s="43">
        <v>160</v>
      </c>
      <c r="D292" s="43" t="s">
        <v>782</v>
      </c>
      <c r="E292" s="43" t="s">
        <v>107</v>
      </c>
      <c r="F292" s="43" t="s">
        <v>783</v>
      </c>
      <c r="G292" s="43" t="s">
        <v>380</v>
      </c>
      <c r="H292" s="43">
        <v>60</v>
      </c>
      <c r="I292" s="43">
        <v>-102.37390000000001</v>
      </c>
      <c r="J292" s="28">
        <v>-9.9999999999999995E-7</v>
      </c>
      <c r="K292" s="43" t="s">
        <v>910</v>
      </c>
      <c r="L292" s="43" t="s">
        <v>65</v>
      </c>
      <c r="N292" s="43" t="s">
        <v>278</v>
      </c>
      <c r="O292" s="43">
        <v>160</v>
      </c>
      <c r="P292" s="43" t="s">
        <v>782</v>
      </c>
      <c r="Q292" s="43" t="s">
        <v>377</v>
      </c>
      <c r="R292" s="43" t="s">
        <v>783</v>
      </c>
      <c r="S292" s="43" t="s">
        <v>380</v>
      </c>
      <c r="T292" s="43">
        <v>10</v>
      </c>
      <c r="U292" s="43">
        <v>-102.3869</v>
      </c>
      <c r="V292" s="28">
        <v>-9.9999999999999995E-7</v>
      </c>
      <c r="W292" s="43" t="s">
        <v>910</v>
      </c>
      <c r="X292" s="43" t="s">
        <v>65</v>
      </c>
    </row>
    <row r="293" spans="2:24" x14ac:dyDescent="0.2">
      <c r="B293" s="43" t="s">
        <v>278</v>
      </c>
      <c r="C293" s="43">
        <v>160</v>
      </c>
      <c r="D293" s="43" t="s">
        <v>782</v>
      </c>
      <c r="E293" s="43" t="s">
        <v>107</v>
      </c>
      <c r="F293" s="43" t="s">
        <v>784</v>
      </c>
      <c r="G293" s="43" t="s">
        <v>382</v>
      </c>
      <c r="H293" s="43">
        <v>60</v>
      </c>
      <c r="I293" s="43">
        <v>-19.532699999999998</v>
      </c>
      <c r="J293" s="28">
        <v>-1.381E-7</v>
      </c>
      <c r="K293" s="43" t="s">
        <v>910</v>
      </c>
      <c r="L293" s="43" t="s">
        <v>65</v>
      </c>
      <c r="N293" s="43" t="s">
        <v>278</v>
      </c>
      <c r="O293" s="43">
        <v>160</v>
      </c>
      <c r="P293" s="43" t="s">
        <v>782</v>
      </c>
      <c r="Q293" s="43" t="s">
        <v>377</v>
      </c>
      <c r="R293" s="43" t="s">
        <v>784</v>
      </c>
      <c r="S293" s="43" t="s">
        <v>382</v>
      </c>
      <c r="T293" s="43">
        <v>10</v>
      </c>
      <c r="U293" s="43">
        <v>-19.519300000000001</v>
      </c>
      <c r="V293" s="28">
        <v>-1.3799999999999999E-7</v>
      </c>
      <c r="W293" s="43" t="s">
        <v>910</v>
      </c>
      <c r="X293" s="43" t="s">
        <v>65</v>
      </c>
    </row>
    <row r="294" spans="2:24" x14ac:dyDescent="0.2">
      <c r="B294" s="43" t="s">
        <v>278</v>
      </c>
      <c r="C294" s="43">
        <v>163</v>
      </c>
      <c r="D294" s="43" t="s">
        <v>785</v>
      </c>
      <c r="E294" s="43" t="s">
        <v>107</v>
      </c>
      <c r="F294" s="43" t="s">
        <v>786</v>
      </c>
      <c r="G294" s="43" t="s">
        <v>380</v>
      </c>
      <c r="H294" s="43">
        <v>60</v>
      </c>
      <c r="I294" s="43">
        <v>-117.9271</v>
      </c>
      <c r="J294" s="28">
        <v>-9.9999999999999995E-7</v>
      </c>
      <c r="K294" s="43" t="s">
        <v>910</v>
      </c>
      <c r="L294" s="43" t="s">
        <v>65</v>
      </c>
      <c r="N294" s="43" t="s">
        <v>278</v>
      </c>
      <c r="O294" s="43">
        <v>163</v>
      </c>
      <c r="P294" s="43" t="s">
        <v>785</v>
      </c>
      <c r="Q294" s="43" t="s">
        <v>377</v>
      </c>
      <c r="R294" s="43" t="s">
        <v>786</v>
      </c>
      <c r="S294" s="43" t="s">
        <v>380</v>
      </c>
      <c r="T294" s="43">
        <v>10</v>
      </c>
      <c r="U294" s="43">
        <v>-117.9409</v>
      </c>
      <c r="V294" s="28">
        <v>-9.9999999999999995E-7</v>
      </c>
      <c r="W294" s="43" t="s">
        <v>910</v>
      </c>
      <c r="X294" s="43" t="s">
        <v>65</v>
      </c>
    </row>
    <row r="295" spans="2:24" x14ac:dyDescent="0.2">
      <c r="B295" s="43" t="s">
        <v>278</v>
      </c>
      <c r="C295" s="43">
        <v>163</v>
      </c>
      <c r="D295" s="43" t="s">
        <v>785</v>
      </c>
      <c r="E295" s="43" t="s">
        <v>107</v>
      </c>
      <c r="F295" s="43" t="s">
        <v>787</v>
      </c>
      <c r="G295" s="43" t="s">
        <v>382</v>
      </c>
      <c r="H295" s="43">
        <v>60</v>
      </c>
      <c r="I295" s="43">
        <v>-10.8515</v>
      </c>
      <c r="J295" s="28">
        <v>-7.3169999999999999E-8</v>
      </c>
      <c r="K295" s="43" t="s">
        <v>910</v>
      </c>
      <c r="L295" s="43" t="s">
        <v>65</v>
      </c>
      <c r="N295" s="43" t="s">
        <v>278</v>
      </c>
      <c r="O295" s="43">
        <v>163</v>
      </c>
      <c r="P295" s="43" t="s">
        <v>785</v>
      </c>
      <c r="Q295" s="43" t="s">
        <v>377</v>
      </c>
      <c r="R295" s="43" t="s">
        <v>787</v>
      </c>
      <c r="S295" s="43" t="s">
        <v>382</v>
      </c>
      <c r="T295" s="43">
        <v>10</v>
      </c>
      <c r="U295" s="43">
        <v>-10.836499999999999</v>
      </c>
      <c r="V295" s="28">
        <v>-7.3070000000000005E-8</v>
      </c>
      <c r="W295" s="43" t="s">
        <v>910</v>
      </c>
      <c r="X295" s="43" t="s">
        <v>65</v>
      </c>
    </row>
    <row r="296" spans="2:24" x14ac:dyDescent="0.2">
      <c r="B296" s="43" t="s">
        <v>278</v>
      </c>
      <c r="C296" s="43">
        <v>166</v>
      </c>
      <c r="D296" s="43" t="s">
        <v>788</v>
      </c>
      <c r="E296" s="43" t="s">
        <v>107</v>
      </c>
      <c r="F296" s="43" t="s">
        <v>789</v>
      </c>
      <c r="G296" s="43" t="s">
        <v>380</v>
      </c>
      <c r="H296" s="43">
        <v>60</v>
      </c>
      <c r="I296" s="43">
        <v>-81.577799999999996</v>
      </c>
      <c r="J296" s="28">
        <v>-9.9999999999999995E-7</v>
      </c>
      <c r="K296" s="43" t="s">
        <v>910</v>
      </c>
      <c r="L296" s="43" t="s">
        <v>65</v>
      </c>
      <c r="N296" s="43" t="s">
        <v>278</v>
      </c>
      <c r="O296" s="43">
        <v>166</v>
      </c>
      <c r="P296" s="43" t="s">
        <v>788</v>
      </c>
      <c r="Q296" s="43" t="s">
        <v>377</v>
      </c>
      <c r="R296" s="43" t="s">
        <v>789</v>
      </c>
      <c r="S296" s="43" t="s">
        <v>380</v>
      </c>
      <c r="T296" s="43">
        <v>10</v>
      </c>
      <c r="U296" s="43">
        <v>-81.584800000000001</v>
      </c>
      <c r="V296" s="28">
        <v>-9.9999999999999995E-7</v>
      </c>
      <c r="W296" s="43" t="s">
        <v>910</v>
      </c>
      <c r="X296" s="43" t="s">
        <v>65</v>
      </c>
    </row>
    <row r="297" spans="2:24" x14ac:dyDescent="0.2">
      <c r="B297" s="43" t="s">
        <v>278</v>
      </c>
      <c r="C297" s="43">
        <v>166</v>
      </c>
      <c r="D297" s="43" t="s">
        <v>788</v>
      </c>
      <c r="E297" s="43" t="s">
        <v>107</v>
      </c>
      <c r="F297" s="43" t="s">
        <v>790</v>
      </c>
      <c r="G297" s="43" t="s">
        <v>382</v>
      </c>
      <c r="H297" s="43">
        <v>60</v>
      </c>
      <c r="I297" s="43">
        <v>-12.343400000000001</v>
      </c>
      <c r="J297" s="28">
        <v>-1.097E-7</v>
      </c>
      <c r="K297" s="43" t="s">
        <v>910</v>
      </c>
      <c r="L297" s="43" t="s">
        <v>65</v>
      </c>
      <c r="N297" s="43" t="s">
        <v>278</v>
      </c>
      <c r="O297" s="43">
        <v>166</v>
      </c>
      <c r="P297" s="43" t="s">
        <v>788</v>
      </c>
      <c r="Q297" s="43" t="s">
        <v>377</v>
      </c>
      <c r="R297" s="43" t="s">
        <v>790</v>
      </c>
      <c r="S297" s="43" t="s">
        <v>382</v>
      </c>
      <c r="T297" s="43">
        <v>10</v>
      </c>
      <c r="U297" s="43">
        <v>-12.325699999999999</v>
      </c>
      <c r="V297" s="28">
        <v>-1.096E-7</v>
      </c>
      <c r="W297" s="43" t="s">
        <v>910</v>
      </c>
      <c r="X297" s="43" t="s">
        <v>65</v>
      </c>
    </row>
    <row r="298" spans="2:24" x14ac:dyDescent="0.2">
      <c r="B298" s="43" t="s">
        <v>278</v>
      </c>
      <c r="C298" s="43">
        <v>182</v>
      </c>
      <c r="D298" s="43" t="s">
        <v>791</v>
      </c>
      <c r="E298" s="43" t="s">
        <v>107</v>
      </c>
      <c r="F298" s="43" t="s">
        <v>792</v>
      </c>
      <c r="G298" s="43" t="s">
        <v>380</v>
      </c>
      <c r="H298" s="43">
        <v>60</v>
      </c>
      <c r="I298" s="43">
        <v>-17.918099999999999</v>
      </c>
      <c r="J298" s="28">
        <v>-1.8370000000000001E-7</v>
      </c>
      <c r="K298" s="43" t="s">
        <v>910</v>
      </c>
      <c r="L298" s="43" t="s">
        <v>65</v>
      </c>
      <c r="N298" s="43" t="s">
        <v>278</v>
      </c>
      <c r="O298" s="43">
        <v>182</v>
      </c>
      <c r="P298" s="43" t="s">
        <v>791</v>
      </c>
      <c r="Q298" s="43" t="s">
        <v>377</v>
      </c>
      <c r="R298" s="43" t="s">
        <v>792</v>
      </c>
      <c r="S298" s="43" t="s">
        <v>380</v>
      </c>
      <c r="T298" s="43">
        <v>10</v>
      </c>
      <c r="U298" s="43">
        <v>-17.962</v>
      </c>
      <c r="V298" s="28">
        <v>-1.8409999999999999E-7</v>
      </c>
      <c r="W298" s="43" t="s">
        <v>910</v>
      </c>
      <c r="X298" s="43" t="s">
        <v>65</v>
      </c>
    </row>
    <row r="299" spans="2:24" x14ac:dyDescent="0.2">
      <c r="B299" s="43" t="s">
        <v>278</v>
      </c>
      <c r="C299" s="43">
        <v>182</v>
      </c>
      <c r="D299" s="43" t="s">
        <v>791</v>
      </c>
      <c r="E299" s="43" t="s">
        <v>107</v>
      </c>
      <c r="F299" s="43" t="s">
        <v>793</v>
      </c>
      <c r="G299" s="43" t="s">
        <v>382</v>
      </c>
      <c r="H299" s="43">
        <v>60</v>
      </c>
      <c r="I299" s="43">
        <v>-22.881599999999999</v>
      </c>
      <c r="J299" s="28">
        <v>-2.346E-7</v>
      </c>
      <c r="K299" s="43" t="s">
        <v>910</v>
      </c>
      <c r="L299" s="43" t="s">
        <v>65</v>
      </c>
      <c r="N299" s="43" t="s">
        <v>278</v>
      </c>
      <c r="O299" s="43">
        <v>182</v>
      </c>
      <c r="P299" s="43" t="s">
        <v>791</v>
      </c>
      <c r="Q299" s="43" t="s">
        <v>377</v>
      </c>
      <c r="R299" s="43" t="s">
        <v>793</v>
      </c>
      <c r="S299" s="43" t="s">
        <v>382</v>
      </c>
      <c r="T299" s="43">
        <v>10</v>
      </c>
      <c r="U299" s="43">
        <v>-22.837299999999999</v>
      </c>
      <c r="V299" s="28">
        <v>-2.3410000000000001E-7</v>
      </c>
      <c r="W299" s="43" t="s">
        <v>910</v>
      </c>
      <c r="X299" s="43" t="s">
        <v>65</v>
      </c>
    </row>
    <row r="300" spans="2:24" x14ac:dyDescent="0.2">
      <c r="B300" s="43" t="s">
        <v>278</v>
      </c>
      <c r="C300" s="43">
        <v>183</v>
      </c>
      <c r="D300" s="43" t="s">
        <v>794</v>
      </c>
      <c r="E300" s="43" t="s">
        <v>107</v>
      </c>
      <c r="F300" s="43" t="s">
        <v>795</v>
      </c>
      <c r="G300" s="43" t="s">
        <v>380</v>
      </c>
      <c r="H300" s="43">
        <v>60</v>
      </c>
      <c r="I300" s="43">
        <v>-21.696200000000001</v>
      </c>
      <c r="J300" s="28">
        <v>-1.9289999999999999E-7</v>
      </c>
      <c r="K300" s="43" t="s">
        <v>910</v>
      </c>
      <c r="L300" s="43" t="s">
        <v>65</v>
      </c>
      <c r="N300" s="43" t="s">
        <v>278</v>
      </c>
      <c r="O300" s="43">
        <v>183</v>
      </c>
      <c r="P300" s="43" t="s">
        <v>794</v>
      </c>
      <c r="Q300" s="43" t="s">
        <v>377</v>
      </c>
      <c r="R300" s="43" t="s">
        <v>795</v>
      </c>
      <c r="S300" s="43" t="s">
        <v>380</v>
      </c>
      <c r="T300" s="43">
        <v>10</v>
      </c>
      <c r="U300" s="43">
        <v>-21.747199999999999</v>
      </c>
      <c r="V300" s="28">
        <v>-1.9329999999999999E-7</v>
      </c>
      <c r="W300" s="43" t="s">
        <v>910</v>
      </c>
      <c r="X300" s="43" t="s">
        <v>65</v>
      </c>
    </row>
    <row r="301" spans="2:24" x14ac:dyDescent="0.2">
      <c r="B301" s="43" t="s">
        <v>278</v>
      </c>
      <c r="C301" s="43">
        <v>183</v>
      </c>
      <c r="D301" s="43" t="s">
        <v>794</v>
      </c>
      <c r="E301" s="43" t="s">
        <v>107</v>
      </c>
      <c r="F301" s="43" t="s">
        <v>796</v>
      </c>
      <c r="G301" s="43" t="s">
        <v>382</v>
      </c>
      <c r="H301" s="43">
        <v>60</v>
      </c>
      <c r="I301" s="43">
        <v>-14.1974</v>
      </c>
      <c r="J301" s="28">
        <v>-1.2620000000000001E-7</v>
      </c>
      <c r="K301" s="43" t="s">
        <v>910</v>
      </c>
      <c r="L301" s="43" t="s">
        <v>65</v>
      </c>
      <c r="N301" s="43" t="s">
        <v>278</v>
      </c>
      <c r="O301" s="43">
        <v>183</v>
      </c>
      <c r="P301" s="43" t="s">
        <v>794</v>
      </c>
      <c r="Q301" s="43" t="s">
        <v>377</v>
      </c>
      <c r="R301" s="43" t="s">
        <v>796</v>
      </c>
      <c r="S301" s="43" t="s">
        <v>382</v>
      </c>
      <c r="T301" s="43">
        <v>10</v>
      </c>
      <c r="U301" s="43">
        <v>-14.148899999999999</v>
      </c>
      <c r="V301" s="28">
        <v>-1.258E-7</v>
      </c>
      <c r="W301" s="43" t="s">
        <v>910</v>
      </c>
      <c r="X301" s="43" t="s">
        <v>65</v>
      </c>
    </row>
    <row r="302" spans="2:24" x14ac:dyDescent="0.2">
      <c r="B302" s="43" t="s">
        <v>278</v>
      </c>
      <c r="C302" s="43">
        <v>184</v>
      </c>
      <c r="D302" s="43" t="s">
        <v>794</v>
      </c>
      <c r="E302" s="43" t="s">
        <v>107</v>
      </c>
      <c r="F302" s="43" t="s">
        <v>797</v>
      </c>
      <c r="G302" s="43" t="s">
        <v>380</v>
      </c>
      <c r="H302" s="43">
        <v>60</v>
      </c>
      <c r="I302" s="43">
        <v>-14.380100000000001</v>
      </c>
      <c r="J302" s="28">
        <v>-1.205E-7</v>
      </c>
      <c r="K302" s="43" t="s">
        <v>910</v>
      </c>
      <c r="L302" s="43" t="s">
        <v>65</v>
      </c>
      <c r="N302" s="43" t="s">
        <v>278</v>
      </c>
      <c r="O302" s="43">
        <v>184</v>
      </c>
      <c r="P302" s="43" t="s">
        <v>794</v>
      </c>
      <c r="Q302" s="43" t="s">
        <v>377</v>
      </c>
      <c r="R302" s="43" t="s">
        <v>797</v>
      </c>
      <c r="S302" s="43" t="s">
        <v>380</v>
      </c>
      <c r="T302" s="43">
        <v>10</v>
      </c>
      <c r="U302" s="43">
        <v>-14.4297</v>
      </c>
      <c r="V302" s="28">
        <v>-1.209E-7</v>
      </c>
      <c r="W302" s="43" t="s">
        <v>910</v>
      </c>
      <c r="X302" s="43" t="s">
        <v>65</v>
      </c>
    </row>
    <row r="303" spans="2:24" x14ac:dyDescent="0.2">
      <c r="B303" s="43" t="s">
        <v>278</v>
      </c>
      <c r="C303" s="43">
        <v>184</v>
      </c>
      <c r="D303" s="43" t="s">
        <v>794</v>
      </c>
      <c r="E303" s="43" t="s">
        <v>107</v>
      </c>
      <c r="F303" s="43" t="s">
        <v>798</v>
      </c>
      <c r="G303" s="43" t="s">
        <v>382</v>
      </c>
      <c r="H303" s="43">
        <v>60</v>
      </c>
      <c r="I303" s="43">
        <v>-14.2508</v>
      </c>
      <c r="J303" s="28">
        <v>-1.194E-7</v>
      </c>
      <c r="K303" s="43" t="s">
        <v>910</v>
      </c>
      <c r="L303" s="43" t="s">
        <v>65</v>
      </c>
      <c r="N303" s="43" t="s">
        <v>278</v>
      </c>
      <c r="O303" s="43">
        <v>184</v>
      </c>
      <c r="P303" s="43" t="s">
        <v>794</v>
      </c>
      <c r="Q303" s="43" t="s">
        <v>377</v>
      </c>
      <c r="R303" s="43" t="s">
        <v>798</v>
      </c>
      <c r="S303" s="43" t="s">
        <v>382</v>
      </c>
      <c r="T303" s="43">
        <v>10</v>
      </c>
      <c r="U303" s="43">
        <v>-14.201000000000001</v>
      </c>
      <c r="V303" s="28">
        <v>-1.1899999999999999E-7</v>
      </c>
      <c r="W303" s="43" t="s">
        <v>910</v>
      </c>
      <c r="X303" s="43" t="s">
        <v>65</v>
      </c>
    </row>
    <row r="304" spans="2:24" x14ac:dyDescent="0.2">
      <c r="B304" s="43" t="s">
        <v>278</v>
      </c>
      <c r="C304" s="43">
        <v>185</v>
      </c>
      <c r="D304" s="43" t="s">
        <v>794</v>
      </c>
      <c r="E304" s="43" t="s">
        <v>107</v>
      </c>
      <c r="F304" s="43" t="s">
        <v>799</v>
      </c>
      <c r="G304" s="43" t="s">
        <v>380</v>
      </c>
      <c r="H304" s="43">
        <v>60</v>
      </c>
      <c r="I304" s="43">
        <v>-14.323499999999999</v>
      </c>
      <c r="J304" s="28">
        <v>-1.2730000000000001E-7</v>
      </c>
      <c r="K304" s="43" t="s">
        <v>910</v>
      </c>
      <c r="L304" s="43" t="s">
        <v>65</v>
      </c>
      <c r="N304" s="43" t="s">
        <v>278</v>
      </c>
      <c r="O304" s="43">
        <v>185</v>
      </c>
      <c r="P304" s="43" t="s">
        <v>794</v>
      </c>
      <c r="Q304" s="43" t="s">
        <v>377</v>
      </c>
      <c r="R304" s="43" t="s">
        <v>799</v>
      </c>
      <c r="S304" s="43" t="s">
        <v>380</v>
      </c>
      <c r="T304" s="43">
        <v>10</v>
      </c>
      <c r="U304" s="43">
        <v>-14.3711</v>
      </c>
      <c r="V304" s="28">
        <v>-1.2770000000000001E-7</v>
      </c>
      <c r="W304" s="43" t="s">
        <v>910</v>
      </c>
      <c r="X304" s="43" t="s">
        <v>65</v>
      </c>
    </row>
    <row r="305" spans="2:24" x14ac:dyDescent="0.2">
      <c r="B305" s="43" t="s">
        <v>278</v>
      </c>
      <c r="C305" s="43">
        <v>185</v>
      </c>
      <c r="D305" s="43" t="s">
        <v>794</v>
      </c>
      <c r="E305" s="43" t="s">
        <v>107</v>
      </c>
      <c r="F305" s="43" t="s">
        <v>800</v>
      </c>
      <c r="G305" s="43" t="s">
        <v>382</v>
      </c>
      <c r="H305" s="43">
        <v>60</v>
      </c>
      <c r="I305" s="43">
        <v>-21.5684</v>
      </c>
      <c r="J305" s="28">
        <v>-1.917E-7</v>
      </c>
      <c r="K305" s="43" t="s">
        <v>910</v>
      </c>
      <c r="L305" s="43" t="s">
        <v>65</v>
      </c>
      <c r="N305" s="43" t="s">
        <v>278</v>
      </c>
      <c r="O305" s="43">
        <v>185</v>
      </c>
      <c r="P305" s="43" t="s">
        <v>794</v>
      </c>
      <c r="Q305" s="43" t="s">
        <v>377</v>
      </c>
      <c r="R305" s="43" t="s">
        <v>800</v>
      </c>
      <c r="S305" s="43" t="s">
        <v>382</v>
      </c>
      <c r="T305" s="43">
        <v>10</v>
      </c>
      <c r="U305" s="43">
        <v>-21.517700000000001</v>
      </c>
      <c r="V305" s="28">
        <v>-1.913E-7</v>
      </c>
      <c r="W305" s="43" t="s">
        <v>910</v>
      </c>
      <c r="X305" s="43" t="s">
        <v>65</v>
      </c>
    </row>
    <row r="306" spans="2:24" x14ac:dyDescent="0.2">
      <c r="B306" s="43" t="s">
        <v>278</v>
      </c>
      <c r="C306" s="43">
        <v>186</v>
      </c>
      <c r="D306" s="43" t="s">
        <v>801</v>
      </c>
      <c r="E306" s="43" t="s">
        <v>107</v>
      </c>
      <c r="F306" s="43" t="s">
        <v>802</v>
      </c>
      <c r="G306" s="43" t="s">
        <v>380</v>
      </c>
      <c r="H306" s="43">
        <v>60</v>
      </c>
      <c r="I306" s="43">
        <v>-22.994499999999999</v>
      </c>
      <c r="J306" s="28">
        <v>-2.357E-7</v>
      </c>
      <c r="K306" s="43" t="s">
        <v>910</v>
      </c>
      <c r="L306" s="43" t="s">
        <v>65</v>
      </c>
      <c r="N306" s="43" t="s">
        <v>278</v>
      </c>
      <c r="O306" s="43">
        <v>186</v>
      </c>
      <c r="P306" s="43" t="s">
        <v>801</v>
      </c>
      <c r="Q306" s="43" t="s">
        <v>377</v>
      </c>
      <c r="R306" s="43" t="s">
        <v>802</v>
      </c>
      <c r="S306" s="43" t="s">
        <v>380</v>
      </c>
      <c r="T306" s="43">
        <v>10</v>
      </c>
      <c r="U306" s="43">
        <v>-23.039100000000001</v>
      </c>
      <c r="V306" s="28">
        <v>-2.3620000000000001E-7</v>
      </c>
      <c r="W306" s="43" t="s">
        <v>910</v>
      </c>
      <c r="X306" s="43" t="s">
        <v>65</v>
      </c>
    </row>
    <row r="307" spans="2:24" x14ac:dyDescent="0.2">
      <c r="B307" s="43" t="s">
        <v>278</v>
      </c>
      <c r="C307" s="43">
        <v>186</v>
      </c>
      <c r="D307" s="43" t="s">
        <v>801</v>
      </c>
      <c r="E307" s="43" t="s">
        <v>107</v>
      </c>
      <c r="F307" s="43" t="s">
        <v>803</v>
      </c>
      <c r="G307" s="43" t="s">
        <v>382</v>
      </c>
      <c r="H307" s="43">
        <v>60</v>
      </c>
      <c r="I307" s="43">
        <v>-17.810600000000001</v>
      </c>
      <c r="J307" s="28">
        <v>-1.8260000000000001E-7</v>
      </c>
      <c r="K307" s="43" t="s">
        <v>910</v>
      </c>
      <c r="L307" s="43" t="s">
        <v>65</v>
      </c>
      <c r="N307" s="43" t="s">
        <v>278</v>
      </c>
      <c r="O307" s="43">
        <v>186</v>
      </c>
      <c r="P307" s="43" t="s">
        <v>801</v>
      </c>
      <c r="Q307" s="43" t="s">
        <v>377</v>
      </c>
      <c r="R307" s="43" t="s">
        <v>803</v>
      </c>
      <c r="S307" s="43" t="s">
        <v>382</v>
      </c>
      <c r="T307" s="43">
        <v>10</v>
      </c>
      <c r="U307" s="43">
        <v>-17.765699999999999</v>
      </c>
      <c r="V307" s="28">
        <v>-1.821E-7</v>
      </c>
      <c r="W307" s="43" t="s">
        <v>910</v>
      </c>
      <c r="X307" s="43" t="s">
        <v>65</v>
      </c>
    </row>
    <row r="308" spans="2:24" x14ac:dyDescent="0.2">
      <c r="B308" s="43" t="s">
        <v>327</v>
      </c>
      <c r="C308" s="43">
        <v>43</v>
      </c>
      <c r="D308" s="43" t="s">
        <v>804</v>
      </c>
      <c r="E308" s="43" t="s">
        <v>107</v>
      </c>
      <c r="F308" s="43" t="s">
        <v>805</v>
      </c>
      <c r="G308" s="43" t="s">
        <v>380</v>
      </c>
      <c r="H308" s="43">
        <v>60</v>
      </c>
      <c r="I308" s="43">
        <v>-18.167999999999999</v>
      </c>
      <c r="J308" s="28">
        <v>-1.8620000000000001E-7</v>
      </c>
      <c r="K308" s="43" t="s">
        <v>910</v>
      </c>
      <c r="L308" s="43" t="s">
        <v>65</v>
      </c>
      <c r="N308" s="43" t="s">
        <v>327</v>
      </c>
      <c r="O308" s="43">
        <v>43</v>
      </c>
      <c r="P308" s="43" t="s">
        <v>804</v>
      </c>
      <c r="Q308" s="43" t="s">
        <v>377</v>
      </c>
      <c r="R308" s="43" t="s">
        <v>805</v>
      </c>
      <c r="S308" s="43" t="s">
        <v>380</v>
      </c>
      <c r="T308" s="43">
        <v>10</v>
      </c>
      <c r="U308" s="43">
        <v>-18.2073</v>
      </c>
      <c r="V308" s="28">
        <v>-1.8659999999999999E-7</v>
      </c>
      <c r="W308" s="43" t="s">
        <v>910</v>
      </c>
      <c r="X308" s="43" t="s">
        <v>65</v>
      </c>
    </row>
    <row r="309" spans="2:24" x14ac:dyDescent="0.2">
      <c r="B309" s="43" t="s">
        <v>327</v>
      </c>
      <c r="C309" s="43">
        <v>43</v>
      </c>
      <c r="D309" s="43" t="s">
        <v>804</v>
      </c>
      <c r="E309" s="43" t="s">
        <v>107</v>
      </c>
      <c r="F309" s="43" t="s">
        <v>806</v>
      </c>
      <c r="G309" s="43" t="s">
        <v>382</v>
      </c>
      <c r="H309" s="43">
        <v>60</v>
      </c>
      <c r="I309" s="43">
        <v>-24.563300000000002</v>
      </c>
      <c r="J309" s="28">
        <v>-2.5180000000000002E-7</v>
      </c>
      <c r="K309" s="43" t="s">
        <v>910</v>
      </c>
      <c r="L309" s="43" t="s">
        <v>65</v>
      </c>
      <c r="N309" s="43" t="s">
        <v>327</v>
      </c>
      <c r="O309" s="43">
        <v>43</v>
      </c>
      <c r="P309" s="43" t="s">
        <v>804</v>
      </c>
      <c r="Q309" s="43" t="s">
        <v>377</v>
      </c>
      <c r="R309" s="43" t="s">
        <v>806</v>
      </c>
      <c r="S309" s="43" t="s">
        <v>382</v>
      </c>
      <c r="T309" s="43">
        <v>10</v>
      </c>
      <c r="U309" s="43">
        <v>-24.525300000000001</v>
      </c>
      <c r="V309" s="28">
        <v>-2.5139999999999999E-7</v>
      </c>
      <c r="W309" s="43" t="s">
        <v>910</v>
      </c>
      <c r="X309" s="43" t="s">
        <v>65</v>
      </c>
    </row>
    <row r="310" spans="2:24" x14ac:dyDescent="0.2">
      <c r="B310" s="43" t="s">
        <v>327</v>
      </c>
      <c r="C310" s="43">
        <v>44</v>
      </c>
      <c r="D310" s="43" t="s">
        <v>807</v>
      </c>
      <c r="E310" s="43" t="s">
        <v>107</v>
      </c>
      <c r="F310" s="43" t="s">
        <v>808</v>
      </c>
      <c r="G310" s="43" t="s">
        <v>380</v>
      </c>
      <c r="H310" s="43">
        <v>60</v>
      </c>
      <c r="I310" s="43">
        <v>-22.9742</v>
      </c>
      <c r="J310" s="28">
        <v>-2.0419999999999999E-7</v>
      </c>
      <c r="K310" s="43" t="s">
        <v>910</v>
      </c>
      <c r="L310" s="43" t="s">
        <v>65</v>
      </c>
      <c r="N310" s="43" t="s">
        <v>327</v>
      </c>
      <c r="O310" s="43">
        <v>44</v>
      </c>
      <c r="P310" s="43" t="s">
        <v>807</v>
      </c>
      <c r="Q310" s="43" t="s">
        <v>377</v>
      </c>
      <c r="R310" s="43" t="s">
        <v>808</v>
      </c>
      <c r="S310" s="43" t="s">
        <v>380</v>
      </c>
      <c r="T310" s="43">
        <v>10</v>
      </c>
      <c r="U310" s="43">
        <v>-23.018999999999998</v>
      </c>
      <c r="V310" s="28">
        <v>-2.0459999999999999E-7</v>
      </c>
      <c r="W310" s="43" t="s">
        <v>910</v>
      </c>
      <c r="X310" s="43" t="s">
        <v>65</v>
      </c>
    </row>
    <row r="311" spans="2:24" x14ac:dyDescent="0.2">
      <c r="B311" s="43" t="s">
        <v>327</v>
      </c>
      <c r="C311" s="43">
        <v>44</v>
      </c>
      <c r="D311" s="43" t="s">
        <v>807</v>
      </c>
      <c r="E311" s="43" t="s">
        <v>107</v>
      </c>
      <c r="F311" s="43" t="s">
        <v>809</v>
      </c>
      <c r="G311" s="43" t="s">
        <v>382</v>
      </c>
      <c r="H311" s="43">
        <v>60</v>
      </c>
      <c r="I311" s="43">
        <v>-15.1617</v>
      </c>
      <c r="J311" s="28">
        <v>-1.3479999999999999E-7</v>
      </c>
      <c r="K311" s="43" t="s">
        <v>910</v>
      </c>
      <c r="L311" s="43" t="s">
        <v>65</v>
      </c>
      <c r="N311" s="43" t="s">
        <v>327</v>
      </c>
      <c r="O311" s="43">
        <v>44</v>
      </c>
      <c r="P311" s="43" t="s">
        <v>807</v>
      </c>
      <c r="Q311" s="43" t="s">
        <v>377</v>
      </c>
      <c r="R311" s="43" t="s">
        <v>809</v>
      </c>
      <c r="S311" s="43" t="s">
        <v>382</v>
      </c>
      <c r="T311" s="43">
        <v>10</v>
      </c>
      <c r="U311" s="43">
        <v>-15.1187</v>
      </c>
      <c r="V311" s="28">
        <v>-1.3440000000000001E-7</v>
      </c>
      <c r="W311" s="43" t="s">
        <v>910</v>
      </c>
      <c r="X311" s="43" t="s">
        <v>65</v>
      </c>
    </row>
    <row r="312" spans="2:24" x14ac:dyDescent="0.2">
      <c r="B312" s="43" t="s">
        <v>327</v>
      </c>
      <c r="C312" s="43">
        <v>45</v>
      </c>
      <c r="D312" s="43" t="s">
        <v>807</v>
      </c>
      <c r="E312" s="43" t="s">
        <v>107</v>
      </c>
      <c r="F312" s="43" t="s">
        <v>810</v>
      </c>
      <c r="G312" s="43" t="s">
        <v>380</v>
      </c>
      <c r="H312" s="43">
        <v>60</v>
      </c>
      <c r="I312" s="43">
        <v>-15.207100000000001</v>
      </c>
      <c r="J312" s="28">
        <v>-1.2739999999999999E-7</v>
      </c>
      <c r="K312" s="43" t="s">
        <v>910</v>
      </c>
      <c r="L312" s="43" t="s">
        <v>65</v>
      </c>
      <c r="N312" s="43" t="s">
        <v>327</v>
      </c>
      <c r="O312" s="43">
        <v>45</v>
      </c>
      <c r="P312" s="43" t="s">
        <v>807</v>
      </c>
      <c r="Q312" s="43" t="s">
        <v>377</v>
      </c>
      <c r="R312" s="43" t="s">
        <v>810</v>
      </c>
      <c r="S312" s="43" t="s">
        <v>380</v>
      </c>
      <c r="T312" s="43">
        <v>10</v>
      </c>
      <c r="U312" s="43">
        <v>-15.2525</v>
      </c>
      <c r="V312" s="28">
        <v>-1.2779999999999999E-7</v>
      </c>
      <c r="W312" s="43" t="s">
        <v>910</v>
      </c>
      <c r="X312" s="43" t="s">
        <v>65</v>
      </c>
    </row>
    <row r="313" spans="2:24" x14ac:dyDescent="0.2">
      <c r="B313" s="43" t="s">
        <v>327</v>
      </c>
      <c r="C313" s="43">
        <v>45</v>
      </c>
      <c r="D313" s="43" t="s">
        <v>807</v>
      </c>
      <c r="E313" s="43" t="s">
        <v>107</v>
      </c>
      <c r="F313" s="43" t="s">
        <v>811</v>
      </c>
      <c r="G313" s="43" t="s">
        <v>382</v>
      </c>
      <c r="H313" s="43">
        <v>60</v>
      </c>
      <c r="I313" s="43">
        <v>-15.2881</v>
      </c>
      <c r="J313" s="28">
        <v>-1.2809999999999999E-7</v>
      </c>
      <c r="K313" s="43" t="s">
        <v>910</v>
      </c>
      <c r="L313" s="43" t="s">
        <v>65</v>
      </c>
      <c r="N313" s="43" t="s">
        <v>327</v>
      </c>
      <c r="O313" s="43">
        <v>45</v>
      </c>
      <c r="P313" s="43" t="s">
        <v>807</v>
      </c>
      <c r="Q313" s="43" t="s">
        <v>377</v>
      </c>
      <c r="R313" s="43" t="s">
        <v>811</v>
      </c>
      <c r="S313" s="43" t="s">
        <v>382</v>
      </c>
      <c r="T313" s="43">
        <v>10</v>
      </c>
      <c r="U313" s="43">
        <v>-15.2437</v>
      </c>
      <c r="V313" s="28">
        <v>-1.2779999999999999E-7</v>
      </c>
      <c r="W313" s="43" t="s">
        <v>910</v>
      </c>
      <c r="X313" s="43" t="s">
        <v>65</v>
      </c>
    </row>
    <row r="314" spans="2:24" x14ac:dyDescent="0.2">
      <c r="B314" s="43" t="s">
        <v>327</v>
      </c>
      <c r="C314" s="43">
        <v>46</v>
      </c>
      <c r="D314" s="43" t="s">
        <v>807</v>
      </c>
      <c r="E314" s="43" t="s">
        <v>107</v>
      </c>
      <c r="F314" s="43" t="s">
        <v>812</v>
      </c>
      <c r="G314" s="43" t="s">
        <v>380</v>
      </c>
      <c r="H314" s="43">
        <v>60</v>
      </c>
      <c r="I314" s="43">
        <v>-15.085000000000001</v>
      </c>
      <c r="J314" s="28">
        <v>-1.3409999999999999E-7</v>
      </c>
      <c r="K314" s="43" t="s">
        <v>910</v>
      </c>
      <c r="L314" s="43" t="s">
        <v>65</v>
      </c>
      <c r="N314" s="43" t="s">
        <v>327</v>
      </c>
      <c r="O314" s="43">
        <v>46</v>
      </c>
      <c r="P314" s="43" t="s">
        <v>807</v>
      </c>
      <c r="Q314" s="43" t="s">
        <v>377</v>
      </c>
      <c r="R314" s="43" t="s">
        <v>812</v>
      </c>
      <c r="S314" s="43" t="s">
        <v>380</v>
      </c>
      <c r="T314" s="43">
        <v>10</v>
      </c>
      <c r="U314" s="43">
        <v>-15.1281</v>
      </c>
      <c r="V314" s="28">
        <v>-1.3449999999999999E-7</v>
      </c>
      <c r="W314" s="43" t="s">
        <v>910</v>
      </c>
      <c r="X314" s="43" t="s">
        <v>65</v>
      </c>
    </row>
    <row r="315" spans="2:24" x14ac:dyDescent="0.2">
      <c r="B315" s="43" t="s">
        <v>327</v>
      </c>
      <c r="C315" s="43">
        <v>46</v>
      </c>
      <c r="D315" s="43" t="s">
        <v>807</v>
      </c>
      <c r="E315" s="43" t="s">
        <v>107</v>
      </c>
      <c r="F315" s="43" t="s">
        <v>813</v>
      </c>
      <c r="G315" s="43" t="s">
        <v>382</v>
      </c>
      <c r="H315" s="43">
        <v>60</v>
      </c>
      <c r="I315" s="43">
        <v>-23.048400000000001</v>
      </c>
      <c r="J315" s="28">
        <v>-2.0489999999999999E-7</v>
      </c>
      <c r="K315" s="43" t="s">
        <v>910</v>
      </c>
      <c r="L315" s="43" t="s">
        <v>65</v>
      </c>
      <c r="N315" s="43" t="s">
        <v>327</v>
      </c>
      <c r="O315" s="43">
        <v>46</v>
      </c>
      <c r="P315" s="43" t="s">
        <v>807</v>
      </c>
      <c r="Q315" s="43" t="s">
        <v>377</v>
      </c>
      <c r="R315" s="43" t="s">
        <v>813</v>
      </c>
      <c r="S315" s="43" t="s">
        <v>382</v>
      </c>
      <c r="T315" s="43">
        <v>10</v>
      </c>
      <c r="U315" s="43">
        <v>-23.003799999999998</v>
      </c>
      <c r="V315" s="28">
        <v>-2.0450000000000001E-7</v>
      </c>
      <c r="W315" s="43" t="s">
        <v>910</v>
      </c>
      <c r="X315" s="43" t="s">
        <v>65</v>
      </c>
    </row>
    <row r="316" spans="2:24" x14ac:dyDescent="0.2">
      <c r="B316" s="43" t="s">
        <v>327</v>
      </c>
      <c r="C316" s="43">
        <v>47</v>
      </c>
      <c r="D316" s="43" t="s">
        <v>814</v>
      </c>
      <c r="E316" s="43" t="s">
        <v>107</v>
      </c>
      <c r="F316" s="43" t="s">
        <v>815</v>
      </c>
      <c r="G316" s="43" t="s">
        <v>380</v>
      </c>
      <c r="H316" s="43">
        <v>60</v>
      </c>
      <c r="I316" s="43">
        <v>-24.494700000000002</v>
      </c>
      <c r="J316" s="28">
        <v>-2.5110000000000002E-7</v>
      </c>
      <c r="K316" s="43" t="s">
        <v>910</v>
      </c>
      <c r="L316" s="43" t="s">
        <v>65</v>
      </c>
      <c r="N316" s="43" t="s">
        <v>327</v>
      </c>
      <c r="O316" s="43">
        <v>47</v>
      </c>
      <c r="P316" s="43" t="s">
        <v>814</v>
      </c>
      <c r="Q316" s="43" t="s">
        <v>377</v>
      </c>
      <c r="R316" s="43" t="s">
        <v>815</v>
      </c>
      <c r="S316" s="43" t="s">
        <v>380</v>
      </c>
      <c r="T316" s="43">
        <v>10</v>
      </c>
      <c r="U316" s="43">
        <v>-24.535299999999999</v>
      </c>
      <c r="V316" s="28">
        <v>-2.515E-7</v>
      </c>
      <c r="W316" s="43" t="s">
        <v>910</v>
      </c>
      <c r="X316" s="43" t="s">
        <v>65</v>
      </c>
    </row>
    <row r="317" spans="2:24" x14ac:dyDescent="0.2">
      <c r="B317" s="43" t="s">
        <v>327</v>
      </c>
      <c r="C317" s="43">
        <v>47</v>
      </c>
      <c r="D317" s="43" t="s">
        <v>814</v>
      </c>
      <c r="E317" s="43" t="s">
        <v>107</v>
      </c>
      <c r="F317" s="43" t="s">
        <v>816</v>
      </c>
      <c r="G317" s="43" t="s">
        <v>382</v>
      </c>
      <c r="H317" s="43">
        <v>60</v>
      </c>
      <c r="I317" s="43">
        <v>-18.2361</v>
      </c>
      <c r="J317" s="28">
        <v>-1.8690000000000001E-7</v>
      </c>
      <c r="K317" s="43" t="s">
        <v>910</v>
      </c>
      <c r="L317" s="43" t="s">
        <v>65</v>
      </c>
      <c r="N317" s="43" t="s">
        <v>327</v>
      </c>
      <c r="O317" s="43">
        <v>47</v>
      </c>
      <c r="P317" s="43" t="s">
        <v>814</v>
      </c>
      <c r="Q317" s="43" t="s">
        <v>377</v>
      </c>
      <c r="R317" s="43" t="s">
        <v>816</v>
      </c>
      <c r="S317" s="43" t="s">
        <v>382</v>
      </c>
      <c r="T317" s="43">
        <v>10</v>
      </c>
      <c r="U317" s="43">
        <v>-18.1967</v>
      </c>
      <c r="V317" s="28">
        <v>-1.8650000000000001E-7</v>
      </c>
      <c r="W317" s="43" t="s">
        <v>910</v>
      </c>
      <c r="X317" s="43" t="s">
        <v>65</v>
      </c>
    </row>
    <row r="318" spans="2:24" x14ac:dyDescent="0.2">
      <c r="B318" s="43" t="s">
        <v>327</v>
      </c>
      <c r="C318" s="43">
        <v>25</v>
      </c>
      <c r="D318" s="43" t="s">
        <v>817</v>
      </c>
      <c r="E318" s="43" t="s">
        <v>107</v>
      </c>
      <c r="F318" s="43" t="s">
        <v>818</v>
      </c>
      <c r="G318" s="43" t="s">
        <v>380</v>
      </c>
      <c r="H318" s="43">
        <v>60</v>
      </c>
      <c r="I318" s="43">
        <v>-72.160300000000007</v>
      </c>
      <c r="J318" s="28">
        <v>-9.9999999999999995E-7</v>
      </c>
      <c r="K318" s="43" t="s">
        <v>910</v>
      </c>
      <c r="L318" s="43" t="s">
        <v>65</v>
      </c>
      <c r="N318" s="43" t="s">
        <v>327</v>
      </c>
      <c r="O318" s="43">
        <v>25</v>
      </c>
      <c r="P318" s="43" t="s">
        <v>817</v>
      </c>
      <c r="Q318" s="43" t="s">
        <v>377</v>
      </c>
      <c r="R318" s="43" t="s">
        <v>818</v>
      </c>
      <c r="S318" s="43" t="s">
        <v>380</v>
      </c>
      <c r="T318" s="43">
        <v>10</v>
      </c>
      <c r="U318" s="43">
        <v>-72.180899999999994</v>
      </c>
      <c r="V318" s="28">
        <v>-9.9999999999999995E-7</v>
      </c>
      <c r="W318" s="43" t="s">
        <v>910</v>
      </c>
      <c r="X318" s="43" t="s">
        <v>65</v>
      </c>
    </row>
    <row r="319" spans="2:24" x14ac:dyDescent="0.2">
      <c r="B319" s="43" t="s">
        <v>327</v>
      </c>
      <c r="C319" s="43">
        <v>25</v>
      </c>
      <c r="D319" s="43" t="s">
        <v>817</v>
      </c>
      <c r="E319" s="43" t="s">
        <v>107</v>
      </c>
      <c r="F319" s="43" t="s">
        <v>819</v>
      </c>
      <c r="G319" s="43" t="s">
        <v>382</v>
      </c>
      <c r="H319" s="43">
        <v>60</v>
      </c>
      <c r="I319" s="43">
        <v>-20.0501</v>
      </c>
      <c r="J319" s="28">
        <v>-1.8970000000000001E-7</v>
      </c>
      <c r="K319" s="43" t="s">
        <v>910</v>
      </c>
      <c r="L319" s="43" t="s">
        <v>65</v>
      </c>
      <c r="N319" s="43" t="s">
        <v>327</v>
      </c>
      <c r="O319" s="43">
        <v>25</v>
      </c>
      <c r="P319" s="43" t="s">
        <v>817</v>
      </c>
      <c r="Q319" s="43" t="s">
        <v>377</v>
      </c>
      <c r="R319" s="43" t="s">
        <v>819</v>
      </c>
      <c r="S319" s="43" t="s">
        <v>382</v>
      </c>
      <c r="T319" s="43">
        <v>10</v>
      </c>
      <c r="U319" s="43">
        <v>-20.038399999999999</v>
      </c>
      <c r="V319" s="28">
        <v>-1.896E-7</v>
      </c>
      <c r="W319" s="43" t="s">
        <v>910</v>
      </c>
      <c r="X319" s="43" t="s">
        <v>65</v>
      </c>
    </row>
    <row r="320" spans="2:24" x14ac:dyDescent="0.2">
      <c r="B320" s="43" t="s">
        <v>327</v>
      </c>
      <c r="C320" s="43">
        <v>28</v>
      </c>
      <c r="D320" s="43" t="s">
        <v>820</v>
      </c>
      <c r="E320" s="43" t="s">
        <v>107</v>
      </c>
      <c r="F320" s="43" t="s">
        <v>821</v>
      </c>
      <c r="G320" s="43" t="s">
        <v>380</v>
      </c>
      <c r="H320" s="43">
        <v>60</v>
      </c>
      <c r="I320" s="43">
        <v>-92.334900000000005</v>
      </c>
      <c r="J320" s="28">
        <v>-9.9999999999999995E-7</v>
      </c>
      <c r="K320" s="43" t="s">
        <v>910</v>
      </c>
      <c r="L320" s="43" t="s">
        <v>65</v>
      </c>
      <c r="N320" s="43" t="s">
        <v>327</v>
      </c>
      <c r="O320" s="43">
        <v>28</v>
      </c>
      <c r="P320" s="43" t="s">
        <v>820</v>
      </c>
      <c r="Q320" s="43" t="s">
        <v>377</v>
      </c>
      <c r="R320" s="43" t="s">
        <v>821</v>
      </c>
      <c r="S320" s="43" t="s">
        <v>380</v>
      </c>
      <c r="T320" s="43">
        <v>10</v>
      </c>
      <c r="U320" s="43">
        <v>-92.359399999999994</v>
      </c>
      <c r="V320" s="28">
        <v>-9.9999999999999995E-7</v>
      </c>
      <c r="W320" s="43" t="s">
        <v>910</v>
      </c>
      <c r="X320" s="43" t="s">
        <v>65</v>
      </c>
    </row>
    <row r="321" spans="2:24" x14ac:dyDescent="0.2">
      <c r="B321" s="43" t="s">
        <v>327</v>
      </c>
      <c r="C321" s="43">
        <v>28</v>
      </c>
      <c r="D321" s="43" t="s">
        <v>820</v>
      </c>
      <c r="E321" s="43" t="s">
        <v>107</v>
      </c>
      <c r="F321" s="43" t="s">
        <v>822</v>
      </c>
      <c r="G321" s="43" t="s">
        <v>382</v>
      </c>
      <c r="H321" s="43">
        <v>60</v>
      </c>
      <c r="I321" s="43">
        <v>-38.210599999999999</v>
      </c>
      <c r="J321" s="28">
        <v>-2.5769999999999998E-7</v>
      </c>
      <c r="K321" s="43" t="s">
        <v>910</v>
      </c>
      <c r="L321" s="43" t="s">
        <v>65</v>
      </c>
      <c r="N321" s="43" t="s">
        <v>327</v>
      </c>
      <c r="O321" s="43">
        <v>28</v>
      </c>
      <c r="P321" s="43" t="s">
        <v>820</v>
      </c>
      <c r="Q321" s="43" t="s">
        <v>377</v>
      </c>
      <c r="R321" s="43" t="s">
        <v>822</v>
      </c>
      <c r="S321" s="43" t="s">
        <v>382</v>
      </c>
      <c r="T321" s="43">
        <v>10</v>
      </c>
      <c r="U321" s="43">
        <v>-38.186900000000001</v>
      </c>
      <c r="V321" s="28">
        <v>-2.5750000000000002E-7</v>
      </c>
      <c r="W321" s="43" t="s">
        <v>910</v>
      </c>
      <c r="X321" s="43" t="s">
        <v>65</v>
      </c>
    </row>
    <row r="322" spans="2:24" x14ac:dyDescent="0.2">
      <c r="B322" s="43" t="s">
        <v>327</v>
      </c>
      <c r="C322" s="43">
        <v>31</v>
      </c>
      <c r="D322" s="43" t="s">
        <v>823</v>
      </c>
      <c r="E322" s="43" t="s">
        <v>107</v>
      </c>
      <c r="F322" s="43" t="s">
        <v>824</v>
      </c>
      <c r="G322" s="43" t="s">
        <v>380</v>
      </c>
      <c r="H322" s="43">
        <v>60</v>
      </c>
      <c r="I322" s="43">
        <v>-100.0027</v>
      </c>
      <c r="J322" s="28">
        <v>-9.9999999999999995E-7</v>
      </c>
      <c r="K322" s="43" t="s">
        <v>910</v>
      </c>
      <c r="L322" s="43" t="s">
        <v>65</v>
      </c>
      <c r="N322" s="43" t="s">
        <v>327</v>
      </c>
      <c r="O322" s="43">
        <v>31</v>
      </c>
      <c r="P322" s="43" t="s">
        <v>823</v>
      </c>
      <c r="Q322" s="43" t="s">
        <v>377</v>
      </c>
      <c r="R322" s="43" t="s">
        <v>824</v>
      </c>
      <c r="S322" s="43" t="s">
        <v>380</v>
      </c>
      <c r="T322" s="43">
        <v>10</v>
      </c>
      <c r="U322" s="43">
        <v>-100.033</v>
      </c>
      <c r="V322" s="28">
        <v>-9.9999999999999995E-7</v>
      </c>
      <c r="W322" s="43" t="s">
        <v>910</v>
      </c>
      <c r="X322" s="43" t="s">
        <v>65</v>
      </c>
    </row>
    <row r="323" spans="2:24" x14ac:dyDescent="0.2">
      <c r="B323" s="43" t="s">
        <v>327</v>
      </c>
      <c r="C323" s="43">
        <v>31</v>
      </c>
      <c r="D323" s="43" t="s">
        <v>823</v>
      </c>
      <c r="E323" s="43" t="s">
        <v>107</v>
      </c>
      <c r="F323" s="43" t="s">
        <v>825</v>
      </c>
      <c r="G323" s="43" t="s">
        <v>382</v>
      </c>
      <c r="H323" s="43">
        <v>60</v>
      </c>
      <c r="I323" s="43">
        <v>-23.992899999999999</v>
      </c>
      <c r="J323" s="28">
        <v>-1.6960000000000001E-7</v>
      </c>
      <c r="K323" s="43" t="s">
        <v>910</v>
      </c>
      <c r="L323" s="43" t="s">
        <v>65</v>
      </c>
      <c r="N323" s="43" t="s">
        <v>327</v>
      </c>
      <c r="O323" s="43">
        <v>31</v>
      </c>
      <c r="P323" s="43" t="s">
        <v>823</v>
      </c>
      <c r="Q323" s="43" t="s">
        <v>377</v>
      </c>
      <c r="R323" s="43" t="s">
        <v>825</v>
      </c>
      <c r="S323" s="43" t="s">
        <v>382</v>
      </c>
      <c r="T323" s="43">
        <v>10</v>
      </c>
      <c r="U323" s="43">
        <v>-23.967300000000002</v>
      </c>
      <c r="V323" s="28">
        <v>-1.6939999999999999E-7</v>
      </c>
      <c r="W323" s="43" t="s">
        <v>910</v>
      </c>
      <c r="X323" s="43" t="s">
        <v>65</v>
      </c>
    </row>
    <row r="324" spans="2:24" x14ac:dyDescent="0.2">
      <c r="B324" s="43" t="s">
        <v>327</v>
      </c>
      <c r="C324" s="43">
        <v>34</v>
      </c>
      <c r="D324" s="43" t="s">
        <v>826</v>
      </c>
      <c r="E324" s="43" t="s">
        <v>107</v>
      </c>
      <c r="F324" s="43" t="s">
        <v>827</v>
      </c>
      <c r="G324" s="43" t="s">
        <v>380</v>
      </c>
      <c r="H324" s="43">
        <v>60</v>
      </c>
      <c r="I324" s="43">
        <v>-99.975300000000004</v>
      </c>
      <c r="J324" s="28">
        <v>-9.9999999999999995E-7</v>
      </c>
      <c r="K324" s="43" t="s">
        <v>910</v>
      </c>
      <c r="L324" s="43" t="s">
        <v>65</v>
      </c>
      <c r="N324" s="43" t="s">
        <v>327</v>
      </c>
      <c r="O324" s="43">
        <v>34</v>
      </c>
      <c r="P324" s="43" t="s">
        <v>826</v>
      </c>
      <c r="Q324" s="43" t="s">
        <v>377</v>
      </c>
      <c r="R324" s="43" t="s">
        <v>827</v>
      </c>
      <c r="S324" s="43" t="s">
        <v>380</v>
      </c>
      <c r="T324" s="43">
        <v>10</v>
      </c>
      <c r="U324" s="43">
        <v>-100.00709999999999</v>
      </c>
      <c r="V324" s="28">
        <v>-9.9999999999999995E-7</v>
      </c>
      <c r="W324" s="43" t="s">
        <v>910</v>
      </c>
      <c r="X324" s="43" t="s">
        <v>65</v>
      </c>
    </row>
    <row r="325" spans="2:24" x14ac:dyDescent="0.2">
      <c r="B325" s="43" t="s">
        <v>327</v>
      </c>
      <c r="C325" s="43">
        <v>34</v>
      </c>
      <c r="D325" s="43" t="s">
        <v>826</v>
      </c>
      <c r="E325" s="43" t="s">
        <v>107</v>
      </c>
      <c r="F325" s="43" t="s">
        <v>828</v>
      </c>
      <c r="G325" s="43" t="s">
        <v>382</v>
      </c>
      <c r="H325" s="43">
        <v>60</v>
      </c>
      <c r="I325" s="43">
        <v>-24.020099999999999</v>
      </c>
      <c r="J325" s="28">
        <v>-1.698E-7</v>
      </c>
      <c r="K325" s="43" t="s">
        <v>910</v>
      </c>
      <c r="L325" s="43" t="s">
        <v>65</v>
      </c>
      <c r="N325" s="43" t="s">
        <v>327</v>
      </c>
      <c r="O325" s="43">
        <v>34</v>
      </c>
      <c r="P325" s="43" t="s">
        <v>826</v>
      </c>
      <c r="Q325" s="43" t="s">
        <v>377</v>
      </c>
      <c r="R325" s="43" t="s">
        <v>828</v>
      </c>
      <c r="S325" s="43" t="s">
        <v>382</v>
      </c>
      <c r="T325" s="43">
        <v>10</v>
      </c>
      <c r="U325" s="43">
        <v>-23.992899999999999</v>
      </c>
      <c r="V325" s="28">
        <v>-1.6960000000000001E-7</v>
      </c>
      <c r="W325" s="43" t="s">
        <v>910</v>
      </c>
      <c r="X325" s="43" t="s">
        <v>65</v>
      </c>
    </row>
    <row r="326" spans="2:24" x14ac:dyDescent="0.2">
      <c r="B326" s="43" t="s">
        <v>327</v>
      </c>
      <c r="C326" s="43">
        <v>37</v>
      </c>
      <c r="D326" s="43" t="s">
        <v>829</v>
      </c>
      <c r="E326" s="43" t="s">
        <v>107</v>
      </c>
      <c r="F326" s="43" t="s">
        <v>830</v>
      </c>
      <c r="G326" s="43" t="s">
        <v>380</v>
      </c>
      <c r="H326" s="43">
        <v>60</v>
      </c>
      <c r="I326" s="43">
        <v>-92.2517</v>
      </c>
      <c r="J326" s="28">
        <v>-9.9999999999999995E-7</v>
      </c>
      <c r="K326" s="43" t="s">
        <v>910</v>
      </c>
      <c r="L326" s="43" t="s">
        <v>65</v>
      </c>
      <c r="N326" s="43" t="s">
        <v>327</v>
      </c>
      <c r="O326" s="43">
        <v>37</v>
      </c>
      <c r="P326" s="43" t="s">
        <v>829</v>
      </c>
      <c r="Q326" s="43" t="s">
        <v>377</v>
      </c>
      <c r="R326" s="43" t="s">
        <v>830</v>
      </c>
      <c r="S326" s="43" t="s">
        <v>380</v>
      </c>
      <c r="T326" s="43">
        <v>10</v>
      </c>
      <c r="U326" s="43">
        <v>-92.281300000000002</v>
      </c>
      <c r="V326" s="28">
        <v>-9.9999999999999995E-7</v>
      </c>
      <c r="W326" s="43" t="s">
        <v>910</v>
      </c>
      <c r="X326" s="43" t="s">
        <v>65</v>
      </c>
    </row>
    <row r="327" spans="2:24" x14ac:dyDescent="0.2">
      <c r="B327" s="43" t="s">
        <v>327</v>
      </c>
      <c r="C327" s="43">
        <v>37</v>
      </c>
      <c r="D327" s="43" t="s">
        <v>829</v>
      </c>
      <c r="E327" s="43" t="s">
        <v>107</v>
      </c>
      <c r="F327" s="43" t="s">
        <v>831</v>
      </c>
      <c r="G327" s="43" t="s">
        <v>382</v>
      </c>
      <c r="H327" s="43">
        <v>60</v>
      </c>
      <c r="I327" s="43">
        <v>-38.296100000000003</v>
      </c>
      <c r="J327" s="28">
        <v>-2.5820000000000002E-7</v>
      </c>
      <c r="K327" s="43" t="s">
        <v>910</v>
      </c>
      <c r="L327" s="43" t="s">
        <v>65</v>
      </c>
      <c r="N327" s="43" t="s">
        <v>327</v>
      </c>
      <c r="O327" s="43">
        <v>37</v>
      </c>
      <c r="P327" s="43" t="s">
        <v>829</v>
      </c>
      <c r="Q327" s="43" t="s">
        <v>377</v>
      </c>
      <c r="R327" s="43" t="s">
        <v>831</v>
      </c>
      <c r="S327" s="43" t="s">
        <v>382</v>
      </c>
      <c r="T327" s="43">
        <v>10</v>
      </c>
      <c r="U327" s="43">
        <v>-38.265900000000002</v>
      </c>
      <c r="V327" s="28">
        <v>-2.5800000000000001E-7</v>
      </c>
      <c r="W327" s="43" t="s">
        <v>910</v>
      </c>
      <c r="X327" s="43" t="s">
        <v>65</v>
      </c>
    </row>
    <row r="328" spans="2:24" x14ac:dyDescent="0.2">
      <c r="B328" s="43" t="s">
        <v>327</v>
      </c>
      <c r="C328" s="43">
        <v>40</v>
      </c>
      <c r="D328" s="43" t="s">
        <v>832</v>
      </c>
      <c r="E328" s="43" t="s">
        <v>107</v>
      </c>
      <c r="F328" s="43" t="s">
        <v>833</v>
      </c>
      <c r="G328" s="43" t="s">
        <v>380</v>
      </c>
      <c r="H328" s="43">
        <v>60</v>
      </c>
      <c r="I328" s="43">
        <v>-72.070400000000006</v>
      </c>
      <c r="J328" s="28">
        <v>-9.9999999999999995E-7</v>
      </c>
      <c r="K328" s="43" t="s">
        <v>910</v>
      </c>
      <c r="L328" s="43" t="s">
        <v>65</v>
      </c>
      <c r="N328" s="43" t="s">
        <v>327</v>
      </c>
      <c r="O328" s="43">
        <v>40</v>
      </c>
      <c r="P328" s="43" t="s">
        <v>832</v>
      </c>
      <c r="Q328" s="43" t="s">
        <v>377</v>
      </c>
      <c r="R328" s="43" t="s">
        <v>833</v>
      </c>
      <c r="S328" s="43" t="s">
        <v>380</v>
      </c>
      <c r="T328" s="43">
        <v>10</v>
      </c>
      <c r="U328" s="43">
        <v>-72.089100000000002</v>
      </c>
      <c r="V328" s="28">
        <v>-9.9999999999999995E-7</v>
      </c>
      <c r="W328" s="43" t="s">
        <v>910</v>
      </c>
      <c r="X328" s="43" t="s">
        <v>65</v>
      </c>
    </row>
    <row r="329" spans="2:24" x14ac:dyDescent="0.2">
      <c r="B329" s="43" t="s">
        <v>327</v>
      </c>
      <c r="C329" s="43">
        <v>40</v>
      </c>
      <c r="D329" s="43" t="s">
        <v>832</v>
      </c>
      <c r="E329" s="43" t="s">
        <v>107</v>
      </c>
      <c r="F329" s="43" t="s">
        <v>834</v>
      </c>
      <c r="G329" s="43" t="s">
        <v>382</v>
      </c>
      <c r="H329" s="43">
        <v>60</v>
      </c>
      <c r="I329" s="43">
        <v>-20.152200000000001</v>
      </c>
      <c r="J329" s="28">
        <v>-1.9070000000000001E-7</v>
      </c>
      <c r="K329" s="43" t="s">
        <v>910</v>
      </c>
      <c r="L329" s="43" t="s">
        <v>65</v>
      </c>
      <c r="N329" s="43" t="s">
        <v>327</v>
      </c>
      <c r="O329" s="43">
        <v>40</v>
      </c>
      <c r="P329" s="43" t="s">
        <v>832</v>
      </c>
      <c r="Q329" s="43" t="s">
        <v>377</v>
      </c>
      <c r="R329" s="43" t="s">
        <v>834</v>
      </c>
      <c r="S329" s="43" t="s">
        <v>382</v>
      </c>
      <c r="T329" s="43">
        <v>10</v>
      </c>
      <c r="U329" s="43">
        <v>-20.1252</v>
      </c>
      <c r="V329" s="28">
        <v>-1.9040000000000001E-7</v>
      </c>
      <c r="W329" s="43" t="s">
        <v>910</v>
      </c>
      <c r="X329" s="43" t="s">
        <v>65</v>
      </c>
    </row>
    <row r="330" spans="2:24" x14ac:dyDescent="0.2">
      <c r="B330" s="43" t="s">
        <v>327</v>
      </c>
      <c r="C330" s="43">
        <v>48</v>
      </c>
      <c r="D330" s="43" t="s">
        <v>835</v>
      </c>
      <c r="E330" s="43" t="s">
        <v>107</v>
      </c>
      <c r="F330" s="43" t="s">
        <v>836</v>
      </c>
      <c r="G330" s="43" t="s">
        <v>380</v>
      </c>
      <c r="H330" s="43">
        <v>60</v>
      </c>
      <c r="I330" s="43">
        <v>-25.258700000000001</v>
      </c>
      <c r="J330" s="28">
        <v>-1.8860000000000001E-7</v>
      </c>
      <c r="K330" s="43" t="s">
        <v>910</v>
      </c>
      <c r="L330" s="43" t="s">
        <v>65</v>
      </c>
      <c r="N330" s="43" t="s">
        <v>327</v>
      </c>
      <c r="O330" s="43">
        <v>48</v>
      </c>
      <c r="P330" s="43" t="s">
        <v>835</v>
      </c>
      <c r="Q330" s="43" t="s">
        <v>377</v>
      </c>
      <c r="R330" s="43" t="s">
        <v>836</v>
      </c>
      <c r="S330" s="43" t="s">
        <v>380</v>
      </c>
      <c r="T330" s="43">
        <v>10</v>
      </c>
      <c r="U330" s="43">
        <v>-25.312200000000001</v>
      </c>
      <c r="V330" s="28">
        <v>-1.8900000000000001E-7</v>
      </c>
      <c r="W330" s="43" t="s">
        <v>910</v>
      </c>
      <c r="X330" s="43" t="s">
        <v>65</v>
      </c>
    </row>
    <row r="331" spans="2:24" x14ac:dyDescent="0.2">
      <c r="B331" s="43" t="s">
        <v>327</v>
      </c>
      <c r="C331" s="43">
        <v>48</v>
      </c>
      <c r="D331" s="43" t="s">
        <v>835</v>
      </c>
      <c r="E331" s="43" t="s">
        <v>107</v>
      </c>
      <c r="F331" s="43" t="s">
        <v>837</v>
      </c>
      <c r="G331" s="43" t="s">
        <v>382</v>
      </c>
      <c r="H331" s="43">
        <v>60</v>
      </c>
      <c r="I331" s="43">
        <v>-19.648499999999999</v>
      </c>
      <c r="J331" s="28">
        <v>-1.4670000000000001E-7</v>
      </c>
      <c r="K331" s="43" t="s">
        <v>910</v>
      </c>
      <c r="L331" s="43" t="s">
        <v>65</v>
      </c>
      <c r="N331" s="43" t="s">
        <v>327</v>
      </c>
      <c r="O331" s="43">
        <v>48</v>
      </c>
      <c r="P331" s="43" t="s">
        <v>835</v>
      </c>
      <c r="Q331" s="43" t="s">
        <v>377</v>
      </c>
      <c r="R331" s="43" t="s">
        <v>837</v>
      </c>
      <c r="S331" s="43" t="s">
        <v>382</v>
      </c>
      <c r="T331" s="43">
        <v>10</v>
      </c>
      <c r="U331" s="43">
        <v>-19.5991</v>
      </c>
      <c r="V331" s="28">
        <v>-1.4630000000000001E-7</v>
      </c>
      <c r="W331" s="43" t="s">
        <v>910</v>
      </c>
      <c r="X331" s="43" t="s">
        <v>65</v>
      </c>
    </row>
    <row r="332" spans="2:24" x14ac:dyDescent="0.2">
      <c r="B332" s="43" t="s">
        <v>327</v>
      </c>
      <c r="C332" s="43">
        <v>49</v>
      </c>
      <c r="D332" s="43" t="s">
        <v>838</v>
      </c>
      <c r="E332" s="43" t="s">
        <v>107</v>
      </c>
      <c r="F332" s="43" t="s">
        <v>839</v>
      </c>
      <c r="G332" s="43" t="s">
        <v>380</v>
      </c>
      <c r="H332" s="43">
        <v>60</v>
      </c>
      <c r="I332" s="43">
        <v>-18.585799999999999</v>
      </c>
      <c r="J332" s="28">
        <v>-1.388E-7</v>
      </c>
      <c r="K332" s="43" t="s">
        <v>910</v>
      </c>
      <c r="L332" s="43" t="s">
        <v>65</v>
      </c>
      <c r="N332" s="43" t="s">
        <v>327</v>
      </c>
      <c r="O332" s="43">
        <v>49</v>
      </c>
      <c r="P332" s="43" t="s">
        <v>838</v>
      </c>
      <c r="Q332" s="43" t="s">
        <v>377</v>
      </c>
      <c r="R332" s="43" t="s">
        <v>839</v>
      </c>
      <c r="S332" s="43" t="s">
        <v>380</v>
      </c>
      <c r="T332" s="43">
        <v>10</v>
      </c>
      <c r="U332" s="43">
        <v>-18.633099999999999</v>
      </c>
      <c r="V332" s="28">
        <v>-1.3909999999999999E-7</v>
      </c>
      <c r="W332" s="43" t="s">
        <v>910</v>
      </c>
      <c r="X332" s="43" t="s">
        <v>65</v>
      </c>
    </row>
    <row r="333" spans="2:24" x14ac:dyDescent="0.2">
      <c r="B333" s="43" t="s">
        <v>327</v>
      </c>
      <c r="C333" s="43">
        <v>49</v>
      </c>
      <c r="D333" s="43" t="s">
        <v>838</v>
      </c>
      <c r="E333" s="43" t="s">
        <v>107</v>
      </c>
      <c r="F333" s="43" t="s">
        <v>840</v>
      </c>
      <c r="G333" s="43" t="s">
        <v>382</v>
      </c>
      <c r="H333" s="43">
        <v>60</v>
      </c>
      <c r="I333" s="43">
        <v>-28.034600000000001</v>
      </c>
      <c r="J333" s="28">
        <v>-2.093E-7</v>
      </c>
      <c r="K333" s="43" t="s">
        <v>910</v>
      </c>
      <c r="L333" s="43" t="s">
        <v>65</v>
      </c>
      <c r="N333" s="43" t="s">
        <v>327</v>
      </c>
      <c r="O333" s="43">
        <v>49</v>
      </c>
      <c r="P333" s="43" t="s">
        <v>838</v>
      </c>
      <c r="Q333" s="43" t="s">
        <v>377</v>
      </c>
      <c r="R333" s="43" t="s">
        <v>840</v>
      </c>
      <c r="S333" s="43" t="s">
        <v>382</v>
      </c>
      <c r="T333" s="43">
        <v>10</v>
      </c>
      <c r="U333" s="43">
        <v>-27.9862</v>
      </c>
      <c r="V333" s="28">
        <v>-2.0900000000000001E-7</v>
      </c>
      <c r="W333" s="43" t="s">
        <v>910</v>
      </c>
      <c r="X333" s="43" t="s">
        <v>65</v>
      </c>
    </row>
    <row r="334" spans="2:24" x14ac:dyDescent="0.2">
      <c r="B334" s="43" t="s">
        <v>327</v>
      </c>
      <c r="C334" s="43">
        <v>50</v>
      </c>
      <c r="D334" s="43" t="s">
        <v>838</v>
      </c>
      <c r="E334" s="43" t="s">
        <v>107</v>
      </c>
      <c r="F334" s="43" t="s">
        <v>841</v>
      </c>
      <c r="G334" s="43" t="s">
        <v>380</v>
      </c>
      <c r="H334" s="43">
        <v>60</v>
      </c>
      <c r="I334" s="43">
        <v>-28.540500000000002</v>
      </c>
      <c r="J334" s="28">
        <v>-2.2530000000000001E-7</v>
      </c>
      <c r="K334" s="43" t="s">
        <v>910</v>
      </c>
      <c r="L334" s="43" t="s">
        <v>65</v>
      </c>
      <c r="N334" s="43" t="s">
        <v>327</v>
      </c>
      <c r="O334" s="43">
        <v>50</v>
      </c>
      <c r="P334" s="43" t="s">
        <v>838</v>
      </c>
      <c r="Q334" s="43" t="s">
        <v>377</v>
      </c>
      <c r="R334" s="43" t="s">
        <v>841</v>
      </c>
      <c r="S334" s="43" t="s">
        <v>380</v>
      </c>
      <c r="T334" s="43">
        <v>10</v>
      </c>
      <c r="U334" s="43">
        <v>-28.585999999999999</v>
      </c>
      <c r="V334" s="28">
        <v>-2.2560000000000001E-7</v>
      </c>
      <c r="W334" s="43" t="s">
        <v>910</v>
      </c>
      <c r="X334" s="43" t="s">
        <v>65</v>
      </c>
    </row>
    <row r="335" spans="2:24" x14ac:dyDescent="0.2">
      <c r="B335" s="43" t="s">
        <v>327</v>
      </c>
      <c r="C335" s="43">
        <v>50</v>
      </c>
      <c r="D335" s="43" t="s">
        <v>838</v>
      </c>
      <c r="E335" s="43" t="s">
        <v>107</v>
      </c>
      <c r="F335" s="43" t="s">
        <v>842</v>
      </c>
      <c r="G335" s="43" t="s">
        <v>382</v>
      </c>
      <c r="H335" s="43">
        <v>60</v>
      </c>
      <c r="I335" s="43">
        <v>-28.5611</v>
      </c>
      <c r="J335" s="28">
        <v>-2.2539999999999999E-7</v>
      </c>
      <c r="K335" s="43" t="s">
        <v>910</v>
      </c>
      <c r="L335" s="43" t="s">
        <v>65</v>
      </c>
      <c r="N335" s="43" t="s">
        <v>327</v>
      </c>
      <c r="O335" s="43">
        <v>50</v>
      </c>
      <c r="P335" s="43" t="s">
        <v>838</v>
      </c>
      <c r="Q335" s="43" t="s">
        <v>377</v>
      </c>
      <c r="R335" s="43" t="s">
        <v>842</v>
      </c>
      <c r="S335" s="43" t="s">
        <v>382</v>
      </c>
      <c r="T335" s="43">
        <v>10</v>
      </c>
      <c r="U335" s="43">
        <v>-28.515699999999999</v>
      </c>
      <c r="V335" s="28">
        <v>-2.251E-7</v>
      </c>
      <c r="W335" s="43" t="s">
        <v>910</v>
      </c>
      <c r="X335" s="43" t="s">
        <v>65</v>
      </c>
    </row>
    <row r="336" spans="2:24" x14ac:dyDescent="0.2">
      <c r="B336" s="43" t="s">
        <v>327</v>
      </c>
      <c r="C336" s="43">
        <v>51</v>
      </c>
      <c r="D336" s="43" t="s">
        <v>838</v>
      </c>
      <c r="E336" s="43" t="s">
        <v>107</v>
      </c>
      <c r="F336" s="43" t="s">
        <v>843</v>
      </c>
      <c r="G336" s="43" t="s">
        <v>380</v>
      </c>
      <c r="H336" s="43">
        <v>60</v>
      </c>
      <c r="I336" s="43">
        <v>-28.0122</v>
      </c>
      <c r="J336" s="28">
        <v>-2.0919999999999999E-7</v>
      </c>
      <c r="K336" s="43" t="s">
        <v>910</v>
      </c>
      <c r="L336" s="43" t="s">
        <v>65</v>
      </c>
      <c r="N336" s="43" t="s">
        <v>327</v>
      </c>
      <c r="O336" s="43">
        <v>51</v>
      </c>
      <c r="P336" s="43" t="s">
        <v>838</v>
      </c>
      <c r="Q336" s="43" t="s">
        <v>377</v>
      </c>
      <c r="R336" s="43" t="s">
        <v>843</v>
      </c>
      <c r="S336" s="43" t="s">
        <v>380</v>
      </c>
      <c r="T336" s="43">
        <v>10</v>
      </c>
      <c r="U336" s="43">
        <v>-28.0611</v>
      </c>
      <c r="V336" s="28">
        <v>-2.0949999999999999E-7</v>
      </c>
      <c r="W336" s="43" t="s">
        <v>910</v>
      </c>
      <c r="X336" s="43" t="s">
        <v>65</v>
      </c>
    </row>
    <row r="337" spans="2:24" x14ac:dyDescent="0.2">
      <c r="B337" s="43" t="s">
        <v>327</v>
      </c>
      <c r="C337" s="43">
        <v>51</v>
      </c>
      <c r="D337" s="43" t="s">
        <v>838</v>
      </c>
      <c r="E337" s="43" t="s">
        <v>107</v>
      </c>
      <c r="F337" s="43" t="s">
        <v>844</v>
      </c>
      <c r="G337" s="43" t="s">
        <v>382</v>
      </c>
      <c r="H337" s="43">
        <v>60</v>
      </c>
      <c r="I337" s="43">
        <v>-18.607900000000001</v>
      </c>
      <c r="J337" s="28">
        <v>-1.3890000000000001E-7</v>
      </c>
      <c r="K337" s="43" t="s">
        <v>910</v>
      </c>
      <c r="L337" s="43" t="s">
        <v>65</v>
      </c>
      <c r="N337" s="43" t="s">
        <v>327</v>
      </c>
      <c r="O337" s="43">
        <v>51</v>
      </c>
      <c r="P337" s="43" t="s">
        <v>838</v>
      </c>
      <c r="Q337" s="43" t="s">
        <v>377</v>
      </c>
      <c r="R337" s="43" t="s">
        <v>844</v>
      </c>
      <c r="S337" s="43" t="s">
        <v>382</v>
      </c>
      <c r="T337" s="43">
        <v>10</v>
      </c>
      <c r="U337" s="43">
        <v>-18.559799999999999</v>
      </c>
      <c r="V337" s="28">
        <v>-1.3860000000000001E-7</v>
      </c>
      <c r="W337" s="43" t="s">
        <v>910</v>
      </c>
      <c r="X337" s="43" t="s">
        <v>65</v>
      </c>
    </row>
    <row r="338" spans="2:24" x14ac:dyDescent="0.2">
      <c r="B338" s="43" t="s">
        <v>327</v>
      </c>
      <c r="C338" s="43">
        <v>52</v>
      </c>
      <c r="D338" s="43" t="s">
        <v>845</v>
      </c>
      <c r="E338" s="43" t="s">
        <v>107</v>
      </c>
      <c r="F338" s="43" t="s">
        <v>846</v>
      </c>
      <c r="G338" s="43" t="s">
        <v>380</v>
      </c>
      <c r="H338" s="43">
        <v>60</v>
      </c>
      <c r="I338" s="43">
        <v>-19.626899999999999</v>
      </c>
      <c r="J338" s="28">
        <v>-1.4649999999999999E-7</v>
      </c>
      <c r="K338" s="43" t="s">
        <v>910</v>
      </c>
      <c r="L338" s="43" t="s">
        <v>65</v>
      </c>
      <c r="N338" s="43" t="s">
        <v>327</v>
      </c>
      <c r="O338" s="43">
        <v>52</v>
      </c>
      <c r="P338" s="43" t="s">
        <v>845</v>
      </c>
      <c r="Q338" s="43" t="s">
        <v>377</v>
      </c>
      <c r="R338" s="43" t="s">
        <v>846</v>
      </c>
      <c r="S338" s="43" t="s">
        <v>380</v>
      </c>
      <c r="T338" s="43">
        <v>10</v>
      </c>
      <c r="U338" s="43">
        <v>-19.6752</v>
      </c>
      <c r="V338" s="28">
        <v>-1.469E-7</v>
      </c>
      <c r="W338" s="43" t="s">
        <v>910</v>
      </c>
      <c r="X338" s="43" t="s">
        <v>65</v>
      </c>
    </row>
    <row r="339" spans="2:24" x14ac:dyDescent="0.2">
      <c r="B339" s="43" t="s">
        <v>327</v>
      </c>
      <c r="C339" s="43">
        <v>52</v>
      </c>
      <c r="D339" s="43" t="s">
        <v>845</v>
      </c>
      <c r="E339" s="43" t="s">
        <v>107</v>
      </c>
      <c r="F339" s="43" t="s">
        <v>847</v>
      </c>
      <c r="G339" s="43" t="s">
        <v>382</v>
      </c>
      <c r="H339" s="43">
        <v>60</v>
      </c>
      <c r="I339" s="43">
        <v>-25.283100000000001</v>
      </c>
      <c r="J339" s="28">
        <v>-1.888E-7</v>
      </c>
      <c r="K339" s="43" t="s">
        <v>910</v>
      </c>
      <c r="L339" s="43" t="s">
        <v>65</v>
      </c>
      <c r="N339" s="43" t="s">
        <v>327</v>
      </c>
      <c r="O339" s="43">
        <v>52</v>
      </c>
      <c r="P339" s="43" t="s">
        <v>845</v>
      </c>
      <c r="Q339" s="43" t="s">
        <v>377</v>
      </c>
      <c r="R339" s="43" t="s">
        <v>847</v>
      </c>
      <c r="S339" s="43" t="s">
        <v>382</v>
      </c>
      <c r="T339" s="43">
        <v>10</v>
      </c>
      <c r="U339" s="43">
        <v>-25.232099999999999</v>
      </c>
      <c r="V339" s="28">
        <v>-1.8839999999999999E-7</v>
      </c>
      <c r="W339" s="43" t="s">
        <v>910</v>
      </c>
      <c r="X339" s="43" t="s">
        <v>65</v>
      </c>
    </row>
    <row r="340" spans="2:24" x14ac:dyDescent="0.2">
      <c r="B340" s="43" t="s">
        <v>327</v>
      </c>
      <c r="C340" s="43">
        <v>26</v>
      </c>
      <c r="D340" s="43" t="s">
        <v>848</v>
      </c>
      <c r="E340" s="43" t="s">
        <v>107</v>
      </c>
      <c r="F340" s="43" t="s">
        <v>849</v>
      </c>
      <c r="G340" s="43" t="s">
        <v>380</v>
      </c>
      <c r="H340" s="43">
        <v>60</v>
      </c>
      <c r="I340" s="43">
        <v>-71.008300000000006</v>
      </c>
      <c r="J340" s="28">
        <v>-9.9999999999999995E-7</v>
      </c>
      <c r="K340" s="43" t="s">
        <v>910</v>
      </c>
      <c r="L340" s="43" t="s">
        <v>65</v>
      </c>
      <c r="N340" s="43" t="s">
        <v>327</v>
      </c>
      <c r="O340" s="43">
        <v>26</v>
      </c>
      <c r="P340" s="43" t="s">
        <v>848</v>
      </c>
      <c r="Q340" s="43" t="s">
        <v>377</v>
      </c>
      <c r="R340" s="43" t="s">
        <v>849</v>
      </c>
      <c r="S340" s="43" t="s">
        <v>380</v>
      </c>
      <c r="T340" s="43">
        <v>10</v>
      </c>
      <c r="U340" s="43">
        <v>-71.031700000000001</v>
      </c>
      <c r="V340" s="28">
        <v>-9.9999999999999995E-7</v>
      </c>
      <c r="W340" s="43" t="s">
        <v>910</v>
      </c>
      <c r="X340" s="43" t="s">
        <v>65</v>
      </c>
    </row>
    <row r="341" spans="2:24" x14ac:dyDescent="0.2">
      <c r="B341" s="43" t="s">
        <v>327</v>
      </c>
      <c r="C341" s="43">
        <v>26</v>
      </c>
      <c r="D341" s="43" t="s">
        <v>848</v>
      </c>
      <c r="E341" s="43" t="s">
        <v>107</v>
      </c>
      <c r="F341" s="43" t="s">
        <v>850</v>
      </c>
      <c r="G341" s="43" t="s">
        <v>382</v>
      </c>
      <c r="H341" s="43">
        <v>60</v>
      </c>
      <c r="I341" s="43">
        <v>-15.078799999999999</v>
      </c>
      <c r="J341" s="28">
        <v>-1.2919999999999999E-7</v>
      </c>
      <c r="K341" s="43" t="s">
        <v>910</v>
      </c>
      <c r="L341" s="43" t="s">
        <v>65</v>
      </c>
      <c r="N341" s="43" t="s">
        <v>327</v>
      </c>
      <c r="O341" s="43">
        <v>26</v>
      </c>
      <c r="P341" s="43" t="s">
        <v>848</v>
      </c>
      <c r="Q341" s="43" t="s">
        <v>377</v>
      </c>
      <c r="R341" s="43" t="s">
        <v>850</v>
      </c>
      <c r="S341" s="43" t="s">
        <v>382</v>
      </c>
      <c r="T341" s="43">
        <v>10</v>
      </c>
      <c r="U341" s="43">
        <v>-15.0624</v>
      </c>
      <c r="V341" s="28">
        <v>-1.29E-7</v>
      </c>
      <c r="W341" s="43" t="s">
        <v>910</v>
      </c>
      <c r="X341" s="43" t="s">
        <v>65</v>
      </c>
    </row>
    <row r="342" spans="2:24" x14ac:dyDescent="0.2">
      <c r="B342" s="43" t="s">
        <v>327</v>
      </c>
      <c r="C342" s="43">
        <v>29</v>
      </c>
      <c r="D342" s="43" t="s">
        <v>851</v>
      </c>
      <c r="E342" s="43" t="s">
        <v>107</v>
      </c>
      <c r="F342" s="43" t="s">
        <v>852</v>
      </c>
      <c r="G342" s="43" t="s">
        <v>380</v>
      </c>
      <c r="H342" s="43">
        <v>60</v>
      </c>
      <c r="I342" s="43">
        <v>-107.81570000000001</v>
      </c>
      <c r="J342" s="28">
        <v>-9.9999999999999995E-7</v>
      </c>
      <c r="K342" s="43" t="s">
        <v>910</v>
      </c>
      <c r="L342" s="43" t="s">
        <v>65</v>
      </c>
      <c r="N342" s="43" t="s">
        <v>327</v>
      </c>
      <c r="O342" s="43">
        <v>29</v>
      </c>
      <c r="P342" s="43" t="s">
        <v>851</v>
      </c>
      <c r="Q342" s="43" t="s">
        <v>377</v>
      </c>
      <c r="R342" s="43" t="s">
        <v>852</v>
      </c>
      <c r="S342" s="43" t="s">
        <v>380</v>
      </c>
      <c r="T342" s="43">
        <v>10</v>
      </c>
      <c r="U342" s="43">
        <v>-107.839</v>
      </c>
      <c r="V342" s="28">
        <v>-9.9999999999999995E-7</v>
      </c>
      <c r="W342" s="43" t="s">
        <v>910</v>
      </c>
      <c r="X342" s="43" t="s">
        <v>65</v>
      </c>
    </row>
    <row r="343" spans="2:24" x14ac:dyDescent="0.2">
      <c r="B343" s="43" t="s">
        <v>327</v>
      </c>
      <c r="C343" s="43">
        <v>29</v>
      </c>
      <c r="D343" s="43" t="s">
        <v>851</v>
      </c>
      <c r="E343" s="43" t="s">
        <v>107</v>
      </c>
      <c r="F343" s="43" t="s">
        <v>853</v>
      </c>
      <c r="G343" s="43" t="s">
        <v>382</v>
      </c>
      <c r="H343" s="43">
        <v>60</v>
      </c>
      <c r="I343" s="43">
        <v>-38.222799999999999</v>
      </c>
      <c r="J343" s="28">
        <v>-2.5540000000000002E-7</v>
      </c>
      <c r="K343" s="43" t="s">
        <v>910</v>
      </c>
      <c r="L343" s="43" t="s">
        <v>65</v>
      </c>
      <c r="N343" s="43" t="s">
        <v>327</v>
      </c>
      <c r="O343" s="43">
        <v>29</v>
      </c>
      <c r="P343" s="43" t="s">
        <v>851</v>
      </c>
      <c r="Q343" s="43" t="s">
        <v>377</v>
      </c>
      <c r="R343" s="43" t="s">
        <v>853</v>
      </c>
      <c r="S343" s="43" t="s">
        <v>382</v>
      </c>
      <c r="T343" s="43">
        <v>10</v>
      </c>
      <c r="U343" s="43">
        <v>-38.199399999999997</v>
      </c>
      <c r="V343" s="28">
        <v>-2.5520000000000001E-7</v>
      </c>
      <c r="W343" s="43" t="s">
        <v>910</v>
      </c>
      <c r="X343" s="43" t="s">
        <v>65</v>
      </c>
    </row>
    <row r="344" spans="2:24" x14ac:dyDescent="0.2">
      <c r="B344" s="43" t="s">
        <v>327</v>
      </c>
      <c r="C344" s="43">
        <v>32</v>
      </c>
      <c r="D344" s="43" t="s">
        <v>854</v>
      </c>
      <c r="E344" s="43" t="s">
        <v>107</v>
      </c>
      <c r="F344" s="43" t="s">
        <v>855</v>
      </c>
      <c r="G344" s="43" t="s">
        <v>380</v>
      </c>
      <c r="H344" s="43">
        <v>60</v>
      </c>
      <c r="I344" s="43">
        <v>-91.999300000000005</v>
      </c>
      <c r="J344" s="28">
        <v>-9.9999999999999995E-7</v>
      </c>
      <c r="K344" s="43" t="s">
        <v>910</v>
      </c>
      <c r="L344" s="43" t="s">
        <v>65</v>
      </c>
      <c r="N344" s="43" t="s">
        <v>327</v>
      </c>
      <c r="O344" s="43">
        <v>32</v>
      </c>
      <c r="P344" s="43" t="s">
        <v>854</v>
      </c>
      <c r="Q344" s="43" t="s">
        <v>377</v>
      </c>
      <c r="R344" s="43" t="s">
        <v>855</v>
      </c>
      <c r="S344" s="43" t="s">
        <v>380</v>
      </c>
      <c r="T344" s="43">
        <v>10</v>
      </c>
      <c r="U344" s="43">
        <v>-92.0227</v>
      </c>
      <c r="V344" s="28">
        <v>-9.9999999999999995E-7</v>
      </c>
      <c r="W344" s="43" t="s">
        <v>910</v>
      </c>
      <c r="X344" s="43" t="s">
        <v>65</v>
      </c>
    </row>
    <row r="345" spans="2:24" x14ac:dyDescent="0.2">
      <c r="B345" s="43" t="s">
        <v>327</v>
      </c>
      <c r="C345" s="43">
        <v>32</v>
      </c>
      <c r="D345" s="43" t="s">
        <v>854</v>
      </c>
      <c r="E345" s="43" t="s">
        <v>107</v>
      </c>
      <c r="F345" s="43" t="s">
        <v>856</v>
      </c>
      <c r="G345" s="43" t="s">
        <v>382</v>
      </c>
      <c r="H345" s="43">
        <v>60</v>
      </c>
      <c r="I345" s="43">
        <v>-22.224299999999999</v>
      </c>
      <c r="J345" s="28">
        <v>-1.5139999999999999E-7</v>
      </c>
      <c r="K345" s="43" t="s">
        <v>910</v>
      </c>
      <c r="L345" s="43" t="s">
        <v>65</v>
      </c>
      <c r="N345" s="43" t="s">
        <v>327</v>
      </c>
      <c r="O345" s="43">
        <v>32</v>
      </c>
      <c r="P345" s="43" t="s">
        <v>854</v>
      </c>
      <c r="Q345" s="43" t="s">
        <v>377</v>
      </c>
      <c r="R345" s="43" t="s">
        <v>856</v>
      </c>
      <c r="S345" s="43" t="s">
        <v>382</v>
      </c>
      <c r="T345" s="43">
        <v>10</v>
      </c>
      <c r="U345" s="43">
        <v>-22.200199999999999</v>
      </c>
      <c r="V345" s="28">
        <v>-1.512E-7</v>
      </c>
      <c r="W345" s="43" t="s">
        <v>910</v>
      </c>
      <c r="X345" s="43" t="s">
        <v>65</v>
      </c>
    </row>
    <row r="346" spans="2:24" x14ac:dyDescent="0.2">
      <c r="B346" s="43" t="s">
        <v>327</v>
      </c>
      <c r="C346" s="43">
        <v>35</v>
      </c>
      <c r="D346" s="43" t="s">
        <v>857</v>
      </c>
      <c r="E346" s="43" t="s">
        <v>107</v>
      </c>
      <c r="F346" s="43" t="s">
        <v>858</v>
      </c>
      <c r="G346" s="43" t="s">
        <v>380</v>
      </c>
      <c r="H346" s="43">
        <v>60</v>
      </c>
      <c r="I346" s="43">
        <v>-91.972200000000001</v>
      </c>
      <c r="J346" s="28">
        <v>-9.9999999999999995E-7</v>
      </c>
      <c r="K346" s="43" t="s">
        <v>910</v>
      </c>
      <c r="L346" s="43" t="s">
        <v>65</v>
      </c>
      <c r="N346" s="43" t="s">
        <v>327</v>
      </c>
      <c r="O346" s="43">
        <v>35</v>
      </c>
      <c r="P346" s="43" t="s">
        <v>857</v>
      </c>
      <c r="Q346" s="43" t="s">
        <v>377</v>
      </c>
      <c r="R346" s="43" t="s">
        <v>858</v>
      </c>
      <c r="S346" s="43" t="s">
        <v>380</v>
      </c>
      <c r="T346" s="43">
        <v>10</v>
      </c>
      <c r="U346" s="43">
        <v>-91.998199999999997</v>
      </c>
      <c r="V346" s="28">
        <v>-9.9999999999999995E-7</v>
      </c>
      <c r="W346" s="43" t="s">
        <v>910</v>
      </c>
      <c r="X346" s="43" t="s">
        <v>65</v>
      </c>
    </row>
    <row r="347" spans="2:24" x14ac:dyDescent="0.2">
      <c r="B347" s="43" t="s">
        <v>327</v>
      </c>
      <c r="C347" s="43">
        <v>35</v>
      </c>
      <c r="D347" s="43" t="s">
        <v>857</v>
      </c>
      <c r="E347" s="43" t="s">
        <v>107</v>
      </c>
      <c r="F347" s="43" t="s">
        <v>859</v>
      </c>
      <c r="G347" s="43" t="s">
        <v>382</v>
      </c>
      <c r="H347" s="43">
        <v>60</v>
      </c>
      <c r="I347" s="43">
        <v>-22.2515</v>
      </c>
      <c r="J347" s="28">
        <v>-1.5160000000000001E-7</v>
      </c>
      <c r="K347" s="43" t="s">
        <v>910</v>
      </c>
      <c r="L347" s="43" t="s">
        <v>65</v>
      </c>
      <c r="N347" s="43" t="s">
        <v>327</v>
      </c>
      <c r="O347" s="43">
        <v>35</v>
      </c>
      <c r="P347" s="43" t="s">
        <v>857</v>
      </c>
      <c r="Q347" s="43" t="s">
        <v>377</v>
      </c>
      <c r="R347" s="43" t="s">
        <v>859</v>
      </c>
      <c r="S347" s="43" t="s">
        <v>382</v>
      </c>
      <c r="T347" s="43">
        <v>10</v>
      </c>
      <c r="U347" s="43">
        <v>-22.226199999999999</v>
      </c>
      <c r="V347" s="28">
        <v>-1.5139999999999999E-7</v>
      </c>
      <c r="W347" s="43" t="s">
        <v>910</v>
      </c>
      <c r="X347" s="43" t="s">
        <v>65</v>
      </c>
    </row>
    <row r="348" spans="2:24" x14ac:dyDescent="0.2">
      <c r="B348" s="43" t="s">
        <v>327</v>
      </c>
      <c r="C348" s="43">
        <v>38</v>
      </c>
      <c r="D348" s="43" t="s">
        <v>860</v>
      </c>
      <c r="E348" s="43" t="s">
        <v>107</v>
      </c>
      <c r="F348" s="43" t="s">
        <v>861</v>
      </c>
      <c r="G348" s="43" t="s">
        <v>380</v>
      </c>
      <c r="H348" s="43">
        <v>60</v>
      </c>
      <c r="I348" s="43">
        <v>-107.7302</v>
      </c>
      <c r="J348" s="28">
        <v>-9.9999999999999995E-7</v>
      </c>
      <c r="K348" s="43" t="s">
        <v>910</v>
      </c>
      <c r="L348" s="43" t="s">
        <v>65</v>
      </c>
      <c r="N348" s="43" t="s">
        <v>327</v>
      </c>
      <c r="O348" s="43">
        <v>38</v>
      </c>
      <c r="P348" s="43" t="s">
        <v>860</v>
      </c>
      <c r="Q348" s="43" t="s">
        <v>377</v>
      </c>
      <c r="R348" s="43" t="s">
        <v>861</v>
      </c>
      <c r="S348" s="43" t="s">
        <v>380</v>
      </c>
      <c r="T348" s="43">
        <v>10</v>
      </c>
      <c r="U348" s="43">
        <v>-107.759</v>
      </c>
      <c r="V348" s="28">
        <v>-9.9999999999999995E-7</v>
      </c>
      <c r="W348" s="43" t="s">
        <v>910</v>
      </c>
      <c r="X348" s="43" t="s">
        <v>65</v>
      </c>
    </row>
    <row r="349" spans="2:24" x14ac:dyDescent="0.2">
      <c r="B349" s="43" t="s">
        <v>327</v>
      </c>
      <c r="C349" s="43">
        <v>38</v>
      </c>
      <c r="D349" s="43" t="s">
        <v>860</v>
      </c>
      <c r="E349" s="43" t="s">
        <v>107</v>
      </c>
      <c r="F349" s="43" t="s">
        <v>862</v>
      </c>
      <c r="G349" s="43" t="s">
        <v>382</v>
      </c>
      <c r="H349" s="43">
        <v>60</v>
      </c>
      <c r="I349" s="43">
        <v>-38.306899999999999</v>
      </c>
      <c r="J349" s="28">
        <v>-2.5590000000000001E-7</v>
      </c>
      <c r="K349" s="43" t="s">
        <v>910</v>
      </c>
      <c r="L349" s="43" t="s">
        <v>65</v>
      </c>
      <c r="N349" s="43" t="s">
        <v>327</v>
      </c>
      <c r="O349" s="43">
        <v>38</v>
      </c>
      <c r="P349" s="43" t="s">
        <v>860</v>
      </c>
      <c r="Q349" s="43" t="s">
        <v>377</v>
      </c>
      <c r="R349" s="43" t="s">
        <v>862</v>
      </c>
      <c r="S349" s="43" t="s">
        <v>382</v>
      </c>
      <c r="T349" s="43">
        <v>10</v>
      </c>
      <c r="U349" s="43">
        <v>-38.2776</v>
      </c>
      <c r="V349" s="28">
        <v>-2.5569999999999999E-7</v>
      </c>
      <c r="W349" s="43" t="s">
        <v>910</v>
      </c>
      <c r="X349" s="43" t="s">
        <v>65</v>
      </c>
    </row>
    <row r="350" spans="2:24" x14ac:dyDescent="0.2">
      <c r="B350" s="43" t="s">
        <v>327</v>
      </c>
      <c r="C350" s="43">
        <v>41</v>
      </c>
      <c r="D350" s="43" t="s">
        <v>863</v>
      </c>
      <c r="E350" s="43" t="s">
        <v>107</v>
      </c>
      <c r="F350" s="43" t="s">
        <v>864</v>
      </c>
      <c r="G350" s="43" t="s">
        <v>380</v>
      </c>
      <c r="H350" s="43">
        <v>60</v>
      </c>
      <c r="I350" s="43">
        <v>-70.898600000000002</v>
      </c>
      <c r="J350" s="28">
        <v>-9.9999999999999995E-7</v>
      </c>
      <c r="K350" s="43" t="s">
        <v>910</v>
      </c>
      <c r="L350" s="43" t="s">
        <v>65</v>
      </c>
      <c r="N350" s="43" t="s">
        <v>327</v>
      </c>
      <c r="O350" s="43">
        <v>41</v>
      </c>
      <c r="P350" s="43" t="s">
        <v>863</v>
      </c>
      <c r="Q350" s="43" t="s">
        <v>377</v>
      </c>
      <c r="R350" s="43" t="s">
        <v>864</v>
      </c>
      <c r="S350" s="43" t="s">
        <v>380</v>
      </c>
      <c r="T350" s="43">
        <v>10</v>
      </c>
      <c r="U350" s="43">
        <v>-70.919899999999998</v>
      </c>
      <c r="V350" s="28">
        <v>-9.9999999999999995E-7</v>
      </c>
      <c r="W350" s="43" t="s">
        <v>910</v>
      </c>
      <c r="X350" s="43" t="s">
        <v>65</v>
      </c>
    </row>
    <row r="351" spans="2:24" x14ac:dyDescent="0.2">
      <c r="B351" s="43" t="s">
        <v>327</v>
      </c>
      <c r="C351" s="43">
        <v>41</v>
      </c>
      <c r="D351" s="43" t="s">
        <v>863</v>
      </c>
      <c r="E351" s="43" t="s">
        <v>107</v>
      </c>
      <c r="F351" s="43" t="s">
        <v>865</v>
      </c>
      <c r="G351" s="43" t="s">
        <v>382</v>
      </c>
      <c r="H351" s="43">
        <v>60</v>
      </c>
      <c r="I351" s="43">
        <v>-15.1858</v>
      </c>
      <c r="J351" s="28">
        <v>-1.3010000000000001E-7</v>
      </c>
      <c r="K351" s="43" t="s">
        <v>910</v>
      </c>
      <c r="L351" s="43" t="s">
        <v>65</v>
      </c>
      <c r="N351" s="43" t="s">
        <v>327</v>
      </c>
      <c r="O351" s="43">
        <v>41</v>
      </c>
      <c r="P351" s="43" t="s">
        <v>863</v>
      </c>
      <c r="Q351" s="43" t="s">
        <v>377</v>
      </c>
      <c r="R351" s="43" t="s">
        <v>865</v>
      </c>
      <c r="S351" s="43" t="s">
        <v>382</v>
      </c>
      <c r="T351" s="43">
        <v>10</v>
      </c>
      <c r="U351" s="43">
        <v>-15.1554</v>
      </c>
      <c r="V351" s="28">
        <v>-1.2980000000000001E-7</v>
      </c>
      <c r="W351" s="43" t="s">
        <v>910</v>
      </c>
      <c r="X351" s="43" t="s">
        <v>65</v>
      </c>
    </row>
    <row r="352" spans="2:24" x14ac:dyDescent="0.2">
      <c r="B352" s="43" t="s">
        <v>327</v>
      </c>
      <c r="C352" s="43">
        <v>53</v>
      </c>
      <c r="D352" s="43" t="s">
        <v>866</v>
      </c>
      <c r="E352" s="43" t="s">
        <v>107</v>
      </c>
      <c r="F352" s="43" t="s">
        <v>867</v>
      </c>
      <c r="G352" s="43" t="s">
        <v>380</v>
      </c>
      <c r="H352" s="43">
        <v>60</v>
      </c>
      <c r="I352" s="43">
        <v>-25.225999999999999</v>
      </c>
      <c r="J352" s="28">
        <v>-1.8839999999999999E-7</v>
      </c>
      <c r="K352" s="43" t="s">
        <v>910</v>
      </c>
      <c r="L352" s="43" t="s">
        <v>65</v>
      </c>
      <c r="N352" s="43" t="s">
        <v>327</v>
      </c>
      <c r="O352" s="43">
        <v>53</v>
      </c>
      <c r="P352" s="43" t="s">
        <v>866</v>
      </c>
      <c r="Q352" s="43" t="s">
        <v>377</v>
      </c>
      <c r="R352" s="43" t="s">
        <v>867</v>
      </c>
      <c r="S352" s="43" t="s">
        <v>380</v>
      </c>
      <c r="T352" s="43">
        <v>10</v>
      </c>
      <c r="U352" s="43">
        <v>-25.277200000000001</v>
      </c>
      <c r="V352" s="28">
        <v>-1.8869999999999999E-7</v>
      </c>
      <c r="W352" s="43" t="s">
        <v>910</v>
      </c>
      <c r="X352" s="43" t="s">
        <v>65</v>
      </c>
    </row>
    <row r="353" spans="2:24" x14ac:dyDescent="0.2">
      <c r="B353" s="43" t="s">
        <v>327</v>
      </c>
      <c r="C353" s="43">
        <v>53</v>
      </c>
      <c r="D353" s="43" t="s">
        <v>866</v>
      </c>
      <c r="E353" s="43" t="s">
        <v>107</v>
      </c>
      <c r="F353" s="43" t="s">
        <v>868</v>
      </c>
      <c r="G353" s="43" t="s">
        <v>382</v>
      </c>
      <c r="H353" s="43">
        <v>60</v>
      </c>
      <c r="I353" s="43">
        <v>-19.603899999999999</v>
      </c>
      <c r="J353" s="28">
        <v>-1.4639999999999999E-7</v>
      </c>
      <c r="K353" s="43" t="s">
        <v>910</v>
      </c>
      <c r="L353" s="43" t="s">
        <v>65</v>
      </c>
      <c r="N353" s="43" t="s">
        <v>327</v>
      </c>
      <c r="O353" s="43">
        <v>53</v>
      </c>
      <c r="P353" s="43" t="s">
        <v>866</v>
      </c>
      <c r="Q353" s="43" t="s">
        <v>377</v>
      </c>
      <c r="R353" s="43" t="s">
        <v>868</v>
      </c>
      <c r="S353" s="43" t="s">
        <v>382</v>
      </c>
      <c r="T353" s="43">
        <v>10</v>
      </c>
      <c r="U353" s="43">
        <v>-19.557300000000001</v>
      </c>
      <c r="V353" s="28">
        <v>-1.4600000000000001E-7</v>
      </c>
      <c r="W353" s="43" t="s">
        <v>910</v>
      </c>
      <c r="X353" s="43" t="s">
        <v>65</v>
      </c>
    </row>
    <row r="354" spans="2:24" x14ac:dyDescent="0.2">
      <c r="B354" s="43" t="s">
        <v>327</v>
      </c>
      <c r="C354" s="43">
        <v>54</v>
      </c>
      <c r="D354" s="43" t="s">
        <v>869</v>
      </c>
      <c r="E354" s="43" t="s">
        <v>107</v>
      </c>
      <c r="F354" s="43" t="s">
        <v>870</v>
      </c>
      <c r="G354" s="43" t="s">
        <v>380</v>
      </c>
      <c r="H354" s="43">
        <v>60</v>
      </c>
      <c r="I354" s="43">
        <v>-18.6294</v>
      </c>
      <c r="J354" s="28">
        <v>-1.3909999999999999E-7</v>
      </c>
      <c r="K354" s="43" t="s">
        <v>910</v>
      </c>
      <c r="L354" s="43" t="s">
        <v>65</v>
      </c>
      <c r="N354" s="43" t="s">
        <v>327</v>
      </c>
      <c r="O354" s="43">
        <v>54</v>
      </c>
      <c r="P354" s="43" t="s">
        <v>869</v>
      </c>
      <c r="Q354" s="43" t="s">
        <v>377</v>
      </c>
      <c r="R354" s="43" t="s">
        <v>870</v>
      </c>
      <c r="S354" s="43" t="s">
        <v>380</v>
      </c>
      <c r="T354" s="43">
        <v>10</v>
      </c>
      <c r="U354" s="43">
        <v>-18.674399999999999</v>
      </c>
      <c r="V354" s="28">
        <v>-1.3939999999999999E-7</v>
      </c>
      <c r="W354" s="43" t="s">
        <v>910</v>
      </c>
      <c r="X354" s="43" t="s">
        <v>65</v>
      </c>
    </row>
    <row r="355" spans="2:24" x14ac:dyDescent="0.2">
      <c r="B355" s="43" t="s">
        <v>327</v>
      </c>
      <c r="C355" s="43">
        <v>54</v>
      </c>
      <c r="D355" s="43" t="s">
        <v>869</v>
      </c>
      <c r="E355" s="43" t="s">
        <v>107</v>
      </c>
      <c r="F355" s="43" t="s">
        <v>871</v>
      </c>
      <c r="G355" s="43" t="s">
        <v>382</v>
      </c>
      <c r="H355" s="43">
        <v>60</v>
      </c>
      <c r="I355" s="43">
        <v>-27.946100000000001</v>
      </c>
      <c r="J355" s="28">
        <v>-2.0870000000000001E-7</v>
      </c>
      <c r="K355" s="43" t="s">
        <v>910</v>
      </c>
      <c r="L355" s="43" t="s">
        <v>65</v>
      </c>
      <c r="N355" s="43" t="s">
        <v>327</v>
      </c>
      <c r="O355" s="43">
        <v>54</v>
      </c>
      <c r="P355" s="43" t="s">
        <v>869</v>
      </c>
      <c r="Q355" s="43" t="s">
        <v>377</v>
      </c>
      <c r="R355" s="43" t="s">
        <v>871</v>
      </c>
      <c r="S355" s="43" t="s">
        <v>382</v>
      </c>
      <c r="T355" s="43">
        <v>10</v>
      </c>
      <c r="U355" s="43">
        <v>-27.900200000000002</v>
      </c>
      <c r="V355" s="28">
        <v>-2.0830000000000001E-7</v>
      </c>
      <c r="W355" s="43" t="s">
        <v>910</v>
      </c>
      <c r="X355" s="43" t="s">
        <v>65</v>
      </c>
    </row>
    <row r="356" spans="2:24" x14ac:dyDescent="0.2">
      <c r="B356" s="43" t="s">
        <v>327</v>
      </c>
      <c r="C356" s="43">
        <v>55</v>
      </c>
      <c r="D356" s="43" t="s">
        <v>869</v>
      </c>
      <c r="E356" s="43" t="s">
        <v>107</v>
      </c>
      <c r="F356" s="43" t="s">
        <v>872</v>
      </c>
      <c r="G356" s="43" t="s">
        <v>380</v>
      </c>
      <c r="H356" s="43">
        <v>60</v>
      </c>
      <c r="I356" s="43">
        <v>-28.509699999999999</v>
      </c>
      <c r="J356" s="28">
        <v>-2.2499999999999999E-7</v>
      </c>
      <c r="K356" s="43" t="s">
        <v>910</v>
      </c>
      <c r="L356" s="43" t="s">
        <v>65</v>
      </c>
      <c r="N356" s="43" t="s">
        <v>327</v>
      </c>
      <c r="O356" s="43">
        <v>55</v>
      </c>
      <c r="P356" s="43" t="s">
        <v>869</v>
      </c>
      <c r="Q356" s="43" t="s">
        <v>377</v>
      </c>
      <c r="R356" s="43" t="s">
        <v>872</v>
      </c>
      <c r="S356" s="43" t="s">
        <v>380</v>
      </c>
      <c r="T356" s="43">
        <v>10</v>
      </c>
      <c r="U356" s="43">
        <v>-28.553000000000001</v>
      </c>
      <c r="V356" s="28">
        <v>-2.2539999999999999E-7</v>
      </c>
      <c r="W356" s="43" t="s">
        <v>910</v>
      </c>
      <c r="X356" s="43" t="s">
        <v>65</v>
      </c>
    </row>
    <row r="357" spans="2:24" x14ac:dyDescent="0.2">
      <c r="B357" s="43" t="s">
        <v>327</v>
      </c>
      <c r="C357" s="43">
        <v>55</v>
      </c>
      <c r="D357" s="43" t="s">
        <v>869</v>
      </c>
      <c r="E357" s="43" t="s">
        <v>107</v>
      </c>
      <c r="F357" s="43" t="s">
        <v>873</v>
      </c>
      <c r="G357" s="43" t="s">
        <v>382</v>
      </c>
      <c r="H357" s="43">
        <v>60</v>
      </c>
      <c r="I357" s="43">
        <v>-28.4649</v>
      </c>
      <c r="J357" s="28">
        <v>-2.2469999999999999E-7</v>
      </c>
      <c r="K357" s="43" t="s">
        <v>910</v>
      </c>
      <c r="L357" s="43" t="s">
        <v>65</v>
      </c>
      <c r="N357" s="43" t="s">
        <v>327</v>
      </c>
      <c r="O357" s="43">
        <v>55</v>
      </c>
      <c r="P357" s="43" t="s">
        <v>869</v>
      </c>
      <c r="Q357" s="43" t="s">
        <v>377</v>
      </c>
      <c r="R357" s="43" t="s">
        <v>873</v>
      </c>
      <c r="S357" s="43" t="s">
        <v>382</v>
      </c>
      <c r="T357" s="43">
        <v>10</v>
      </c>
      <c r="U357" s="43">
        <v>-28.421800000000001</v>
      </c>
      <c r="V357" s="28">
        <v>-2.2429999999999999E-7</v>
      </c>
      <c r="W357" s="43" t="s">
        <v>910</v>
      </c>
      <c r="X357" s="43" t="s">
        <v>65</v>
      </c>
    </row>
    <row r="358" spans="2:24" x14ac:dyDescent="0.2">
      <c r="B358" s="43" t="s">
        <v>327</v>
      </c>
      <c r="C358" s="43">
        <v>56</v>
      </c>
      <c r="D358" s="43" t="s">
        <v>869</v>
      </c>
      <c r="E358" s="43" t="s">
        <v>107</v>
      </c>
      <c r="F358" s="43" t="s">
        <v>874</v>
      </c>
      <c r="G358" s="43" t="s">
        <v>380</v>
      </c>
      <c r="H358" s="43">
        <v>60</v>
      </c>
      <c r="I358" s="43">
        <v>-27.992699999999999</v>
      </c>
      <c r="J358" s="28">
        <v>-2.0900000000000001E-7</v>
      </c>
      <c r="K358" s="43" t="s">
        <v>910</v>
      </c>
      <c r="L358" s="43" t="s">
        <v>65</v>
      </c>
      <c r="N358" s="43" t="s">
        <v>327</v>
      </c>
      <c r="O358" s="43">
        <v>56</v>
      </c>
      <c r="P358" s="43" t="s">
        <v>869</v>
      </c>
      <c r="Q358" s="43" t="s">
        <v>377</v>
      </c>
      <c r="R358" s="43" t="s">
        <v>874</v>
      </c>
      <c r="S358" s="43" t="s">
        <v>380</v>
      </c>
      <c r="T358" s="43">
        <v>10</v>
      </c>
      <c r="U358" s="43">
        <v>-28.039200000000001</v>
      </c>
      <c r="V358" s="28">
        <v>-2.0940000000000001E-7</v>
      </c>
      <c r="W358" s="43" t="s">
        <v>910</v>
      </c>
      <c r="X358" s="43" t="s">
        <v>65</v>
      </c>
    </row>
    <row r="359" spans="2:24" x14ac:dyDescent="0.2">
      <c r="B359" s="43" t="s">
        <v>327</v>
      </c>
      <c r="C359" s="43">
        <v>56</v>
      </c>
      <c r="D359" s="43" t="s">
        <v>869</v>
      </c>
      <c r="E359" s="43" t="s">
        <v>107</v>
      </c>
      <c r="F359" s="43" t="s">
        <v>875</v>
      </c>
      <c r="G359" s="43" t="s">
        <v>382</v>
      </c>
      <c r="H359" s="43">
        <v>60</v>
      </c>
      <c r="I359" s="43">
        <v>-18.583300000000001</v>
      </c>
      <c r="J359" s="28">
        <v>-1.388E-7</v>
      </c>
      <c r="K359" s="43" t="s">
        <v>910</v>
      </c>
      <c r="L359" s="43" t="s">
        <v>65</v>
      </c>
      <c r="N359" s="43" t="s">
        <v>327</v>
      </c>
      <c r="O359" s="43">
        <v>56</v>
      </c>
      <c r="P359" s="43" t="s">
        <v>869</v>
      </c>
      <c r="Q359" s="43" t="s">
        <v>377</v>
      </c>
      <c r="R359" s="43" t="s">
        <v>875</v>
      </c>
      <c r="S359" s="43" t="s">
        <v>382</v>
      </c>
      <c r="T359" s="43">
        <v>10</v>
      </c>
      <c r="U359" s="43">
        <v>-18.537700000000001</v>
      </c>
      <c r="V359" s="28">
        <v>-1.384E-7</v>
      </c>
      <c r="W359" s="43" t="s">
        <v>910</v>
      </c>
      <c r="X359" s="43" t="s">
        <v>65</v>
      </c>
    </row>
    <row r="360" spans="2:24" x14ac:dyDescent="0.2">
      <c r="B360" s="43" t="s">
        <v>327</v>
      </c>
      <c r="C360" s="43">
        <v>57</v>
      </c>
      <c r="D360" s="43" t="s">
        <v>876</v>
      </c>
      <c r="E360" s="43" t="s">
        <v>107</v>
      </c>
      <c r="F360" s="43" t="s">
        <v>877</v>
      </c>
      <c r="G360" s="43" t="s">
        <v>380</v>
      </c>
      <c r="H360" s="43">
        <v>60</v>
      </c>
      <c r="I360" s="43">
        <v>-19.652200000000001</v>
      </c>
      <c r="J360" s="28">
        <v>-1.4670000000000001E-7</v>
      </c>
      <c r="K360" s="43" t="s">
        <v>910</v>
      </c>
      <c r="L360" s="43" t="s">
        <v>65</v>
      </c>
      <c r="N360" s="43" t="s">
        <v>327</v>
      </c>
      <c r="O360" s="43">
        <v>57</v>
      </c>
      <c r="P360" s="43" t="s">
        <v>876</v>
      </c>
      <c r="Q360" s="43" t="s">
        <v>377</v>
      </c>
      <c r="R360" s="43" t="s">
        <v>877</v>
      </c>
      <c r="S360" s="43" t="s">
        <v>380</v>
      </c>
      <c r="T360" s="43">
        <v>10</v>
      </c>
      <c r="U360" s="43">
        <v>-19.6981</v>
      </c>
      <c r="V360" s="28">
        <v>-1.4709999999999999E-7</v>
      </c>
      <c r="W360" s="43" t="s">
        <v>910</v>
      </c>
      <c r="X360" s="43" t="s">
        <v>65</v>
      </c>
    </row>
    <row r="361" spans="2:24" x14ac:dyDescent="0.2">
      <c r="B361" s="43" t="s">
        <v>327</v>
      </c>
      <c r="C361" s="43">
        <v>57</v>
      </c>
      <c r="D361" s="43" t="s">
        <v>876</v>
      </c>
      <c r="E361" s="43" t="s">
        <v>107</v>
      </c>
      <c r="F361" s="43" t="s">
        <v>878</v>
      </c>
      <c r="G361" s="43" t="s">
        <v>382</v>
      </c>
      <c r="H361" s="43">
        <v>60</v>
      </c>
      <c r="I361" s="43">
        <v>-25.175799999999999</v>
      </c>
      <c r="J361" s="28">
        <v>-1.8799999999999999E-7</v>
      </c>
      <c r="K361" s="43" t="s">
        <v>910</v>
      </c>
      <c r="L361" s="43" t="s">
        <v>65</v>
      </c>
      <c r="N361" s="43" t="s">
        <v>327</v>
      </c>
      <c r="O361" s="43">
        <v>57</v>
      </c>
      <c r="P361" s="43" t="s">
        <v>876</v>
      </c>
      <c r="Q361" s="43" t="s">
        <v>377</v>
      </c>
      <c r="R361" s="43" t="s">
        <v>878</v>
      </c>
      <c r="S361" s="43" t="s">
        <v>382</v>
      </c>
      <c r="T361" s="43">
        <v>10</v>
      </c>
      <c r="U361" s="43">
        <v>-25.1279</v>
      </c>
      <c r="V361" s="28">
        <v>-1.8760000000000001E-7</v>
      </c>
      <c r="W361" s="43" t="s">
        <v>910</v>
      </c>
      <c r="X361" s="43" t="s">
        <v>65</v>
      </c>
    </row>
    <row r="362" spans="2:24" x14ac:dyDescent="0.2">
      <c r="B362" s="43" t="s">
        <v>327</v>
      </c>
      <c r="C362" s="43">
        <v>27</v>
      </c>
      <c r="D362" s="43" t="s">
        <v>879</v>
      </c>
      <c r="E362" s="43" t="s">
        <v>107</v>
      </c>
      <c r="F362" s="43" t="s">
        <v>880</v>
      </c>
      <c r="G362" s="43" t="s">
        <v>380</v>
      </c>
      <c r="H362" s="43">
        <v>60</v>
      </c>
      <c r="I362" s="43">
        <v>-71.217799999999997</v>
      </c>
      <c r="J362" s="28">
        <v>-9.9999999999999995E-7</v>
      </c>
      <c r="K362" s="43" t="s">
        <v>910</v>
      </c>
      <c r="L362" s="43" t="s">
        <v>65</v>
      </c>
      <c r="N362" s="43" t="s">
        <v>327</v>
      </c>
      <c r="O362" s="43">
        <v>27</v>
      </c>
      <c r="P362" s="43" t="s">
        <v>879</v>
      </c>
      <c r="Q362" s="43" t="s">
        <v>377</v>
      </c>
      <c r="R362" s="43" t="s">
        <v>880</v>
      </c>
      <c r="S362" s="43" t="s">
        <v>380</v>
      </c>
      <c r="T362" s="43">
        <v>10</v>
      </c>
      <c r="U362" s="43">
        <v>-71.240200000000002</v>
      </c>
      <c r="V362" s="28">
        <v>-9.9999999999999995E-7</v>
      </c>
      <c r="W362" s="43" t="s">
        <v>910</v>
      </c>
      <c r="X362" s="43" t="s">
        <v>65</v>
      </c>
    </row>
    <row r="363" spans="2:24" x14ac:dyDescent="0.2">
      <c r="B363" s="43" t="s">
        <v>327</v>
      </c>
      <c r="C363" s="43">
        <v>27</v>
      </c>
      <c r="D363" s="43" t="s">
        <v>879</v>
      </c>
      <c r="E363" s="43" t="s">
        <v>107</v>
      </c>
      <c r="F363" s="43" t="s">
        <v>881</v>
      </c>
      <c r="G363" s="43" t="s">
        <v>382</v>
      </c>
      <c r="H363" s="43">
        <v>60</v>
      </c>
      <c r="I363" s="43">
        <v>-20.417999999999999</v>
      </c>
      <c r="J363" s="28">
        <v>-1.9320000000000001E-7</v>
      </c>
      <c r="K363" s="43" t="s">
        <v>910</v>
      </c>
      <c r="L363" s="43" t="s">
        <v>65</v>
      </c>
      <c r="N363" s="43" t="s">
        <v>327</v>
      </c>
      <c r="O363" s="43">
        <v>27</v>
      </c>
      <c r="P363" s="43" t="s">
        <v>879</v>
      </c>
      <c r="Q363" s="43" t="s">
        <v>377</v>
      </c>
      <c r="R363" s="43" t="s">
        <v>881</v>
      </c>
      <c r="S363" s="43" t="s">
        <v>382</v>
      </c>
      <c r="T363" s="43">
        <v>10</v>
      </c>
      <c r="U363" s="43">
        <v>-20.404699999999998</v>
      </c>
      <c r="V363" s="28">
        <v>-1.931E-7</v>
      </c>
      <c r="W363" s="43" t="s">
        <v>910</v>
      </c>
      <c r="X363" s="43" t="s">
        <v>65</v>
      </c>
    </row>
    <row r="364" spans="2:24" x14ac:dyDescent="0.2">
      <c r="B364" s="43" t="s">
        <v>327</v>
      </c>
      <c r="C364" s="43">
        <v>30</v>
      </c>
      <c r="D364" s="43" t="s">
        <v>882</v>
      </c>
      <c r="E364" s="43" t="s">
        <v>107</v>
      </c>
      <c r="F364" s="43" t="s">
        <v>883</v>
      </c>
      <c r="G364" s="43" t="s">
        <v>380</v>
      </c>
      <c r="H364" s="43">
        <v>60</v>
      </c>
      <c r="I364" s="43">
        <v>-108.0341</v>
      </c>
      <c r="J364" s="28">
        <v>-9.9999999999999995E-7</v>
      </c>
      <c r="K364" s="43" t="s">
        <v>910</v>
      </c>
      <c r="L364" s="43" t="s">
        <v>65</v>
      </c>
      <c r="N364" s="43" t="s">
        <v>327</v>
      </c>
      <c r="O364" s="43">
        <v>30</v>
      </c>
      <c r="P364" s="43" t="s">
        <v>882</v>
      </c>
      <c r="Q364" s="43" t="s">
        <v>377</v>
      </c>
      <c r="R364" s="43" t="s">
        <v>883</v>
      </c>
      <c r="S364" s="43" t="s">
        <v>380</v>
      </c>
      <c r="T364" s="43">
        <v>10</v>
      </c>
      <c r="U364" s="43">
        <v>-108.0574</v>
      </c>
      <c r="V364" s="28">
        <v>-9.9999999999999995E-7</v>
      </c>
      <c r="W364" s="43" t="s">
        <v>910</v>
      </c>
      <c r="X364" s="43" t="s">
        <v>65</v>
      </c>
    </row>
    <row r="365" spans="2:24" x14ac:dyDescent="0.2">
      <c r="B365" s="43" t="s">
        <v>327</v>
      </c>
      <c r="C365" s="43">
        <v>30</v>
      </c>
      <c r="D365" s="43" t="s">
        <v>882</v>
      </c>
      <c r="E365" s="43" t="s">
        <v>107</v>
      </c>
      <c r="F365" s="43" t="s">
        <v>884</v>
      </c>
      <c r="G365" s="43" t="s">
        <v>382</v>
      </c>
      <c r="H365" s="43">
        <v>60</v>
      </c>
      <c r="I365" s="43">
        <v>-21.5167</v>
      </c>
      <c r="J365" s="28">
        <v>-1.451E-7</v>
      </c>
      <c r="K365" s="43" t="s">
        <v>910</v>
      </c>
      <c r="L365" s="43" t="s">
        <v>65</v>
      </c>
      <c r="N365" s="43" t="s">
        <v>327</v>
      </c>
      <c r="O365" s="43">
        <v>30</v>
      </c>
      <c r="P365" s="43" t="s">
        <v>882</v>
      </c>
      <c r="Q365" s="43" t="s">
        <v>377</v>
      </c>
      <c r="R365" s="43" t="s">
        <v>884</v>
      </c>
      <c r="S365" s="43" t="s">
        <v>382</v>
      </c>
      <c r="T365" s="43">
        <v>10</v>
      </c>
      <c r="U365" s="43">
        <v>-21.494199999999999</v>
      </c>
      <c r="V365" s="28">
        <v>-1.4490000000000001E-7</v>
      </c>
      <c r="W365" s="43" t="s">
        <v>910</v>
      </c>
      <c r="X365" s="43" t="s">
        <v>65</v>
      </c>
    </row>
    <row r="366" spans="2:24" x14ac:dyDescent="0.2">
      <c r="B366" s="43" t="s">
        <v>327</v>
      </c>
      <c r="C366" s="43">
        <v>33</v>
      </c>
      <c r="D366" s="43" t="s">
        <v>885</v>
      </c>
      <c r="E366" s="43" t="s">
        <v>107</v>
      </c>
      <c r="F366" s="43" t="s">
        <v>886</v>
      </c>
      <c r="G366" s="43" t="s">
        <v>380</v>
      </c>
      <c r="H366" s="43">
        <v>60</v>
      </c>
      <c r="I366" s="43">
        <v>-92.798699999999997</v>
      </c>
      <c r="J366" s="28">
        <v>-9.9999999999999995E-7</v>
      </c>
      <c r="K366" s="43" t="s">
        <v>910</v>
      </c>
      <c r="L366" s="43" t="s">
        <v>65</v>
      </c>
      <c r="N366" s="43" t="s">
        <v>327</v>
      </c>
      <c r="O366" s="43">
        <v>33</v>
      </c>
      <c r="P366" s="43" t="s">
        <v>885</v>
      </c>
      <c r="Q366" s="43" t="s">
        <v>377</v>
      </c>
      <c r="R366" s="43" t="s">
        <v>886</v>
      </c>
      <c r="S366" s="43" t="s">
        <v>380</v>
      </c>
      <c r="T366" s="43">
        <v>10</v>
      </c>
      <c r="U366" s="43">
        <v>-92.822999999999993</v>
      </c>
      <c r="V366" s="28">
        <v>-9.9999999999999995E-7</v>
      </c>
      <c r="W366" s="43" t="s">
        <v>910</v>
      </c>
      <c r="X366" s="43" t="s">
        <v>65</v>
      </c>
    </row>
    <row r="367" spans="2:24" x14ac:dyDescent="0.2">
      <c r="B367" s="43" t="s">
        <v>327</v>
      </c>
      <c r="C367" s="43">
        <v>33</v>
      </c>
      <c r="D367" s="43" t="s">
        <v>885</v>
      </c>
      <c r="E367" s="43" t="s">
        <v>107</v>
      </c>
      <c r="F367" s="43" t="s">
        <v>887</v>
      </c>
      <c r="G367" s="43" t="s">
        <v>382</v>
      </c>
      <c r="H367" s="43">
        <v>60</v>
      </c>
      <c r="I367" s="43">
        <v>-28.607299999999999</v>
      </c>
      <c r="J367" s="28">
        <v>-2.022E-7</v>
      </c>
      <c r="K367" s="43" t="s">
        <v>910</v>
      </c>
      <c r="L367" s="43" t="s">
        <v>65</v>
      </c>
      <c r="N367" s="43" t="s">
        <v>327</v>
      </c>
      <c r="O367" s="43">
        <v>33</v>
      </c>
      <c r="P367" s="43" t="s">
        <v>885</v>
      </c>
      <c r="Q367" s="43" t="s">
        <v>377</v>
      </c>
      <c r="R367" s="43" t="s">
        <v>887</v>
      </c>
      <c r="S367" s="43" t="s">
        <v>382</v>
      </c>
      <c r="T367" s="43">
        <v>10</v>
      </c>
      <c r="U367" s="43">
        <v>-28.581099999999999</v>
      </c>
      <c r="V367" s="28">
        <v>-2.0200000000000001E-7</v>
      </c>
      <c r="W367" s="43" t="s">
        <v>910</v>
      </c>
      <c r="X367" s="43" t="s">
        <v>65</v>
      </c>
    </row>
    <row r="368" spans="2:24" x14ac:dyDescent="0.2">
      <c r="B368" s="43" t="s">
        <v>327</v>
      </c>
      <c r="C368" s="43">
        <v>36</v>
      </c>
      <c r="D368" s="43" t="s">
        <v>888</v>
      </c>
      <c r="E368" s="43" t="s">
        <v>107</v>
      </c>
      <c r="F368" s="43" t="s">
        <v>889</v>
      </c>
      <c r="G368" s="43" t="s">
        <v>380</v>
      </c>
      <c r="H368" s="43">
        <v>60</v>
      </c>
      <c r="I368" s="43">
        <v>-92.771100000000004</v>
      </c>
      <c r="J368" s="28">
        <v>-9.9999999999999995E-7</v>
      </c>
      <c r="K368" s="43" t="s">
        <v>910</v>
      </c>
      <c r="L368" s="43" t="s">
        <v>65</v>
      </c>
      <c r="N368" s="43" t="s">
        <v>327</v>
      </c>
      <c r="O368" s="43">
        <v>36</v>
      </c>
      <c r="P368" s="43" t="s">
        <v>888</v>
      </c>
      <c r="Q368" s="43" t="s">
        <v>377</v>
      </c>
      <c r="R368" s="43" t="s">
        <v>889</v>
      </c>
      <c r="S368" s="43" t="s">
        <v>380</v>
      </c>
      <c r="T368" s="43">
        <v>10</v>
      </c>
      <c r="U368" s="43">
        <v>-92.797499999999999</v>
      </c>
      <c r="V368" s="28">
        <v>-9.9999999999999995E-7</v>
      </c>
      <c r="W368" s="43" t="s">
        <v>910</v>
      </c>
      <c r="X368" s="43" t="s">
        <v>65</v>
      </c>
    </row>
    <row r="369" spans="2:24" x14ac:dyDescent="0.2">
      <c r="B369" s="43" t="s">
        <v>327</v>
      </c>
      <c r="C369" s="43">
        <v>36</v>
      </c>
      <c r="D369" s="43" t="s">
        <v>888</v>
      </c>
      <c r="E369" s="43" t="s">
        <v>107</v>
      </c>
      <c r="F369" s="43" t="s">
        <v>890</v>
      </c>
      <c r="G369" s="43" t="s">
        <v>382</v>
      </c>
      <c r="H369" s="43">
        <v>60</v>
      </c>
      <c r="I369" s="43">
        <v>-28.6355</v>
      </c>
      <c r="J369" s="28">
        <v>-2.0240000000000001E-7</v>
      </c>
      <c r="K369" s="43" t="s">
        <v>910</v>
      </c>
      <c r="L369" s="43" t="s">
        <v>65</v>
      </c>
      <c r="N369" s="43" t="s">
        <v>327</v>
      </c>
      <c r="O369" s="43">
        <v>36</v>
      </c>
      <c r="P369" s="43" t="s">
        <v>888</v>
      </c>
      <c r="Q369" s="43" t="s">
        <v>377</v>
      </c>
      <c r="R369" s="43" t="s">
        <v>890</v>
      </c>
      <c r="S369" s="43" t="s">
        <v>382</v>
      </c>
      <c r="T369" s="43">
        <v>10</v>
      </c>
      <c r="U369" s="43">
        <v>-28.6069</v>
      </c>
      <c r="V369" s="28">
        <v>-2.022E-7</v>
      </c>
      <c r="W369" s="43" t="s">
        <v>910</v>
      </c>
      <c r="X369" s="43" t="s">
        <v>65</v>
      </c>
    </row>
    <row r="370" spans="2:24" x14ac:dyDescent="0.2">
      <c r="B370" s="43" t="s">
        <v>327</v>
      </c>
      <c r="C370" s="43">
        <v>39</v>
      </c>
      <c r="D370" s="43" t="s">
        <v>891</v>
      </c>
      <c r="E370" s="43" t="s">
        <v>107</v>
      </c>
      <c r="F370" s="43" t="s">
        <v>892</v>
      </c>
      <c r="G370" s="43" t="s">
        <v>380</v>
      </c>
      <c r="H370" s="43">
        <v>60</v>
      </c>
      <c r="I370" s="43">
        <v>-107.9511</v>
      </c>
      <c r="J370" s="28">
        <v>-9.9999999999999995E-7</v>
      </c>
      <c r="K370" s="43" t="s">
        <v>910</v>
      </c>
      <c r="L370" s="43" t="s">
        <v>65</v>
      </c>
      <c r="N370" s="43" t="s">
        <v>327</v>
      </c>
      <c r="O370" s="43">
        <v>39</v>
      </c>
      <c r="P370" s="43" t="s">
        <v>891</v>
      </c>
      <c r="Q370" s="43" t="s">
        <v>377</v>
      </c>
      <c r="R370" s="43" t="s">
        <v>892</v>
      </c>
      <c r="S370" s="43" t="s">
        <v>380</v>
      </c>
      <c r="T370" s="43">
        <v>10</v>
      </c>
      <c r="U370" s="43">
        <v>-107.9794</v>
      </c>
      <c r="V370" s="28">
        <v>-9.9999999999999995E-7</v>
      </c>
      <c r="W370" s="43" t="s">
        <v>910</v>
      </c>
      <c r="X370" s="43" t="s">
        <v>65</v>
      </c>
    </row>
    <row r="371" spans="2:24" x14ac:dyDescent="0.2">
      <c r="B371" s="43" t="s">
        <v>327</v>
      </c>
      <c r="C371" s="43">
        <v>39</v>
      </c>
      <c r="D371" s="43" t="s">
        <v>891</v>
      </c>
      <c r="E371" s="43" t="s">
        <v>107</v>
      </c>
      <c r="F371" s="43" t="s">
        <v>893</v>
      </c>
      <c r="G371" s="43" t="s">
        <v>382</v>
      </c>
      <c r="H371" s="43">
        <v>60</v>
      </c>
      <c r="I371" s="43">
        <v>-21.5989</v>
      </c>
      <c r="J371" s="28">
        <v>-1.4560000000000001E-7</v>
      </c>
      <c r="K371" s="43" t="s">
        <v>910</v>
      </c>
      <c r="L371" s="43" t="s">
        <v>65</v>
      </c>
      <c r="N371" s="43" t="s">
        <v>327</v>
      </c>
      <c r="O371" s="43">
        <v>39</v>
      </c>
      <c r="P371" s="43" t="s">
        <v>891</v>
      </c>
      <c r="Q371" s="43" t="s">
        <v>377</v>
      </c>
      <c r="R371" s="43" t="s">
        <v>893</v>
      </c>
      <c r="S371" s="43" t="s">
        <v>382</v>
      </c>
      <c r="T371" s="43">
        <v>10</v>
      </c>
      <c r="U371" s="43">
        <v>-21.5702</v>
      </c>
      <c r="V371" s="28">
        <v>-1.455E-7</v>
      </c>
      <c r="W371" s="43" t="s">
        <v>910</v>
      </c>
      <c r="X371" s="43" t="s">
        <v>65</v>
      </c>
    </row>
    <row r="372" spans="2:24" x14ac:dyDescent="0.2">
      <c r="B372" s="43" t="s">
        <v>327</v>
      </c>
      <c r="C372" s="43">
        <v>42</v>
      </c>
      <c r="D372" s="43" t="s">
        <v>894</v>
      </c>
      <c r="E372" s="43" t="s">
        <v>107</v>
      </c>
      <c r="F372" s="43" t="s">
        <v>895</v>
      </c>
      <c r="G372" s="43" t="s">
        <v>380</v>
      </c>
      <c r="H372" s="43">
        <v>60</v>
      </c>
      <c r="I372" s="43">
        <v>-71.111099999999993</v>
      </c>
      <c r="J372" s="28">
        <v>-9.9999999999999995E-7</v>
      </c>
      <c r="K372" s="43" t="s">
        <v>910</v>
      </c>
      <c r="L372" s="43" t="s">
        <v>65</v>
      </c>
      <c r="N372" s="43" t="s">
        <v>327</v>
      </c>
      <c r="O372" s="43">
        <v>42</v>
      </c>
      <c r="P372" s="43" t="s">
        <v>894</v>
      </c>
      <c r="Q372" s="43" t="s">
        <v>377</v>
      </c>
      <c r="R372" s="43" t="s">
        <v>895</v>
      </c>
      <c r="S372" s="43" t="s">
        <v>380</v>
      </c>
      <c r="T372" s="43">
        <v>10</v>
      </c>
      <c r="U372" s="43">
        <v>-71.131</v>
      </c>
      <c r="V372" s="28">
        <v>-9.9999999999999995E-7</v>
      </c>
      <c r="W372" s="43" t="s">
        <v>910</v>
      </c>
      <c r="X372" s="43" t="s">
        <v>65</v>
      </c>
    </row>
    <row r="373" spans="2:24" x14ac:dyDescent="0.2">
      <c r="B373" s="43" t="s">
        <v>327</v>
      </c>
      <c r="C373" s="43">
        <v>42</v>
      </c>
      <c r="D373" s="43" t="s">
        <v>894</v>
      </c>
      <c r="E373" s="43" t="s">
        <v>107</v>
      </c>
      <c r="F373" s="43" t="s">
        <v>896</v>
      </c>
      <c r="G373" s="43" t="s">
        <v>382</v>
      </c>
      <c r="H373" s="43">
        <v>60</v>
      </c>
      <c r="I373" s="43">
        <v>-20.511399999999998</v>
      </c>
      <c r="J373" s="28">
        <v>-1.941E-7</v>
      </c>
      <c r="K373" s="43" t="s">
        <v>910</v>
      </c>
      <c r="L373" s="43" t="s">
        <v>65</v>
      </c>
      <c r="N373" s="43" t="s">
        <v>327</v>
      </c>
      <c r="O373" s="43">
        <v>42</v>
      </c>
      <c r="P373" s="43" t="s">
        <v>894</v>
      </c>
      <c r="Q373" s="43" t="s">
        <v>377</v>
      </c>
      <c r="R373" s="43" t="s">
        <v>896</v>
      </c>
      <c r="S373" s="43" t="s">
        <v>382</v>
      </c>
      <c r="T373" s="43">
        <v>10</v>
      </c>
      <c r="U373" s="43">
        <v>-20.483599999999999</v>
      </c>
      <c r="V373" s="28">
        <v>-1.938E-7</v>
      </c>
      <c r="W373" s="43" t="s">
        <v>910</v>
      </c>
      <c r="X373" s="43" t="s">
        <v>65</v>
      </c>
    </row>
    <row r="374" spans="2:24" x14ac:dyDescent="0.2">
      <c r="B374" s="43" t="s">
        <v>327</v>
      </c>
      <c r="C374" s="43">
        <v>58</v>
      </c>
      <c r="D374" s="43" t="s">
        <v>897</v>
      </c>
      <c r="E374" s="43" t="s">
        <v>107</v>
      </c>
      <c r="F374" s="43" t="s">
        <v>898</v>
      </c>
      <c r="G374" s="43" t="s">
        <v>380</v>
      </c>
      <c r="H374" s="43">
        <v>60</v>
      </c>
      <c r="I374" s="43">
        <v>-17.552</v>
      </c>
      <c r="J374" s="28">
        <v>-1.7989999999999999E-7</v>
      </c>
      <c r="K374" s="43" t="s">
        <v>910</v>
      </c>
      <c r="L374" s="43" t="s">
        <v>65</v>
      </c>
      <c r="N374" s="43" t="s">
        <v>327</v>
      </c>
      <c r="O374" s="43">
        <v>58</v>
      </c>
      <c r="P374" s="43" t="s">
        <v>897</v>
      </c>
      <c r="Q374" s="43" t="s">
        <v>377</v>
      </c>
      <c r="R374" s="43" t="s">
        <v>898</v>
      </c>
      <c r="S374" s="43" t="s">
        <v>380</v>
      </c>
      <c r="T374" s="43">
        <v>10</v>
      </c>
      <c r="U374" s="43">
        <v>-17.585799999999999</v>
      </c>
      <c r="V374" s="28">
        <v>-1.8029999999999999E-7</v>
      </c>
      <c r="W374" s="43" t="s">
        <v>910</v>
      </c>
      <c r="X374" s="43" t="s">
        <v>65</v>
      </c>
    </row>
    <row r="375" spans="2:24" x14ac:dyDescent="0.2">
      <c r="B375" s="43" t="s">
        <v>327</v>
      </c>
      <c r="C375" s="43">
        <v>58</v>
      </c>
      <c r="D375" s="43" t="s">
        <v>897</v>
      </c>
      <c r="E375" s="43" t="s">
        <v>107</v>
      </c>
      <c r="F375" s="43" t="s">
        <v>899</v>
      </c>
      <c r="G375" s="43" t="s">
        <v>382</v>
      </c>
      <c r="H375" s="43">
        <v>60</v>
      </c>
      <c r="I375" s="43">
        <v>-23.176500000000001</v>
      </c>
      <c r="J375" s="28">
        <v>-2.3760000000000001E-7</v>
      </c>
      <c r="K375" s="43" t="s">
        <v>910</v>
      </c>
      <c r="L375" s="43" t="s">
        <v>65</v>
      </c>
      <c r="N375" s="43" t="s">
        <v>327</v>
      </c>
      <c r="O375" s="43">
        <v>58</v>
      </c>
      <c r="P375" s="43" t="s">
        <v>897</v>
      </c>
      <c r="Q375" s="43" t="s">
        <v>377</v>
      </c>
      <c r="R375" s="43" t="s">
        <v>899</v>
      </c>
      <c r="S375" s="43" t="s">
        <v>382</v>
      </c>
      <c r="T375" s="43">
        <v>10</v>
      </c>
      <c r="U375" s="43">
        <v>-23.142099999999999</v>
      </c>
      <c r="V375" s="28">
        <v>-2.3720000000000001E-7</v>
      </c>
      <c r="W375" s="43" t="s">
        <v>910</v>
      </c>
      <c r="X375" s="43" t="s">
        <v>65</v>
      </c>
    </row>
    <row r="376" spans="2:24" x14ac:dyDescent="0.2">
      <c r="B376" s="43" t="s">
        <v>327</v>
      </c>
      <c r="C376" s="43">
        <v>59</v>
      </c>
      <c r="D376" s="43" t="s">
        <v>900</v>
      </c>
      <c r="E376" s="43" t="s">
        <v>107</v>
      </c>
      <c r="F376" s="43" t="s">
        <v>901</v>
      </c>
      <c r="G376" s="43" t="s">
        <v>380</v>
      </c>
      <c r="H376" s="43">
        <v>60</v>
      </c>
      <c r="I376" s="43">
        <v>-21.940799999999999</v>
      </c>
      <c r="J376" s="28">
        <v>-1.9500000000000001E-7</v>
      </c>
      <c r="K376" s="43" t="s">
        <v>910</v>
      </c>
      <c r="L376" s="43" t="s">
        <v>65</v>
      </c>
      <c r="N376" s="43" t="s">
        <v>327</v>
      </c>
      <c r="O376" s="43">
        <v>59</v>
      </c>
      <c r="P376" s="43" t="s">
        <v>900</v>
      </c>
      <c r="Q376" s="43" t="s">
        <v>377</v>
      </c>
      <c r="R376" s="43" t="s">
        <v>901</v>
      </c>
      <c r="S376" s="43" t="s">
        <v>380</v>
      </c>
      <c r="T376" s="43">
        <v>10</v>
      </c>
      <c r="U376" s="43">
        <v>-21.979800000000001</v>
      </c>
      <c r="V376" s="28">
        <v>-1.9539999999999999E-7</v>
      </c>
      <c r="W376" s="43" t="s">
        <v>910</v>
      </c>
      <c r="X376" s="43" t="s">
        <v>65</v>
      </c>
    </row>
    <row r="377" spans="2:24" x14ac:dyDescent="0.2">
      <c r="B377" s="43" t="s">
        <v>327</v>
      </c>
      <c r="C377" s="43">
        <v>59</v>
      </c>
      <c r="D377" s="43" t="s">
        <v>900</v>
      </c>
      <c r="E377" s="43" t="s">
        <v>107</v>
      </c>
      <c r="F377" s="43" t="s">
        <v>902</v>
      </c>
      <c r="G377" s="43" t="s">
        <v>382</v>
      </c>
      <c r="H377" s="43">
        <v>60</v>
      </c>
      <c r="I377" s="43">
        <v>-14.2781</v>
      </c>
      <c r="J377" s="28">
        <v>-1.269E-7</v>
      </c>
      <c r="K377" s="43" t="s">
        <v>910</v>
      </c>
      <c r="L377" s="43" t="s">
        <v>65</v>
      </c>
      <c r="N377" s="43" t="s">
        <v>327</v>
      </c>
      <c r="O377" s="43">
        <v>59</v>
      </c>
      <c r="P377" s="43" t="s">
        <v>900</v>
      </c>
      <c r="Q377" s="43" t="s">
        <v>377</v>
      </c>
      <c r="R377" s="43" t="s">
        <v>902</v>
      </c>
      <c r="S377" s="43" t="s">
        <v>382</v>
      </c>
      <c r="T377" s="43">
        <v>10</v>
      </c>
      <c r="U377" s="43">
        <v>-14.2403</v>
      </c>
      <c r="V377" s="28">
        <v>-1.2660000000000001E-7</v>
      </c>
      <c r="W377" s="43" t="s">
        <v>910</v>
      </c>
      <c r="X377" s="43" t="s">
        <v>65</v>
      </c>
    </row>
    <row r="378" spans="2:24" x14ac:dyDescent="0.2">
      <c r="B378" s="43" t="s">
        <v>327</v>
      </c>
      <c r="C378" s="43">
        <v>60</v>
      </c>
      <c r="D378" s="43" t="s">
        <v>900</v>
      </c>
      <c r="E378" s="43" t="s">
        <v>107</v>
      </c>
      <c r="F378" s="43" t="s">
        <v>903</v>
      </c>
      <c r="G378" s="43" t="s">
        <v>380</v>
      </c>
      <c r="H378" s="43">
        <v>60</v>
      </c>
      <c r="I378" s="43">
        <v>-14.4788</v>
      </c>
      <c r="J378" s="28">
        <v>-1.2130000000000001E-7</v>
      </c>
      <c r="K378" s="43" t="s">
        <v>910</v>
      </c>
      <c r="L378" s="43" t="s">
        <v>65</v>
      </c>
      <c r="N378" s="43" t="s">
        <v>327</v>
      </c>
      <c r="O378" s="43">
        <v>60</v>
      </c>
      <c r="P378" s="43" t="s">
        <v>900</v>
      </c>
      <c r="Q378" s="43" t="s">
        <v>377</v>
      </c>
      <c r="R378" s="43" t="s">
        <v>903</v>
      </c>
      <c r="S378" s="43" t="s">
        <v>380</v>
      </c>
      <c r="T378" s="43">
        <v>10</v>
      </c>
      <c r="U378" s="43">
        <v>-14.517200000000001</v>
      </c>
      <c r="V378" s="28">
        <v>-1.2170000000000001E-7</v>
      </c>
      <c r="W378" s="43" t="s">
        <v>910</v>
      </c>
      <c r="X378" s="43" t="s">
        <v>65</v>
      </c>
    </row>
    <row r="379" spans="2:24" x14ac:dyDescent="0.2">
      <c r="B379" s="43" t="s">
        <v>327</v>
      </c>
      <c r="C379" s="43">
        <v>60</v>
      </c>
      <c r="D379" s="43" t="s">
        <v>900</v>
      </c>
      <c r="E379" s="43" t="s">
        <v>107</v>
      </c>
      <c r="F379" s="43" t="s">
        <v>904</v>
      </c>
      <c r="G379" s="43" t="s">
        <v>382</v>
      </c>
      <c r="H379" s="43">
        <v>60</v>
      </c>
      <c r="I379" s="43">
        <v>-14.375400000000001</v>
      </c>
      <c r="J379" s="28">
        <v>-1.205E-7</v>
      </c>
      <c r="K379" s="43" t="s">
        <v>910</v>
      </c>
      <c r="L379" s="43" t="s">
        <v>65</v>
      </c>
      <c r="N379" s="43" t="s">
        <v>327</v>
      </c>
      <c r="O379" s="43">
        <v>60</v>
      </c>
      <c r="P379" s="43" t="s">
        <v>900</v>
      </c>
      <c r="Q379" s="43" t="s">
        <v>377</v>
      </c>
      <c r="R379" s="43" t="s">
        <v>904</v>
      </c>
      <c r="S379" s="43" t="s">
        <v>382</v>
      </c>
      <c r="T379" s="43">
        <v>10</v>
      </c>
      <c r="U379" s="43">
        <v>-14.3363</v>
      </c>
      <c r="V379" s="28">
        <v>-1.202E-7</v>
      </c>
      <c r="W379" s="43" t="s">
        <v>910</v>
      </c>
      <c r="X379" s="43" t="s">
        <v>65</v>
      </c>
    </row>
    <row r="380" spans="2:24" x14ac:dyDescent="0.2">
      <c r="B380" s="43" t="s">
        <v>327</v>
      </c>
      <c r="C380" s="43">
        <v>61</v>
      </c>
      <c r="D380" s="43" t="s">
        <v>900</v>
      </c>
      <c r="E380" s="43" t="s">
        <v>107</v>
      </c>
      <c r="F380" s="43" t="s">
        <v>905</v>
      </c>
      <c r="G380" s="43" t="s">
        <v>380</v>
      </c>
      <c r="H380" s="43">
        <v>60</v>
      </c>
      <c r="I380" s="43">
        <v>-14.378299999999999</v>
      </c>
      <c r="J380" s="28">
        <v>-1.2779999999999999E-7</v>
      </c>
      <c r="K380" s="43" t="s">
        <v>910</v>
      </c>
      <c r="L380" s="43" t="s">
        <v>65</v>
      </c>
      <c r="N380" s="43" t="s">
        <v>327</v>
      </c>
      <c r="O380" s="43">
        <v>61</v>
      </c>
      <c r="P380" s="43" t="s">
        <v>900</v>
      </c>
      <c r="Q380" s="43" t="s">
        <v>377</v>
      </c>
      <c r="R380" s="43" t="s">
        <v>905</v>
      </c>
      <c r="S380" s="43" t="s">
        <v>380</v>
      </c>
      <c r="T380" s="43">
        <v>10</v>
      </c>
      <c r="U380" s="43">
        <v>-14.414899999999999</v>
      </c>
      <c r="V380" s="28">
        <v>-1.2809999999999999E-7</v>
      </c>
      <c r="W380" s="43" t="s">
        <v>910</v>
      </c>
      <c r="X380" s="43" t="s">
        <v>65</v>
      </c>
    </row>
    <row r="381" spans="2:24" x14ac:dyDescent="0.2">
      <c r="B381" s="43" t="s">
        <v>327</v>
      </c>
      <c r="C381" s="43">
        <v>61</v>
      </c>
      <c r="D381" s="43" t="s">
        <v>900</v>
      </c>
      <c r="E381" s="43" t="s">
        <v>107</v>
      </c>
      <c r="F381" s="43" t="s">
        <v>906</v>
      </c>
      <c r="G381" s="43" t="s">
        <v>382</v>
      </c>
      <c r="H381" s="43">
        <v>60</v>
      </c>
      <c r="I381" s="43">
        <v>-21.840599999999998</v>
      </c>
      <c r="J381" s="28">
        <v>-1.941E-7</v>
      </c>
      <c r="K381" s="43" t="s">
        <v>910</v>
      </c>
      <c r="L381" s="43" t="s">
        <v>65</v>
      </c>
      <c r="N381" s="43" t="s">
        <v>327</v>
      </c>
      <c r="O381" s="43">
        <v>61</v>
      </c>
      <c r="P381" s="43" t="s">
        <v>900</v>
      </c>
      <c r="Q381" s="43" t="s">
        <v>377</v>
      </c>
      <c r="R381" s="43" t="s">
        <v>906</v>
      </c>
      <c r="S381" s="43" t="s">
        <v>382</v>
      </c>
      <c r="T381" s="43">
        <v>10</v>
      </c>
      <c r="U381" s="43">
        <v>-21.801400000000001</v>
      </c>
      <c r="V381" s="28">
        <v>-1.938E-7</v>
      </c>
      <c r="W381" s="43" t="s">
        <v>910</v>
      </c>
      <c r="X381" s="43" t="s">
        <v>65</v>
      </c>
    </row>
    <row r="382" spans="2:24" x14ac:dyDescent="0.2">
      <c r="B382" s="43" t="s">
        <v>327</v>
      </c>
      <c r="C382" s="43">
        <v>62</v>
      </c>
      <c r="D382" s="43" t="s">
        <v>907</v>
      </c>
      <c r="E382" s="43" t="s">
        <v>107</v>
      </c>
      <c r="F382" s="43" t="s">
        <v>908</v>
      </c>
      <c r="G382" s="43" t="s">
        <v>380</v>
      </c>
      <c r="H382" s="43">
        <v>60</v>
      </c>
      <c r="I382" s="43">
        <v>-23.264500000000002</v>
      </c>
      <c r="J382" s="28">
        <v>-2.3850000000000002E-7</v>
      </c>
      <c r="K382" s="43" t="s">
        <v>910</v>
      </c>
      <c r="L382" s="43" t="s">
        <v>65</v>
      </c>
      <c r="N382" s="43" t="s">
        <v>327</v>
      </c>
      <c r="O382" s="43">
        <v>62</v>
      </c>
      <c r="P382" s="43" t="s">
        <v>907</v>
      </c>
      <c r="Q382" s="43" t="s">
        <v>377</v>
      </c>
      <c r="R382" s="43" t="s">
        <v>908</v>
      </c>
      <c r="S382" s="43" t="s">
        <v>380</v>
      </c>
      <c r="T382" s="43">
        <v>10</v>
      </c>
      <c r="U382" s="43">
        <v>-23.298500000000001</v>
      </c>
      <c r="V382" s="28">
        <v>-2.3879999999999999E-7</v>
      </c>
      <c r="W382" s="43" t="s">
        <v>910</v>
      </c>
      <c r="X382" s="43" t="s">
        <v>65</v>
      </c>
    </row>
    <row r="383" spans="2:24" x14ac:dyDescent="0.2">
      <c r="B383" s="43" t="s">
        <v>327</v>
      </c>
      <c r="C383" s="43">
        <v>62</v>
      </c>
      <c r="D383" s="43" t="s">
        <v>907</v>
      </c>
      <c r="E383" s="43" t="s">
        <v>107</v>
      </c>
      <c r="F383" s="43" t="s">
        <v>909</v>
      </c>
      <c r="G383" s="43" t="s">
        <v>382</v>
      </c>
      <c r="H383" s="43">
        <v>60</v>
      </c>
      <c r="I383" s="43">
        <v>-17.467300000000002</v>
      </c>
      <c r="J383" s="28">
        <v>-1.7910000000000001E-7</v>
      </c>
      <c r="K383" s="43" t="s">
        <v>910</v>
      </c>
      <c r="L383" s="43" t="s">
        <v>65</v>
      </c>
      <c r="N383" s="43" t="s">
        <v>327</v>
      </c>
      <c r="O383" s="43">
        <v>62</v>
      </c>
      <c r="P383" s="43" t="s">
        <v>907</v>
      </c>
      <c r="Q383" s="43" t="s">
        <v>377</v>
      </c>
      <c r="R383" s="43" t="s">
        <v>909</v>
      </c>
      <c r="S383" s="43" t="s">
        <v>382</v>
      </c>
      <c r="T383" s="43">
        <v>10</v>
      </c>
      <c r="U383" s="43">
        <v>-17.432200000000002</v>
      </c>
      <c r="V383" s="28">
        <v>-1.7870000000000001E-7</v>
      </c>
      <c r="W383" s="43" t="s">
        <v>910</v>
      </c>
      <c r="X383" s="43" t="s">
        <v>65</v>
      </c>
    </row>
  </sheetData>
  <mergeCells count="18">
    <mergeCell ref="O2:O3"/>
    <mergeCell ref="P2:P3"/>
    <mergeCell ref="Q2:Q3"/>
    <mergeCell ref="R2:R3"/>
    <mergeCell ref="S2:S3"/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95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5" customHeight="1" x14ac:dyDescent="0.25">
      <c r="N3" s="22" t="s">
        <v>39</v>
      </c>
      <c r="O3" s="75">
        <v>2</v>
      </c>
      <c r="P3" s="76"/>
      <c r="Q3" s="77"/>
      <c r="R3" s="22" t="s">
        <v>41</v>
      </c>
      <c r="S3" s="75" t="s">
        <v>127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127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129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129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129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129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129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129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128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128</v>
      </c>
      <c r="CW3" s="76"/>
      <c r="CX3" s="77"/>
    </row>
    <row r="4" spans="2:103" x14ac:dyDescent="0.25">
      <c r="N4" s="22" t="s">
        <v>46</v>
      </c>
      <c r="O4" s="75" t="s">
        <v>374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375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342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343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360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361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332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333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356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357</v>
      </c>
      <c r="CS4" s="76"/>
      <c r="CT4" s="77"/>
      <c r="CU4" s="22" t="s">
        <v>45</v>
      </c>
      <c r="CV4" s="75" t="s">
        <v>64</v>
      </c>
      <c r="CW4" s="76"/>
      <c r="CX4" s="77"/>
    </row>
    <row r="5" spans="2:103" ht="14.45" customHeight="1" x14ac:dyDescent="0.25">
      <c r="B5" t="b">
        <v>0</v>
      </c>
      <c r="N5" s="58" t="s">
        <v>19</v>
      </c>
      <c r="O5" s="59"/>
      <c r="P5" s="59"/>
      <c r="Q5" s="60"/>
      <c r="R5" s="58" t="s">
        <v>96</v>
      </c>
      <c r="S5" s="59"/>
      <c r="T5" s="59"/>
      <c r="U5" s="60"/>
      <c r="W5" s="58" t="s">
        <v>19</v>
      </c>
      <c r="X5" s="59"/>
      <c r="Y5" s="59"/>
      <c r="Z5" s="60"/>
      <c r="AA5" s="58" t="s">
        <v>96</v>
      </c>
      <c r="AB5" s="59"/>
      <c r="AC5" s="59"/>
      <c r="AD5" s="60"/>
      <c r="AF5" s="58" t="s">
        <v>19</v>
      </c>
      <c r="AG5" s="59"/>
      <c r="AH5" s="59"/>
      <c r="AI5" s="60"/>
      <c r="AJ5" s="58" t="s">
        <v>96</v>
      </c>
      <c r="AK5" s="59"/>
      <c r="AL5" s="59"/>
      <c r="AM5" s="60"/>
      <c r="AO5" s="58" t="s">
        <v>19</v>
      </c>
      <c r="AP5" s="59"/>
      <c r="AQ5" s="59"/>
      <c r="AR5" s="60"/>
      <c r="AS5" s="58" t="s">
        <v>96</v>
      </c>
      <c r="AT5" s="59"/>
      <c r="AU5" s="59"/>
      <c r="AV5" s="60"/>
      <c r="AX5" s="58" t="s">
        <v>19</v>
      </c>
      <c r="AY5" s="59"/>
      <c r="AZ5" s="59"/>
      <c r="BA5" s="60"/>
      <c r="BB5" s="58" t="s">
        <v>96</v>
      </c>
      <c r="BC5" s="59"/>
      <c r="BD5" s="59"/>
      <c r="BE5" s="60"/>
      <c r="BG5" s="58" t="s">
        <v>19</v>
      </c>
      <c r="BH5" s="59"/>
      <c r="BI5" s="59"/>
      <c r="BJ5" s="60"/>
      <c r="BK5" s="58" t="s">
        <v>96</v>
      </c>
      <c r="BL5" s="59"/>
      <c r="BM5" s="59"/>
      <c r="BN5" s="60"/>
      <c r="BP5" s="58" t="s">
        <v>19</v>
      </c>
      <c r="BQ5" s="59"/>
      <c r="BR5" s="59"/>
      <c r="BS5" s="60"/>
      <c r="BT5" s="58" t="s">
        <v>96</v>
      </c>
      <c r="BU5" s="59"/>
      <c r="BV5" s="59"/>
      <c r="BW5" s="60"/>
      <c r="BY5" s="58" t="s">
        <v>19</v>
      </c>
      <c r="BZ5" s="59"/>
      <c r="CA5" s="59"/>
      <c r="CB5" s="60"/>
      <c r="CC5" s="58" t="s">
        <v>96</v>
      </c>
      <c r="CD5" s="59"/>
      <c r="CE5" s="59"/>
      <c r="CF5" s="60"/>
      <c r="CH5" s="58" t="s">
        <v>19</v>
      </c>
      <c r="CI5" s="59"/>
      <c r="CJ5" s="59"/>
      <c r="CK5" s="60"/>
      <c r="CL5" s="58" t="s">
        <v>96</v>
      </c>
      <c r="CM5" s="59"/>
      <c r="CN5" s="59"/>
      <c r="CO5" s="60"/>
      <c r="CQ5" s="58" t="s">
        <v>19</v>
      </c>
      <c r="CR5" s="59"/>
      <c r="CS5" s="59"/>
      <c r="CT5" s="60"/>
      <c r="CU5" s="58" t="s">
        <v>96</v>
      </c>
      <c r="CV5" s="59"/>
      <c r="CW5" s="59"/>
      <c r="CX5" s="60"/>
    </row>
    <row r="6" spans="2:103" ht="14.45" customHeight="1" x14ac:dyDescent="0.25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5.5" x14ac:dyDescent="0.25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1">
        <v>2</v>
      </c>
      <c r="C8" s="71"/>
      <c r="D8" s="71" t="s">
        <v>912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/>
      <c r="N8" s="30">
        <v>1.0962213640408966E-6</v>
      </c>
      <c r="O8" s="43">
        <v>-2.8600000000000001E-4</v>
      </c>
      <c r="P8" s="43">
        <v>-2.6699999999999998E-4</v>
      </c>
      <c r="Q8" s="43">
        <v>-8.2999999999999998E-5</v>
      </c>
      <c r="R8" s="30">
        <v>1.0962213640408966E-6</v>
      </c>
      <c r="S8" s="43">
        <v>-2.8600000000000001E-4</v>
      </c>
      <c r="T8" s="43">
        <v>-2.6699999999999998E-4</v>
      </c>
      <c r="U8" s="43">
        <v>-8.2999999999999998E-5</v>
      </c>
      <c r="W8" s="30">
        <v>1.0962213640408966E-6</v>
      </c>
      <c r="X8" s="43">
        <v>-3.57E-4</v>
      </c>
      <c r="Y8" s="43">
        <v>-3.2499999999999999E-4</v>
      </c>
      <c r="Z8" s="43">
        <v>-2.1999999999999999E-5</v>
      </c>
      <c r="AA8" s="30">
        <v>1.0962213640408966E-6</v>
      </c>
      <c r="AB8" s="43">
        <v>-3.57E-4</v>
      </c>
      <c r="AC8" s="43">
        <v>-3.2499999999999999E-4</v>
      </c>
      <c r="AD8" s="43">
        <v>-2.1999999999999999E-5</v>
      </c>
      <c r="AF8" s="30">
        <v>1.0962213640408966E-6</v>
      </c>
      <c r="AG8" s="43">
        <v>-2.1499999999999999E-4</v>
      </c>
      <c r="AH8" s="43">
        <v>-2.14E-4</v>
      </c>
      <c r="AI8" s="43">
        <v>-2.12E-4</v>
      </c>
      <c r="AJ8" s="30">
        <v>1.0962213640408966E-6</v>
      </c>
      <c r="AK8" s="43">
        <v>-2.1499999999999999E-4</v>
      </c>
      <c r="AL8" s="43">
        <v>-2.14E-4</v>
      </c>
      <c r="AM8" s="43">
        <v>-2.12E-4</v>
      </c>
      <c r="AO8" s="30">
        <v>1.0962213640408966E-6</v>
      </c>
      <c r="AP8" s="43">
        <v>-2.14E-4</v>
      </c>
      <c r="AQ8" s="43">
        <v>-2.13E-4</v>
      </c>
      <c r="AR8" s="43">
        <v>-2.0900000000000001E-4</v>
      </c>
      <c r="AS8" s="30">
        <v>1.0962213640408966E-6</v>
      </c>
      <c r="AT8" s="43">
        <v>-2.14E-4</v>
      </c>
      <c r="AU8" s="43">
        <v>-2.13E-4</v>
      </c>
      <c r="AV8" s="43">
        <v>-2.0900000000000001E-4</v>
      </c>
      <c r="AX8" s="30">
        <v>1.0962213640408966E-6</v>
      </c>
      <c r="AY8" s="43">
        <v>-2.1499999999999999E-4</v>
      </c>
      <c r="AZ8" s="43">
        <v>-2.14E-4</v>
      </c>
      <c r="BA8" s="43">
        <v>-2.12E-4</v>
      </c>
      <c r="BB8" s="30">
        <v>1.0962213640408966E-6</v>
      </c>
      <c r="BC8" s="43">
        <v>-2.1499999999999999E-4</v>
      </c>
      <c r="BD8" s="43">
        <v>-2.14E-4</v>
      </c>
      <c r="BE8" s="43">
        <v>-2.12E-4</v>
      </c>
      <c r="BG8" s="30">
        <v>1.0962213640408966E-6</v>
      </c>
      <c r="BH8" s="43">
        <v>-2.14E-4</v>
      </c>
      <c r="BI8" s="43">
        <v>-2.13E-4</v>
      </c>
      <c r="BJ8" s="43">
        <v>-2.0900000000000001E-4</v>
      </c>
      <c r="BK8" s="30">
        <v>1.0962213640408966E-6</v>
      </c>
      <c r="BL8" s="43">
        <v>-2.14E-4</v>
      </c>
      <c r="BM8" s="43">
        <v>-2.13E-4</v>
      </c>
      <c r="BN8" s="43">
        <v>-2.0900000000000001E-4</v>
      </c>
      <c r="BP8" s="30">
        <v>1.0962213640408966E-6</v>
      </c>
      <c r="BQ8" s="43">
        <v>-1.7699999999999999E-4</v>
      </c>
      <c r="BR8" s="43">
        <v>-1.6799999999999999E-4</v>
      </c>
      <c r="BS8" s="43">
        <v>-9.2E-5</v>
      </c>
      <c r="BT8" s="30">
        <v>1.0962213640408966E-6</v>
      </c>
      <c r="BU8" s="43">
        <v>-1.7699999999999999E-4</v>
      </c>
      <c r="BV8" s="43">
        <v>-1.6799999999999999E-4</v>
      </c>
      <c r="BW8" s="43">
        <v>-9.2E-5</v>
      </c>
      <c r="BY8" s="30">
        <v>1.0962213640408966E-6</v>
      </c>
      <c r="BZ8" s="43">
        <v>-2.1000000000000001E-4</v>
      </c>
      <c r="CA8" s="43">
        <v>-1.95E-4</v>
      </c>
      <c r="CB8" s="43">
        <v>-6.0999999999999999E-5</v>
      </c>
      <c r="CC8" s="30">
        <v>1.0962213640408966E-6</v>
      </c>
      <c r="CD8" s="43">
        <v>-2.1000000000000001E-4</v>
      </c>
      <c r="CE8" s="43">
        <v>-1.95E-4</v>
      </c>
      <c r="CF8" s="43">
        <v>-6.0999999999999999E-5</v>
      </c>
      <c r="CH8" s="30">
        <v>1.0962213640408966E-6</v>
      </c>
      <c r="CI8" s="43">
        <v>-2.1599999999999999E-4</v>
      </c>
      <c r="CJ8" s="43">
        <v>-2.1499999999999999E-4</v>
      </c>
      <c r="CK8" s="43">
        <v>-2.13E-4</v>
      </c>
      <c r="CL8" s="30">
        <v>1.0962213640408966E-6</v>
      </c>
      <c r="CM8" s="43">
        <v>-2.1599999999999999E-4</v>
      </c>
      <c r="CN8" s="43">
        <v>-2.1499999999999999E-4</v>
      </c>
      <c r="CO8" s="43">
        <v>-2.13E-4</v>
      </c>
      <c r="CQ8" s="30">
        <v>1.0962213640408966E-6</v>
      </c>
      <c r="CR8" s="43">
        <v>-2.14E-4</v>
      </c>
      <c r="CS8" s="43">
        <v>-2.14E-4</v>
      </c>
      <c r="CT8" s="43">
        <v>-2.1000000000000001E-4</v>
      </c>
      <c r="CU8" s="30">
        <v>1.0962213640408966E-6</v>
      </c>
      <c r="CV8" s="43">
        <v>-2.14E-4</v>
      </c>
      <c r="CW8" s="43">
        <v>-2.14E-4</v>
      </c>
      <c r="CX8" s="43">
        <v>-2.1000000000000001E-4</v>
      </c>
    </row>
    <row r="9" spans="2:103" x14ac:dyDescent="0.25">
      <c r="B9" s="71">
        <v>5</v>
      </c>
      <c r="C9" s="71"/>
      <c r="D9" s="71" t="s">
        <v>913</v>
      </c>
      <c r="E9" s="71"/>
      <c r="F9" s="71" t="s">
        <v>64</v>
      </c>
      <c r="G9" s="71"/>
      <c r="H9" s="2">
        <v>4.0945338221364043E-2</v>
      </c>
      <c r="I9" s="1">
        <v>-2.5000000000000001E-3</v>
      </c>
      <c r="J9" s="2">
        <v>0.2001720772580908</v>
      </c>
      <c r="K9" s="1"/>
      <c r="N9" s="30">
        <v>6.8350025469737406E-4</v>
      </c>
      <c r="O9" s="43">
        <v>-2.8200000000000002E-4</v>
      </c>
      <c r="P9" s="43">
        <v>-2.63E-4</v>
      </c>
      <c r="Q9" s="43">
        <v>-8.5000000000000006E-5</v>
      </c>
      <c r="R9" s="30">
        <v>8.1998102136404097E-4</v>
      </c>
      <c r="S9" s="43">
        <v>-2.81E-4</v>
      </c>
      <c r="T9" s="43">
        <v>-2.63E-4</v>
      </c>
      <c r="U9" s="43">
        <v>-8.6000000000000003E-5</v>
      </c>
      <c r="W9" s="30">
        <v>6.8350025469737406E-4</v>
      </c>
      <c r="X9" s="43">
        <v>-3.57E-4</v>
      </c>
      <c r="Y9" s="43">
        <v>-3.2499999999999999E-4</v>
      </c>
      <c r="Z9" s="43">
        <v>-2.1999999999999999E-5</v>
      </c>
      <c r="AA9" s="30">
        <v>8.1998102136404097E-4</v>
      </c>
      <c r="AB9" s="43">
        <v>-3.57E-4</v>
      </c>
      <c r="AC9" s="43">
        <v>-3.2499999999999999E-4</v>
      </c>
      <c r="AD9" s="43">
        <v>-2.0999999999999999E-5</v>
      </c>
      <c r="AF9" s="30">
        <v>6.8350025469737406E-4</v>
      </c>
      <c r="AG9" s="43">
        <v>-2.2100000000000001E-4</v>
      </c>
      <c r="AH9" s="43">
        <v>-2.2100000000000001E-4</v>
      </c>
      <c r="AI9" s="43">
        <v>-2.0599999999999999E-4</v>
      </c>
      <c r="AJ9" s="30">
        <v>8.1998102136404097E-4</v>
      </c>
      <c r="AK9" s="43">
        <v>-2.22E-4</v>
      </c>
      <c r="AL9" s="43">
        <v>-2.22E-4</v>
      </c>
      <c r="AM9" s="43">
        <v>-2.04E-4</v>
      </c>
      <c r="AO9" s="30">
        <v>6.8350025469737406E-4</v>
      </c>
      <c r="AP9" s="43">
        <v>-2.1599999999999999E-4</v>
      </c>
      <c r="AQ9" s="43">
        <v>-2.1599999999999999E-4</v>
      </c>
      <c r="AR9" s="43">
        <v>-2.0699999999999999E-4</v>
      </c>
      <c r="AS9" s="30">
        <v>8.1998102136404097E-4</v>
      </c>
      <c r="AT9" s="43">
        <v>-2.1699999999999999E-4</v>
      </c>
      <c r="AU9" s="43">
        <v>-2.1599999999999999E-4</v>
      </c>
      <c r="AV9" s="43">
        <v>-2.0599999999999999E-4</v>
      </c>
      <c r="AX9" s="30">
        <v>6.8350025469737406E-4</v>
      </c>
      <c r="AY9" s="43">
        <v>-2.22E-4</v>
      </c>
      <c r="AZ9" s="43">
        <v>-2.22E-4</v>
      </c>
      <c r="BA9" s="43">
        <v>-2.05E-4</v>
      </c>
      <c r="BB9" s="30">
        <v>8.1998102136404097E-4</v>
      </c>
      <c r="BC9" s="43">
        <v>-2.24E-4</v>
      </c>
      <c r="BD9" s="43">
        <v>-2.24E-4</v>
      </c>
      <c r="BE9" s="43">
        <v>-2.03E-4</v>
      </c>
      <c r="BG9" s="30">
        <v>6.8350025469737406E-4</v>
      </c>
      <c r="BH9" s="43">
        <v>-2.14E-4</v>
      </c>
      <c r="BI9" s="43">
        <v>-2.13E-4</v>
      </c>
      <c r="BJ9" s="43">
        <v>-2.0900000000000001E-4</v>
      </c>
      <c r="BK9" s="30">
        <v>8.1998102136404097E-4</v>
      </c>
      <c r="BL9" s="43">
        <v>-2.14E-4</v>
      </c>
      <c r="BM9" s="43">
        <v>-2.14E-4</v>
      </c>
      <c r="BN9" s="43">
        <v>-2.0900000000000001E-4</v>
      </c>
      <c r="BP9" s="30">
        <v>6.8350025469737406E-4</v>
      </c>
      <c r="BQ9" s="43">
        <v>-1.84E-4</v>
      </c>
      <c r="BR9" s="43">
        <v>-1.76E-4</v>
      </c>
      <c r="BS9" s="43">
        <v>-8.5000000000000006E-5</v>
      </c>
      <c r="BT9" s="30">
        <v>8.1998102136404097E-4</v>
      </c>
      <c r="BU9" s="43">
        <v>-1.8599999999999999E-4</v>
      </c>
      <c r="BV9" s="43">
        <v>-1.7699999999999999E-4</v>
      </c>
      <c r="BW9" s="43">
        <v>-8.2999999999999998E-5</v>
      </c>
      <c r="BY9" s="30">
        <v>6.8350025469737406E-4</v>
      </c>
      <c r="BZ9" s="43">
        <v>-2.12E-4</v>
      </c>
      <c r="CA9" s="43">
        <v>-1.9699999999999999E-4</v>
      </c>
      <c r="CB9" s="43">
        <v>-5.8999999999999998E-5</v>
      </c>
      <c r="CC9" s="30">
        <v>8.1998102136404097E-4</v>
      </c>
      <c r="CD9" s="43">
        <v>-2.13E-4</v>
      </c>
      <c r="CE9" s="43">
        <v>-1.9799999999999999E-4</v>
      </c>
      <c r="CF9" s="43">
        <v>-5.8999999999999998E-5</v>
      </c>
      <c r="CH9" s="30">
        <v>6.8350025469737406E-4</v>
      </c>
      <c r="CI9" s="43">
        <v>-2.1900000000000001E-4</v>
      </c>
      <c r="CJ9" s="43">
        <v>-2.1800000000000001E-4</v>
      </c>
      <c r="CK9" s="43">
        <v>-2.1000000000000001E-4</v>
      </c>
      <c r="CL9" s="30">
        <v>8.1998102136404097E-4</v>
      </c>
      <c r="CM9" s="43">
        <v>-2.2000000000000001E-4</v>
      </c>
      <c r="CN9" s="43">
        <v>-2.1900000000000001E-4</v>
      </c>
      <c r="CO9" s="43">
        <v>-2.0900000000000001E-4</v>
      </c>
      <c r="CQ9" s="30">
        <v>6.8350025469737406E-4</v>
      </c>
      <c r="CR9" s="43">
        <v>-2.14E-4</v>
      </c>
      <c r="CS9" s="43">
        <v>-2.14E-4</v>
      </c>
      <c r="CT9" s="43">
        <v>-2.1000000000000001E-4</v>
      </c>
      <c r="CU9" s="30">
        <v>8.1998102136404097E-4</v>
      </c>
      <c r="CV9" s="43">
        <v>-2.14E-4</v>
      </c>
      <c r="CW9" s="43">
        <v>-2.14E-4</v>
      </c>
      <c r="CX9" s="43">
        <v>-2.1000000000000001E-4</v>
      </c>
    </row>
    <row r="10" spans="2:103" x14ac:dyDescent="0.25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1.3659042880307074E-3</v>
      </c>
      <c r="O10" s="43">
        <v>-2.7799999999999998E-4</v>
      </c>
      <c r="P10" s="43">
        <v>-2.5999999999999998E-4</v>
      </c>
      <c r="Q10" s="43">
        <v>-8.7999999999999998E-5</v>
      </c>
      <c r="R10" s="30">
        <v>1.638865821364041E-3</v>
      </c>
      <c r="S10" s="43">
        <v>-2.7599999999999999E-4</v>
      </c>
      <c r="T10" s="43">
        <v>-2.5799999999999998E-4</v>
      </c>
      <c r="U10" s="43">
        <v>-8.8999999999999995E-5</v>
      </c>
      <c r="W10" s="30">
        <v>1.3659042880307074E-3</v>
      </c>
      <c r="X10" s="43">
        <v>-3.5599999999999998E-4</v>
      </c>
      <c r="Y10" s="43">
        <v>-3.2499999999999999E-4</v>
      </c>
      <c r="Z10" s="43">
        <v>-2.0999999999999999E-5</v>
      </c>
      <c r="AA10" s="30">
        <v>1.638865821364041E-3</v>
      </c>
      <c r="AB10" s="43">
        <v>-3.5599999999999998E-4</v>
      </c>
      <c r="AC10" s="43">
        <v>-3.2400000000000001E-4</v>
      </c>
      <c r="AD10" s="43">
        <v>-2.0999999999999999E-5</v>
      </c>
      <c r="AF10" s="30">
        <v>1.3659042880307074E-3</v>
      </c>
      <c r="AG10" s="43">
        <v>-2.2900000000000001E-4</v>
      </c>
      <c r="AH10" s="43">
        <v>-2.2900000000000001E-4</v>
      </c>
      <c r="AI10" s="43">
        <v>-1.9799999999999999E-4</v>
      </c>
      <c r="AJ10" s="30">
        <v>1.638865821364041E-3</v>
      </c>
      <c r="AK10" s="43">
        <v>-2.32E-4</v>
      </c>
      <c r="AL10" s="43">
        <v>-2.32E-4</v>
      </c>
      <c r="AM10" s="43">
        <v>-1.95E-4</v>
      </c>
      <c r="AO10" s="30">
        <v>1.3659042880307074E-3</v>
      </c>
      <c r="AP10" s="43">
        <v>-2.1900000000000001E-4</v>
      </c>
      <c r="AQ10" s="43">
        <v>-2.1800000000000001E-4</v>
      </c>
      <c r="AR10" s="43">
        <v>-2.04E-4</v>
      </c>
      <c r="AS10" s="30">
        <v>1.638865821364041E-3</v>
      </c>
      <c r="AT10" s="43">
        <v>-2.2000000000000001E-4</v>
      </c>
      <c r="AU10" s="43">
        <v>-2.1900000000000001E-4</v>
      </c>
      <c r="AV10" s="43">
        <v>-2.03E-4</v>
      </c>
      <c r="AX10" s="30">
        <v>1.3659042880307074E-3</v>
      </c>
      <c r="AY10" s="43">
        <v>-2.3000000000000001E-4</v>
      </c>
      <c r="AZ10" s="43">
        <v>-2.3000000000000001E-4</v>
      </c>
      <c r="BA10" s="43">
        <v>-1.9699999999999999E-4</v>
      </c>
      <c r="BB10" s="30">
        <v>1.638865821364041E-3</v>
      </c>
      <c r="BC10" s="43">
        <v>-2.33E-4</v>
      </c>
      <c r="BD10" s="43">
        <v>-2.33E-4</v>
      </c>
      <c r="BE10" s="43">
        <v>-1.94E-4</v>
      </c>
      <c r="BG10" s="30">
        <v>1.3659042880307074E-3</v>
      </c>
      <c r="BH10" s="43">
        <v>-2.1599999999999999E-4</v>
      </c>
      <c r="BI10" s="43">
        <v>-2.1599999999999999E-4</v>
      </c>
      <c r="BJ10" s="43">
        <v>-2.0699999999999999E-4</v>
      </c>
      <c r="BK10" s="30">
        <v>1.638865821364041E-3</v>
      </c>
      <c r="BL10" s="43">
        <v>-2.1699999999999999E-4</v>
      </c>
      <c r="BM10" s="43">
        <v>-2.1699999999999999E-4</v>
      </c>
      <c r="BN10" s="43">
        <v>-2.0599999999999999E-4</v>
      </c>
      <c r="BP10" s="30">
        <v>1.3659042880307074E-3</v>
      </c>
      <c r="BQ10" s="43">
        <v>-1.92E-4</v>
      </c>
      <c r="BR10" s="43">
        <v>-1.83E-4</v>
      </c>
      <c r="BS10" s="43">
        <v>-7.7000000000000001E-5</v>
      </c>
      <c r="BT10" s="30">
        <v>1.638865821364041E-3</v>
      </c>
      <c r="BU10" s="43">
        <v>-1.95E-4</v>
      </c>
      <c r="BV10" s="43">
        <v>-1.8599999999999999E-4</v>
      </c>
      <c r="BW10" s="43">
        <v>-7.3999999999999996E-5</v>
      </c>
      <c r="BY10" s="30">
        <v>1.3659042880307074E-3</v>
      </c>
      <c r="BZ10" s="43">
        <v>-2.1499999999999999E-4</v>
      </c>
      <c r="CA10" s="43">
        <v>-2.0000000000000001E-4</v>
      </c>
      <c r="CB10" s="43">
        <v>-5.5999999999999999E-5</v>
      </c>
      <c r="CC10" s="30">
        <v>1.638865821364041E-3</v>
      </c>
      <c r="CD10" s="43">
        <v>-2.1599999999999999E-4</v>
      </c>
      <c r="CE10" s="43">
        <v>-2.0100000000000001E-4</v>
      </c>
      <c r="CF10" s="43">
        <v>-5.5000000000000002E-5</v>
      </c>
      <c r="CH10" s="30">
        <v>1.3659042880307074E-3</v>
      </c>
      <c r="CI10" s="43">
        <v>-2.24E-4</v>
      </c>
      <c r="CJ10" s="43">
        <v>-2.22E-4</v>
      </c>
      <c r="CK10" s="43">
        <v>-2.0699999999999999E-4</v>
      </c>
      <c r="CL10" s="30">
        <v>1.638865821364041E-3</v>
      </c>
      <c r="CM10" s="43">
        <v>-2.2499999999999999E-4</v>
      </c>
      <c r="CN10" s="43">
        <v>-2.23E-4</v>
      </c>
      <c r="CO10" s="43">
        <v>-2.05E-4</v>
      </c>
      <c r="CQ10" s="30">
        <v>1.3659042880307074E-3</v>
      </c>
      <c r="CR10" s="43">
        <v>-2.14E-4</v>
      </c>
      <c r="CS10" s="43">
        <v>-2.14E-4</v>
      </c>
      <c r="CT10" s="43">
        <v>-2.1000000000000001E-4</v>
      </c>
      <c r="CU10" s="30">
        <v>1.638865821364041E-3</v>
      </c>
      <c r="CV10" s="43">
        <v>-2.14E-4</v>
      </c>
      <c r="CW10" s="43">
        <v>-2.14E-4</v>
      </c>
      <c r="CX10" s="43">
        <v>-2.1000000000000001E-4</v>
      </c>
    </row>
    <row r="11" spans="2:103" x14ac:dyDescent="0.25">
      <c r="B11" s="71">
        <v>11</v>
      </c>
      <c r="C11" s="71"/>
      <c r="H11" s="2">
        <v>0</v>
      </c>
      <c r="I11" s="1">
        <v>-9.8528304427183775E-3</v>
      </c>
      <c r="J11" s="2">
        <v>0</v>
      </c>
      <c r="K11" s="1"/>
      <c r="N11" s="30">
        <v>2.0483083213640408E-3</v>
      </c>
      <c r="O11" s="43">
        <v>-2.7300000000000002E-4</v>
      </c>
      <c r="P11" s="43">
        <v>-2.5599999999999999E-4</v>
      </c>
      <c r="Q11" s="43">
        <v>-9.0000000000000006E-5</v>
      </c>
      <c r="R11" s="30">
        <v>2.4577506213640412E-3</v>
      </c>
      <c r="S11" s="43">
        <v>-2.7099999999999997E-4</v>
      </c>
      <c r="T11" s="43">
        <v>-2.5399999999999999E-4</v>
      </c>
      <c r="U11" s="43">
        <v>-9.2E-5</v>
      </c>
      <c r="W11" s="30">
        <v>2.0483083213640408E-3</v>
      </c>
      <c r="X11" s="43">
        <v>-3.5599999999999998E-4</v>
      </c>
      <c r="Y11" s="43">
        <v>-3.2400000000000001E-4</v>
      </c>
      <c r="Z11" s="43">
        <v>-2.0000000000000002E-5</v>
      </c>
      <c r="AA11" s="30">
        <v>2.4577506213640412E-3</v>
      </c>
      <c r="AB11" s="43">
        <v>-3.5599999999999998E-4</v>
      </c>
      <c r="AC11" s="43">
        <v>-3.2400000000000001E-4</v>
      </c>
      <c r="AD11" s="43">
        <v>-2.0000000000000002E-5</v>
      </c>
      <c r="AF11" s="30">
        <v>2.0483083213640408E-3</v>
      </c>
      <c r="AG11" s="43">
        <v>-2.3599999999999999E-4</v>
      </c>
      <c r="AH11" s="43">
        <v>-2.3599999999999999E-4</v>
      </c>
      <c r="AI11" s="43">
        <v>-1.9100000000000001E-4</v>
      </c>
      <c r="AJ11" s="30">
        <v>2.4577506213640412E-3</v>
      </c>
      <c r="AK11" s="43">
        <v>-2.41E-4</v>
      </c>
      <c r="AL11" s="43">
        <v>-2.41E-4</v>
      </c>
      <c r="AM11" s="43">
        <v>-1.8599999999999999E-4</v>
      </c>
      <c r="AO11" s="30">
        <v>2.0483083213640408E-3</v>
      </c>
      <c r="AP11" s="43">
        <v>-2.2100000000000001E-4</v>
      </c>
      <c r="AQ11" s="43">
        <v>-2.2100000000000001E-4</v>
      </c>
      <c r="AR11" s="43">
        <v>-2.0100000000000001E-4</v>
      </c>
      <c r="AS11" s="30">
        <v>2.4577506213640412E-3</v>
      </c>
      <c r="AT11" s="43">
        <v>-2.23E-4</v>
      </c>
      <c r="AU11" s="43">
        <v>-2.23E-4</v>
      </c>
      <c r="AV11" s="43">
        <v>-2.0000000000000001E-4</v>
      </c>
      <c r="AX11" s="30">
        <v>2.0483083213640408E-3</v>
      </c>
      <c r="AY11" s="43">
        <v>-2.3800000000000001E-4</v>
      </c>
      <c r="AZ11" s="43">
        <v>-2.3800000000000001E-4</v>
      </c>
      <c r="BA11" s="43">
        <v>-1.8900000000000001E-4</v>
      </c>
      <c r="BB11" s="30">
        <v>2.4577506213640412E-3</v>
      </c>
      <c r="BC11" s="43">
        <v>-2.42E-4</v>
      </c>
      <c r="BD11" s="43">
        <v>-2.42E-4</v>
      </c>
      <c r="BE11" s="43">
        <v>-1.85E-4</v>
      </c>
      <c r="BG11" s="30">
        <v>2.0483083213640408E-3</v>
      </c>
      <c r="BH11" s="43">
        <v>-2.1900000000000001E-4</v>
      </c>
      <c r="BI11" s="43">
        <v>-2.1800000000000001E-4</v>
      </c>
      <c r="BJ11" s="43">
        <v>-2.04E-4</v>
      </c>
      <c r="BK11" s="30">
        <v>2.4577506213640412E-3</v>
      </c>
      <c r="BL11" s="43">
        <v>-2.2000000000000001E-4</v>
      </c>
      <c r="BM11" s="43">
        <v>-2.2000000000000001E-4</v>
      </c>
      <c r="BN11" s="43">
        <v>-2.03E-4</v>
      </c>
      <c r="BP11" s="30">
        <v>2.0483083213640408E-3</v>
      </c>
      <c r="BQ11" s="43">
        <v>-1.9900000000000001E-4</v>
      </c>
      <c r="BR11" s="43">
        <v>-1.9100000000000001E-4</v>
      </c>
      <c r="BS11" s="43">
        <v>-6.9999999999999994E-5</v>
      </c>
      <c r="BT11" s="30">
        <v>2.4577506213640412E-3</v>
      </c>
      <c r="BU11" s="43">
        <v>-2.04E-4</v>
      </c>
      <c r="BV11" s="43">
        <v>-1.95E-4</v>
      </c>
      <c r="BW11" s="43">
        <v>-6.4999999999999994E-5</v>
      </c>
      <c r="BY11" s="30">
        <v>2.0483083213640408E-3</v>
      </c>
      <c r="BZ11" s="43">
        <v>-2.1800000000000001E-4</v>
      </c>
      <c r="CA11" s="43">
        <v>-2.02E-4</v>
      </c>
      <c r="CB11" s="43">
        <v>-5.3999999999999998E-5</v>
      </c>
      <c r="CC11" s="30">
        <v>2.4577506213640412E-3</v>
      </c>
      <c r="CD11" s="43">
        <v>-2.1900000000000001E-4</v>
      </c>
      <c r="CE11" s="43">
        <v>-2.04E-4</v>
      </c>
      <c r="CF11" s="43">
        <v>-5.1999999999999997E-5</v>
      </c>
      <c r="CH11" s="30">
        <v>2.0483083213640408E-3</v>
      </c>
      <c r="CI11" s="43">
        <v>-2.2800000000000001E-4</v>
      </c>
      <c r="CJ11" s="43">
        <v>-2.2499999999999999E-4</v>
      </c>
      <c r="CK11" s="43">
        <v>-2.03E-4</v>
      </c>
      <c r="CL11" s="30">
        <v>2.4577506213640412E-3</v>
      </c>
      <c r="CM11" s="43">
        <v>-2.3000000000000001E-4</v>
      </c>
      <c r="CN11" s="43">
        <v>-2.2699999999999999E-4</v>
      </c>
      <c r="CO11" s="43">
        <v>-2.02E-4</v>
      </c>
      <c r="CQ11" s="30">
        <v>2.0483083213640408E-3</v>
      </c>
      <c r="CR11" s="43">
        <v>-2.14E-4</v>
      </c>
      <c r="CS11" s="43">
        <v>-2.14E-4</v>
      </c>
      <c r="CT11" s="43">
        <v>-2.1000000000000001E-4</v>
      </c>
      <c r="CU11" s="30">
        <v>2.4577506213640412E-3</v>
      </c>
      <c r="CV11" s="43">
        <v>-2.14E-4</v>
      </c>
      <c r="CW11" s="43">
        <v>-2.14E-4</v>
      </c>
      <c r="CX11" s="43">
        <v>-2.1000000000000001E-4</v>
      </c>
    </row>
    <row r="12" spans="2:103" x14ac:dyDescent="0.25">
      <c r="B12" s="71">
        <v>21</v>
      </c>
      <c r="C12" s="71"/>
      <c r="H12" s="2">
        <v>4.0945338221364043E-2</v>
      </c>
      <c r="I12" s="1">
        <v>-9.8528304427183775E-3</v>
      </c>
      <c r="J12" s="2">
        <v>0.2001720772580908</v>
      </c>
      <c r="K12" s="1"/>
      <c r="N12" s="30">
        <v>2.7307123546973741E-3</v>
      </c>
      <c r="O12" s="43">
        <v>-2.6899999999999998E-4</v>
      </c>
      <c r="P12" s="43">
        <v>-2.5300000000000002E-4</v>
      </c>
      <c r="Q12" s="43">
        <v>-9.2999999999999997E-5</v>
      </c>
      <c r="R12" s="30">
        <v>3.2766354213640413E-3</v>
      </c>
      <c r="S12" s="43">
        <v>-2.6600000000000001E-4</v>
      </c>
      <c r="T12" s="43">
        <v>-2.5000000000000001E-4</v>
      </c>
      <c r="U12" s="43">
        <v>-9.5000000000000005E-5</v>
      </c>
      <c r="W12" s="30">
        <v>2.7307123546973741E-3</v>
      </c>
      <c r="X12" s="43">
        <v>-3.5500000000000001E-4</v>
      </c>
      <c r="Y12" s="43">
        <v>-3.2400000000000001E-4</v>
      </c>
      <c r="Z12" s="43">
        <v>-2.0000000000000002E-5</v>
      </c>
      <c r="AA12" s="30">
        <v>3.2766354213640413E-3</v>
      </c>
      <c r="AB12" s="43">
        <v>-3.5500000000000001E-4</v>
      </c>
      <c r="AC12" s="43">
        <v>-3.2299999999999999E-4</v>
      </c>
      <c r="AD12" s="43">
        <v>-1.9000000000000001E-5</v>
      </c>
      <c r="AF12" s="30">
        <v>2.7307123546973741E-3</v>
      </c>
      <c r="AG12" s="43">
        <v>-2.4399999999999999E-4</v>
      </c>
      <c r="AH12" s="43">
        <v>-2.4399999999999999E-4</v>
      </c>
      <c r="AI12" s="43">
        <v>-1.83E-4</v>
      </c>
      <c r="AJ12" s="30">
        <v>3.2766354213640413E-3</v>
      </c>
      <c r="AK12" s="43">
        <v>-2.5000000000000001E-4</v>
      </c>
      <c r="AL12" s="43">
        <v>-2.5000000000000001E-4</v>
      </c>
      <c r="AM12" s="43">
        <v>-1.7699999999999999E-4</v>
      </c>
      <c r="AO12" s="30">
        <v>2.7307123546973741E-3</v>
      </c>
      <c r="AP12" s="43">
        <v>-2.24E-4</v>
      </c>
      <c r="AQ12" s="43">
        <v>-2.24E-4</v>
      </c>
      <c r="AR12" s="43">
        <v>-1.9900000000000001E-4</v>
      </c>
      <c r="AS12" s="30">
        <v>3.2766354213640413E-3</v>
      </c>
      <c r="AT12" s="43">
        <v>-2.2599999999999999E-4</v>
      </c>
      <c r="AU12" s="43">
        <v>-2.2599999999999999E-4</v>
      </c>
      <c r="AV12" s="43">
        <v>-1.9699999999999999E-4</v>
      </c>
      <c r="AX12" s="30">
        <v>2.7307123546973741E-3</v>
      </c>
      <c r="AY12" s="43">
        <v>-2.4600000000000002E-4</v>
      </c>
      <c r="AZ12" s="43">
        <v>-2.4600000000000002E-4</v>
      </c>
      <c r="BA12" s="43">
        <v>-1.8200000000000001E-4</v>
      </c>
      <c r="BB12" s="30">
        <v>3.2766354213640413E-3</v>
      </c>
      <c r="BC12" s="43">
        <v>-2.52E-4</v>
      </c>
      <c r="BD12" s="43">
        <v>-2.52E-4</v>
      </c>
      <c r="BE12" s="43">
        <v>-1.76E-4</v>
      </c>
      <c r="BG12" s="30">
        <v>2.7307123546973741E-3</v>
      </c>
      <c r="BH12" s="43">
        <v>-2.2100000000000001E-4</v>
      </c>
      <c r="BI12" s="43">
        <v>-2.2100000000000001E-4</v>
      </c>
      <c r="BJ12" s="43">
        <v>-2.02E-4</v>
      </c>
      <c r="BK12" s="30">
        <v>3.2766354213640413E-3</v>
      </c>
      <c r="BL12" s="43">
        <v>-2.23E-4</v>
      </c>
      <c r="BM12" s="43">
        <v>-2.23E-4</v>
      </c>
      <c r="BN12" s="43">
        <v>-2.0000000000000001E-4</v>
      </c>
      <c r="BP12" s="30">
        <v>2.7307123546973741E-3</v>
      </c>
      <c r="BQ12" s="43">
        <v>-2.0699999999999999E-4</v>
      </c>
      <c r="BR12" s="43">
        <v>-1.9799999999999999E-4</v>
      </c>
      <c r="BS12" s="43">
        <v>-6.2000000000000003E-5</v>
      </c>
      <c r="BT12" s="30">
        <v>3.2766354213640413E-3</v>
      </c>
      <c r="BU12" s="43">
        <v>-2.13E-4</v>
      </c>
      <c r="BV12" s="43">
        <v>-2.04E-4</v>
      </c>
      <c r="BW12" s="43">
        <v>-5.5999999999999999E-5</v>
      </c>
      <c r="BY12" s="30">
        <v>2.7307123546973741E-3</v>
      </c>
      <c r="BZ12" s="43">
        <v>-2.2000000000000001E-4</v>
      </c>
      <c r="CA12" s="43">
        <v>-2.05E-4</v>
      </c>
      <c r="CB12" s="43">
        <v>-5.1E-5</v>
      </c>
      <c r="CC12" s="30">
        <v>3.2766354213640413E-3</v>
      </c>
      <c r="CD12" s="43">
        <v>-2.23E-4</v>
      </c>
      <c r="CE12" s="43">
        <v>-2.0699999999999999E-4</v>
      </c>
      <c r="CF12" s="43">
        <v>-4.8999999999999998E-5</v>
      </c>
      <c r="CH12" s="30">
        <v>2.7307123546973741E-3</v>
      </c>
      <c r="CI12" s="43">
        <v>-2.32E-4</v>
      </c>
      <c r="CJ12" s="43">
        <v>-2.2800000000000001E-4</v>
      </c>
      <c r="CK12" s="43">
        <v>-2.0000000000000001E-4</v>
      </c>
      <c r="CL12" s="30">
        <v>3.2766354213640413E-3</v>
      </c>
      <c r="CM12" s="43">
        <v>-2.3499999999999999E-4</v>
      </c>
      <c r="CN12" s="43">
        <v>-2.31E-4</v>
      </c>
      <c r="CO12" s="43">
        <v>-1.9799999999999999E-4</v>
      </c>
      <c r="CQ12" s="30">
        <v>2.7307123546973741E-3</v>
      </c>
      <c r="CR12" s="43">
        <v>-2.14E-4</v>
      </c>
      <c r="CS12" s="43">
        <v>-2.14E-4</v>
      </c>
      <c r="CT12" s="43">
        <v>-2.1000000000000001E-4</v>
      </c>
      <c r="CU12" s="30">
        <v>3.2766354213640413E-3</v>
      </c>
      <c r="CV12" s="43">
        <v>-2.14E-4</v>
      </c>
      <c r="CW12" s="43">
        <v>-2.14E-4</v>
      </c>
      <c r="CX12" s="43">
        <v>-2.1000000000000001E-4</v>
      </c>
    </row>
    <row r="13" spans="2:103" x14ac:dyDescent="0.25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3.4131163880307077E-3</v>
      </c>
      <c r="O13" s="43">
        <v>-2.6499999999999999E-4</v>
      </c>
      <c r="P13" s="43">
        <v>-2.4899999999999998E-4</v>
      </c>
      <c r="Q13" s="43">
        <v>-9.6000000000000002E-5</v>
      </c>
      <c r="R13" s="30">
        <v>4.0955202213640417E-3</v>
      </c>
      <c r="S13" s="43">
        <v>-2.61E-4</v>
      </c>
      <c r="T13" s="43">
        <v>-2.4499999999999999E-4</v>
      </c>
      <c r="U13" s="43">
        <v>-9.7999999999999997E-5</v>
      </c>
      <c r="W13" s="30">
        <v>3.4131163880307077E-3</v>
      </c>
      <c r="X13" s="43">
        <v>-3.5500000000000001E-4</v>
      </c>
      <c r="Y13" s="43">
        <v>-3.2299999999999999E-4</v>
      </c>
      <c r="Z13" s="43">
        <v>-1.9000000000000001E-5</v>
      </c>
      <c r="AA13" s="30">
        <v>4.0955202213640417E-3</v>
      </c>
      <c r="AB13" s="43">
        <v>-3.5500000000000001E-4</v>
      </c>
      <c r="AC13" s="43">
        <v>-3.2299999999999999E-4</v>
      </c>
      <c r="AD13" s="43">
        <v>-1.8E-5</v>
      </c>
      <c r="AF13" s="30">
        <v>3.4131163880307077E-3</v>
      </c>
      <c r="AG13" s="43">
        <v>-2.52E-4</v>
      </c>
      <c r="AH13" s="43">
        <v>-2.52E-4</v>
      </c>
      <c r="AI13" s="43">
        <v>-1.75E-4</v>
      </c>
      <c r="AJ13" s="30">
        <v>4.0955202213640417E-3</v>
      </c>
      <c r="AK13" s="43">
        <v>-2.5999999999999998E-4</v>
      </c>
      <c r="AL13" s="43">
        <v>-2.5999999999999998E-4</v>
      </c>
      <c r="AM13" s="43">
        <v>-1.6799999999999999E-4</v>
      </c>
      <c r="AO13" s="30">
        <v>3.4131163880307077E-3</v>
      </c>
      <c r="AP13" s="43">
        <v>-2.2599999999999999E-4</v>
      </c>
      <c r="AQ13" s="43">
        <v>-2.2599999999999999E-4</v>
      </c>
      <c r="AR13" s="43">
        <v>-1.9599999999999999E-4</v>
      </c>
      <c r="AS13" s="30">
        <v>4.0955202213640417E-3</v>
      </c>
      <c r="AT13" s="43">
        <v>-2.2900000000000001E-4</v>
      </c>
      <c r="AU13" s="43">
        <v>-2.2900000000000001E-4</v>
      </c>
      <c r="AV13" s="43">
        <v>-1.94E-4</v>
      </c>
      <c r="AX13" s="30">
        <v>3.4131163880307077E-3</v>
      </c>
      <c r="AY13" s="43">
        <v>-2.5300000000000002E-4</v>
      </c>
      <c r="AZ13" s="43">
        <v>-2.5300000000000002E-4</v>
      </c>
      <c r="BA13" s="43">
        <v>-1.74E-4</v>
      </c>
      <c r="BB13" s="30">
        <v>4.0955202213640417E-3</v>
      </c>
      <c r="BC13" s="43">
        <v>-2.61E-4</v>
      </c>
      <c r="BD13" s="43">
        <v>-2.61E-4</v>
      </c>
      <c r="BE13" s="43">
        <v>-1.6699999999999999E-4</v>
      </c>
      <c r="BG13" s="30">
        <v>3.4131163880307077E-3</v>
      </c>
      <c r="BH13" s="43">
        <v>-2.24E-4</v>
      </c>
      <c r="BI13" s="43">
        <v>-2.24E-4</v>
      </c>
      <c r="BJ13" s="43">
        <v>-1.9900000000000001E-4</v>
      </c>
      <c r="BK13" s="30">
        <v>4.0955202213640417E-3</v>
      </c>
      <c r="BL13" s="43">
        <v>-2.2599999999999999E-4</v>
      </c>
      <c r="BM13" s="43">
        <v>-2.2599999999999999E-4</v>
      </c>
      <c r="BN13" s="43">
        <v>-1.9699999999999999E-4</v>
      </c>
      <c r="BP13" s="30">
        <v>3.4131163880307077E-3</v>
      </c>
      <c r="BQ13" s="43">
        <v>-2.14E-4</v>
      </c>
      <c r="BR13" s="43">
        <v>-2.0599999999999999E-4</v>
      </c>
      <c r="BS13" s="43">
        <v>-5.5000000000000002E-5</v>
      </c>
      <c r="BT13" s="30">
        <v>4.0955202213640417E-3</v>
      </c>
      <c r="BU13" s="43">
        <v>-2.22E-4</v>
      </c>
      <c r="BV13" s="43">
        <v>-2.13E-4</v>
      </c>
      <c r="BW13" s="43">
        <v>-4.6999999999999997E-5</v>
      </c>
      <c r="BY13" s="30">
        <v>3.4131163880307077E-3</v>
      </c>
      <c r="BZ13" s="43">
        <v>-2.23E-4</v>
      </c>
      <c r="CA13" s="43">
        <v>-2.0799999999999999E-4</v>
      </c>
      <c r="CB13" s="43">
        <v>-4.8000000000000001E-5</v>
      </c>
      <c r="CC13" s="30">
        <v>4.0955202213640417E-3</v>
      </c>
      <c r="CD13" s="43">
        <v>-2.2599999999999999E-4</v>
      </c>
      <c r="CE13" s="43">
        <v>-2.1100000000000001E-4</v>
      </c>
      <c r="CF13" s="43">
        <v>-4.6E-5</v>
      </c>
      <c r="CH13" s="30">
        <v>3.4131163880307077E-3</v>
      </c>
      <c r="CI13" s="43">
        <v>-2.3599999999999999E-4</v>
      </c>
      <c r="CJ13" s="43">
        <v>-2.32E-4</v>
      </c>
      <c r="CK13" s="43">
        <v>-1.9699999999999999E-4</v>
      </c>
      <c r="CL13" s="30">
        <v>4.0955202213640417E-3</v>
      </c>
      <c r="CM13" s="43">
        <v>-2.4000000000000001E-4</v>
      </c>
      <c r="CN13" s="43">
        <v>-2.3499999999999999E-4</v>
      </c>
      <c r="CO13" s="43">
        <v>-1.94E-4</v>
      </c>
      <c r="CQ13" s="30">
        <v>3.4131163880307077E-3</v>
      </c>
      <c r="CR13" s="43">
        <v>-2.14E-4</v>
      </c>
      <c r="CS13" s="43">
        <v>-2.14E-4</v>
      </c>
      <c r="CT13" s="43">
        <v>-2.1000000000000001E-4</v>
      </c>
      <c r="CU13" s="30">
        <v>4.0955202213640417E-3</v>
      </c>
      <c r="CV13" s="43">
        <v>-2.14E-4</v>
      </c>
      <c r="CW13" s="43">
        <v>-2.14E-4</v>
      </c>
      <c r="CX13" s="43">
        <v>-2.1000000000000001E-4</v>
      </c>
    </row>
    <row r="14" spans="2:103" x14ac:dyDescent="0.25">
      <c r="B14" s="71"/>
      <c r="C14" s="71"/>
      <c r="H14" s="2">
        <v>0</v>
      </c>
      <c r="I14" s="1">
        <v>-1.3137107256957837E-2</v>
      </c>
      <c r="J14" s="2">
        <v>0</v>
      </c>
      <c r="K14" s="1"/>
      <c r="N14" s="30">
        <v>4.0955204213640409E-3</v>
      </c>
      <c r="O14" s="43">
        <v>-2.61E-4</v>
      </c>
      <c r="P14" s="43">
        <v>-2.4499999999999999E-4</v>
      </c>
      <c r="Q14" s="43">
        <v>-9.7999999999999997E-5</v>
      </c>
      <c r="R14" s="30">
        <v>4.9144050213640418E-3</v>
      </c>
      <c r="S14" s="43">
        <v>-2.5500000000000002E-4</v>
      </c>
      <c r="T14" s="43">
        <v>-2.41E-4</v>
      </c>
      <c r="U14" s="43">
        <v>-1.02E-4</v>
      </c>
      <c r="W14" s="30">
        <v>4.0955204213640409E-3</v>
      </c>
      <c r="X14" s="43">
        <v>-3.5500000000000001E-4</v>
      </c>
      <c r="Y14" s="43">
        <v>-3.2299999999999999E-4</v>
      </c>
      <c r="Z14" s="43">
        <v>-1.8E-5</v>
      </c>
      <c r="AA14" s="30">
        <v>4.9144050213640418E-3</v>
      </c>
      <c r="AB14" s="43">
        <v>-3.5399999999999999E-4</v>
      </c>
      <c r="AC14" s="43">
        <v>-3.2200000000000002E-4</v>
      </c>
      <c r="AD14" s="43">
        <v>-1.8E-5</v>
      </c>
      <c r="AF14" s="30">
        <v>4.0955204213640409E-3</v>
      </c>
      <c r="AG14" s="43">
        <v>-2.5999999999999998E-4</v>
      </c>
      <c r="AH14" s="43">
        <v>-2.5999999999999998E-4</v>
      </c>
      <c r="AI14" s="43">
        <v>-1.6799999999999999E-4</v>
      </c>
      <c r="AJ14" s="30">
        <v>4.9144050213640418E-3</v>
      </c>
      <c r="AK14" s="43">
        <v>-2.6899999999999998E-4</v>
      </c>
      <c r="AL14" s="43">
        <v>-2.6899999999999998E-4</v>
      </c>
      <c r="AM14" s="43">
        <v>-1.5899999999999999E-4</v>
      </c>
      <c r="AO14" s="30">
        <v>4.0955204213640409E-3</v>
      </c>
      <c r="AP14" s="43">
        <v>-2.2900000000000001E-4</v>
      </c>
      <c r="AQ14" s="43">
        <v>-2.2900000000000001E-4</v>
      </c>
      <c r="AR14" s="43">
        <v>-1.94E-4</v>
      </c>
      <c r="AS14" s="30">
        <v>4.9144050213640418E-3</v>
      </c>
      <c r="AT14" s="43">
        <v>-2.32E-4</v>
      </c>
      <c r="AU14" s="43">
        <v>-2.32E-4</v>
      </c>
      <c r="AV14" s="43">
        <v>-1.9100000000000001E-4</v>
      </c>
      <c r="AX14" s="30">
        <v>4.0955204213640409E-3</v>
      </c>
      <c r="AY14" s="43">
        <v>-2.61E-4</v>
      </c>
      <c r="AZ14" s="43">
        <v>-2.61E-4</v>
      </c>
      <c r="BA14" s="43">
        <v>-1.6699999999999999E-4</v>
      </c>
      <c r="BB14" s="30">
        <v>4.9144050213640418E-3</v>
      </c>
      <c r="BC14" s="43">
        <v>-2.7E-4</v>
      </c>
      <c r="BD14" s="43">
        <v>-2.7099999999999997E-4</v>
      </c>
      <c r="BE14" s="43">
        <v>-1.5799999999999999E-4</v>
      </c>
      <c r="BG14" s="30">
        <v>4.0955204213640409E-3</v>
      </c>
      <c r="BH14" s="43">
        <v>-2.2599999999999999E-4</v>
      </c>
      <c r="BI14" s="43">
        <v>-2.2599999999999999E-4</v>
      </c>
      <c r="BJ14" s="43">
        <v>-1.9699999999999999E-4</v>
      </c>
      <c r="BK14" s="30">
        <v>4.9144050213640418E-3</v>
      </c>
      <c r="BL14" s="43">
        <v>-2.3000000000000001E-4</v>
      </c>
      <c r="BM14" s="43">
        <v>-2.2900000000000001E-4</v>
      </c>
      <c r="BN14" s="43">
        <v>-1.94E-4</v>
      </c>
      <c r="BP14" s="30">
        <v>4.0955204213640409E-3</v>
      </c>
      <c r="BQ14" s="43">
        <v>-2.22E-4</v>
      </c>
      <c r="BR14" s="43">
        <v>-2.13E-4</v>
      </c>
      <c r="BS14" s="43">
        <v>-4.6999999999999997E-5</v>
      </c>
      <c r="BT14" s="30">
        <v>4.9144050213640418E-3</v>
      </c>
      <c r="BU14" s="43">
        <v>-2.31E-4</v>
      </c>
      <c r="BV14" s="43">
        <v>-2.22E-4</v>
      </c>
      <c r="BW14" s="43">
        <v>-3.8000000000000002E-5</v>
      </c>
      <c r="BY14" s="30">
        <v>4.0955204213640409E-3</v>
      </c>
      <c r="BZ14" s="43">
        <v>-2.2599999999999999E-4</v>
      </c>
      <c r="CA14" s="43">
        <v>-2.1100000000000001E-4</v>
      </c>
      <c r="CB14" s="43">
        <v>-4.6E-5</v>
      </c>
      <c r="CC14" s="30">
        <v>4.9144050213640418E-3</v>
      </c>
      <c r="CD14" s="43">
        <v>-2.2900000000000001E-4</v>
      </c>
      <c r="CE14" s="43">
        <v>-2.14E-4</v>
      </c>
      <c r="CF14" s="43">
        <v>-4.1999999999999998E-5</v>
      </c>
      <c r="CH14" s="30">
        <v>4.0955204213640409E-3</v>
      </c>
      <c r="CI14" s="43">
        <v>-2.4000000000000001E-4</v>
      </c>
      <c r="CJ14" s="43">
        <v>-2.3499999999999999E-4</v>
      </c>
      <c r="CK14" s="43">
        <v>-1.94E-4</v>
      </c>
      <c r="CL14" s="30">
        <v>4.9144050213640418E-3</v>
      </c>
      <c r="CM14" s="43">
        <v>-2.4499999999999999E-4</v>
      </c>
      <c r="CN14" s="43">
        <v>-2.3900000000000001E-4</v>
      </c>
      <c r="CO14" s="43">
        <v>-1.9000000000000001E-4</v>
      </c>
      <c r="CQ14" s="30">
        <v>4.0955204213640409E-3</v>
      </c>
      <c r="CR14" s="43">
        <v>-2.14E-4</v>
      </c>
      <c r="CS14" s="43">
        <v>-2.14E-4</v>
      </c>
      <c r="CT14" s="43">
        <v>-2.1000000000000001E-4</v>
      </c>
      <c r="CU14" s="30">
        <v>4.9144050213640418E-3</v>
      </c>
      <c r="CV14" s="43">
        <v>-2.14E-4</v>
      </c>
      <c r="CW14" s="43">
        <v>-2.14E-4</v>
      </c>
      <c r="CX14" s="43">
        <v>-2.1000000000000001E-4</v>
      </c>
    </row>
    <row r="15" spans="2:103" x14ac:dyDescent="0.25">
      <c r="B15" s="71"/>
      <c r="C15" s="71"/>
      <c r="H15" s="2">
        <v>4.0945338221364043E-2</v>
      </c>
      <c r="I15" s="1">
        <v>-1.3137107256957837E-2</v>
      </c>
      <c r="J15" s="2">
        <v>0.2001720772580908</v>
      </c>
      <c r="K15" s="1"/>
      <c r="N15" s="30">
        <v>4.7779244546973746E-3</v>
      </c>
      <c r="O15" s="43">
        <v>-2.5599999999999999E-4</v>
      </c>
      <c r="P15" s="43">
        <v>-2.42E-4</v>
      </c>
      <c r="Q15" s="43">
        <v>-1.01E-4</v>
      </c>
      <c r="R15" s="30">
        <v>5.7332898213640418E-3</v>
      </c>
      <c r="S15" s="43">
        <v>-2.5000000000000001E-4</v>
      </c>
      <c r="T15" s="43">
        <v>-2.3699999999999999E-4</v>
      </c>
      <c r="U15" s="43">
        <v>-1.05E-4</v>
      </c>
      <c r="W15" s="30">
        <v>4.7779244546973746E-3</v>
      </c>
      <c r="X15" s="43">
        <v>-3.5399999999999999E-4</v>
      </c>
      <c r="Y15" s="43">
        <v>-3.2200000000000002E-4</v>
      </c>
      <c r="Z15" s="43">
        <v>-1.8E-5</v>
      </c>
      <c r="AA15" s="30">
        <v>5.7332898213640418E-3</v>
      </c>
      <c r="AB15" s="43">
        <v>-3.5399999999999999E-4</v>
      </c>
      <c r="AC15" s="43">
        <v>-3.2200000000000002E-4</v>
      </c>
      <c r="AD15" s="43">
        <v>-1.7E-5</v>
      </c>
      <c r="AF15" s="30">
        <v>4.7779244546973746E-3</v>
      </c>
      <c r="AG15" s="43">
        <v>-2.6699999999999998E-4</v>
      </c>
      <c r="AH15" s="43">
        <v>-2.6699999999999998E-4</v>
      </c>
      <c r="AI15" s="43">
        <v>-1.6000000000000001E-4</v>
      </c>
      <c r="AJ15" s="30">
        <v>5.7332898213640418E-3</v>
      </c>
      <c r="AK15" s="43">
        <v>-2.7799999999999998E-4</v>
      </c>
      <c r="AL15" s="43">
        <v>-2.7799999999999998E-4</v>
      </c>
      <c r="AM15" s="43">
        <v>-1.4999999999999999E-4</v>
      </c>
      <c r="AO15" s="30">
        <v>4.7779244546973746E-3</v>
      </c>
      <c r="AP15" s="43">
        <v>-2.32E-4</v>
      </c>
      <c r="AQ15" s="43">
        <v>-2.31E-4</v>
      </c>
      <c r="AR15" s="43">
        <v>-1.9100000000000001E-4</v>
      </c>
      <c r="AS15" s="30">
        <v>5.7332898213640418E-3</v>
      </c>
      <c r="AT15" s="43">
        <v>-2.3499999999999999E-4</v>
      </c>
      <c r="AU15" s="43">
        <v>-2.3499999999999999E-4</v>
      </c>
      <c r="AV15" s="43">
        <v>-1.8799999999999999E-4</v>
      </c>
      <c r="AX15" s="30">
        <v>4.7779244546973746E-3</v>
      </c>
      <c r="AY15" s="43">
        <v>-2.6899999999999998E-4</v>
      </c>
      <c r="AZ15" s="43">
        <v>-2.6899999999999998E-4</v>
      </c>
      <c r="BA15" s="43">
        <v>-1.5899999999999999E-4</v>
      </c>
      <c r="BB15" s="30">
        <v>5.7332898213640418E-3</v>
      </c>
      <c r="BC15" s="43">
        <v>-2.7999999999999998E-4</v>
      </c>
      <c r="BD15" s="43">
        <v>-2.7999999999999998E-4</v>
      </c>
      <c r="BE15" s="43">
        <v>-1.4899999999999999E-4</v>
      </c>
      <c r="BG15" s="30">
        <v>4.7779244546973746E-3</v>
      </c>
      <c r="BH15" s="43">
        <v>-2.2900000000000001E-4</v>
      </c>
      <c r="BI15" s="43">
        <v>-2.2900000000000001E-4</v>
      </c>
      <c r="BJ15" s="43">
        <v>-1.94E-4</v>
      </c>
      <c r="BK15" s="30">
        <v>5.7332898213640418E-3</v>
      </c>
      <c r="BL15" s="43">
        <v>-2.33E-4</v>
      </c>
      <c r="BM15" s="43">
        <v>-2.33E-4</v>
      </c>
      <c r="BN15" s="43">
        <v>-1.9000000000000001E-4</v>
      </c>
      <c r="BP15" s="30">
        <v>4.7779244546973746E-3</v>
      </c>
      <c r="BQ15" s="43">
        <v>-2.2900000000000001E-4</v>
      </c>
      <c r="BR15" s="43">
        <v>-2.2100000000000001E-4</v>
      </c>
      <c r="BS15" s="43">
        <v>-4.0000000000000003E-5</v>
      </c>
      <c r="BT15" s="30">
        <v>5.7332898213640418E-3</v>
      </c>
      <c r="BU15" s="43">
        <v>-2.4000000000000001E-4</v>
      </c>
      <c r="BV15" s="43">
        <v>-2.31E-4</v>
      </c>
      <c r="BW15" s="43">
        <v>-2.9E-5</v>
      </c>
      <c r="BY15" s="30">
        <v>4.7779244546973746E-3</v>
      </c>
      <c r="BZ15" s="43">
        <v>-2.2900000000000001E-4</v>
      </c>
      <c r="CA15" s="43">
        <v>-2.13E-4</v>
      </c>
      <c r="CB15" s="43">
        <v>-4.3000000000000002E-5</v>
      </c>
      <c r="CC15" s="30">
        <v>5.7332898213640418E-3</v>
      </c>
      <c r="CD15" s="43">
        <v>-2.33E-4</v>
      </c>
      <c r="CE15" s="43">
        <v>-2.1699999999999999E-4</v>
      </c>
      <c r="CF15" s="43">
        <v>-3.8999999999999999E-5</v>
      </c>
      <c r="CH15" s="30">
        <v>4.7779244546973746E-3</v>
      </c>
      <c r="CI15" s="43">
        <v>-2.4399999999999999E-4</v>
      </c>
      <c r="CJ15" s="43">
        <v>-2.3800000000000001E-4</v>
      </c>
      <c r="CK15" s="43">
        <v>-1.9100000000000001E-4</v>
      </c>
      <c r="CL15" s="30">
        <v>5.7332898213640418E-3</v>
      </c>
      <c r="CM15" s="43">
        <v>-2.4899999999999998E-4</v>
      </c>
      <c r="CN15" s="43">
        <v>-2.43E-4</v>
      </c>
      <c r="CO15" s="43">
        <v>-1.8599999999999999E-4</v>
      </c>
      <c r="CQ15" s="30">
        <v>4.7779244546973746E-3</v>
      </c>
      <c r="CR15" s="43">
        <v>-2.14E-4</v>
      </c>
      <c r="CS15" s="43">
        <v>-2.14E-4</v>
      </c>
      <c r="CT15" s="43">
        <v>-2.1000000000000001E-4</v>
      </c>
      <c r="CU15" s="30">
        <v>5.7332898213640418E-3</v>
      </c>
      <c r="CV15" s="43">
        <v>-2.14E-4</v>
      </c>
      <c r="CW15" s="43">
        <v>-2.14E-4</v>
      </c>
      <c r="CX15" s="43">
        <v>-2.1000000000000001E-4</v>
      </c>
    </row>
    <row r="16" spans="2:103" x14ac:dyDescent="0.25">
      <c r="B16" s="71"/>
      <c r="C16" s="71"/>
      <c r="N16" s="30">
        <v>5.4603284880307083E-3</v>
      </c>
      <c r="O16" s="43">
        <v>-2.52E-4</v>
      </c>
      <c r="P16" s="43">
        <v>-2.3800000000000001E-4</v>
      </c>
      <c r="Q16" s="43">
        <v>-1.0399999999999999E-4</v>
      </c>
      <c r="R16" s="30">
        <v>6.5521746213640418E-3</v>
      </c>
      <c r="S16" s="43">
        <v>-2.4499999999999999E-4</v>
      </c>
      <c r="T16" s="43">
        <v>-2.32E-4</v>
      </c>
      <c r="U16" s="43">
        <v>-1.08E-4</v>
      </c>
      <c r="W16" s="30">
        <v>5.4603284880307083E-3</v>
      </c>
      <c r="X16" s="43">
        <v>-3.5399999999999999E-4</v>
      </c>
      <c r="Y16" s="43">
        <v>-3.2200000000000002E-4</v>
      </c>
      <c r="Z16" s="43">
        <v>-1.7E-5</v>
      </c>
      <c r="AA16" s="30">
        <v>6.5521746213640418E-3</v>
      </c>
      <c r="AB16" s="43">
        <v>-3.5300000000000002E-4</v>
      </c>
      <c r="AC16" s="43">
        <v>-3.21E-4</v>
      </c>
      <c r="AD16" s="43">
        <v>-1.5999999999999999E-5</v>
      </c>
      <c r="AF16" s="30">
        <v>5.4603284880307083E-3</v>
      </c>
      <c r="AG16" s="43">
        <v>-2.7500000000000002E-4</v>
      </c>
      <c r="AH16" s="43">
        <v>-2.7500000000000002E-4</v>
      </c>
      <c r="AI16" s="43">
        <v>-1.5300000000000001E-4</v>
      </c>
      <c r="AJ16" s="30">
        <v>6.5521746213640418E-3</v>
      </c>
      <c r="AK16" s="43">
        <v>-2.8699999999999998E-4</v>
      </c>
      <c r="AL16" s="43">
        <v>-2.8800000000000001E-4</v>
      </c>
      <c r="AM16" s="43">
        <v>-1.4100000000000001E-4</v>
      </c>
      <c r="AO16" s="30">
        <v>5.4603284880307083E-3</v>
      </c>
      <c r="AP16" s="43">
        <v>-2.34E-4</v>
      </c>
      <c r="AQ16" s="43">
        <v>-2.34E-4</v>
      </c>
      <c r="AR16" s="43">
        <v>-1.8900000000000001E-4</v>
      </c>
      <c r="AS16" s="30">
        <v>6.5521746213640418E-3</v>
      </c>
      <c r="AT16" s="43">
        <v>-2.3800000000000001E-4</v>
      </c>
      <c r="AU16" s="43">
        <v>-2.3800000000000001E-4</v>
      </c>
      <c r="AV16" s="43">
        <v>-1.84E-4</v>
      </c>
      <c r="AX16" s="30">
        <v>5.4603284880307083E-3</v>
      </c>
      <c r="AY16" s="43">
        <v>-2.7700000000000001E-4</v>
      </c>
      <c r="AZ16" s="43">
        <v>-2.7700000000000001E-4</v>
      </c>
      <c r="BA16" s="43">
        <v>-1.5200000000000001E-4</v>
      </c>
      <c r="BB16" s="30">
        <v>6.5521746213640418E-3</v>
      </c>
      <c r="BC16" s="43">
        <v>-2.8899999999999998E-4</v>
      </c>
      <c r="BD16" s="43">
        <v>-2.8899999999999998E-4</v>
      </c>
      <c r="BE16" s="43">
        <v>-1.3899999999999999E-4</v>
      </c>
      <c r="BG16" s="30">
        <v>5.4603284880307083E-3</v>
      </c>
      <c r="BH16" s="43">
        <v>-2.32E-4</v>
      </c>
      <c r="BI16" s="43">
        <v>-2.32E-4</v>
      </c>
      <c r="BJ16" s="43">
        <v>-1.92E-4</v>
      </c>
      <c r="BK16" s="30">
        <v>6.5521746213640418E-3</v>
      </c>
      <c r="BL16" s="43">
        <v>-2.3599999999999999E-4</v>
      </c>
      <c r="BM16" s="43">
        <v>-2.3599999999999999E-4</v>
      </c>
      <c r="BN16" s="43">
        <v>-1.8699999999999999E-4</v>
      </c>
      <c r="BP16" s="30">
        <v>5.4603284880307083E-3</v>
      </c>
      <c r="BQ16" s="43">
        <v>-2.3699999999999999E-4</v>
      </c>
      <c r="BR16" s="43">
        <v>-2.2800000000000001E-4</v>
      </c>
      <c r="BS16" s="43">
        <v>-3.1999999999999999E-5</v>
      </c>
      <c r="BT16" s="30">
        <v>6.5521746213640418E-3</v>
      </c>
      <c r="BU16" s="43">
        <v>-2.4899999999999998E-4</v>
      </c>
      <c r="BV16" s="43">
        <v>-2.4000000000000001E-4</v>
      </c>
      <c r="BW16" s="43">
        <v>-2.0000000000000002E-5</v>
      </c>
      <c r="BY16" s="30">
        <v>5.4603284880307083E-3</v>
      </c>
      <c r="BZ16" s="43">
        <v>-2.31E-4</v>
      </c>
      <c r="CA16" s="43">
        <v>-2.1599999999999999E-4</v>
      </c>
      <c r="CB16" s="43">
        <v>-4.0000000000000003E-5</v>
      </c>
      <c r="CC16" s="30">
        <v>6.5521746213640418E-3</v>
      </c>
      <c r="CD16" s="43">
        <v>-2.3599999999999999E-4</v>
      </c>
      <c r="CE16" s="43">
        <v>-2.2100000000000001E-4</v>
      </c>
      <c r="CF16" s="43">
        <v>-3.6000000000000001E-5</v>
      </c>
      <c r="CH16" s="30">
        <v>5.4603284880307083E-3</v>
      </c>
      <c r="CI16" s="43">
        <v>-2.4800000000000001E-4</v>
      </c>
      <c r="CJ16" s="43">
        <v>-2.42E-4</v>
      </c>
      <c r="CK16" s="43">
        <v>-1.8699999999999999E-4</v>
      </c>
      <c r="CL16" s="30">
        <v>6.5521746213640418E-3</v>
      </c>
      <c r="CM16" s="43">
        <v>-2.5399999999999999E-4</v>
      </c>
      <c r="CN16" s="43">
        <v>-2.4699999999999999E-4</v>
      </c>
      <c r="CO16" s="43">
        <v>-1.8200000000000001E-4</v>
      </c>
      <c r="CQ16" s="30">
        <v>5.4603284880307083E-3</v>
      </c>
      <c r="CR16" s="43">
        <v>-2.14E-4</v>
      </c>
      <c r="CS16" s="43">
        <v>-2.14E-4</v>
      </c>
      <c r="CT16" s="43">
        <v>-2.1000000000000001E-4</v>
      </c>
      <c r="CU16" s="30">
        <v>6.5521746213640418E-3</v>
      </c>
      <c r="CV16" s="43">
        <v>-2.14E-4</v>
      </c>
      <c r="CW16" s="43">
        <v>-2.14E-4</v>
      </c>
      <c r="CX16" s="43">
        <v>-2.1000000000000001E-4</v>
      </c>
    </row>
    <row r="17" spans="2:102" x14ac:dyDescent="0.25">
      <c r="B17" s="71"/>
      <c r="C17" s="71"/>
      <c r="H17" s="72" t="s">
        <v>105</v>
      </c>
      <c r="I17" s="72"/>
      <c r="J17" s="72"/>
      <c r="K17" s="72"/>
      <c r="N17" s="30">
        <v>6.1427325213640411E-3</v>
      </c>
      <c r="O17" s="43">
        <v>-2.4800000000000001E-4</v>
      </c>
      <c r="P17" s="43">
        <v>-2.34E-4</v>
      </c>
      <c r="Q17" s="43">
        <v>-1.06E-4</v>
      </c>
      <c r="R17" s="30">
        <v>7.3710594213640419E-3</v>
      </c>
      <c r="S17" s="43">
        <v>-2.4000000000000001E-4</v>
      </c>
      <c r="T17" s="43">
        <v>-2.2800000000000001E-4</v>
      </c>
      <c r="U17" s="43">
        <v>-1.11E-4</v>
      </c>
      <c r="W17" s="30">
        <v>6.1427325213640411E-3</v>
      </c>
      <c r="X17" s="43">
        <v>-3.5300000000000002E-4</v>
      </c>
      <c r="Y17" s="43">
        <v>-3.2200000000000002E-4</v>
      </c>
      <c r="Z17" s="43">
        <v>-1.7E-5</v>
      </c>
      <c r="AA17" s="30">
        <v>7.3710594213640419E-3</v>
      </c>
      <c r="AB17" s="43">
        <v>-3.5300000000000002E-4</v>
      </c>
      <c r="AC17" s="43">
        <v>-3.21E-4</v>
      </c>
      <c r="AD17" s="43">
        <v>-1.5999999999999999E-5</v>
      </c>
      <c r="AF17" s="30">
        <v>6.1427325213640411E-3</v>
      </c>
      <c r="AG17" s="43">
        <v>-2.8299999999999999E-4</v>
      </c>
      <c r="AH17" s="43">
        <v>-2.8299999999999999E-4</v>
      </c>
      <c r="AI17" s="43">
        <v>-1.45E-4</v>
      </c>
      <c r="AJ17" s="30">
        <v>7.3710594213640419E-3</v>
      </c>
      <c r="AK17" s="43">
        <v>-2.9700000000000001E-4</v>
      </c>
      <c r="AL17" s="43">
        <v>-2.9700000000000001E-4</v>
      </c>
      <c r="AM17" s="43">
        <v>-1.3100000000000001E-4</v>
      </c>
      <c r="AO17" s="30">
        <v>6.1427325213640411E-3</v>
      </c>
      <c r="AP17" s="43">
        <v>-2.3699999999999999E-4</v>
      </c>
      <c r="AQ17" s="43">
        <v>-2.3699999999999999E-4</v>
      </c>
      <c r="AR17" s="43">
        <v>-1.8599999999999999E-4</v>
      </c>
      <c r="AS17" s="30">
        <v>7.3710594213640419E-3</v>
      </c>
      <c r="AT17" s="43">
        <v>-2.41E-4</v>
      </c>
      <c r="AU17" s="43">
        <v>-2.41E-4</v>
      </c>
      <c r="AV17" s="43">
        <v>-1.8100000000000001E-4</v>
      </c>
      <c r="AX17" s="30">
        <v>6.1427325213640411E-3</v>
      </c>
      <c r="AY17" s="43">
        <v>-2.8400000000000002E-4</v>
      </c>
      <c r="AZ17" s="43">
        <v>-2.8499999999999999E-4</v>
      </c>
      <c r="BA17" s="43">
        <v>-1.44E-4</v>
      </c>
      <c r="BB17" s="30">
        <v>7.3710594213640419E-3</v>
      </c>
      <c r="BC17" s="43">
        <v>-2.9799999999999998E-4</v>
      </c>
      <c r="BD17" s="43">
        <v>-2.99E-4</v>
      </c>
      <c r="BE17" s="43">
        <v>-1.2999999999999999E-4</v>
      </c>
      <c r="BG17" s="30">
        <v>6.1427325213640411E-3</v>
      </c>
      <c r="BH17" s="43">
        <v>-2.34E-4</v>
      </c>
      <c r="BI17" s="43">
        <v>-2.34E-4</v>
      </c>
      <c r="BJ17" s="43">
        <v>-1.8900000000000001E-4</v>
      </c>
      <c r="BK17" s="30">
        <v>7.3710594213640419E-3</v>
      </c>
      <c r="BL17" s="43">
        <v>-2.3900000000000001E-4</v>
      </c>
      <c r="BM17" s="43">
        <v>-2.3900000000000001E-4</v>
      </c>
      <c r="BN17" s="43">
        <v>-1.84E-4</v>
      </c>
      <c r="BP17" s="30">
        <v>6.1427325213640411E-3</v>
      </c>
      <c r="BQ17" s="43">
        <v>-2.4399999999999999E-4</v>
      </c>
      <c r="BR17" s="43">
        <v>-2.3599999999999999E-4</v>
      </c>
      <c r="BS17" s="43">
        <v>-2.5000000000000001E-5</v>
      </c>
      <c r="BT17" s="30">
        <v>7.3710594213640419E-3</v>
      </c>
      <c r="BU17" s="43">
        <v>-2.5799999999999998E-4</v>
      </c>
      <c r="BV17" s="43">
        <v>-2.5000000000000001E-4</v>
      </c>
      <c r="BW17" s="43">
        <v>-1.1E-5</v>
      </c>
      <c r="BY17" s="30">
        <v>6.1427325213640411E-3</v>
      </c>
      <c r="BZ17" s="43">
        <v>-2.34E-4</v>
      </c>
      <c r="CA17" s="43">
        <v>-2.1900000000000001E-4</v>
      </c>
      <c r="CB17" s="43">
        <v>-3.8000000000000002E-5</v>
      </c>
      <c r="CC17" s="30">
        <v>7.3710594213640419E-3</v>
      </c>
      <c r="CD17" s="43">
        <v>-2.3900000000000001E-4</v>
      </c>
      <c r="CE17" s="43">
        <v>-2.24E-4</v>
      </c>
      <c r="CF17" s="43">
        <v>-3.3000000000000003E-5</v>
      </c>
      <c r="CH17" s="30">
        <v>6.1427325213640411E-3</v>
      </c>
      <c r="CI17" s="43">
        <v>-2.52E-4</v>
      </c>
      <c r="CJ17" s="43">
        <v>-2.4499999999999999E-4</v>
      </c>
      <c r="CK17" s="43">
        <v>-1.84E-4</v>
      </c>
      <c r="CL17" s="30">
        <v>7.3710594213640419E-3</v>
      </c>
      <c r="CM17" s="43">
        <v>-2.5900000000000001E-4</v>
      </c>
      <c r="CN17" s="43">
        <v>-2.5099999999999998E-4</v>
      </c>
      <c r="CO17" s="43">
        <v>-1.7799999999999999E-4</v>
      </c>
      <c r="CQ17" s="30">
        <v>6.1427325213640411E-3</v>
      </c>
      <c r="CR17" s="43">
        <v>-2.14E-4</v>
      </c>
      <c r="CS17" s="43">
        <v>-2.14E-4</v>
      </c>
      <c r="CT17" s="43">
        <v>-2.1000000000000001E-4</v>
      </c>
      <c r="CU17" s="30">
        <v>7.3710594213640419E-3</v>
      </c>
      <c r="CV17" s="43">
        <v>-2.14E-4</v>
      </c>
      <c r="CW17" s="43">
        <v>-2.14E-4</v>
      </c>
      <c r="CX17" s="43">
        <v>-2.1000000000000001E-4</v>
      </c>
    </row>
    <row r="18" spans="2:102" x14ac:dyDescent="0.25">
      <c r="H18" s="73" t="s">
        <v>65</v>
      </c>
      <c r="I18" s="73"/>
      <c r="J18" s="73" t="s">
        <v>65</v>
      </c>
      <c r="K18" s="73"/>
      <c r="N18" s="30">
        <v>6.8251365546973747E-3</v>
      </c>
      <c r="O18" s="43">
        <v>-2.43E-4</v>
      </c>
      <c r="P18" s="43">
        <v>-2.31E-4</v>
      </c>
      <c r="Q18" s="43">
        <v>-1.0900000000000001E-4</v>
      </c>
      <c r="R18" s="30">
        <v>8.189944221364041E-3</v>
      </c>
      <c r="S18" s="43">
        <v>-2.4399999999999999E-4</v>
      </c>
      <c r="T18" s="43">
        <v>-2.31E-4</v>
      </c>
      <c r="U18" s="43">
        <v>-1.07E-4</v>
      </c>
      <c r="W18" s="30">
        <v>6.8251365546973747E-3</v>
      </c>
      <c r="X18" s="43">
        <v>-3.5300000000000002E-4</v>
      </c>
      <c r="Y18" s="43">
        <v>-3.21E-4</v>
      </c>
      <c r="Z18" s="43">
        <v>-1.5999999999999999E-5</v>
      </c>
      <c r="AA18" s="30">
        <v>8.189944221364041E-3</v>
      </c>
      <c r="AB18" s="43">
        <v>-3.5199999999999999E-4</v>
      </c>
      <c r="AC18" s="43">
        <v>-3.2000000000000003E-4</v>
      </c>
      <c r="AD18" s="43">
        <v>-1.5E-5</v>
      </c>
      <c r="AF18" s="30">
        <v>6.8251365546973747E-3</v>
      </c>
      <c r="AG18" s="43">
        <v>-2.9E-4</v>
      </c>
      <c r="AH18" s="43">
        <v>-2.9100000000000003E-4</v>
      </c>
      <c r="AI18" s="43">
        <v>-1.37E-4</v>
      </c>
      <c r="AJ18" s="30">
        <v>8.189944221364041E-3</v>
      </c>
      <c r="AK18" s="43">
        <v>-3.0600000000000001E-4</v>
      </c>
      <c r="AL18" s="43">
        <v>-3.0600000000000001E-4</v>
      </c>
      <c r="AM18" s="43">
        <v>-1.22E-4</v>
      </c>
      <c r="AO18" s="30">
        <v>6.8251365546973747E-3</v>
      </c>
      <c r="AP18" s="43">
        <v>-2.3900000000000001E-4</v>
      </c>
      <c r="AQ18" s="43">
        <v>-2.3900000000000001E-4</v>
      </c>
      <c r="AR18" s="43">
        <v>-1.83E-4</v>
      </c>
      <c r="AS18" s="30">
        <v>8.189944221364041E-3</v>
      </c>
      <c r="AT18" s="43">
        <v>-2.4499999999999999E-4</v>
      </c>
      <c r="AU18" s="43">
        <v>-2.4399999999999999E-4</v>
      </c>
      <c r="AV18" s="43">
        <v>-1.7799999999999999E-4</v>
      </c>
      <c r="AX18" s="30">
        <v>6.8251365546973747E-3</v>
      </c>
      <c r="AY18" s="43">
        <v>-2.92E-4</v>
      </c>
      <c r="AZ18" s="43">
        <v>-2.92E-4</v>
      </c>
      <c r="BA18" s="43">
        <v>-1.36E-4</v>
      </c>
      <c r="BB18" s="30">
        <v>8.189944221364041E-3</v>
      </c>
      <c r="BC18" s="43">
        <v>-3.0800000000000001E-4</v>
      </c>
      <c r="BD18" s="43">
        <v>-3.0800000000000001E-4</v>
      </c>
      <c r="BE18" s="43">
        <v>-1.21E-4</v>
      </c>
      <c r="BG18" s="30">
        <v>6.8251365546973747E-3</v>
      </c>
      <c r="BH18" s="43">
        <v>-2.3699999999999999E-4</v>
      </c>
      <c r="BI18" s="43">
        <v>-2.3699999999999999E-4</v>
      </c>
      <c r="BJ18" s="43">
        <v>-1.8599999999999999E-4</v>
      </c>
      <c r="BK18" s="30">
        <v>8.189944221364041E-3</v>
      </c>
      <c r="BL18" s="43">
        <v>-2.42E-4</v>
      </c>
      <c r="BM18" s="43">
        <v>-2.42E-4</v>
      </c>
      <c r="BN18" s="43">
        <v>-1.8100000000000001E-4</v>
      </c>
      <c r="BP18" s="30">
        <v>6.8251365546973747E-3</v>
      </c>
      <c r="BQ18" s="43">
        <v>-2.52E-4</v>
      </c>
      <c r="BR18" s="43">
        <v>-2.43E-4</v>
      </c>
      <c r="BS18" s="43">
        <v>-1.7E-5</v>
      </c>
      <c r="BT18" s="30">
        <v>8.189944221364041E-3</v>
      </c>
      <c r="BU18" s="43">
        <v>-2.6699999999999998E-4</v>
      </c>
      <c r="BV18" s="43">
        <v>-2.5900000000000001E-4</v>
      </c>
      <c r="BW18" s="43">
        <v>-1.9999999999999999E-6</v>
      </c>
      <c r="BY18" s="30">
        <v>6.8251365546973747E-3</v>
      </c>
      <c r="BZ18" s="43">
        <v>-2.3699999999999999E-4</v>
      </c>
      <c r="CA18" s="43">
        <v>-2.22E-4</v>
      </c>
      <c r="CB18" s="43">
        <v>-3.4999999999999997E-5</v>
      </c>
      <c r="CC18" s="30">
        <v>8.189944221364041E-3</v>
      </c>
      <c r="CD18" s="43">
        <v>-2.42E-4</v>
      </c>
      <c r="CE18" s="43">
        <v>-2.2699999999999999E-4</v>
      </c>
      <c r="CF18" s="43">
        <v>-2.9E-5</v>
      </c>
      <c r="CH18" s="30">
        <v>6.8251365546973747E-3</v>
      </c>
      <c r="CI18" s="43">
        <v>-2.5599999999999999E-4</v>
      </c>
      <c r="CJ18" s="43">
        <v>-2.4800000000000001E-4</v>
      </c>
      <c r="CK18" s="43">
        <v>-1.8100000000000001E-4</v>
      </c>
      <c r="CL18" s="30">
        <v>8.189944221364041E-3</v>
      </c>
      <c r="CM18" s="43">
        <v>-2.6400000000000002E-4</v>
      </c>
      <c r="CN18" s="43">
        <v>-2.5500000000000002E-4</v>
      </c>
      <c r="CO18" s="43">
        <v>-1.74E-4</v>
      </c>
      <c r="CQ18" s="30">
        <v>6.8251365546973747E-3</v>
      </c>
      <c r="CR18" s="43">
        <v>-2.14E-4</v>
      </c>
      <c r="CS18" s="43">
        <v>-2.14E-4</v>
      </c>
      <c r="CT18" s="43">
        <v>-2.1000000000000001E-4</v>
      </c>
      <c r="CU18" s="30">
        <v>8.189944221364041E-3</v>
      </c>
      <c r="CV18" s="43">
        <v>-2.14E-4</v>
      </c>
      <c r="CW18" s="43">
        <v>-2.14E-4</v>
      </c>
      <c r="CX18" s="43">
        <v>-2.1000000000000001E-4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7.5075405880307084E-3</v>
      </c>
      <c r="O19" s="43">
        <v>-2.41E-4</v>
      </c>
      <c r="P19" s="43">
        <v>-2.2800000000000001E-4</v>
      </c>
      <c r="Q19" s="43">
        <v>-1.1E-4</v>
      </c>
      <c r="R19" s="30">
        <v>8.189944221364041E-3</v>
      </c>
      <c r="S19" s="43">
        <v>-2.4399999999999999E-4</v>
      </c>
      <c r="T19" s="43">
        <v>-2.31E-4</v>
      </c>
      <c r="U19" s="43">
        <v>-1.07E-4</v>
      </c>
      <c r="W19" s="30">
        <v>7.5075405880307084E-3</v>
      </c>
      <c r="X19" s="43">
        <v>-3.5300000000000002E-4</v>
      </c>
      <c r="Y19" s="43">
        <v>-3.21E-4</v>
      </c>
      <c r="Z19" s="43">
        <v>-1.5E-5</v>
      </c>
      <c r="AA19" s="30">
        <v>8.189944221364041E-3</v>
      </c>
      <c r="AB19" s="43">
        <v>-3.5199999999999999E-4</v>
      </c>
      <c r="AC19" s="43">
        <v>-3.2000000000000003E-4</v>
      </c>
      <c r="AD19" s="43">
        <v>-1.5E-5</v>
      </c>
      <c r="AF19" s="30">
        <v>7.5075405880307084E-3</v>
      </c>
      <c r="AG19" s="43">
        <v>-2.9799999999999998E-4</v>
      </c>
      <c r="AH19" s="43">
        <v>-2.9799999999999998E-4</v>
      </c>
      <c r="AI19" s="43">
        <v>-1.2999999999999999E-4</v>
      </c>
      <c r="AJ19" s="30">
        <v>8.189944221364041E-3</v>
      </c>
      <c r="AK19" s="43">
        <v>-3.0600000000000001E-4</v>
      </c>
      <c r="AL19" s="43">
        <v>-3.0600000000000001E-4</v>
      </c>
      <c r="AM19" s="43">
        <v>-1.22E-4</v>
      </c>
      <c r="AO19" s="30">
        <v>7.5075405880307084E-3</v>
      </c>
      <c r="AP19" s="43">
        <v>-2.42E-4</v>
      </c>
      <c r="AQ19" s="43">
        <v>-2.42E-4</v>
      </c>
      <c r="AR19" s="43">
        <v>-1.8100000000000001E-4</v>
      </c>
      <c r="AS19" s="30">
        <v>8.189944221364041E-3</v>
      </c>
      <c r="AT19" s="43">
        <v>-2.4499999999999999E-4</v>
      </c>
      <c r="AU19" s="43">
        <v>-2.4399999999999999E-4</v>
      </c>
      <c r="AV19" s="43">
        <v>-1.7799999999999999E-4</v>
      </c>
      <c r="AX19" s="30">
        <v>7.5075405880307084E-3</v>
      </c>
      <c r="AY19" s="43">
        <v>-2.9999999999999997E-4</v>
      </c>
      <c r="AZ19" s="43">
        <v>-2.9999999999999997E-4</v>
      </c>
      <c r="BA19" s="43">
        <v>-1.2899999999999999E-4</v>
      </c>
      <c r="BB19" s="30">
        <v>8.189944221364041E-3</v>
      </c>
      <c r="BC19" s="43">
        <v>-3.0800000000000001E-4</v>
      </c>
      <c r="BD19" s="43">
        <v>-3.0800000000000001E-4</v>
      </c>
      <c r="BE19" s="43">
        <v>-1.21E-4</v>
      </c>
      <c r="BG19" s="30">
        <v>7.5075405880307084E-3</v>
      </c>
      <c r="BH19" s="43">
        <v>-2.4000000000000001E-4</v>
      </c>
      <c r="BI19" s="43">
        <v>-2.3900000000000001E-4</v>
      </c>
      <c r="BJ19" s="43">
        <v>-1.84E-4</v>
      </c>
      <c r="BK19" s="30">
        <v>8.189944221364041E-3</v>
      </c>
      <c r="BL19" s="43">
        <v>-2.42E-4</v>
      </c>
      <c r="BM19" s="43">
        <v>-2.42E-4</v>
      </c>
      <c r="BN19" s="43">
        <v>-1.8100000000000001E-4</v>
      </c>
      <c r="BP19" s="30">
        <v>7.5075405880307084E-3</v>
      </c>
      <c r="BQ19" s="43">
        <v>-2.5999999999999998E-4</v>
      </c>
      <c r="BR19" s="43">
        <v>-2.5099999999999998E-4</v>
      </c>
      <c r="BS19" s="43">
        <v>-1.0000000000000001E-5</v>
      </c>
      <c r="BT19" s="30">
        <v>8.189944221364041E-3</v>
      </c>
      <c r="BU19" s="43">
        <v>-2.6699999999999998E-4</v>
      </c>
      <c r="BV19" s="43">
        <v>-2.5900000000000001E-4</v>
      </c>
      <c r="BW19" s="43">
        <v>-1.9999999999999999E-6</v>
      </c>
      <c r="BY19" s="30">
        <v>7.5075405880307084E-3</v>
      </c>
      <c r="BZ19" s="43">
        <v>-2.4000000000000001E-4</v>
      </c>
      <c r="CA19" s="43">
        <v>-2.24E-4</v>
      </c>
      <c r="CB19" s="43">
        <v>-3.1999999999999999E-5</v>
      </c>
      <c r="CC19" s="30">
        <v>8.189944221364041E-3</v>
      </c>
      <c r="CD19" s="43">
        <v>-2.42E-4</v>
      </c>
      <c r="CE19" s="43">
        <v>-2.2699999999999999E-4</v>
      </c>
      <c r="CF19" s="43">
        <v>-2.9E-5</v>
      </c>
      <c r="CH19" s="30">
        <v>7.5075405880307084E-3</v>
      </c>
      <c r="CI19" s="43">
        <v>-2.5999999999999998E-4</v>
      </c>
      <c r="CJ19" s="43">
        <v>-2.52E-4</v>
      </c>
      <c r="CK19" s="43">
        <v>-1.7799999999999999E-4</v>
      </c>
      <c r="CL19" s="30">
        <v>8.189944221364041E-3</v>
      </c>
      <c r="CM19" s="43">
        <v>-2.6400000000000002E-4</v>
      </c>
      <c r="CN19" s="43">
        <v>-2.5500000000000002E-4</v>
      </c>
      <c r="CO19" s="43">
        <v>-1.74E-4</v>
      </c>
      <c r="CQ19" s="30">
        <v>7.5075405880307084E-3</v>
      </c>
      <c r="CR19" s="43">
        <v>-2.14E-4</v>
      </c>
      <c r="CS19" s="43">
        <v>-2.14E-4</v>
      </c>
      <c r="CT19" s="43">
        <v>-2.1000000000000001E-4</v>
      </c>
      <c r="CU19" s="30">
        <v>8.189944221364041E-3</v>
      </c>
      <c r="CV19" s="43">
        <v>-2.14E-4</v>
      </c>
      <c r="CW19" s="43">
        <v>-2.14E-4</v>
      </c>
      <c r="CX19" s="43">
        <v>-2.1000000000000001E-4</v>
      </c>
    </row>
    <row r="20" spans="2:102" x14ac:dyDescent="0.25">
      <c r="H20" s="2">
        <v>4.0945338221364043E-2</v>
      </c>
      <c r="I20" s="1">
        <v>-2.5000000000000001E-3</v>
      </c>
      <c r="J20" s="2">
        <v>0.2001720772580908</v>
      </c>
      <c r="K20" s="1"/>
      <c r="N20" s="30">
        <v>8.1899446213640412E-3</v>
      </c>
      <c r="O20" s="43">
        <v>-2.4399999999999999E-4</v>
      </c>
      <c r="P20" s="43">
        <v>-2.31E-4</v>
      </c>
      <c r="Q20" s="43">
        <v>-1.07E-4</v>
      </c>
      <c r="R20" s="30">
        <v>9.0088290213640402E-3</v>
      </c>
      <c r="S20" s="43">
        <v>-2.4800000000000001E-4</v>
      </c>
      <c r="T20" s="43">
        <v>-2.34E-4</v>
      </c>
      <c r="U20" s="43">
        <v>-1.02E-4</v>
      </c>
      <c r="W20" s="30">
        <v>8.1899446213640412E-3</v>
      </c>
      <c r="X20" s="43">
        <v>-3.5199999999999999E-4</v>
      </c>
      <c r="Y20" s="43">
        <v>-3.2000000000000003E-4</v>
      </c>
      <c r="Z20" s="43">
        <v>-1.5E-5</v>
      </c>
      <c r="AA20" s="30">
        <v>9.0088290213640402E-3</v>
      </c>
      <c r="AB20" s="43">
        <v>-3.5199999999999999E-4</v>
      </c>
      <c r="AC20" s="43">
        <v>-3.2000000000000003E-4</v>
      </c>
      <c r="AD20" s="43">
        <v>-1.4E-5</v>
      </c>
      <c r="AF20" s="30">
        <v>8.1899446213640412E-3</v>
      </c>
      <c r="AG20" s="43">
        <v>-3.0600000000000001E-4</v>
      </c>
      <c r="AH20" s="43">
        <v>-3.0600000000000001E-4</v>
      </c>
      <c r="AI20" s="43">
        <v>-1.22E-4</v>
      </c>
      <c r="AJ20" s="30">
        <v>9.0088290213640402E-3</v>
      </c>
      <c r="AK20" s="43">
        <v>-3.1500000000000001E-4</v>
      </c>
      <c r="AL20" s="43">
        <v>-3.1599999999999998E-4</v>
      </c>
      <c r="AM20" s="43">
        <v>-1.13E-4</v>
      </c>
      <c r="AO20" s="30">
        <v>8.1899446213640412E-3</v>
      </c>
      <c r="AP20" s="43">
        <v>-2.4499999999999999E-4</v>
      </c>
      <c r="AQ20" s="43">
        <v>-2.4399999999999999E-4</v>
      </c>
      <c r="AR20" s="43">
        <v>-1.7799999999999999E-4</v>
      </c>
      <c r="AS20" s="30">
        <v>9.0088290213640402E-3</v>
      </c>
      <c r="AT20" s="43">
        <v>-2.4800000000000001E-4</v>
      </c>
      <c r="AU20" s="43">
        <v>-2.4800000000000001E-4</v>
      </c>
      <c r="AV20" s="43">
        <v>-1.75E-4</v>
      </c>
      <c r="AX20" s="30">
        <v>8.1899446213640412E-3</v>
      </c>
      <c r="AY20" s="43">
        <v>-3.0800000000000001E-4</v>
      </c>
      <c r="AZ20" s="43">
        <v>-3.0800000000000001E-4</v>
      </c>
      <c r="BA20" s="43">
        <v>-1.21E-4</v>
      </c>
      <c r="BB20" s="30">
        <v>9.0088290213640402E-3</v>
      </c>
      <c r="BC20" s="43">
        <v>-3.1700000000000001E-4</v>
      </c>
      <c r="BD20" s="43">
        <v>-3.1700000000000001E-4</v>
      </c>
      <c r="BE20" s="43">
        <v>-1.12E-4</v>
      </c>
      <c r="BG20" s="30">
        <v>8.1899446213640412E-3</v>
      </c>
      <c r="BH20" s="43">
        <v>-2.42E-4</v>
      </c>
      <c r="BI20" s="43">
        <v>-2.42E-4</v>
      </c>
      <c r="BJ20" s="43">
        <v>-1.8100000000000001E-4</v>
      </c>
      <c r="BK20" s="30">
        <v>9.0088290213640402E-3</v>
      </c>
      <c r="BL20" s="43">
        <v>-2.4499999999999999E-4</v>
      </c>
      <c r="BM20" s="43">
        <v>-2.4499999999999999E-4</v>
      </c>
      <c r="BN20" s="43">
        <v>-1.7799999999999999E-4</v>
      </c>
      <c r="BP20" s="30">
        <v>8.1899446213640412E-3</v>
      </c>
      <c r="BQ20" s="43">
        <v>-2.6699999999999998E-4</v>
      </c>
      <c r="BR20" s="43">
        <v>-2.5900000000000001E-4</v>
      </c>
      <c r="BS20" s="43">
        <v>-1.9999999999999999E-6</v>
      </c>
      <c r="BT20" s="30">
        <v>9.0088290213640402E-3</v>
      </c>
      <c r="BU20" s="43">
        <v>-2.7599999999999999E-4</v>
      </c>
      <c r="BV20" s="43">
        <v>-2.6800000000000001E-4</v>
      </c>
      <c r="BW20" s="43">
        <v>6.9999999999999999E-6</v>
      </c>
      <c r="BY20" s="30">
        <v>8.1899446213640412E-3</v>
      </c>
      <c r="BZ20" s="43">
        <v>-2.42E-4</v>
      </c>
      <c r="CA20" s="43">
        <v>-2.2699999999999999E-4</v>
      </c>
      <c r="CB20" s="43">
        <v>-2.9E-5</v>
      </c>
      <c r="CC20" s="30">
        <v>9.0088290213640402E-3</v>
      </c>
      <c r="CD20" s="43">
        <v>-2.4600000000000002E-4</v>
      </c>
      <c r="CE20" s="43">
        <v>-2.31E-4</v>
      </c>
      <c r="CF20" s="43">
        <v>-2.5999999999999998E-5</v>
      </c>
      <c r="CH20" s="30">
        <v>8.1899446213640412E-3</v>
      </c>
      <c r="CI20" s="43">
        <v>-2.6400000000000002E-4</v>
      </c>
      <c r="CJ20" s="43">
        <v>-2.5500000000000002E-4</v>
      </c>
      <c r="CK20" s="43">
        <v>-1.74E-4</v>
      </c>
      <c r="CL20" s="30">
        <v>9.0088290213640402E-3</v>
      </c>
      <c r="CM20" s="43">
        <v>-2.6899999999999998E-4</v>
      </c>
      <c r="CN20" s="43">
        <v>-2.5900000000000001E-4</v>
      </c>
      <c r="CO20" s="43">
        <v>-1.7000000000000001E-4</v>
      </c>
      <c r="CQ20" s="30">
        <v>8.1899446213640412E-3</v>
      </c>
      <c r="CR20" s="43">
        <v>-2.14E-4</v>
      </c>
      <c r="CS20" s="43">
        <v>-2.14E-4</v>
      </c>
      <c r="CT20" s="43">
        <v>-2.1000000000000001E-4</v>
      </c>
      <c r="CU20" s="30">
        <v>9.0088290213640402E-3</v>
      </c>
      <c r="CV20" s="43">
        <v>-2.14E-4</v>
      </c>
      <c r="CW20" s="43">
        <v>-2.14E-4</v>
      </c>
      <c r="CX20" s="43">
        <v>-2.1000000000000001E-4</v>
      </c>
    </row>
    <row r="21" spans="2:102" x14ac:dyDescent="0.25">
      <c r="H21" s="73" t="s">
        <v>85</v>
      </c>
      <c r="I21" s="73"/>
      <c r="J21" s="73" t="s">
        <v>85</v>
      </c>
      <c r="K21" s="73"/>
      <c r="N21" s="30">
        <v>8.8723486546973748E-3</v>
      </c>
      <c r="O21" s="43">
        <v>-2.4699999999999999E-4</v>
      </c>
      <c r="P21" s="43">
        <v>-2.34E-4</v>
      </c>
      <c r="Q21" s="43">
        <v>-1.03E-4</v>
      </c>
      <c r="R21" s="30">
        <v>9.8277138213640394E-3</v>
      </c>
      <c r="S21" s="43">
        <v>-2.52E-4</v>
      </c>
      <c r="T21" s="43">
        <v>-2.3699999999999999E-4</v>
      </c>
      <c r="U21" s="43">
        <v>-9.7999999999999997E-5</v>
      </c>
      <c r="W21" s="30">
        <v>8.8723486546973748E-3</v>
      </c>
      <c r="X21" s="43">
        <v>-3.5199999999999999E-4</v>
      </c>
      <c r="Y21" s="43">
        <v>-3.2000000000000003E-4</v>
      </c>
      <c r="Z21" s="43">
        <v>-1.4E-5</v>
      </c>
      <c r="AA21" s="30">
        <v>9.8277138213640394E-3</v>
      </c>
      <c r="AB21" s="43">
        <v>-3.5100000000000002E-4</v>
      </c>
      <c r="AC21" s="43">
        <v>-3.19E-4</v>
      </c>
      <c r="AD21" s="43">
        <v>-1.2999999999999999E-5</v>
      </c>
      <c r="AF21" s="30">
        <v>8.8723486546973748E-3</v>
      </c>
      <c r="AG21" s="43">
        <v>-3.1399999999999999E-4</v>
      </c>
      <c r="AH21" s="43">
        <v>-3.1399999999999999E-4</v>
      </c>
      <c r="AI21" s="43">
        <v>-1.15E-4</v>
      </c>
      <c r="AJ21" s="30">
        <v>9.8277138213640394E-3</v>
      </c>
      <c r="AK21" s="43">
        <v>-3.2499999999999999E-4</v>
      </c>
      <c r="AL21" s="43">
        <v>-3.2499999999999999E-4</v>
      </c>
      <c r="AM21" s="43">
        <v>-1.0399999999999999E-4</v>
      </c>
      <c r="AO21" s="30">
        <v>8.8723486546973748E-3</v>
      </c>
      <c r="AP21" s="43">
        <v>-2.4699999999999999E-4</v>
      </c>
      <c r="AQ21" s="43">
        <v>-2.4699999999999999E-4</v>
      </c>
      <c r="AR21" s="43">
        <v>-1.76E-4</v>
      </c>
      <c r="AS21" s="30">
        <v>9.8277138213640394E-3</v>
      </c>
      <c r="AT21" s="43">
        <v>-2.5099999999999998E-4</v>
      </c>
      <c r="AU21" s="43">
        <v>-2.5099999999999998E-4</v>
      </c>
      <c r="AV21" s="43">
        <v>-1.7200000000000001E-4</v>
      </c>
      <c r="AX21" s="30">
        <v>8.8723486546973748E-3</v>
      </c>
      <c r="AY21" s="43">
        <v>-3.1500000000000001E-4</v>
      </c>
      <c r="AZ21" s="43">
        <v>-3.1599999999999998E-4</v>
      </c>
      <c r="BA21" s="43">
        <v>-1.1400000000000001E-4</v>
      </c>
      <c r="BB21" s="30">
        <v>9.8277138213640394E-3</v>
      </c>
      <c r="BC21" s="43">
        <v>-3.2600000000000001E-4</v>
      </c>
      <c r="BD21" s="43">
        <v>-3.2699999999999998E-4</v>
      </c>
      <c r="BE21" s="43">
        <v>-1.03E-4</v>
      </c>
      <c r="BG21" s="30">
        <v>8.8723486546973748E-3</v>
      </c>
      <c r="BH21" s="43">
        <v>-2.4499999999999999E-4</v>
      </c>
      <c r="BI21" s="43">
        <v>-2.4499999999999999E-4</v>
      </c>
      <c r="BJ21" s="43">
        <v>-1.7899999999999999E-4</v>
      </c>
      <c r="BK21" s="30">
        <v>9.8277138213640394E-3</v>
      </c>
      <c r="BL21" s="43">
        <v>-2.4800000000000001E-4</v>
      </c>
      <c r="BM21" s="43">
        <v>-2.4800000000000001E-4</v>
      </c>
      <c r="BN21" s="43">
        <v>-1.75E-4</v>
      </c>
      <c r="BP21" s="30">
        <v>8.8723486546973748E-3</v>
      </c>
      <c r="BQ21" s="43">
        <v>-2.7500000000000002E-4</v>
      </c>
      <c r="BR21" s="43">
        <v>-2.6600000000000001E-4</v>
      </c>
      <c r="BS21" s="43">
        <v>5.0000000000000004E-6</v>
      </c>
      <c r="BT21" s="30">
        <v>9.8277138213640394E-3</v>
      </c>
      <c r="BU21" s="43">
        <v>-2.8499999999999999E-4</v>
      </c>
      <c r="BV21" s="43">
        <v>-2.7700000000000001E-4</v>
      </c>
      <c r="BW21" s="43">
        <v>1.5999999999999999E-5</v>
      </c>
      <c r="BY21" s="30">
        <v>8.8723486546973748E-3</v>
      </c>
      <c r="BZ21" s="43">
        <v>-2.4499999999999999E-4</v>
      </c>
      <c r="CA21" s="43">
        <v>-2.3000000000000001E-4</v>
      </c>
      <c r="CB21" s="43">
        <v>-2.6999999999999999E-5</v>
      </c>
      <c r="CC21" s="30">
        <v>9.8277138213640394E-3</v>
      </c>
      <c r="CD21" s="43">
        <v>-2.4899999999999998E-4</v>
      </c>
      <c r="CE21" s="43">
        <v>-2.34E-4</v>
      </c>
      <c r="CF21" s="43">
        <v>-2.3E-5</v>
      </c>
      <c r="CH21" s="30">
        <v>8.8723486546973748E-3</v>
      </c>
      <c r="CI21" s="43">
        <v>-2.6800000000000001E-4</v>
      </c>
      <c r="CJ21" s="43">
        <v>-2.5799999999999998E-4</v>
      </c>
      <c r="CK21" s="43">
        <v>-1.7100000000000001E-4</v>
      </c>
      <c r="CL21" s="30">
        <v>9.8277138213640394E-3</v>
      </c>
      <c r="CM21" s="43">
        <v>-2.7399999999999999E-4</v>
      </c>
      <c r="CN21" s="43">
        <v>-2.63E-4</v>
      </c>
      <c r="CO21" s="43">
        <v>-1.6699999999999999E-4</v>
      </c>
      <c r="CQ21" s="30">
        <v>8.8723486546973748E-3</v>
      </c>
      <c r="CR21" s="43">
        <v>-2.14E-4</v>
      </c>
      <c r="CS21" s="43">
        <v>-2.14E-4</v>
      </c>
      <c r="CT21" s="43">
        <v>-2.1000000000000001E-4</v>
      </c>
      <c r="CU21" s="30">
        <v>9.8277138213640394E-3</v>
      </c>
      <c r="CV21" s="43">
        <v>-2.14E-4</v>
      </c>
      <c r="CW21" s="43">
        <v>-2.14E-4</v>
      </c>
      <c r="CX21" s="43">
        <v>-2.1000000000000001E-4</v>
      </c>
    </row>
    <row r="22" spans="2:102" x14ac:dyDescent="0.25">
      <c r="H22" s="2">
        <v>0</v>
      </c>
      <c r="I22" s="1">
        <v>-9.8528304427183775E-3</v>
      </c>
      <c r="J22" s="2">
        <v>0</v>
      </c>
      <c r="K22" s="1"/>
      <c r="N22" s="30">
        <v>9.5547526880307068E-3</v>
      </c>
      <c r="O22" s="43">
        <v>-2.5000000000000001E-4</v>
      </c>
      <c r="P22" s="43">
        <v>-2.3599999999999999E-4</v>
      </c>
      <c r="Q22" s="43">
        <v>-9.8999999999999994E-5</v>
      </c>
      <c r="R22" s="30">
        <v>1.0646598621364039E-2</v>
      </c>
      <c r="S22" s="43">
        <v>-2.5599999999999999E-4</v>
      </c>
      <c r="T22" s="43">
        <v>-2.4000000000000001E-4</v>
      </c>
      <c r="U22" s="43">
        <v>-9.3999999999999994E-5</v>
      </c>
      <c r="W22" s="30">
        <v>9.5547526880307068E-3</v>
      </c>
      <c r="X22" s="43">
        <v>-3.5100000000000002E-4</v>
      </c>
      <c r="Y22" s="43">
        <v>-3.19E-4</v>
      </c>
      <c r="Z22" s="43">
        <v>-1.4E-5</v>
      </c>
      <c r="AA22" s="30">
        <v>1.0646598621364039E-2</v>
      </c>
      <c r="AB22" s="43">
        <v>-3.5100000000000002E-4</v>
      </c>
      <c r="AC22" s="43">
        <v>-3.19E-4</v>
      </c>
      <c r="AD22" s="43">
        <v>-1.2999999999999999E-5</v>
      </c>
      <c r="AF22" s="30">
        <v>9.5547526880307068E-3</v>
      </c>
      <c r="AG22" s="43">
        <v>-3.21E-4</v>
      </c>
      <c r="AH22" s="43">
        <v>-3.2200000000000002E-4</v>
      </c>
      <c r="AI22" s="43">
        <v>-1.07E-4</v>
      </c>
      <c r="AJ22" s="30">
        <v>1.0646598621364039E-2</v>
      </c>
      <c r="AK22" s="43">
        <v>-3.3399999999999999E-4</v>
      </c>
      <c r="AL22" s="43">
        <v>-3.3399999999999999E-4</v>
      </c>
      <c r="AM22" s="43">
        <v>-9.5000000000000005E-5</v>
      </c>
      <c r="AO22" s="30">
        <v>9.5547526880307068E-3</v>
      </c>
      <c r="AP22" s="43">
        <v>-2.5000000000000001E-4</v>
      </c>
      <c r="AQ22" s="43">
        <v>-2.5000000000000001E-4</v>
      </c>
      <c r="AR22" s="43">
        <v>-1.73E-4</v>
      </c>
      <c r="AS22" s="30">
        <v>1.0646598621364039E-2</v>
      </c>
      <c r="AT22" s="43">
        <v>-2.5399999999999999E-4</v>
      </c>
      <c r="AU22" s="43">
        <v>-2.5399999999999999E-4</v>
      </c>
      <c r="AV22" s="43">
        <v>-1.6899999999999999E-4</v>
      </c>
      <c r="AX22" s="30">
        <v>9.5547526880307068E-3</v>
      </c>
      <c r="AY22" s="43">
        <v>-3.2299999999999999E-4</v>
      </c>
      <c r="AZ22" s="43">
        <v>-3.2400000000000001E-4</v>
      </c>
      <c r="BA22" s="43">
        <v>-1.06E-4</v>
      </c>
      <c r="BB22" s="30">
        <v>1.0646598621364039E-2</v>
      </c>
      <c r="BC22" s="43">
        <v>-3.3599999999999998E-4</v>
      </c>
      <c r="BD22" s="43">
        <v>-3.3599999999999998E-4</v>
      </c>
      <c r="BE22" s="43">
        <v>-9.3999999999999994E-5</v>
      </c>
      <c r="BG22" s="30">
        <v>9.5547526880307068E-3</v>
      </c>
      <c r="BH22" s="43">
        <v>-2.4699999999999999E-4</v>
      </c>
      <c r="BI22" s="43">
        <v>-2.4699999999999999E-4</v>
      </c>
      <c r="BJ22" s="43">
        <v>-1.76E-4</v>
      </c>
      <c r="BK22" s="30">
        <v>1.0646598621364039E-2</v>
      </c>
      <c r="BL22" s="43">
        <v>-2.52E-4</v>
      </c>
      <c r="BM22" s="43">
        <v>-2.5099999999999998E-4</v>
      </c>
      <c r="BN22" s="43">
        <v>-1.7200000000000001E-4</v>
      </c>
      <c r="BP22" s="30">
        <v>9.5547526880307068E-3</v>
      </c>
      <c r="BQ22" s="43">
        <v>-2.8200000000000002E-4</v>
      </c>
      <c r="BR22" s="43">
        <v>-2.7399999999999999E-4</v>
      </c>
      <c r="BS22" s="43">
        <v>1.2999999999999999E-5</v>
      </c>
      <c r="BT22" s="30">
        <v>1.0646598621364039E-2</v>
      </c>
      <c r="BU22" s="43">
        <v>-2.9500000000000001E-4</v>
      </c>
      <c r="BV22" s="43">
        <v>-2.8600000000000001E-4</v>
      </c>
      <c r="BW22" s="43">
        <v>2.5000000000000001E-5</v>
      </c>
      <c r="BY22" s="30">
        <v>9.5547526880307068E-3</v>
      </c>
      <c r="BZ22" s="43">
        <v>-2.4800000000000001E-4</v>
      </c>
      <c r="CA22" s="43">
        <v>-2.33E-4</v>
      </c>
      <c r="CB22" s="43">
        <v>-2.4000000000000001E-5</v>
      </c>
      <c r="CC22" s="30">
        <v>1.0646598621364039E-2</v>
      </c>
      <c r="CD22" s="43">
        <v>-2.52E-4</v>
      </c>
      <c r="CE22" s="43">
        <v>-2.3699999999999999E-4</v>
      </c>
      <c r="CF22" s="43">
        <v>-2.0000000000000002E-5</v>
      </c>
      <c r="CH22" s="30">
        <v>9.5547526880307068E-3</v>
      </c>
      <c r="CI22" s="43">
        <v>-2.72E-4</v>
      </c>
      <c r="CJ22" s="43">
        <v>-2.61E-4</v>
      </c>
      <c r="CK22" s="43">
        <v>-1.6799999999999999E-4</v>
      </c>
      <c r="CL22" s="30">
        <v>1.0646598621364039E-2</v>
      </c>
      <c r="CM22" s="43">
        <v>-2.7900000000000001E-4</v>
      </c>
      <c r="CN22" s="43">
        <v>-2.6699999999999998E-4</v>
      </c>
      <c r="CO22" s="43">
        <v>-1.63E-4</v>
      </c>
      <c r="CQ22" s="30">
        <v>9.5547526880307068E-3</v>
      </c>
      <c r="CR22" s="43">
        <v>-2.14E-4</v>
      </c>
      <c r="CS22" s="43">
        <v>-2.14E-4</v>
      </c>
      <c r="CT22" s="43">
        <v>-2.1000000000000001E-4</v>
      </c>
      <c r="CU22" s="30">
        <v>1.0646598621364039E-2</v>
      </c>
      <c r="CV22" s="43">
        <v>-2.14E-4</v>
      </c>
      <c r="CW22" s="43">
        <v>-2.14E-4</v>
      </c>
      <c r="CX22" s="43">
        <v>-2.1000000000000001E-4</v>
      </c>
    </row>
    <row r="23" spans="2:102" x14ac:dyDescent="0.25">
      <c r="H23" s="2">
        <v>4.0945338221364043E-2</v>
      </c>
      <c r="I23" s="1">
        <v>-9.8528304427183775E-3</v>
      </c>
      <c r="J23" s="2">
        <v>0.2001720772580908</v>
      </c>
      <c r="K23" s="1"/>
      <c r="N23" s="30">
        <v>1.0237156721364039E-2</v>
      </c>
      <c r="O23" s="43">
        <v>-2.5399999999999999E-4</v>
      </c>
      <c r="P23" s="43">
        <v>-2.3900000000000001E-4</v>
      </c>
      <c r="Q23" s="43">
        <v>-9.6000000000000002E-5</v>
      </c>
      <c r="R23" s="30">
        <v>1.1465483421364038E-2</v>
      </c>
      <c r="S23" s="43">
        <v>-2.5999999999999998E-4</v>
      </c>
      <c r="T23" s="43">
        <v>-2.43E-4</v>
      </c>
      <c r="U23" s="43">
        <v>-8.8999999999999995E-5</v>
      </c>
      <c r="W23" s="30">
        <v>1.0237156721364039E-2</v>
      </c>
      <c r="X23" s="43">
        <v>-3.5100000000000002E-4</v>
      </c>
      <c r="Y23" s="43">
        <v>-3.19E-4</v>
      </c>
      <c r="Z23" s="43">
        <v>-1.2999999999999999E-5</v>
      </c>
      <c r="AA23" s="30">
        <v>1.1465483421364038E-2</v>
      </c>
      <c r="AB23" s="43">
        <v>-3.5E-4</v>
      </c>
      <c r="AC23" s="43">
        <v>-3.1799999999999998E-4</v>
      </c>
      <c r="AD23" s="43">
        <v>-1.2E-5</v>
      </c>
      <c r="AF23" s="30">
        <v>1.0237156721364039E-2</v>
      </c>
      <c r="AG23" s="43">
        <v>-3.2899999999999997E-4</v>
      </c>
      <c r="AH23" s="43">
        <v>-3.3E-4</v>
      </c>
      <c r="AI23" s="43">
        <v>-9.8999999999999994E-5</v>
      </c>
      <c r="AJ23" s="30">
        <v>1.1465483421364038E-2</v>
      </c>
      <c r="AK23" s="43">
        <v>-3.4299999999999999E-4</v>
      </c>
      <c r="AL23" s="43">
        <v>-3.4400000000000001E-4</v>
      </c>
      <c r="AM23" s="43">
        <v>-8.6000000000000003E-5</v>
      </c>
      <c r="AO23" s="30">
        <v>1.0237156721364039E-2</v>
      </c>
      <c r="AP23" s="43">
        <v>-2.52E-4</v>
      </c>
      <c r="AQ23" s="43">
        <v>-2.52E-4</v>
      </c>
      <c r="AR23" s="43">
        <v>-1.7100000000000001E-4</v>
      </c>
      <c r="AS23" s="30">
        <v>1.1465483421364038E-2</v>
      </c>
      <c r="AT23" s="43">
        <v>-2.5700000000000001E-4</v>
      </c>
      <c r="AU23" s="43">
        <v>-2.5700000000000001E-4</v>
      </c>
      <c r="AV23" s="43">
        <v>-1.66E-4</v>
      </c>
      <c r="AX23" s="30">
        <v>1.0237156721364039E-2</v>
      </c>
      <c r="AY23" s="43">
        <v>-3.3100000000000002E-4</v>
      </c>
      <c r="AZ23" s="43">
        <v>-3.3100000000000002E-4</v>
      </c>
      <c r="BA23" s="43">
        <v>-9.8999999999999994E-5</v>
      </c>
      <c r="BB23" s="30">
        <v>1.1465483421364038E-2</v>
      </c>
      <c r="BC23" s="43">
        <v>-3.4499999999999998E-4</v>
      </c>
      <c r="BD23" s="43">
        <v>-3.4499999999999998E-4</v>
      </c>
      <c r="BE23" s="43">
        <v>-8.5000000000000006E-5</v>
      </c>
      <c r="BG23" s="30">
        <v>1.0237156721364039E-2</v>
      </c>
      <c r="BH23" s="43">
        <v>-2.5000000000000001E-4</v>
      </c>
      <c r="BI23" s="43">
        <v>-2.5000000000000001E-4</v>
      </c>
      <c r="BJ23" s="43">
        <v>-1.74E-4</v>
      </c>
      <c r="BK23" s="30">
        <v>1.1465483421364038E-2</v>
      </c>
      <c r="BL23" s="43">
        <v>-2.5500000000000002E-4</v>
      </c>
      <c r="BM23" s="43">
        <v>-2.5500000000000002E-4</v>
      </c>
      <c r="BN23" s="43">
        <v>-1.6899999999999999E-4</v>
      </c>
      <c r="BP23" s="30">
        <v>1.0237156721364039E-2</v>
      </c>
      <c r="BQ23" s="43">
        <v>-2.9E-4</v>
      </c>
      <c r="BR23" s="43">
        <v>-2.8200000000000002E-4</v>
      </c>
      <c r="BS23" s="43">
        <v>2.0000000000000002E-5</v>
      </c>
      <c r="BT23" s="30">
        <v>1.1465483421364038E-2</v>
      </c>
      <c r="BU23" s="43">
        <v>-3.0400000000000002E-4</v>
      </c>
      <c r="BV23" s="43">
        <v>-2.9500000000000001E-4</v>
      </c>
      <c r="BW23" s="43">
        <v>3.4E-5</v>
      </c>
      <c r="BY23" s="30">
        <v>1.0237156721364039E-2</v>
      </c>
      <c r="BZ23" s="43">
        <v>-2.5099999999999998E-4</v>
      </c>
      <c r="CA23" s="43">
        <v>-2.3599999999999999E-4</v>
      </c>
      <c r="CB23" s="43">
        <v>-2.0999999999999999E-5</v>
      </c>
      <c r="CC23" s="30">
        <v>1.1465483421364038E-2</v>
      </c>
      <c r="CD23" s="43">
        <v>-2.5599999999999999E-4</v>
      </c>
      <c r="CE23" s="43">
        <v>-2.4000000000000001E-4</v>
      </c>
      <c r="CF23" s="43">
        <v>-1.7E-5</v>
      </c>
      <c r="CH23" s="30">
        <v>1.0237156721364039E-2</v>
      </c>
      <c r="CI23" s="43">
        <v>-2.7599999999999999E-4</v>
      </c>
      <c r="CJ23" s="43">
        <v>-2.6499999999999999E-4</v>
      </c>
      <c r="CK23" s="43">
        <v>-1.65E-4</v>
      </c>
      <c r="CL23" s="30">
        <v>1.1465483421364038E-2</v>
      </c>
      <c r="CM23" s="43">
        <v>-2.8400000000000002E-4</v>
      </c>
      <c r="CN23" s="43">
        <v>-2.7099999999999997E-4</v>
      </c>
      <c r="CO23" s="43">
        <v>-1.5899999999999999E-4</v>
      </c>
      <c r="CQ23" s="30">
        <v>1.0237156721364039E-2</v>
      </c>
      <c r="CR23" s="43">
        <v>-2.14E-4</v>
      </c>
      <c r="CS23" s="43">
        <v>-2.14E-4</v>
      </c>
      <c r="CT23" s="43">
        <v>-2.1000000000000001E-4</v>
      </c>
      <c r="CU23" s="30">
        <v>1.1465483421364038E-2</v>
      </c>
      <c r="CV23" s="43">
        <v>-2.14E-4</v>
      </c>
      <c r="CW23" s="43">
        <v>-2.14E-4</v>
      </c>
      <c r="CX23" s="43">
        <v>-2.1000000000000001E-4</v>
      </c>
    </row>
    <row r="24" spans="2:102" x14ac:dyDescent="0.25">
      <c r="H24" s="73" t="s">
        <v>86</v>
      </c>
      <c r="I24" s="73"/>
      <c r="J24" s="73" t="s">
        <v>86</v>
      </c>
      <c r="K24" s="73"/>
      <c r="N24" s="30">
        <v>1.0919560754697372E-2</v>
      </c>
      <c r="O24" s="43">
        <v>-2.5700000000000001E-4</v>
      </c>
      <c r="P24" s="43">
        <v>-2.41E-4</v>
      </c>
      <c r="Q24" s="43">
        <v>-9.2E-5</v>
      </c>
      <c r="R24" s="30">
        <v>1.2284368221364037E-2</v>
      </c>
      <c r="S24" s="43">
        <v>-2.63E-4</v>
      </c>
      <c r="T24" s="43">
        <v>-2.4699999999999999E-4</v>
      </c>
      <c r="U24" s="43">
        <v>-8.5000000000000006E-5</v>
      </c>
      <c r="W24" s="30">
        <v>1.0919560754697372E-2</v>
      </c>
      <c r="X24" s="43">
        <v>-3.5E-4</v>
      </c>
      <c r="Y24" s="43">
        <v>-3.19E-4</v>
      </c>
      <c r="Z24" s="43">
        <v>-1.2E-5</v>
      </c>
      <c r="AA24" s="30">
        <v>1.2284368221364037E-2</v>
      </c>
      <c r="AB24" s="43">
        <v>-3.5E-4</v>
      </c>
      <c r="AC24" s="43">
        <v>-3.1799999999999998E-4</v>
      </c>
      <c r="AD24" s="43">
        <v>-1.1E-5</v>
      </c>
      <c r="AF24" s="30">
        <v>1.0919560754697372E-2</v>
      </c>
      <c r="AG24" s="43">
        <v>-3.3700000000000001E-4</v>
      </c>
      <c r="AH24" s="43">
        <v>-3.3700000000000001E-4</v>
      </c>
      <c r="AI24" s="43">
        <v>-9.2E-5</v>
      </c>
      <c r="AJ24" s="30">
        <v>1.2284368221364037E-2</v>
      </c>
      <c r="AK24" s="43">
        <v>-3.5199999999999999E-4</v>
      </c>
      <c r="AL24" s="43">
        <v>-3.5300000000000002E-4</v>
      </c>
      <c r="AM24" s="43">
        <v>-7.7000000000000001E-5</v>
      </c>
      <c r="AO24" s="30">
        <v>1.0919560754697372E-2</v>
      </c>
      <c r="AP24" s="43">
        <v>-2.5500000000000002E-4</v>
      </c>
      <c r="AQ24" s="43">
        <v>-2.5500000000000002E-4</v>
      </c>
      <c r="AR24" s="43">
        <v>-1.6799999999999999E-4</v>
      </c>
      <c r="AS24" s="30">
        <v>1.2284368221364037E-2</v>
      </c>
      <c r="AT24" s="43">
        <v>-2.5999999999999998E-4</v>
      </c>
      <c r="AU24" s="43">
        <v>-2.5999999999999998E-4</v>
      </c>
      <c r="AV24" s="43">
        <v>-1.63E-4</v>
      </c>
      <c r="AX24" s="30">
        <v>1.0919560754697372E-2</v>
      </c>
      <c r="AY24" s="43">
        <v>-3.39E-4</v>
      </c>
      <c r="AZ24" s="43">
        <v>-3.39E-4</v>
      </c>
      <c r="BA24" s="43">
        <v>-9.1000000000000003E-5</v>
      </c>
      <c r="BB24" s="30">
        <v>1.2284368221364037E-2</v>
      </c>
      <c r="BC24" s="43">
        <v>-3.5399999999999999E-4</v>
      </c>
      <c r="BD24" s="43">
        <v>-3.5500000000000001E-4</v>
      </c>
      <c r="BE24" s="43">
        <v>-7.6000000000000004E-5</v>
      </c>
      <c r="BG24" s="30">
        <v>1.0919560754697372E-2</v>
      </c>
      <c r="BH24" s="43">
        <v>-2.5300000000000002E-4</v>
      </c>
      <c r="BI24" s="43">
        <v>-2.5300000000000002E-4</v>
      </c>
      <c r="BJ24" s="43">
        <v>-1.7100000000000001E-4</v>
      </c>
      <c r="BK24" s="30">
        <v>1.2284368221364037E-2</v>
      </c>
      <c r="BL24" s="43">
        <v>-2.5799999999999998E-4</v>
      </c>
      <c r="BM24" s="43">
        <v>-2.5799999999999998E-4</v>
      </c>
      <c r="BN24" s="43">
        <v>-1.66E-4</v>
      </c>
      <c r="BP24" s="30">
        <v>1.0919560754697372E-2</v>
      </c>
      <c r="BQ24" s="43">
        <v>-2.9799999999999998E-4</v>
      </c>
      <c r="BR24" s="43">
        <v>-2.8899999999999998E-4</v>
      </c>
      <c r="BS24" s="43">
        <v>2.8E-5</v>
      </c>
      <c r="BT24" s="30">
        <v>1.2284368221364037E-2</v>
      </c>
      <c r="BU24" s="43">
        <v>-3.1300000000000002E-4</v>
      </c>
      <c r="BV24" s="43">
        <v>-3.0499999999999999E-4</v>
      </c>
      <c r="BW24" s="43">
        <v>4.3000000000000002E-5</v>
      </c>
      <c r="BY24" s="30">
        <v>1.0919560754697372E-2</v>
      </c>
      <c r="BZ24" s="43">
        <v>-2.5399999999999999E-4</v>
      </c>
      <c r="CA24" s="43">
        <v>-2.3800000000000001E-4</v>
      </c>
      <c r="CB24" s="43">
        <v>-1.9000000000000001E-5</v>
      </c>
      <c r="CC24" s="30">
        <v>1.2284368221364037E-2</v>
      </c>
      <c r="CD24" s="43">
        <v>-2.5900000000000001E-4</v>
      </c>
      <c r="CE24" s="43">
        <v>-2.4399999999999999E-4</v>
      </c>
      <c r="CF24" s="43">
        <v>-1.2999999999999999E-5</v>
      </c>
      <c r="CH24" s="30">
        <v>1.0919560754697372E-2</v>
      </c>
      <c r="CI24" s="43">
        <v>-2.7999999999999998E-4</v>
      </c>
      <c r="CJ24" s="43">
        <v>-2.6800000000000001E-4</v>
      </c>
      <c r="CK24" s="43">
        <v>-1.6100000000000001E-4</v>
      </c>
      <c r="CL24" s="30">
        <v>1.2284368221364037E-2</v>
      </c>
      <c r="CM24" s="43">
        <v>-2.8800000000000001E-4</v>
      </c>
      <c r="CN24" s="43">
        <v>-2.7500000000000002E-4</v>
      </c>
      <c r="CO24" s="43">
        <v>-1.55E-4</v>
      </c>
      <c r="CQ24" s="30">
        <v>1.0919560754697372E-2</v>
      </c>
      <c r="CR24" s="43">
        <v>-2.14E-4</v>
      </c>
      <c r="CS24" s="43">
        <v>-2.14E-4</v>
      </c>
      <c r="CT24" s="43">
        <v>-2.1000000000000001E-4</v>
      </c>
      <c r="CU24" s="30">
        <v>1.2284368221364037E-2</v>
      </c>
      <c r="CV24" s="43">
        <v>-2.14E-4</v>
      </c>
      <c r="CW24" s="43">
        <v>-2.14E-4</v>
      </c>
      <c r="CX24" s="43">
        <v>-2.1000000000000001E-4</v>
      </c>
    </row>
    <row r="25" spans="2:102" x14ac:dyDescent="0.25">
      <c r="H25" s="2">
        <v>0</v>
      </c>
      <c r="I25" s="1">
        <v>-1.3137107256957837E-2</v>
      </c>
      <c r="J25" s="2">
        <v>0</v>
      </c>
      <c r="K25" s="1"/>
      <c r="N25" s="30">
        <v>1.1601964788030704E-2</v>
      </c>
      <c r="O25" s="43">
        <v>-2.5999999999999998E-4</v>
      </c>
      <c r="P25" s="43">
        <v>-2.4399999999999999E-4</v>
      </c>
      <c r="Q25" s="43">
        <v>-8.8999999999999995E-5</v>
      </c>
      <c r="R25" s="30">
        <v>1.3103253021364036E-2</v>
      </c>
      <c r="S25" s="43">
        <v>-2.6699999999999998E-4</v>
      </c>
      <c r="T25" s="43">
        <v>-2.5000000000000001E-4</v>
      </c>
      <c r="U25" s="43">
        <v>-8.1000000000000004E-5</v>
      </c>
      <c r="W25" s="30">
        <v>1.1601964788030704E-2</v>
      </c>
      <c r="X25" s="43">
        <v>-3.5E-4</v>
      </c>
      <c r="Y25" s="43">
        <v>-3.1799999999999998E-4</v>
      </c>
      <c r="Z25" s="43">
        <v>-1.2E-5</v>
      </c>
      <c r="AA25" s="30">
        <v>1.3103253021364036E-2</v>
      </c>
      <c r="AB25" s="43">
        <v>-3.4900000000000003E-4</v>
      </c>
      <c r="AC25" s="43">
        <v>-3.1700000000000001E-4</v>
      </c>
      <c r="AD25" s="43">
        <v>-1.0000000000000001E-5</v>
      </c>
      <c r="AF25" s="30">
        <v>1.1601964788030704E-2</v>
      </c>
      <c r="AG25" s="43">
        <v>-3.4499999999999998E-4</v>
      </c>
      <c r="AH25" s="43">
        <v>-3.4499999999999998E-4</v>
      </c>
      <c r="AI25" s="43">
        <v>-8.3999999999999995E-5</v>
      </c>
      <c r="AJ25" s="30">
        <v>1.3103253021364036E-2</v>
      </c>
      <c r="AK25" s="43">
        <v>-3.6200000000000002E-4</v>
      </c>
      <c r="AL25" s="43">
        <v>-3.6200000000000002E-4</v>
      </c>
      <c r="AM25" s="43">
        <v>-6.7000000000000002E-5</v>
      </c>
      <c r="AO25" s="30">
        <v>1.1601964788030704E-2</v>
      </c>
      <c r="AP25" s="43">
        <v>-2.5700000000000001E-4</v>
      </c>
      <c r="AQ25" s="43">
        <v>-2.5700000000000001E-4</v>
      </c>
      <c r="AR25" s="43">
        <v>-1.66E-4</v>
      </c>
      <c r="AS25" s="30">
        <v>1.3103253021364036E-2</v>
      </c>
      <c r="AT25" s="43">
        <v>-2.63E-4</v>
      </c>
      <c r="AU25" s="43">
        <v>-2.63E-4</v>
      </c>
      <c r="AV25" s="43">
        <v>-1.6000000000000001E-4</v>
      </c>
      <c r="AX25" s="30">
        <v>1.1601964788030704E-2</v>
      </c>
      <c r="AY25" s="43">
        <v>-3.4699999999999998E-4</v>
      </c>
      <c r="AZ25" s="43">
        <v>-3.4699999999999998E-4</v>
      </c>
      <c r="BA25" s="43">
        <v>-8.2999999999999998E-5</v>
      </c>
      <c r="BB25" s="30">
        <v>1.3103253021364036E-2</v>
      </c>
      <c r="BC25" s="43">
        <v>-3.6400000000000001E-4</v>
      </c>
      <c r="BD25" s="43">
        <v>-3.6400000000000001E-4</v>
      </c>
      <c r="BE25" s="43">
        <v>-6.7000000000000002E-5</v>
      </c>
      <c r="BG25" s="30">
        <v>1.1601964788030704E-2</v>
      </c>
      <c r="BH25" s="43">
        <v>-2.5500000000000002E-4</v>
      </c>
      <c r="BI25" s="43">
        <v>-2.5500000000000002E-4</v>
      </c>
      <c r="BJ25" s="43">
        <v>-1.6899999999999999E-4</v>
      </c>
      <c r="BK25" s="30">
        <v>1.3103253021364036E-2</v>
      </c>
      <c r="BL25" s="43">
        <v>-2.61E-4</v>
      </c>
      <c r="BM25" s="43">
        <v>-2.61E-4</v>
      </c>
      <c r="BN25" s="43">
        <v>-1.63E-4</v>
      </c>
      <c r="BP25" s="30">
        <v>1.1601964788030704E-2</v>
      </c>
      <c r="BQ25" s="43">
        <v>-3.0499999999999999E-4</v>
      </c>
      <c r="BR25" s="43">
        <v>-2.9700000000000001E-4</v>
      </c>
      <c r="BS25" s="43">
        <v>3.4999999999999997E-5</v>
      </c>
      <c r="BT25" s="30">
        <v>1.3103253021364036E-2</v>
      </c>
      <c r="BU25" s="43">
        <v>-3.2200000000000002E-4</v>
      </c>
      <c r="BV25" s="43">
        <v>-3.1399999999999999E-4</v>
      </c>
      <c r="BW25" s="43">
        <v>5.1E-5</v>
      </c>
      <c r="BY25" s="30">
        <v>1.1601964788030704E-2</v>
      </c>
      <c r="BZ25" s="43">
        <v>-2.5599999999999999E-4</v>
      </c>
      <c r="CA25" s="43">
        <v>-2.41E-4</v>
      </c>
      <c r="CB25" s="43">
        <v>-1.5999999999999999E-5</v>
      </c>
      <c r="CC25" s="30">
        <v>1.3103253021364036E-2</v>
      </c>
      <c r="CD25" s="43">
        <v>-2.6200000000000003E-4</v>
      </c>
      <c r="CE25" s="43">
        <v>-2.4699999999999999E-4</v>
      </c>
      <c r="CF25" s="43">
        <v>-1.0000000000000001E-5</v>
      </c>
      <c r="CH25" s="30">
        <v>1.1601964788030704E-2</v>
      </c>
      <c r="CI25" s="43">
        <v>-2.8400000000000002E-4</v>
      </c>
      <c r="CJ25" s="43">
        <v>-2.7099999999999997E-4</v>
      </c>
      <c r="CK25" s="43">
        <v>-1.5799999999999999E-4</v>
      </c>
      <c r="CL25" s="30">
        <v>1.3103253021364036E-2</v>
      </c>
      <c r="CM25" s="43">
        <v>-2.9300000000000002E-4</v>
      </c>
      <c r="CN25" s="43">
        <v>-2.7900000000000001E-4</v>
      </c>
      <c r="CO25" s="43">
        <v>-1.5100000000000001E-4</v>
      </c>
      <c r="CQ25" s="30">
        <v>1.1601964788030704E-2</v>
      </c>
      <c r="CR25" s="43">
        <v>-2.14E-4</v>
      </c>
      <c r="CS25" s="43">
        <v>-2.14E-4</v>
      </c>
      <c r="CT25" s="43">
        <v>-2.1000000000000001E-4</v>
      </c>
      <c r="CU25" s="30">
        <v>1.3103253021364036E-2</v>
      </c>
      <c r="CV25" s="43">
        <v>-2.14E-4</v>
      </c>
      <c r="CW25" s="43">
        <v>-2.14E-4</v>
      </c>
      <c r="CX25" s="43">
        <v>-2.0900000000000001E-4</v>
      </c>
    </row>
    <row r="26" spans="2:102" ht="14.45" customHeight="1" x14ac:dyDescent="0.25">
      <c r="H26" s="2">
        <v>4.0945338221364043E-2</v>
      </c>
      <c r="I26" s="1">
        <v>-1.3137107256957837E-2</v>
      </c>
      <c r="J26" s="2">
        <v>0.2001720772580908</v>
      </c>
      <c r="K26" s="1"/>
      <c r="N26" s="30">
        <v>1.2284368821364038E-2</v>
      </c>
      <c r="O26" s="43">
        <v>-2.63E-4</v>
      </c>
      <c r="P26" s="43">
        <v>-2.4699999999999999E-4</v>
      </c>
      <c r="Q26" s="43">
        <v>-8.5000000000000006E-5</v>
      </c>
      <c r="R26" s="30">
        <v>1.3922137821364035E-2</v>
      </c>
      <c r="S26" s="43">
        <v>-2.7099999999999997E-4</v>
      </c>
      <c r="T26" s="43">
        <v>-2.5300000000000002E-4</v>
      </c>
      <c r="U26" s="43">
        <v>-7.6000000000000004E-5</v>
      </c>
      <c r="W26" s="30">
        <v>1.2284368821364038E-2</v>
      </c>
      <c r="X26" s="43">
        <v>-3.5E-4</v>
      </c>
      <c r="Y26" s="43">
        <v>-3.1799999999999998E-4</v>
      </c>
      <c r="Z26" s="43">
        <v>-1.1E-5</v>
      </c>
      <c r="AA26" s="30">
        <v>1.3922137821364035E-2</v>
      </c>
      <c r="AB26" s="43">
        <v>-3.4900000000000003E-4</v>
      </c>
      <c r="AC26" s="43">
        <v>-3.1700000000000001E-4</v>
      </c>
      <c r="AD26" s="43">
        <v>-1.0000000000000001E-5</v>
      </c>
      <c r="AF26" s="30">
        <v>1.2284368821364038E-2</v>
      </c>
      <c r="AG26" s="43">
        <v>-3.5199999999999999E-4</v>
      </c>
      <c r="AH26" s="43">
        <v>-3.5300000000000002E-4</v>
      </c>
      <c r="AI26" s="43">
        <v>-7.7000000000000001E-5</v>
      </c>
      <c r="AJ26" s="30">
        <v>1.3922137821364035E-2</v>
      </c>
      <c r="AK26" s="43">
        <v>-3.7100000000000002E-4</v>
      </c>
      <c r="AL26" s="43">
        <v>-3.7199999999999999E-4</v>
      </c>
      <c r="AM26" s="43">
        <v>-5.8E-5</v>
      </c>
      <c r="AO26" s="30">
        <v>1.2284368821364038E-2</v>
      </c>
      <c r="AP26" s="43">
        <v>-2.5999999999999998E-4</v>
      </c>
      <c r="AQ26" s="43">
        <v>-2.5999999999999998E-4</v>
      </c>
      <c r="AR26" s="43">
        <v>-1.63E-4</v>
      </c>
      <c r="AS26" s="30">
        <v>1.3922137821364035E-2</v>
      </c>
      <c r="AT26" s="43">
        <v>-2.6600000000000001E-4</v>
      </c>
      <c r="AU26" s="43">
        <v>-2.6600000000000001E-4</v>
      </c>
      <c r="AV26" s="43">
        <v>-1.5699999999999999E-4</v>
      </c>
      <c r="AX26" s="30">
        <v>1.2284368821364038E-2</v>
      </c>
      <c r="AY26" s="43">
        <v>-3.5399999999999999E-4</v>
      </c>
      <c r="AZ26" s="43">
        <v>-3.5500000000000001E-4</v>
      </c>
      <c r="BA26" s="43">
        <v>-7.6000000000000004E-5</v>
      </c>
      <c r="BB26" s="30">
        <v>1.3922137821364035E-2</v>
      </c>
      <c r="BC26" s="43">
        <v>-3.7300000000000001E-4</v>
      </c>
      <c r="BD26" s="43">
        <v>-3.7399999999999998E-4</v>
      </c>
      <c r="BE26" s="43">
        <v>-5.8E-5</v>
      </c>
      <c r="BG26" s="30">
        <v>1.2284368821364038E-2</v>
      </c>
      <c r="BH26" s="43">
        <v>-2.5799999999999998E-4</v>
      </c>
      <c r="BI26" s="43">
        <v>-2.5799999999999998E-4</v>
      </c>
      <c r="BJ26" s="43">
        <v>-1.66E-4</v>
      </c>
      <c r="BK26" s="30">
        <v>1.3922137821364035E-2</v>
      </c>
      <c r="BL26" s="43">
        <v>-2.6400000000000002E-4</v>
      </c>
      <c r="BM26" s="43">
        <v>-2.6400000000000002E-4</v>
      </c>
      <c r="BN26" s="43">
        <v>-1.6000000000000001E-4</v>
      </c>
      <c r="BP26" s="30">
        <v>1.2284368821364038E-2</v>
      </c>
      <c r="BQ26" s="43">
        <v>-3.1300000000000002E-4</v>
      </c>
      <c r="BR26" s="43">
        <v>-3.0499999999999999E-4</v>
      </c>
      <c r="BS26" s="43">
        <v>4.3000000000000002E-5</v>
      </c>
      <c r="BT26" s="30">
        <v>1.3922137821364035E-2</v>
      </c>
      <c r="BU26" s="43">
        <v>-3.3100000000000002E-4</v>
      </c>
      <c r="BV26" s="43">
        <v>-3.2299999999999999E-4</v>
      </c>
      <c r="BW26" s="43">
        <v>6.0000000000000002E-5</v>
      </c>
      <c r="BY26" s="30">
        <v>1.2284368821364038E-2</v>
      </c>
      <c r="BZ26" s="43">
        <v>-2.5900000000000001E-4</v>
      </c>
      <c r="CA26" s="43">
        <v>-2.4399999999999999E-4</v>
      </c>
      <c r="CB26" s="43">
        <v>-1.2999999999999999E-5</v>
      </c>
      <c r="CC26" s="30">
        <v>1.3922137821364035E-2</v>
      </c>
      <c r="CD26" s="43">
        <v>-2.6600000000000001E-4</v>
      </c>
      <c r="CE26" s="43">
        <v>-2.5000000000000001E-4</v>
      </c>
      <c r="CF26" s="43">
        <v>-6.9999999999999999E-6</v>
      </c>
      <c r="CH26" s="30">
        <v>1.2284368821364038E-2</v>
      </c>
      <c r="CI26" s="43">
        <v>-2.8800000000000001E-4</v>
      </c>
      <c r="CJ26" s="43">
        <v>-2.7500000000000002E-4</v>
      </c>
      <c r="CK26" s="43">
        <v>-1.55E-4</v>
      </c>
      <c r="CL26" s="30">
        <v>1.3922137821364035E-2</v>
      </c>
      <c r="CM26" s="43">
        <v>-2.9799999999999998E-4</v>
      </c>
      <c r="CN26" s="43">
        <v>-2.8299999999999999E-4</v>
      </c>
      <c r="CO26" s="43">
        <v>-1.47E-4</v>
      </c>
      <c r="CQ26" s="30">
        <v>1.2284368821364038E-2</v>
      </c>
      <c r="CR26" s="43">
        <v>-2.14E-4</v>
      </c>
      <c r="CS26" s="43">
        <v>-2.14E-4</v>
      </c>
      <c r="CT26" s="43">
        <v>-2.1000000000000001E-4</v>
      </c>
      <c r="CU26" s="30">
        <v>1.3922137821364035E-2</v>
      </c>
      <c r="CV26" s="43">
        <v>-2.14E-4</v>
      </c>
      <c r="CW26" s="43">
        <v>-2.14E-4</v>
      </c>
      <c r="CX26" s="43">
        <v>-2.0900000000000001E-4</v>
      </c>
    </row>
    <row r="27" spans="2:102" x14ac:dyDescent="0.25">
      <c r="N27" s="30">
        <v>1.296677285469737E-2</v>
      </c>
      <c r="O27" s="43">
        <v>-2.6699999999999998E-4</v>
      </c>
      <c r="P27" s="43">
        <v>-2.4899999999999998E-4</v>
      </c>
      <c r="Q27" s="43">
        <v>-8.1000000000000004E-5</v>
      </c>
      <c r="R27" s="30">
        <v>1.4741022621364036E-2</v>
      </c>
      <c r="S27" s="43">
        <v>-2.7500000000000002E-4</v>
      </c>
      <c r="T27" s="43">
        <v>-2.5599999999999999E-4</v>
      </c>
      <c r="U27" s="43">
        <v>-7.2000000000000002E-5</v>
      </c>
      <c r="W27" s="30">
        <v>1.296677285469737E-2</v>
      </c>
      <c r="X27" s="43">
        <v>-3.4900000000000003E-4</v>
      </c>
      <c r="Y27" s="43">
        <v>-3.1700000000000001E-4</v>
      </c>
      <c r="Z27" s="43">
        <v>-1.1E-5</v>
      </c>
      <c r="AA27" s="30">
        <v>1.4741022621364036E-2</v>
      </c>
      <c r="AB27" s="43">
        <v>-3.48E-4</v>
      </c>
      <c r="AC27" s="43">
        <v>-3.1599999999999998E-4</v>
      </c>
      <c r="AD27" s="43">
        <v>-9.0000000000000002E-6</v>
      </c>
      <c r="AF27" s="30">
        <v>1.296677285469737E-2</v>
      </c>
      <c r="AG27" s="43">
        <v>-3.6000000000000002E-4</v>
      </c>
      <c r="AH27" s="43">
        <v>-3.6099999999999999E-4</v>
      </c>
      <c r="AI27" s="43">
        <v>-6.8999999999999997E-5</v>
      </c>
      <c r="AJ27" s="30">
        <v>1.4741022621364036E-2</v>
      </c>
      <c r="AK27" s="43">
        <v>-3.8000000000000002E-4</v>
      </c>
      <c r="AL27" s="43">
        <v>-3.8099999999999999E-4</v>
      </c>
      <c r="AM27" s="43">
        <v>-4.8999999999999998E-5</v>
      </c>
      <c r="AO27" s="30">
        <v>1.296677285469737E-2</v>
      </c>
      <c r="AP27" s="43">
        <v>-2.63E-4</v>
      </c>
      <c r="AQ27" s="43">
        <v>-2.63E-4</v>
      </c>
      <c r="AR27" s="43">
        <v>-1.6000000000000001E-4</v>
      </c>
      <c r="AS27" s="30">
        <v>1.4741022621364036E-2</v>
      </c>
      <c r="AT27" s="43">
        <v>-2.6899999999999998E-4</v>
      </c>
      <c r="AU27" s="43">
        <v>-2.6899999999999998E-4</v>
      </c>
      <c r="AV27" s="43">
        <v>-1.54E-4</v>
      </c>
      <c r="AX27" s="30">
        <v>1.296677285469737E-2</v>
      </c>
      <c r="AY27" s="43">
        <v>-3.6200000000000002E-4</v>
      </c>
      <c r="AZ27" s="43">
        <v>-3.6299999999999999E-4</v>
      </c>
      <c r="BA27" s="43">
        <v>-6.7999999999999999E-5</v>
      </c>
      <c r="BB27" s="30">
        <v>1.4741022621364036E-2</v>
      </c>
      <c r="BC27" s="43">
        <v>-3.8200000000000002E-4</v>
      </c>
      <c r="BD27" s="43">
        <v>-3.8299999999999999E-4</v>
      </c>
      <c r="BE27" s="43">
        <v>-4.8000000000000001E-5</v>
      </c>
      <c r="BG27" s="30">
        <v>1.296677285469737E-2</v>
      </c>
      <c r="BH27" s="43">
        <v>-2.5999999999999998E-4</v>
      </c>
      <c r="BI27" s="43">
        <v>-2.5999999999999998E-4</v>
      </c>
      <c r="BJ27" s="43">
        <v>-1.64E-4</v>
      </c>
      <c r="BK27" s="30">
        <v>1.4741022621364036E-2</v>
      </c>
      <c r="BL27" s="43">
        <v>-2.6699999999999998E-4</v>
      </c>
      <c r="BM27" s="43">
        <v>-2.6699999999999998E-4</v>
      </c>
      <c r="BN27" s="43">
        <v>-1.5699999999999999E-4</v>
      </c>
      <c r="BP27" s="30">
        <v>1.296677285469737E-2</v>
      </c>
      <c r="BQ27" s="43">
        <v>-3.21E-4</v>
      </c>
      <c r="BR27" s="43">
        <v>-3.1199999999999999E-4</v>
      </c>
      <c r="BS27" s="43">
        <v>5.0000000000000002E-5</v>
      </c>
      <c r="BT27" s="30">
        <v>1.4741022621364036E-2</v>
      </c>
      <c r="BU27" s="43">
        <v>-3.4000000000000002E-4</v>
      </c>
      <c r="BV27" s="43">
        <v>-3.3199999999999999E-4</v>
      </c>
      <c r="BW27" s="43">
        <v>6.8999999999999997E-5</v>
      </c>
      <c r="BY27" s="30">
        <v>1.296677285469737E-2</v>
      </c>
      <c r="BZ27" s="43">
        <v>-2.6200000000000003E-4</v>
      </c>
      <c r="CA27" s="43">
        <v>-2.4699999999999999E-4</v>
      </c>
      <c r="CB27" s="43">
        <v>-1.1E-5</v>
      </c>
      <c r="CC27" s="30">
        <v>1.4741022621364036E-2</v>
      </c>
      <c r="CD27" s="43">
        <v>-2.6899999999999998E-4</v>
      </c>
      <c r="CE27" s="43">
        <v>-2.5399999999999999E-4</v>
      </c>
      <c r="CF27" s="43">
        <v>-3.9999999999999998E-6</v>
      </c>
      <c r="CH27" s="30">
        <v>1.296677285469737E-2</v>
      </c>
      <c r="CI27" s="43">
        <v>-2.92E-4</v>
      </c>
      <c r="CJ27" s="43">
        <v>-2.7799999999999998E-4</v>
      </c>
      <c r="CK27" s="43">
        <v>-1.5200000000000001E-4</v>
      </c>
      <c r="CL27" s="30">
        <v>1.4741022621364036E-2</v>
      </c>
      <c r="CM27" s="43">
        <v>-3.0299999999999999E-4</v>
      </c>
      <c r="CN27" s="43">
        <v>-2.8699999999999998E-4</v>
      </c>
      <c r="CO27" s="43">
        <v>-1.4300000000000001E-4</v>
      </c>
      <c r="CQ27" s="30">
        <v>1.296677285469737E-2</v>
      </c>
      <c r="CR27" s="43">
        <v>-2.14E-4</v>
      </c>
      <c r="CS27" s="43">
        <v>-2.14E-4</v>
      </c>
      <c r="CT27" s="43">
        <v>-2.0900000000000001E-4</v>
      </c>
      <c r="CU27" s="30">
        <v>1.4741022621364036E-2</v>
      </c>
      <c r="CV27" s="43">
        <v>-2.14E-4</v>
      </c>
      <c r="CW27" s="43">
        <v>-2.13E-4</v>
      </c>
      <c r="CX27" s="43">
        <v>-2.0900000000000001E-4</v>
      </c>
    </row>
    <row r="28" spans="2:102" x14ac:dyDescent="0.25">
      <c r="N28" s="30">
        <v>1.3649176888030702E-2</v>
      </c>
      <c r="O28" s="43">
        <v>-2.7E-4</v>
      </c>
      <c r="P28" s="43">
        <v>-2.52E-4</v>
      </c>
      <c r="Q28" s="43">
        <v>-7.7999999999999999E-5</v>
      </c>
      <c r="R28" s="30">
        <v>1.5559907421364035E-2</v>
      </c>
      <c r="S28" s="43">
        <v>-2.7900000000000001E-4</v>
      </c>
      <c r="T28" s="43">
        <v>-2.5900000000000001E-4</v>
      </c>
      <c r="U28" s="43">
        <v>-6.7999999999999999E-5</v>
      </c>
      <c r="W28" s="30">
        <v>1.3649176888030702E-2</v>
      </c>
      <c r="X28" s="43">
        <v>-3.4900000000000003E-4</v>
      </c>
      <c r="Y28" s="43">
        <v>-3.1700000000000001E-4</v>
      </c>
      <c r="Z28" s="43">
        <v>-1.0000000000000001E-5</v>
      </c>
      <c r="AA28" s="30">
        <v>1.5559907421364035E-2</v>
      </c>
      <c r="AB28" s="43">
        <v>-3.48E-4</v>
      </c>
      <c r="AC28" s="43">
        <v>-3.1599999999999998E-4</v>
      </c>
      <c r="AD28" s="43">
        <v>-7.9999999999999996E-6</v>
      </c>
      <c r="AF28" s="30">
        <v>1.3649176888030702E-2</v>
      </c>
      <c r="AG28" s="43">
        <v>-3.68E-4</v>
      </c>
      <c r="AH28" s="43">
        <v>-3.68E-4</v>
      </c>
      <c r="AI28" s="43">
        <v>-6.0999999999999999E-5</v>
      </c>
      <c r="AJ28" s="30">
        <v>1.5559907421364035E-2</v>
      </c>
      <c r="AK28" s="43">
        <v>-3.8999999999999999E-4</v>
      </c>
      <c r="AL28" s="43">
        <v>-3.8999999999999999E-4</v>
      </c>
      <c r="AM28" s="43">
        <v>-4.0000000000000003E-5</v>
      </c>
      <c r="AO28" s="30">
        <v>1.3649176888030702E-2</v>
      </c>
      <c r="AP28" s="43">
        <v>-2.6499999999999999E-4</v>
      </c>
      <c r="AQ28" s="43">
        <v>-2.6499999999999999E-4</v>
      </c>
      <c r="AR28" s="43">
        <v>-1.5799999999999999E-4</v>
      </c>
      <c r="AS28" s="30">
        <v>1.5559907421364035E-2</v>
      </c>
      <c r="AT28" s="43">
        <v>-2.72E-4</v>
      </c>
      <c r="AU28" s="43">
        <v>-2.72E-4</v>
      </c>
      <c r="AV28" s="43">
        <v>-1.5100000000000001E-4</v>
      </c>
      <c r="AX28" s="30">
        <v>1.3649176888030702E-2</v>
      </c>
      <c r="AY28" s="43">
        <v>-3.6999999999999999E-4</v>
      </c>
      <c r="AZ28" s="43">
        <v>-3.6999999999999999E-4</v>
      </c>
      <c r="BA28" s="43">
        <v>-6.0999999999999999E-5</v>
      </c>
      <c r="BB28" s="30">
        <v>1.5559907421364035E-2</v>
      </c>
      <c r="BC28" s="43">
        <v>-3.9199999999999999E-4</v>
      </c>
      <c r="BD28" s="43">
        <v>-3.9199999999999999E-4</v>
      </c>
      <c r="BE28" s="43">
        <v>-3.8999999999999999E-5</v>
      </c>
      <c r="BG28" s="30">
        <v>1.3649176888030702E-2</v>
      </c>
      <c r="BH28" s="43">
        <v>-2.63E-4</v>
      </c>
      <c r="BI28" s="43">
        <v>-2.63E-4</v>
      </c>
      <c r="BJ28" s="43">
        <v>-1.6100000000000001E-4</v>
      </c>
      <c r="BK28" s="30">
        <v>1.5559907421364035E-2</v>
      </c>
      <c r="BL28" s="43">
        <v>-2.7E-4</v>
      </c>
      <c r="BM28" s="43">
        <v>-2.7E-4</v>
      </c>
      <c r="BN28" s="43">
        <v>-1.54E-4</v>
      </c>
      <c r="BP28" s="30">
        <v>1.3649176888030702E-2</v>
      </c>
      <c r="BQ28" s="43">
        <v>-3.28E-4</v>
      </c>
      <c r="BR28" s="43">
        <v>-3.2000000000000003E-4</v>
      </c>
      <c r="BS28" s="43">
        <v>5.7000000000000003E-5</v>
      </c>
      <c r="BT28" s="30">
        <v>1.5559907421364035E-2</v>
      </c>
      <c r="BU28" s="43">
        <v>-3.5E-4</v>
      </c>
      <c r="BV28" s="43">
        <v>-3.4099999999999999E-4</v>
      </c>
      <c r="BW28" s="43">
        <v>7.7999999999999999E-5</v>
      </c>
      <c r="BY28" s="30">
        <v>1.3649176888030702E-2</v>
      </c>
      <c r="BZ28" s="43">
        <v>-2.6499999999999999E-4</v>
      </c>
      <c r="CA28" s="43">
        <v>-2.4899999999999998E-4</v>
      </c>
      <c r="CB28" s="43">
        <v>-7.9999999999999996E-6</v>
      </c>
      <c r="CC28" s="30">
        <v>1.5559907421364035E-2</v>
      </c>
      <c r="CD28" s="43">
        <v>-2.72E-4</v>
      </c>
      <c r="CE28" s="43">
        <v>-2.5700000000000001E-4</v>
      </c>
      <c r="CF28" s="43">
        <v>-2.7630000000000001E-7</v>
      </c>
      <c r="CH28" s="30">
        <v>1.3649176888030702E-2</v>
      </c>
      <c r="CI28" s="43">
        <v>-2.9700000000000001E-4</v>
      </c>
      <c r="CJ28" s="43">
        <v>-2.81E-4</v>
      </c>
      <c r="CK28" s="43">
        <v>-1.4799999999999999E-4</v>
      </c>
      <c r="CL28" s="30">
        <v>1.5559907421364035E-2</v>
      </c>
      <c r="CM28" s="43">
        <v>-3.0800000000000001E-4</v>
      </c>
      <c r="CN28" s="43">
        <v>-2.9100000000000003E-4</v>
      </c>
      <c r="CO28" s="43">
        <v>-1.3899999999999999E-4</v>
      </c>
      <c r="CQ28" s="30">
        <v>1.3649176888030702E-2</v>
      </c>
      <c r="CR28" s="43">
        <v>-2.14E-4</v>
      </c>
      <c r="CS28" s="43">
        <v>-2.14E-4</v>
      </c>
      <c r="CT28" s="43">
        <v>-2.0900000000000001E-4</v>
      </c>
      <c r="CU28" s="30">
        <v>1.5559907421364035E-2</v>
      </c>
      <c r="CV28" s="43">
        <v>-2.14E-4</v>
      </c>
      <c r="CW28" s="43">
        <v>-2.13E-4</v>
      </c>
      <c r="CX28" s="43">
        <v>-2.0900000000000001E-4</v>
      </c>
    </row>
    <row r="29" spans="2:102" x14ac:dyDescent="0.25">
      <c r="N29" s="30">
        <v>1.4331580921364035E-2</v>
      </c>
      <c r="O29" s="43">
        <v>-2.7300000000000002E-4</v>
      </c>
      <c r="P29" s="43">
        <v>-2.5399999999999999E-4</v>
      </c>
      <c r="Q29" s="43">
        <v>-7.3999999999999996E-5</v>
      </c>
      <c r="R29" s="30">
        <v>1.6378792221364034E-2</v>
      </c>
      <c r="S29" s="43">
        <v>-2.8299999999999999E-4</v>
      </c>
      <c r="T29" s="43">
        <v>-2.6200000000000003E-4</v>
      </c>
      <c r="U29" s="43">
        <v>-6.3999999999999997E-5</v>
      </c>
      <c r="W29" s="30">
        <v>1.4331580921364035E-2</v>
      </c>
      <c r="X29" s="43">
        <v>-3.48E-4</v>
      </c>
      <c r="Y29" s="43">
        <v>-3.1599999999999998E-4</v>
      </c>
      <c r="Z29" s="43">
        <v>-9.0000000000000002E-6</v>
      </c>
      <c r="AA29" s="30">
        <v>1.6378792221364034E-2</v>
      </c>
      <c r="AB29" s="43">
        <v>-3.4699999999999998E-4</v>
      </c>
      <c r="AC29" s="43">
        <v>-3.1500000000000001E-4</v>
      </c>
      <c r="AD29" s="43">
        <v>-7.9999999999999996E-6</v>
      </c>
      <c r="AF29" s="30">
        <v>1.4331580921364035E-2</v>
      </c>
      <c r="AG29" s="43">
        <v>-3.7599999999999998E-4</v>
      </c>
      <c r="AH29" s="43">
        <v>-3.7599999999999998E-4</v>
      </c>
      <c r="AI29" s="43">
        <v>-5.3999999999999998E-5</v>
      </c>
      <c r="AJ29" s="30">
        <v>1.6378792221364034E-2</v>
      </c>
      <c r="AK29" s="43">
        <v>-3.9899999999999999E-4</v>
      </c>
      <c r="AL29" s="43">
        <v>-3.9899999999999999E-4</v>
      </c>
      <c r="AM29" s="43">
        <v>-3.1000000000000001E-5</v>
      </c>
      <c r="AO29" s="30">
        <v>1.4331580921364035E-2</v>
      </c>
      <c r="AP29" s="43">
        <v>-2.6800000000000001E-4</v>
      </c>
      <c r="AQ29" s="43">
        <v>-2.6800000000000001E-4</v>
      </c>
      <c r="AR29" s="43">
        <v>-1.55E-4</v>
      </c>
      <c r="AS29" s="30">
        <v>1.6378792221364034E-2</v>
      </c>
      <c r="AT29" s="43">
        <v>-2.7599999999999999E-4</v>
      </c>
      <c r="AU29" s="43">
        <v>-2.7599999999999999E-4</v>
      </c>
      <c r="AV29" s="43">
        <v>-1.4799999999999999E-4</v>
      </c>
      <c r="AX29" s="30">
        <v>1.4331580921364035E-2</v>
      </c>
      <c r="AY29" s="43">
        <v>-3.7800000000000003E-4</v>
      </c>
      <c r="AZ29" s="43">
        <v>-3.7800000000000003E-4</v>
      </c>
      <c r="BA29" s="43">
        <v>-5.3000000000000001E-5</v>
      </c>
      <c r="BB29" s="30">
        <v>1.6378792221364034E-2</v>
      </c>
      <c r="BC29" s="43">
        <v>-4.0099999999999999E-4</v>
      </c>
      <c r="BD29" s="43">
        <v>-4.0200000000000001E-4</v>
      </c>
      <c r="BE29" s="43">
        <v>-3.0000000000000001E-5</v>
      </c>
      <c r="BG29" s="30">
        <v>1.4331580921364035E-2</v>
      </c>
      <c r="BH29" s="43">
        <v>-2.6600000000000001E-4</v>
      </c>
      <c r="BI29" s="43">
        <v>-2.6600000000000001E-4</v>
      </c>
      <c r="BJ29" s="43">
        <v>-1.5899999999999999E-4</v>
      </c>
      <c r="BK29" s="30">
        <v>1.6378792221364034E-2</v>
      </c>
      <c r="BL29" s="43">
        <v>-2.7300000000000002E-4</v>
      </c>
      <c r="BM29" s="43">
        <v>-2.7300000000000002E-4</v>
      </c>
      <c r="BN29" s="43">
        <v>-1.5100000000000001E-4</v>
      </c>
      <c r="BP29" s="30">
        <v>1.4331580921364035E-2</v>
      </c>
      <c r="BQ29" s="43">
        <v>-3.3599999999999998E-4</v>
      </c>
      <c r="BR29" s="43">
        <v>-3.28E-4</v>
      </c>
      <c r="BS29" s="43">
        <v>6.4999999999999994E-5</v>
      </c>
      <c r="BT29" s="30">
        <v>1.6378792221364034E-2</v>
      </c>
      <c r="BU29" s="43">
        <v>-3.59E-4</v>
      </c>
      <c r="BV29" s="43">
        <v>-3.5100000000000002E-4</v>
      </c>
      <c r="BW29" s="43">
        <v>8.7000000000000001E-5</v>
      </c>
      <c r="BY29" s="30">
        <v>1.4331580921364035E-2</v>
      </c>
      <c r="BZ29" s="43">
        <v>-2.6699999999999998E-4</v>
      </c>
      <c r="CA29" s="43">
        <v>-2.52E-4</v>
      </c>
      <c r="CB29" s="43">
        <v>-5.0000000000000004E-6</v>
      </c>
      <c r="CC29" s="30">
        <v>1.6378792221364034E-2</v>
      </c>
      <c r="CD29" s="43">
        <v>-2.7599999999999999E-4</v>
      </c>
      <c r="CE29" s="43">
        <v>-2.5999999999999998E-4</v>
      </c>
      <c r="CF29" s="43">
        <v>3.0000000000000001E-6</v>
      </c>
      <c r="CH29" s="30">
        <v>1.4331580921364035E-2</v>
      </c>
      <c r="CI29" s="43">
        <v>-3.01E-4</v>
      </c>
      <c r="CJ29" s="43">
        <v>-2.8499999999999999E-4</v>
      </c>
      <c r="CK29" s="43">
        <v>-1.45E-4</v>
      </c>
      <c r="CL29" s="30">
        <v>1.6378792221364034E-2</v>
      </c>
      <c r="CM29" s="43">
        <v>-3.1300000000000002E-4</v>
      </c>
      <c r="CN29" s="43">
        <v>-2.9500000000000001E-4</v>
      </c>
      <c r="CO29" s="43">
        <v>-1.35E-4</v>
      </c>
      <c r="CQ29" s="30">
        <v>1.4331580921364035E-2</v>
      </c>
      <c r="CR29" s="43">
        <v>-2.14E-4</v>
      </c>
      <c r="CS29" s="43">
        <v>-2.14E-4</v>
      </c>
      <c r="CT29" s="43">
        <v>-2.0900000000000001E-4</v>
      </c>
      <c r="CU29" s="30">
        <v>1.6378792221364034E-2</v>
      </c>
      <c r="CV29" s="43">
        <v>-2.14E-4</v>
      </c>
      <c r="CW29" s="43">
        <v>-2.13E-4</v>
      </c>
      <c r="CX29" s="43">
        <v>-2.0900000000000001E-4</v>
      </c>
    </row>
    <row r="30" spans="2:102" x14ac:dyDescent="0.25">
      <c r="N30" s="30">
        <v>1.5013984954697367E-2</v>
      </c>
      <c r="O30" s="43">
        <v>-2.7599999999999999E-4</v>
      </c>
      <c r="P30" s="43">
        <v>-2.5700000000000001E-4</v>
      </c>
      <c r="Q30" s="43">
        <v>-7.1000000000000005E-5</v>
      </c>
      <c r="R30" s="30">
        <v>1.6378792221364034E-2</v>
      </c>
      <c r="S30" s="43">
        <v>-2.8299999999999999E-4</v>
      </c>
      <c r="T30" s="43">
        <v>-2.6200000000000003E-4</v>
      </c>
      <c r="U30" s="43">
        <v>-6.3999999999999997E-5</v>
      </c>
      <c r="W30" s="30">
        <v>1.5013984954697367E-2</v>
      </c>
      <c r="X30" s="43">
        <v>-3.48E-4</v>
      </c>
      <c r="Y30" s="43">
        <v>-3.1599999999999998E-4</v>
      </c>
      <c r="Z30" s="43">
        <v>-9.0000000000000002E-6</v>
      </c>
      <c r="AA30" s="30">
        <v>1.6378792221364034E-2</v>
      </c>
      <c r="AB30" s="43">
        <v>-3.4699999999999998E-4</v>
      </c>
      <c r="AC30" s="43">
        <v>-3.1500000000000001E-4</v>
      </c>
      <c r="AD30" s="43">
        <v>-7.9999999999999996E-6</v>
      </c>
      <c r="AF30" s="30">
        <v>1.5013984954697367E-2</v>
      </c>
      <c r="AG30" s="43">
        <v>-3.8299999999999999E-4</v>
      </c>
      <c r="AH30" s="43">
        <v>-3.8400000000000001E-4</v>
      </c>
      <c r="AI30" s="43">
        <v>-4.6E-5</v>
      </c>
      <c r="AJ30" s="30">
        <v>1.6378792221364034E-2</v>
      </c>
      <c r="AK30" s="43">
        <v>-3.9899999999999999E-4</v>
      </c>
      <c r="AL30" s="43">
        <v>-3.9899999999999999E-4</v>
      </c>
      <c r="AM30" s="43">
        <v>-3.1000000000000001E-5</v>
      </c>
      <c r="AO30" s="30">
        <v>1.5013984954697367E-2</v>
      </c>
      <c r="AP30" s="43">
        <v>-2.7E-4</v>
      </c>
      <c r="AQ30" s="43">
        <v>-2.7E-4</v>
      </c>
      <c r="AR30" s="43">
        <v>-1.5300000000000001E-4</v>
      </c>
      <c r="AS30" s="30">
        <v>1.6378792221364034E-2</v>
      </c>
      <c r="AT30" s="43">
        <v>-2.7599999999999999E-4</v>
      </c>
      <c r="AU30" s="43">
        <v>-2.7599999999999999E-4</v>
      </c>
      <c r="AV30" s="43">
        <v>-1.4799999999999999E-4</v>
      </c>
      <c r="AX30" s="30">
        <v>1.5013984954697367E-2</v>
      </c>
      <c r="AY30" s="43">
        <v>-3.8499999999999998E-4</v>
      </c>
      <c r="AZ30" s="43">
        <v>-3.86E-4</v>
      </c>
      <c r="BA30" s="43">
        <v>-4.5000000000000003E-5</v>
      </c>
      <c r="BB30" s="30">
        <v>1.6378792221364034E-2</v>
      </c>
      <c r="BC30" s="43">
        <v>-4.0099999999999999E-4</v>
      </c>
      <c r="BD30" s="43">
        <v>-4.0200000000000001E-4</v>
      </c>
      <c r="BE30" s="43">
        <v>-3.0000000000000001E-5</v>
      </c>
      <c r="BG30" s="30">
        <v>1.5013984954697367E-2</v>
      </c>
      <c r="BH30" s="43">
        <v>-2.6800000000000001E-4</v>
      </c>
      <c r="BI30" s="43">
        <v>-2.6800000000000001E-4</v>
      </c>
      <c r="BJ30" s="43">
        <v>-1.56E-4</v>
      </c>
      <c r="BK30" s="30">
        <v>1.6378792221364034E-2</v>
      </c>
      <c r="BL30" s="43">
        <v>-2.7300000000000002E-4</v>
      </c>
      <c r="BM30" s="43">
        <v>-2.7300000000000002E-4</v>
      </c>
      <c r="BN30" s="43">
        <v>-1.5100000000000001E-4</v>
      </c>
      <c r="BP30" s="30">
        <v>1.5013984954697367E-2</v>
      </c>
      <c r="BQ30" s="43">
        <v>-3.4299999999999999E-4</v>
      </c>
      <c r="BR30" s="43">
        <v>-3.3500000000000001E-4</v>
      </c>
      <c r="BS30" s="43">
        <v>7.2000000000000002E-5</v>
      </c>
      <c r="BT30" s="30">
        <v>1.6378792221364034E-2</v>
      </c>
      <c r="BU30" s="43">
        <v>-3.59E-4</v>
      </c>
      <c r="BV30" s="43">
        <v>-3.5100000000000002E-4</v>
      </c>
      <c r="BW30" s="43">
        <v>8.7000000000000001E-5</v>
      </c>
      <c r="BY30" s="30">
        <v>1.5013984954697367E-2</v>
      </c>
      <c r="BZ30" s="43">
        <v>-2.7E-4</v>
      </c>
      <c r="CA30" s="43">
        <v>-2.5500000000000002E-4</v>
      </c>
      <c r="CB30" s="43">
        <v>-1.9999999999999999E-6</v>
      </c>
      <c r="CC30" s="30">
        <v>1.6378792221364034E-2</v>
      </c>
      <c r="CD30" s="43">
        <v>-2.7599999999999999E-4</v>
      </c>
      <c r="CE30" s="43">
        <v>-2.5999999999999998E-4</v>
      </c>
      <c r="CF30" s="43">
        <v>3.0000000000000001E-6</v>
      </c>
      <c r="CH30" s="30">
        <v>1.5013984954697367E-2</v>
      </c>
      <c r="CI30" s="43">
        <v>-3.0499999999999999E-4</v>
      </c>
      <c r="CJ30" s="43">
        <v>-2.8800000000000001E-4</v>
      </c>
      <c r="CK30" s="43">
        <v>-1.4200000000000001E-4</v>
      </c>
      <c r="CL30" s="30">
        <v>1.6378792221364034E-2</v>
      </c>
      <c r="CM30" s="43">
        <v>-3.1300000000000002E-4</v>
      </c>
      <c r="CN30" s="43">
        <v>-2.9500000000000001E-4</v>
      </c>
      <c r="CO30" s="43">
        <v>-1.35E-4</v>
      </c>
      <c r="CQ30" s="30">
        <v>1.5013984954697367E-2</v>
      </c>
      <c r="CR30" s="43">
        <v>-2.14E-4</v>
      </c>
      <c r="CS30" s="43">
        <v>-2.13E-4</v>
      </c>
      <c r="CT30" s="43">
        <v>-2.0900000000000001E-4</v>
      </c>
      <c r="CU30" s="30">
        <v>1.6378792221364034E-2</v>
      </c>
      <c r="CV30" s="43">
        <v>-2.14E-4</v>
      </c>
      <c r="CW30" s="43">
        <v>-2.13E-4</v>
      </c>
      <c r="CX30" s="43">
        <v>-2.0900000000000001E-4</v>
      </c>
    </row>
    <row r="31" spans="2:102" x14ac:dyDescent="0.25">
      <c r="N31" s="30">
        <v>1.5696388988030701E-2</v>
      </c>
      <c r="O31" s="43">
        <v>-2.7999999999999998E-4</v>
      </c>
      <c r="P31" s="43">
        <v>-2.5999999999999998E-4</v>
      </c>
      <c r="Q31" s="43">
        <v>-6.7000000000000002E-5</v>
      </c>
      <c r="R31" s="30">
        <v>1.7197677021364034E-2</v>
      </c>
      <c r="S31" s="43">
        <v>-2.8699999999999998E-4</v>
      </c>
      <c r="T31" s="43">
        <v>-2.6499999999999999E-4</v>
      </c>
      <c r="U31" s="43">
        <v>-5.8999999999999998E-5</v>
      </c>
      <c r="W31" s="30">
        <v>1.5696388988030701E-2</v>
      </c>
      <c r="X31" s="43">
        <v>-3.48E-4</v>
      </c>
      <c r="Y31" s="43">
        <v>-3.1599999999999998E-4</v>
      </c>
      <c r="Z31" s="43">
        <v>-7.9999999999999996E-6</v>
      </c>
      <c r="AA31" s="30">
        <v>1.7197677021364034E-2</v>
      </c>
      <c r="AB31" s="43">
        <v>-3.4699999999999998E-4</v>
      </c>
      <c r="AC31" s="43">
        <v>-3.1500000000000001E-4</v>
      </c>
      <c r="AD31" s="43">
        <v>-6.9999999999999999E-6</v>
      </c>
      <c r="AF31" s="30">
        <v>1.5696388988030701E-2</v>
      </c>
      <c r="AG31" s="43">
        <v>-3.9100000000000002E-4</v>
      </c>
      <c r="AH31" s="43">
        <v>-3.9199999999999999E-4</v>
      </c>
      <c r="AI31" s="43">
        <v>-3.8999999999999999E-5</v>
      </c>
      <c r="AJ31" s="30">
        <v>1.7197677021364034E-2</v>
      </c>
      <c r="AK31" s="43">
        <v>-4.08E-4</v>
      </c>
      <c r="AL31" s="43">
        <v>-4.0900000000000002E-4</v>
      </c>
      <c r="AM31" s="43">
        <v>-2.1999999999999999E-5</v>
      </c>
      <c r="AO31" s="30">
        <v>1.5696388988030701E-2</v>
      </c>
      <c r="AP31" s="43">
        <v>-2.7300000000000002E-4</v>
      </c>
      <c r="AQ31" s="43">
        <v>-2.7300000000000002E-4</v>
      </c>
      <c r="AR31" s="43">
        <v>-1.4999999999999999E-4</v>
      </c>
      <c r="AS31" s="30">
        <v>1.7197677021364034E-2</v>
      </c>
      <c r="AT31" s="43">
        <v>-2.7900000000000001E-4</v>
      </c>
      <c r="AU31" s="43">
        <v>-2.7900000000000001E-4</v>
      </c>
      <c r="AV31" s="43">
        <v>-1.45E-4</v>
      </c>
      <c r="AX31" s="30">
        <v>1.5696388988030701E-2</v>
      </c>
      <c r="AY31" s="43">
        <v>-3.9300000000000001E-4</v>
      </c>
      <c r="AZ31" s="43">
        <v>-3.9399999999999998E-4</v>
      </c>
      <c r="BA31" s="43">
        <v>-3.8000000000000002E-5</v>
      </c>
      <c r="BB31" s="30">
        <v>1.7197677021364034E-2</v>
      </c>
      <c r="BC31" s="43">
        <v>-4.0999999999999999E-4</v>
      </c>
      <c r="BD31" s="43">
        <v>-4.1100000000000002E-4</v>
      </c>
      <c r="BE31" s="43">
        <v>-2.0999999999999999E-5</v>
      </c>
      <c r="BG31" s="30">
        <v>1.5696388988030701E-2</v>
      </c>
      <c r="BH31" s="43">
        <v>-2.7099999999999997E-4</v>
      </c>
      <c r="BI31" s="43">
        <v>-2.7099999999999997E-4</v>
      </c>
      <c r="BJ31" s="43">
        <v>-1.54E-4</v>
      </c>
      <c r="BK31" s="30">
        <v>1.7197677021364034E-2</v>
      </c>
      <c r="BL31" s="43">
        <v>-2.7700000000000001E-4</v>
      </c>
      <c r="BM31" s="43">
        <v>-2.7700000000000001E-4</v>
      </c>
      <c r="BN31" s="43">
        <v>-1.4799999999999999E-4</v>
      </c>
      <c r="BP31" s="30">
        <v>1.5696388988030701E-2</v>
      </c>
      <c r="BQ31" s="43">
        <v>-3.5100000000000002E-4</v>
      </c>
      <c r="BR31" s="43">
        <v>-3.4299999999999999E-4</v>
      </c>
      <c r="BS31" s="43">
        <v>7.8999999999999996E-5</v>
      </c>
      <c r="BT31" s="30">
        <v>1.7197677021364034E-2</v>
      </c>
      <c r="BU31" s="43">
        <v>-3.68E-4</v>
      </c>
      <c r="BV31" s="43">
        <v>-3.6000000000000002E-4</v>
      </c>
      <c r="BW31" s="43">
        <v>9.5000000000000005E-5</v>
      </c>
      <c r="BY31" s="30">
        <v>1.5696388988030701E-2</v>
      </c>
      <c r="BZ31" s="43">
        <v>-2.7300000000000002E-4</v>
      </c>
      <c r="CA31" s="43">
        <v>-2.5799999999999998E-4</v>
      </c>
      <c r="CB31" s="43">
        <v>2.6619999999999999E-7</v>
      </c>
      <c r="CC31" s="30">
        <v>1.7197677021364034E-2</v>
      </c>
      <c r="CD31" s="43">
        <v>-2.7900000000000001E-4</v>
      </c>
      <c r="CE31" s="43">
        <v>-2.6400000000000002E-4</v>
      </c>
      <c r="CF31" s="43">
        <v>6.0000000000000002E-6</v>
      </c>
      <c r="CH31" s="30">
        <v>1.5696388988030701E-2</v>
      </c>
      <c r="CI31" s="43">
        <v>-3.0899999999999998E-4</v>
      </c>
      <c r="CJ31" s="43">
        <v>-2.9100000000000003E-4</v>
      </c>
      <c r="CK31" s="43">
        <v>-1.3899999999999999E-4</v>
      </c>
      <c r="CL31" s="30">
        <v>1.7197677021364034E-2</v>
      </c>
      <c r="CM31" s="43">
        <v>-3.1799999999999998E-4</v>
      </c>
      <c r="CN31" s="43">
        <v>-2.99E-4</v>
      </c>
      <c r="CO31" s="43">
        <v>-1.3200000000000001E-4</v>
      </c>
      <c r="CQ31" s="30">
        <v>1.5696388988030701E-2</v>
      </c>
      <c r="CR31" s="43">
        <v>-2.14E-4</v>
      </c>
      <c r="CS31" s="43">
        <v>-2.13E-4</v>
      </c>
      <c r="CT31" s="43">
        <v>-2.0900000000000001E-4</v>
      </c>
      <c r="CU31" s="30">
        <v>1.7197677021364034E-2</v>
      </c>
      <c r="CV31" s="43">
        <v>-2.14E-4</v>
      </c>
      <c r="CW31" s="43">
        <v>-2.13E-4</v>
      </c>
      <c r="CX31" s="43">
        <v>-2.0900000000000001E-4</v>
      </c>
    </row>
    <row r="32" spans="2:102" x14ac:dyDescent="0.25">
      <c r="H32" s="1"/>
      <c r="I32" s="1"/>
      <c r="N32" s="30">
        <v>1.6378793021364031E-2</v>
      </c>
      <c r="O32" s="43">
        <v>-2.8299999999999999E-4</v>
      </c>
      <c r="P32" s="43">
        <v>-2.6200000000000003E-4</v>
      </c>
      <c r="Q32" s="43">
        <v>-6.3999999999999997E-5</v>
      </c>
      <c r="R32" s="30">
        <v>1.8016561821364033E-2</v>
      </c>
      <c r="S32" s="43">
        <v>-2.9100000000000003E-4</v>
      </c>
      <c r="T32" s="43">
        <v>-2.6800000000000001E-4</v>
      </c>
      <c r="U32" s="43">
        <v>-5.5000000000000002E-5</v>
      </c>
      <c r="W32" s="30">
        <v>1.6378793021364031E-2</v>
      </c>
      <c r="X32" s="43">
        <v>-3.4699999999999998E-4</v>
      </c>
      <c r="Y32" s="43">
        <v>-3.1500000000000001E-4</v>
      </c>
      <c r="Z32" s="43">
        <v>-7.9999999999999996E-6</v>
      </c>
      <c r="AA32" s="30">
        <v>1.8016561821364033E-2</v>
      </c>
      <c r="AB32" s="43">
        <v>-3.4600000000000001E-4</v>
      </c>
      <c r="AC32" s="43">
        <v>-3.1399999999999999E-4</v>
      </c>
      <c r="AD32" s="43">
        <v>-6.0000000000000002E-6</v>
      </c>
      <c r="AF32" s="30">
        <v>1.6378793021364031E-2</v>
      </c>
      <c r="AG32" s="43">
        <v>-3.9899999999999999E-4</v>
      </c>
      <c r="AH32" s="43">
        <v>-3.9899999999999999E-4</v>
      </c>
      <c r="AI32" s="43">
        <v>-3.1000000000000001E-5</v>
      </c>
      <c r="AJ32" s="30">
        <v>1.8016561821364033E-2</v>
      </c>
      <c r="AK32" s="43">
        <v>-4.17E-4</v>
      </c>
      <c r="AL32" s="43">
        <v>-4.1800000000000002E-4</v>
      </c>
      <c r="AM32" s="43">
        <v>-1.2999999999999999E-5</v>
      </c>
      <c r="AO32" s="30">
        <v>1.6378793021364031E-2</v>
      </c>
      <c r="AP32" s="43">
        <v>-2.7599999999999999E-4</v>
      </c>
      <c r="AQ32" s="43">
        <v>-2.7599999999999999E-4</v>
      </c>
      <c r="AR32" s="43">
        <v>-1.4799999999999999E-4</v>
      </c>
      <c r="AS32" s="30">
        <v>1.8016561821364033E-2</v>
      </c>
      <c r="AT32" s="43">
        <v>-2.8200000000000002E-4</v>
      </c>
      <c r="AU32" s="43">
        <v>-2.8200000000000002E-4</v>
      </c>
      <c r="AV32" s="43">
        <v>-1.4100000000000001E-4</v>
      </c>
      <c r="AX32" s="30">
        <v>1.6378793021364031E-2</v>
      </c>
      <c r="AY32" s="43">
        <v>-4.0099999999999999E-4</v>
      </c>
      <c r="AZ32" s="43">
        <v>-4.0200000000000001E-4</v>
      </c>
      <c r="BA32" s="43">
        <v>-3.0000000000000001E-5</v>
      </c>
      <c r="BB32" s="30">
        <v>1.8016561821364033E-2</v>
      </c>
      <c r="BC32" s="43">
        <v>-4.2000000000000002E-4</v>
      </c>
      <c r="BD32" s="43">
        <v>-4.2000000000000002E-4</v>
      </c>
      <c r="BE32" s="43">
        <v>-1.2E-5</v>
      </c>
      <c r="BG32" s="30">
        <v>1.6378793021364031E-2</v>
      </c>
      <c r="BH32" s="43">
        <v>-2.7300000000000002E-4</v>
      </c>
      <c r="BI32" s="43">
        <v>-2.7300000000000002E-4</v>
      </c>
      <c r="BJ32" s="43">
        <v>-1.5100000000000001E-4</v>
      </c>
      <c r="BK32" s="30">
        <v>1.8016561821364033E-2</v>
      </c>
      <c r="BL32" s="43">
        <v>-2.7999999999999998E-4</v>
      </c>
      <c r="BM32" s="43">
        <v>-2.7999999999999998E-4</v>
      </c>
      <c r="BN32" s="43">
        <v>-1.45E-4</v>
      </c>
      <c r="BP32" s="30">
        <v>1.6378793021364031E-2</v>
      </c>
      <c r="BQ32" s="43">
        <v>-3.59E-4</v>
      </c>
      <c r="BR32" s="43">
        <v>-3.5100000000000002E-4</v>
      </c>
      <c r="BS32" s="43">
        <v>8.7000000000000001E-5</v>
      </c>
      <c r="BT32" s="30">
        <v>1.8016561821364033E-2</v>
      </c>
      <c r="BU32" s="43">
        <v>-3.77E-4</v>
      </c>
      <c r="BV32" s="43">
        <v>-3.6900000000000002E-4</v>
      </c>
      <c r="BW32" s="43">
        <v>1.0399999999999999E-4</v>
      </c>
      <c r="BY32" s="30">
        <v>1.6378793021364031E-2</v>
      </c>
      <c r="BZ32" s="43">
        <v>-2.7599999999999999E-4</v>
      </c>
      <c r="CA32" s="43">
        <v>-2.5999999999999998E-4</v>
      </c>
      <c r="CB32" s="43">
        <v>3.0000000000000001E-6</v>
      </c>
      <c r="CC32" s="30">
        <v>1.8016561821364033E-2</v>
      </c>
      <c r="CD32" s="43">
        <v>-2.8200000000000002E-4</v>
      </c>
      <c r="CE32" s="43">
        <v>-2.6699999999999998E-4</v>
      </c>
      <c r="CF32" s="43">
        <v>9.0000000000000002E-6</v>
      </c>
      <c r="CH32" s="30">
        <v>1.6378793021364031E-2</v>
      </c>
      <c r="CI32" s="43">
        <v>-3.1300000000000002E-4</v>
      </c>
      <c r="CJ32" s="43">
        <v>-2.9399999999999999E-4</v>
      </c>
      <c r="CK32" s="43">
        <v>-1.36E-4</v>
      </c>
      <c r="CL32" s="30">
        <v>1.8016561821364033E-2</v>
      </c>
      <c r="CM32" s="43">
        <v>-3.2299999999999999E-4</v>
      </c>
      <c r="CN32" s="43">
        <v>-3.0200000000000002E-4</v>
      </c>
      <c r="CO32" s="43">
        <v>-1.2799999999999999E-4</v>
      </c>
      <c r="CQ32" s="30">
        <v>1.6378793021364031E-2</v>
      </c>
      <c r="CR32" s="43">
        <v>-2.14E-4</v>
      </c>
      <c r="CS32" s="43">
        <v>-2.13E-4</v>
      </c>
      <c r="CT32" s="43">
        <v>-2.0900000000000001E-4</v>
      </c>
      <c r="CU32" s="30">
        <v>1.8016561821364033E-2</v>
      </c>
      <c r="CV32" s="43">
        <v>-2.14E-4</v>
      </c>
      <c r="CW32" s="43">
        <v>-2.13E-4</v>
      </c>
      <c r="CX32" s="43">
        <v>-2.0900000000000001E-4</v>
      </c>
    </row>
    <row r="33" spans="2:102" x14ac:dyDescent="0.25">
      <c r="H33" s="73"/>
      <c r="I33" s="73"/>
      <c r="N33" s="30">
        <v>1.7061197054697368E-2</v>
      </c>
      <c r="O33" s="43">
        <v>-2.8600000000000001E-4</v>
      </c>
      <c r="P33" s="43">
        <v>-2.6499999999999999E-4</v>
      </c>
      <c r="Q33" s="43">
        <v>-6.0000000000000002E-5</v>
      </c>
      <c r="R33" s="30">
        <v>1.8835446621364032E-2</v>
      </c>
      <c r="S33" s="43">
        <v>-2.9500000000000001E-4</v>
      </c>
      <c r="T33" s="43">
        <v>-2.72E-4</v>
      </c>
      <c r="U33" s="43">
        <v>-5.1E-5</v>
      </c>
      <c r="W33" s="30">
        <v>1.7061197054697368E-2</v>
      </c>
      <c r="X33" s="43">
        <v>-3.4699999999999998E-4</v>
      </c>
      <c r="Y33" s="43">
        <v>-3.1500000000000001E-4</v>
      </c>
      <c r="Z33" s="43">
        <v>-6.9999999999999999E-6</v>
      </c>
      <c r="AA33" s="30">
        <v>1.8835446621364032E-2</v>
      </c>
      <c r="AB33" s="43">
        <v>-3.4600000000000001E-4</v>
      </c>
      <c r="AC33" s="43">
        <v>-3.1399999999999999E-4</v>
      </c>
      <c r="AD33" s="43">
        <v>-5.0000000000000004E-6</v>
      </c>
      <c r="AF33" s="30">
        <v>1.7061197054697368E-2</v>
      </c>
      <c r="AG33" s="43">
        <v>-4.0700000000000003E-4</v>
      </c>
      <c r="AH33" s="43">
        <v>-4.0700000000000003E-4</v>
      </c>
      <c r="AI33" s="43">
        <v>-2.3E-5</v>
      </c>
      <c r="AJ33" s="30">
        <v>1.8835446621364032E-2</v>
      </c>
      <c r="AK33" s="43">
        <v>-4.2700000000000002E-4</v>
      </c>
      <c r="AL33" s="43">
        <v>-4.2700000000000002E-4</v>
      </c>
      <c r="AM33" s="43">
        <v>-3.9999999999999998E-6</v>
      </c>
      <c r="AO33" s="30">
        <v>1.7061197054697368E-2</v>
      </c>
      <c r="AP33" s="43">
        <v>-2.7799999999999998E-4</v>
      </c>
      <c r="AQ33" s="43">
        <v>-2.7799999999999998E-4</v>
      </c>
      <c r="AR33" s="43">
        <v>-1.45E-4</v>
      </c>
      <c r="AS33" s="30">
        <v>1.8835446621364032E-2</v>
      </c>
      <c r="AT33" s="43">
        <v>-2.8499999999999999E-4</v>
      </c>
      <c r="AU33" s="43">
        <v>-2.8499999999999999E-4</v>
      </c>
      <c r="AV33" s="43">
        <v>-1.3799999999999999E-4</v>
      </c>
      <c r="AX33" s="30">
        <v>1.7061197054697368E-2</v>
      </c>
      <c r="AY33" s="43">
        <v>-4.0900000000000002E-4</v>
      </c>
      <c r="AZ33" s="43">
        <v>-4.0900000000000002E-4</v>
      </c>
      <c r="BA33" s="43">
        <v>-2.3E-5</v>
      </c>
      <c r="BB33" s="30">
        <v>1.8835446621364032E-2</v>
      </c>
      <c r="BC33" s="43">
        <v>-4.2900000000000002E-4</v>
      </c>
      <c r="BD33" s="43">
        <v>-4.2999999999999999E-4</v>
      </c>
      <c r="BE33" s="43">
        <v>-3.0000000000000001E-6</v>
      </c>
      <c r="BG33" s="30">
        <v>1.7061197054697368E-2</v>
      </c>
      <c r="BH33" s="43">
        <v>-2.7599999999999999E-4</v>
      </c>
      <c r="BI33" s="43">
        <v>-2.7599999999999999E-4</v>
      </c>
      <c r="BJ33" s="43">
        <v>-1.4899999999999999E-4</v>
      </c>
      <c r="BK33" s="30">
        <v>1.8835446621364032E-2</v>
      </c>
      <c r="BL33" s="43">
        <v>-2.8299999999999999E-4</v>
      </c>
      <c r="BM33" s="43">
        <v>-2.8299999999999999E-4</v>
      </c>
      <c r="BN33" s="43">
        <v>-1.4200000000000001E-4</v>
      </c>
      <c r="BP33" s="30">
        <v>1.7061197054697368E-2</v>
      </c>
      <c r="BQ33" s="43">
        <v>-3.6600000000000001E-4</v>
      </c>
      <c r="BR33" s="43">
        <v>-3.5799999999999997E-4</v>
      </c>
      <c r="BS33" s="43">
        <v>9.3999999999999994E-5</v>
      </c>
      <c r="BT33" s="30">
        <v>1.8835446621364032E-2</v>
      </c>
      <c r="BU33" s="43">
        <v>-3.86E-4</v>
      </c>
      <c r="BV33" s="43">
        <v>-3.7800000000000003E-4</v>
      </c>
      <c r="BW33" s="43">
        <v>1.13E-4</v>
      </c>
      <c r="BY33" s="30">
        <v>1.7061197054697368E-2</v>
      </c>
      <c r="BZ33" s="43">
        <v>-2.7799999999999998E-4</v>
      </c>
      <c r="CA33" s="43">
        <v>-2.63E-4</v>
      </c>
      <c r="CB33" s="43">
        <v>6.0000000000000002E-6</v>
      </c>
      <c r="CC33" s="30">
        <v>1.8835446621364032E-2</v>
      </c>
      <c r="CD33" s="43">
        <v>-2.8600000000000001E-4</v>
      </c>
      <c r="CE33" s="43">
        <v>-2.7E-4</v>
      </c>
      <c r="CF33" s="43">
        <v>1.2999999999999999E-5</v>
      </c>
      <c r="CH33" s="30">
        <v>1.7061197054697368E-2</v>
      </c>
      <c r="CI33" s="43">
        <v>-3.1700000000000001E-4</v>
      </c>
      <c r="CJ33" s="43">
        <v>-2.9799999999999998E-4</v>
      </c>
      <c r="CK33" s="43">
        <v>-1.3200000000000001E-4</v>
      </c>
      <c r="CL33" s="30">
        <v>1.8835446621364032E-2</v>
      </c>
      <c r="CM33" s="43">
        <v>-3.2699999999999998E-4</v>
      </c>
      <c r="CN33" s="43">
        <v>-3.0600000000000001E-4</v>
      </c>
      <c r="CO33" s="43">
        <v>-1.2400000000000001E-4</v>
      </c>
      <c r="CQ33" s="30">
        <v>1.7061197054697368E-2</v>
      </c>
      <c r="CR33" s="43">
        <v>-2.14E-4</v>
      </c>
      <c r="CS33" s="43">
        <v>-2.13E-4</v>
      </c>
      <c r="CT33" s="43">
        <v>-2.0900000000000001E-4</v>
      </c>
      <c r="CU33" s="30">
        <v>1.8835446621364032E-2</v>
      </c>
      <c r="CV33" s="43">
        <v>-2.14E-4</v>
      </c>
      <c r="CW33" s="43">
        <v>-2.13E-4</v>
      </c>
      <c r="CX33" s="43">
        <v>-2.0900000000000001E-4</v>
      </c>
    </row>
    <row r="34" spans="2:102" x14ac:dyDescent="0.25">
      <c r="B34" s="74" t="s">
        <v>80</v>
      </c>
      <c r="C34" s="74"/>
      <c r="H34" s="1"/>
      <c r="I34" s="1"/>
      <c r="N34" s="30">
        <v>1.7743601088030702E-2</v>
      </c>
      <c r="O34" s="43">
        <v>-2.8899999999999998E-4</v>
      </c>
      <c r="P34" s="43">
        <v>-2.6699999999999998E-4</v>
      </c>
      <c r="Q34" s="43">
        <v>-5.5999999999999999E-5</v>
      </c>
      <c r="R34" s="30">
        <v>1.9654331421364031E-2</v>
      </c>
      <c r="S34" s="43">
        <v>-2.99E-4</v>
      </c>
      <c r="T34" s="43">
        <v>-2.7500000000000002E-4</v>
      </c>
      <c r="U34" s="43">
        <v>-4.6E-5</v>
      </c>
      <c r="W34" s="30">
        <v>1.7743601088030702E-2</v>
      </c>
      <c r="X34" s="43">
        <v>-3.4600000000000001E-4</v>
      </c>
      <c r="Y34" s="43">
        <v>-3.1399999999999999E-4</v>
      </c>
      <c r="Z34" s="43">
        <v>-6.0000000000000002E-6</v>
      </c>
      <c r="AA34" s="30">
        <v>1.9654331421364031E-2</v>
      </c>
      <c r="AB34" s="43">
        <v>-3.4499999999999998E-4</v>
      </c>
      <c r="AC34" s="43">
        <v>-3.1300000000000002E-4</v>
      </c>
      <c r="AD34" s="43">
        <v>-5.0000000000000004E-6</v>
      </c>
      <c r="AF34" s="30">
        <v>1.7743601088030702E-2</v>
      </c>
      <c r="AG34" s="43">
        <v>-4.1399999999999998E-4</v>
      </c>
      <c r="AH34" s="43">
        <v>-4.15E-4</v>
      </c>
      <c r="AI34" s="43">
        <v>-1.5999999999999999E-5</v>
      </c>
      <c r="AJ34" s="30">
        <v>1.9654331421364031E-2</v>
      </c>
      <c r="AK34" s="43">
        <v>-4.3600000000000003E-4</v>
      </c>
      <c r="AL34" s="43">
        <v>-4.37E-4</v>
      </c>
      <c r="AM34" s="43">
        <v>6.0000000000000002E-6</v>
      </c>
      <c r="AO34" s="30">
        <v>1.7743601088030702E-2</v>
      </c>
      <c r="AP34" s="43">
        <v>-2.81E-4</v>
      </c>
      <c r="AQ34" s="43">
        <v>-2.81E-4</v>
      </c>
      <c r="AR34" s="43">
        <v>-1.4300000000000001E-4</v>
      </c>
      <c r="AS34" s="30">
        <v>1.9654331421364031E-2</v>
      </c>
      <c r="AT34" s="43">
        <v>-2.8800000000000001E-4</v>
      </c>
      <c r="AU34" s="43">
        <v>-2.8800000000000001E-4</v>
      </c>
      <c r="AV34" s="43">
        <v>-1.35E-4</v>
      </c>
      <c r="AX34" s="30">
        <v>1.7743601088030702E-2</v>
      </c>
      <c r="AY34" s="43">
        <v>-4.1599999999999997E-4</v>
      </c>
      <c r="AZ34" s="43">
        <v>-4.17E-4</v>
      </c>
      <c r="BA34" s="43">
        <v>-1.5E-5</v>
      </c>
      <c r="BB34" s="30">
        <v>1.9654331421364031E-2</v>
      </c>
      <c r="BC34" s="43">
        <v>-4.3800000000000002E-4</v>
      </c>
      <c r="BD34" s="43">
        <v>-4.3899999999999999E-4</v>
      </c>
      <c r="BE34" s="43">
        <v>6.0000000000000002E-6</v>
      </c>
      <c r="BG34" s="30">
        <v>1.7743601088030702E-2</v>
      </c>
      <c r="BH34" s="43">
        <v>-2.7900000000000001E-4</v>
      </c>
      <c r="BI34" s="43">
        <v>-2.7900000000000001E-4</v>
      </c>
      <c r="BJ34" s="43">
        <v>-1.46E-4</v>
      </c>
      <c r="BK34" s="30">
        <v>1.9654331421364031E-2</v>
      </c>
      <c r="BL34" s="43">
        <v>-2.8600000000000001E-4</v>
      </c>
      <c r="BM34" s="43">
        <v>-2.8600000000000001E-4</v>
      </c>
      <c r="BN34" s="43">
        <v>-1.3899999999999999E-4</v>
      </c>
      <c r="BP34" s="30">
        <v>1.7743601088030702E-2</v>
      </c>
      <c r="BQ34" s="43">
        <v>-3.7399999999999998E-4</v>
      </c>
      <c r="BR34" s="43">
        <v>-3.6600000000000001E-4</v>
      </c>
      <c r="BS34" s="43">
        <v>1.01E-4</v>
      </c>
      <c r="BT34" s="30">
        <v>1.9654331421364031E-2</v>
      </c>
      <c r="BU34" s="43">
        <v>-3.9599999999999998E-4</v>
      </c>
      <c r="BV34" s="43">
        <v>-3.88E-4</v>
      </c>
      <c r="BW34" s="43">
        <v>1.2300000000000001E-4</v>
      </c>
      <c r="BY34" s="30">
        <v>1.7743601088030702E-2</v>
      </c>
      <c r="BZ34" s="43">
        <v>-2.81E-4</v>
      </c>
      <c r="CA34" s="43">
        <v>-2.6600000000000001E-4</v>
      </c>
      <c r="CB34" s="43">
        <v>7.9999999999999996E-6</v>
      </c>
      <c r="CC34" s="30">
        <v>1.9654331421364031E-2</v>
      </c>
      <c r="CD34" s="43">
        <v>-2.8899999999999998E-4</v>
      </c>
      <c r="CE34" s="43">
        <v>-2.7399999999999999E-4</v>
      </c>
      <c r="CF34" s="43">
        <v>1.5999999999999999E-5</v>
      </c>
      <c r="CH34" s="30">
        <v>1.7743601088030702E-2</v>
      </c>
      <c r="CI34" s="43">
        <v>-3.21E-4</v>
      </c>
      <c r="CJ34" s="43">
        <v>-3.01E-4</v>
      </c>
      <c r="CK34" s="43">
        <v>-1.2899999999999999E-4</v>
      </c>
      <c r="CL34" s="30">
        <v>1.9654331421364031E-2</v>
      </c>
      <c r="CM34" s="43">
        <v>-3.3199999999999999E-4</v>
      </c>
      <c r="CN34" s="43">
        <v>-3.1E-4</v>
      </c>
      <c r="CO34" s="43">
        <v>-1.2E-4</v>
      </c>
      <c r="CQ34" s="30">
        <v>1.7743601088030702E-2</v>
      </c>
      <c r="CR34" s="43">
        <v>-2.14E-4</v>
      </c>
      <c r="CS34" s="43">
        <v>-2.13E-4</v>
      </c>
      <c r="CT34" s="43">
        <v>-2.0900000000000001E-4</v>
      </c>
      <c r="CU34" s="30">
        <v>1.9654331421364031E-2</v>
      </c>
      <c r="CV34" s="43">
        <v>-2.14E-4</v>
      </c>
      <c r="CW34" s="43">
        <v>-2.13E-4</v>
      </c>
      <c r="CX34" s="43">
        <v>-2.0900000000000001E-4</v>
      </c>
    </row>
    <row r="35" spans="2:102" x14ac:dyDescent="0.25">
      <c r="B35" s="74" t="s">
        <v>45</v>
      </c>
      <c r="C35" s="74"/>
      <c r="H35" s="1"/>
      <c r="I35" s="1"/>
      <c r="N35" s="30">
        <v>1.8426005121364036E-2</v>
      </c>
      <c r="O35" s="43">
        <v>-2.9300000000000002E-4</v>
      </c>
      <c r="P35" s="43">
        <v>-2.7E-4</v>
      </c>
      <c r="Q35" s="43">
        <v>-5.3000000000000001E-5</v>
      </c>
      <c r="R35" s="30">
        <v>2.047321622136403E-2</v>
      </c>
      <c r="S35" s="43">
        <v>-3.0299999999999999E-4</v>
      </c>
      <c r="T35" s="43">
        <v>-2.7799999999999998E-4</v>
      </c>
      <c r="U35" s="43">
        <v>-4.1999999999999998E-5</v>
      </c>
      <c r="W35" s="30">
        <v>1.8426005121364036E-2</v>
      </c>
      <c r="X35" s="43">
        <v>-3.4600000000000001E-4</v>
      </c>
      <c r="Y35" s="43">
        <v>-3.1399999999999999E-4</v>
      </c>
      <c r="Z35" s="43">
        <v>-6.0000000000000002E-6</v>
      </c>
      <c r="AA35" s="30">
        <v>2.047321622136403E-2</v>
      </c>
      <c r="AB35" s="43">
        <v>-3.4499999999999998E-4</v>
      </c>
      <c r="AC35" s="43">
        <v>-3.1300000000000002E-4</v>
      </c>
      <c r="AD35" s="43">
        <v>-3.9999999999999998E-6</v>
      </c>
      <c r="AF35" s="30">
        <v>1.8426005121364036E-2</v>
      </c>
      <c r="AG35" s="43">
        <v>-4.2200000000000001E-4</v>
      </c>
      <c r="AH35" s="43">
        <v>-4.2299999999999998E-4</v>
      </c>
      <c r="AI35" s="43">
        <v>-7.9999999999999996E-6</v>
      </c>
      <c r="AJ35" s="30">
        <v>2.047321622136403E-2</v>
      </c>
      <c r="AK35" s="43">
        <v>-4.4499999999999997E-4</v>
      </c>
      <c r="AL35" s="43">
        <v>-4.46E-4</v>
      </c>
      <c r="AM35" s="43">
        <v>1.5E-5</v>
      </c>
      <c r="AO35" s="30">
        <v>1.8426005121364036E-2</v>
      </c>
      <c r="AP35" s="43">
        <v>-2.8299999999999999E-4</v>
      </c>
      <c r="AQ35" s="43">
        <v>-2.8299999999999999E-4</v>
      </c>
      <c r="AR35" s="43">
        <v>-1.3999999999999999E-4</v>
      </c>
      <c r="AS35" s="30">
        <v>2.047321622136403E-2</v>
      </c>
      <c r="AT35" s="43">
        <v>-2.9100000000000003E-4</v>
      </c>
      <c r="AU35" s="43">
        <v>-2.9100000000000003E-4</v>
      </c>
      <c r="AV35" s="43">
        <v>-1.3200000000000001E-4</v>
      </c>
      <c r="AX35" s="30">
        <v>1.8426005121364036E-2</v>
      </c>
      <c r="AY35" s="43">
        <v>-4.2400000000000001E-4</v>
      </c>
      <c r="AZ35" s="43">
        <v>-4.2499999999999998E-4</v>
      </c>
      <c r="BA35" s="43">
        <v>-7.9999999999999996E-6</v>
      </c>
      <c r="BB35" s="30">
        <v>2.047321622136403E-2</v>
      </c>
      <c r="BC35" s="43">
        <v>-4.4799999999999999E-4</v>
      </c>
      <c r="BD35" s="43">
        <v>-4.4900000000000002E-4</v>
      </c>
      <c r="BE35" s="43">
        <v>1.5E-5</v>
      </c>
      <c r="BG35" s="30">
        <v>1.8426005121364036E-2</v>
      </c>
      <c r="BH35" s="43">
        <v>-2.81E-4</v>
      </c>
      <c r="BI35" s="43">
        <v>-2.81E-4</v>
      </c>
      <c r="BJ35" s="43">
        <v>-1.44E-4</v>
      </c>
      <c r="BK35" s="30">
        <v>2.047321622136403E-2</v>
      </c>
      <c r="BL35" s="43">
        <v>-2.8899999999999998E-4</v>
      </c>
      <c r="BM35" s="43">
        <v>-2.8899999999999998E-4</v>
      </c>
      <c r="BN35" s="43">
        <v>-1.36E-4</v>
      </c>
      <c r="BP35" s="30">
        <v>1.8426005121364036E-2</v>
      </c>
      <c r="BQ35" s="43">
        <v>-3.8200000000000002E-4</v>
      </c>
      <c r="BR35" s="43">
        <v>-3.7399999999999998E-4</v>
      </c>
      <c r="BS35" s="43">
        <v>1.0900000000000001E-4</v>
      </c>
      <c r="BT35" s="30">
        <v>2.047321622136403E-2</v>
      </c>
      <c r="BU35" s="43">
        <v>-4.06E-4</v>
      </c>
      <c r="BV35" s="43">
        <v>-3.9800000000000002E-4</v>
      </c>
      <c r="BW35" s="43">
        <v>1.3300000000000001E-4</v>
      </c>
      <c r="BY35" s="30">
        <v>1.8426005121364036E-2</v>
      </c>
      <c r="BZ35" s="43">
        <v>-2.8400000000000002E-4</v>
      </c>
      <c r="CA35" s="43">
        <v>-2.6899999999999998E-4</v>
      </c>
      <c r="CB35" s="43">
        <v>1.1E-5</v>
      </c>
      <c r="CC35" s="30">
        <v>2.047321622136403E-2</v>
      </c>
      <c r="CD35" s="43">
        <v>-2.92E-4</v>
      </c>
      <c r="CE35" s="43">
        <v>-2.7700000000000001E-4</v>
      </c>
      <c r="CF35" s="43">
        <v>1.9000000000000001E-5</v>
      </c>
      <c r="CH35" s="30">
        <v>1.8426005121364036E-2</v>
      </c>
      <c r="CI35" s="43">
        <v>-3.2499999999999999E-4</v>
      </c>
      <c r="CJ35" s="43">
        <v>-3.0400000000000002E-4</v>
      </c>
      <c r="CK35" s="43">
        <v>-1.26E-4</v>
      </c>
      <c r="CL35" s="30">
        <v>2.047321622136403E-2</v>
      </c>
      <c r="CM35" s="43">
        <v>-3.3700000000000001E-4</v>
      </c>
      <c r="CN35" s="43">
        <v>-3.1399999999999999E-4</v>
      </c>
      <c r="CO35" s="43">
        <v>-1.16E-4</v>
      </c>
      <c r="CQ35" s="30">
        <v>1.8426005121364036E-2</v>
      </c>
      <c r="CR35" s="43">
        <v>-2.14E-4</v>
      </c>
      <c r="CS35" s="43">
        <v>-2.13E-4</v>
      </c>
      <c r="CT35" s="43">
        <v>-2.0900000000000001E-4</v>
      </c>
      <c r="CU35" s="30">
        <v>2.047321622136403E-2</v>
      </c>
      <c r="CV35" s="43">
        <v>-2.14E-4</v>
      </c>
      <c r="CW35" s="43">
        <v>-2.13E-4</v>
      </c>
      <c r="CX35" s="43">
        <v>-2.0900000000000001E-4</v>
      </c>
    </row>
    <row r="36" spans="2:102" x14ac:dyDescent="0.25">
      <c r="B36" s="74" t="s">
        <v>81</v>
      </c>
      <c r="C36" s="74"/>
      <c r="H36" s="73"/>
      <c r="I36" s="73"/>
      <c r="N36" s="30">
        <v>1.9108409154697369E-2</v>
      </c>
      <c r="O36" s="43">
        <v>-2.9599999999999998E-4</v>
      </c>
      <c r="P36" s="43">
        <v>-2.7300000000000002E-4</v>
      </c>
      <c r="Q36" s="43">
        <v>-4.8999999999999998E-5</v>
      </c>
      <c r="R36" s="30">
        <v>2.1292101021364029E-2</v>
      </c>
      <c r="S36" s="43">
        <v>-3.0699999999999998E-4</v>
      </c>
      <c r="T36" s="43">
        <v>-2.81E-4</v>
      </c>
      <c r="U36" s="43">
        <v>-3.8000000000000002E-5</v>
      </c>
      <c r="W36" s="30">
        <v>1.9108409154697369E-2</v>
      </c>
      <c r="X36" s="43">
        <v>-3.4600000000000001E-4</v>
      </c>
      <c r="Y36" s="43">
        <v>-3.1300000000000002E-4</v>
      </c>
      <c r="Z36" s="43">
        <v>-5.0000000000000004E-6</v>
      </c>
      <c r="AA36" s="30">
        <v>2.1292101021364029E-2</v>
      </c>
      <c r="AB36" s="43">
        <v>-3.4400000000000001E-4</v>
      </c>
      <c r="AC36" s="43">
        <v>-3.1199999999999999E-4</v>
      </c>
      <c r="AD36" s="43">
        <v>-3.0000000000000001E-6</v>
      </c>
      <c r="AF36" s="30">
        <v>1.9108409154697369E-2</v>
      </c>
      <c r="AG36" s="43">
        <v>-4.2999999999999999E-4</v>
      </c>
      <c r="AH36" s="43">
        <v>-4.2999999999999999E-4</v>
      </c>
      <c r="AI36" s="43">
        <v>-9.9999999999999995E-7</v>
      </c>
      <c r="AJ36" s="30">
        <v>2.1292101021364029E-2</v>
      </c>
      <c r="AK36" s="43">
        <v>-4.55E-4</v>
      </c>
      <c r="AL36" s="43">
        <v>-4.5600000000000003E-4</v>
      </c>
      <c r="AM36" s="43">
        <v>2.4000000000000001E-5</v>
      </c>
      <c r="AO36" s="30">
        <v>1.9108409154697369E-2</v>
      </c>
      <c r="AP36" s="43">
        <v>-2.8600000000000001E-4</v>
      </c>
      <c r="AQ36" s="43">
        <v>-2.8600000000000001E-4</v>
      </c>
      <c r="AR36" s="43">
        <v>-1.37E-4</v>
      </c>
      <c r="AS36" s="30">
        <v>2.1292101021364029E-2</v>
      </c>
      <c r="AT36" s="43">
        <v>-2.9399999999999999E-4</v>
      </c>
      <c r="AU36" s="43">
        <v>-2.9399999999999999E-4</v>
      </c>
      <c r="AV36" s="43">
        <v>-1.2899999999999999E-4</v>
      </c>
      <c r="AX36" s="30">
        <v>1.9108409154697369E-2</v>
      </c>
      <c r="AY36" s="43">
        <v>-4.3199999999999998E-4</v>
      </c>
      <c r="AZ36" s="43">
        <v>-4.3300000000000001E-4</v>
      </c>
      <c r="BA36" s="43">
        <v>-1.316E-8</v>
      </c>
      <c r="BB36" s="30">
        <v>2.1292101021364029E-2</v>
      </c>
      <c r="BC36" s="43">
        <v>-4.57E-4</v>
      </c>
      <c r="BD36" s="43">
        <v>-4.5800000000000002E-4</v>
      </c>
      <c r="BE36" s="43">
        <v>2.4000000000000001E-5</v>
      </c>
      <c r="BG36" s="30">
        <v>1.9108409154697369E-2</v>
      </c>
      <c r="BH36" s="43">
        <v>-2.8400000000000002E-4</v>
      </c>
      <c r="BI36" s="43">
        <v>-2.8400000000000002E-4</v>
      </c>
      <c r="BJ36" s="43">
        <v>-1.4100000000000001E-4</v>
      </c>
      <c r="BK36" s="30">
        <v>2.1292101021364029E-2</v>
      </c>
      <c r="BL36" s="43">
        <v>-2.92E-4</v>
      </c>
      <c r="BM36" s="43">
        <v>-2.92E-4</v>
      </c>
      <c r="BN36" s="43">
        <v>-1.3300000000000001E-4</v>
      </c>
      <c r="BP36" s="30">
        <v>1.9108409154697369E-2</v>
      </c>
      <c r="BQ36" s="43">
        <v>-3.8900000000000002E-4</v>
      </c>
      <c r="BR36" s="43">
        <v>-3.8099999999999999E-4</v>
      </c>
      <c r="BS36" s="43">
        <v>1.16E-4</v>
      </c>
      <c r="BT36" s="30">
        <v>2.1292101021364029E-2</v>
      </c>
      <c r="BU36" s="43">
        <v>-4.1599999999999997E-4</v>
      </c>
      <c r="BV36" s="43">
        <v>-4.08E-4</v>
      </c>
      <c r="BW36" s="43">
        <v>1.4300000000000001E-4</v>
      </c>
      <c r="BY36" s="30">
        <v>1.9108409154697369E-2</v>
      </c>
      <c r="BZ36" s="43">
        <v>-2.8699999999999998E-4</v>
      </c>
      <c r="CA36" s="43">
        <v>-2.7099999999999997E-4</v>
      </c>
      <c r="CB36" s="43">
        <v>1.4E-5</v>
      </c>
      <c r="CC36" s="30">
        <v>2.1292101021364029E-2</v>
      </c>
      <c r="CD36" s="43">
        <v>-2.9500000000000001E-4</v>
      </c>
      <c r="CE36" s="43">
        <v>-2.7999999999999998E-4</v>
      </c>
      <c r="CF36" s="43">
        <v>2.1999999999999999E-5</v>
      </c>
      <c r="CH36" s="30">
        <v>1.9108409154697369E-2</v>
      </c>
      <c r="CI36" s="43">
        <v>-3.2899999999999997E-4</v>
      </c>
      <c r="CJ36" s="43">
        <v>-3.0800000000000001E-4</v>
      </c>
      <c r="CK36" s="43">
        <v>-1.2300000000000001E-4</v>
      </c>
      <c r="CL36" s="30">
        <v>2.1292101021364029E-2</v>
      </c>
      <c r="CM36" s="43">
        <v>-3.4200000000000002E-4</v>
      </c>
      <c r="CN36" s="43">
        <v>-3.1799999999999998E-4</v>
      </c>
      <c r="CO36" s="43">
        <v>-1.12E-4</v>
      </c>
      <c r="CQ36" s="30">
        <v>1.9108409154697369E-2</v>
      </c>
      <c r="CR36" s="43">
        <v>-2.14E-4</v>
      </c>
      <c r="CS36" s="43">
        <v>-2.13E-4</v>
      </c>
      <c r="CT36" s="43">
        <v>-2.0900000000000001E-4</v>
      </c>
      <c r="CU36" s="30">
        <v>2.1292101021364029E-2</v>
      </c>
      <c r="CV36" s="43">
        <v>-2.14E-4</v>
      </c>
      <c r="CW36" s="43">
        <v>-2.13E-4</v>
      </c>
      <c r="CX36" s="43">
        <v>-2.0900000000000001E-4</v>
      </c>
    </row>
    <row r="37" spans="2:102" x14ac:dyDescent="0.25">
      <c r="B37" s="74" t="s">
        <v>90</v>
      </c>
      <c r="C37" s="74"/>
      <c r="D37" s="74"/>
      <c r="E37" s="3"/>
      <c r="H37" s="1"/>
      <c r="I37" s="1"/>
      <c r="N37" s="30">
        <v>1.9790813188030703E-2</v>
      </c>
      <c r="O37" s="43">
        <v>-2.99E-4</v>
      </c>
      <c r="P37" s="43">
        <v>-2.7500000000000002E-4</v>
      </c>
      <c r="Q37" s="43">
        <v>-4.6E-5</v>
      </c>
      <c r="R37" s="30">
        <v>2.2110985821364029E-2</v>
      </c>
      <c r="S37" s="43">
        <v>-3.1100000000000002E-4</v>
      </c>
      <c r="T37" s="43">
        <v>-2.8400000000000002E-4</v>
      </c>
      <c r="U37" s="43">
        <v>-3.3000000000000003E-5</v>
      </c>
      <c r="W37" s="30">
        <v>1.9790813188030703E-2</v>
      </c>
      <c r="X37" s="43">
        <v>-3.4499999999999998E-4</v>
      </c>
      <c r="Y37" s="43">
        <v>-3.1300000000000002E-4</v>
      </c>
      <c r="Z37" s="43">
        <v>-5.0000000000000004E-6</v>
      </c>
      <c r="AA37" s="30">
        <v>2.2110985821364029E-2</v>
      </c>
      <c r="AB37" s="43">
        <v>-3.4400000000000001E-4</v>
      </c>
      <c r="AC37" s="43">
        <v>-3.1199999999999999E-4</v>
      </c>
      <c r="AD37" s="43">
        <v>-3.0000000000000001E-6</v>
      </c>
      <c r="AF37" s="30">
        <v>1.9790813188030703E-2</v>
      </c>
      <c r="AG37" s="43">
        <v>-4.3800000000000002E-4</v>
      </c>
      <c r="AH37" s="43">
        <v>-4.3800000000000002E-4</v>
      </c>
      <c r="AI37" s="43">
        <v>6.9999999999999999E-6</v>
      </c>
      <c r="AJ37" s="30">
        <v>2.2110985821364029E-2</v>
      </c>
      <c r="AK37" s="43">
        <v>-4.64E-4</v>
      </c>
      <c r="AL37" s="43">
        <v>-4.6500000000000003E-4</v>
      </c>
      <c r="AM37" s="43">
        <v>3.3000000000000003E-5</v>
      </c>
      <c r="AO37" s="30">
        <v>1.9790813188030703E-2</v>
      </c>
      <c r="AP37" s="43">
        <v>-2.8800000000000001E-4</v>
      </c>
      <c r="AQ37" s="43">
        <v>-2.8899999999999998E-4</v>
      </c>
      <c r="AR37" s="43">
        <v>-1.35E-4</v>
      </c>
      <c r="AS37" s="30">
        <v>2.2110985821364029E-2</v>
      </c>
      <c r="AT37" s="43">
        <v>-2.9700000000000001E-4</v>
      </c>
      <c r="AU37" s="43">
        <v>-2.9700000000000001E-4</v>
      </c>
      <c r="AV37" s="43">
        <v>-1.26E-4</v>
      </c>
      <c r="AX37" s="30">
        <v>1.9790813188030703E-2</v>
      </c>
      <c r="AY37" s="43">
        <v>-4.4000000000000002E-4</v>
      </c>
      <c r="AZ37" s="43">
        <v>-4.4099999999999999E-4</v>
      </c>
      <c r="BA37" s="43">
        <v>7.9999999999999996E-6</v>
      </c>
      <c r="BB37" s="30">
        <v>2.2110985821364029E-2</v>
      </c>
      <c r="BC37" s="43">
        <v>-4.66E-4</v>
      </c>
      <c r="BD37" s="43">
        <v>-4.6700000000000002E-4</v>
      </c>
      <c r="BE37" s="43">
        <v>3.4E-5</v>
      </c>
      <c r="BG37" s="30">
        <v>1.9790813188030703E-2</v>
      </c>
      <c r="BH37" s="43">
        <v>-2.8600000000000001E-4</v>
      </c>
      <c r="BI37" s="43">
        <v>-2.8699999999999998E-4</v>
      </c>
      <c r="BJ37" s="43">
        <v>-1.3899999999999999E-4</v>
      </c>
      <c r="BK37" s="30">
        <v>2.2110985821364029E-2</v>
      </c>
      <c r="BL37" s="43">
        <v>-2.9500000000000001E-4</v>
      </c>
      <c r="BM37" s="43">
        <v>-2.9500000000000001E-4</v>
      </c>
      <c r="BN37" s="43">
        <v>-1.2999999999999999E-4</v>
      </c>
      <c r="BP37" s="30">
        <v>1.9790813188030703E-2</v>
      </c>
      <c r="BQ37" s="43">
        <v>-3.9800000000000002E-4</v>
      </c>
      <c r="BR37" s="43">
        <v>-3.8999999999999999E-4</v>
      </c>
      <c r="BS37" s="43">
        <v>1.25E-4</v>
      </c>
      <c r="BT37" s="30">
        <v>2.2110985821364029E-2</v>
      </c>
      <c r="BU37" s="43">
        <v>-4.26E-4</v>
      </c>
      <c r="BV37" s="43">
        <v>-4.1800000000000002E-4</v>
      </c>
      <c r="BW37" s="43">
        <v>1.54E-4</v>
      </c>
      <c r="BY37" s="30">
        <v>1.9790813188030703E-2</v>
      </c>
      <c r="BZ37" s="43">
        <v>-2.8899999999999998E-4</v>
      </c>
      <c r="CA37" s="43">
        <v>-2.7399999999999999E-4</v>
      </c>
      <c r="CB37" s="43">
        <v>1.5999999999999999E-5</v>
      </c>
      <c r="CC37" s="30">
        <v>2.2110985821364029E-2</v>
      </c>
      <c r="CD37" s="43">
        <v>-2.99E-4</v>
      </c>
      <c r="CE37" s="43">
        <v>-2.8299999999999999E-4</v>
      </c>
      <c r="CF37" s="43">
        <v>2.5999999999999998E-5</v>
      </c>
      <c r="CH37" s="30">
        <v>1.9790813188030703E-2</v>
      </c>
      <c r="CI37" s="43">
        <v>-3.3300000000000002E-4</v>
      </c>
      <c r="CJ37" s="43">
        <v>-3.1100000000000002E-4</v>
      </c>
      <c r="CK37" s="43">
        <v>-1.1900000000000001E-4</v>
      </c>
      <c r="CL37" s="30">
        <v>2.2110985821364029E-2</v>
      </c>
      <c r="CM37" s="43">
        <v>-3.4699999999999998E-4</v>
      </c>
      <c r="CN37" s="43">
        <v>-3.2200000000000002E-4</v>
      </c>
      <c r="CO37" s="43">
        <v>-1.08E-4</v>
      </c>
      <c r="CQ37" s="30">
        <v>1.9790813188030703E-2</v>
      </c>
      <c r="CR37" s="43">
        <v>-2.14E-4</v>
      </c>
      <c r="CS37" s="43">
        <v>-2.13E-4</v>
      </c>
      <c r="CT37" s="43">
        <v>-2.0900000000000001E-4</v>
      </c>
      <c r="CU37" s="30">
        <v>2.2110985821364029E-2</v>
      </c>
      <c r="CV37" s="43">
        <v>-2.14E-4</v>
      </c>
      <c r="CW37" s="43">
        <v>-2.13E-4</v>
      </c>
      <c r="CX37" s="43">
        <v>-2.0900000000000001E-4</v>
      </c>
    </row>
    <row r="38" spans="2:102" x14ac:dyDescent="0.25">
      <c r="H38" s="1"/>
      <c r="I38" s="1"/>
      <c r="N38" s="30">
        <v>2.047321722136404E-2</v>
      </c>
      <c r="O38" s="43">
        <v>-3.0299999999999999E-4</v>
      </c>
      <c r="P38" s="43">
        <v>-2.7799999999999998E-4</v>
      </c>
      <c r="Q38" s="43">
        <v>-4.1999999999999998E-5</v>
      </c>
      <c r="R38" s="30">
        <v>2.2929870621364028E-2</v>
      </c>
      <c r="S38" s="43">
        <v>-3.1500000000000001E-4</v>
      </c>
      <c r="T38" s="43">
        <v>-2.8800000000000001E-4</v>
      </c>
      <c r="U38" s="43">
        <v>-2.9E-5</v>
      </c>
      <c r="W38" s="30">
        <v>2.047321722136404E-2</v>
      </c>
      <c r="X38" s="43">
        <v>-3.4499999999999998E-4</v>
      </c>
      <c r="Y38" s="43">
        <v>-3.1300000000000002E-4</v>
      </c>
      <c r="Z38" s="43">
        <v>-3.9999999999999998E-6</v>
      </c>
      <c r="AA38" s="30">
        <v>2.2929870621364028E-2</v>
      </c>
      <c r="AB38" s="43">
        <v>-3.4299999999999999E-4</v>
      </c>
      <c r="AC38" s="43">
        <v>-3.1100000000000002E-4</v>
      </c>
      <c r="AD38" s="43">
        <v>-1.9999999999999999E-6</v>
      </c>
      <c r="AF38" s="30">
        <v>2.047321722136404E-2</v>
      </c>
      <c r="AG38" s="43">
        <v>-4.4499999999999997E-4</v>
      </c>
      <c r="AH38" s="43">
        <v>-4.46E-4</v>
      </c>
      <c r="AI38" s="43">
        <v>1.5E-5</v>
      </c>
      <c r="AJ38" s="30">
        <v>2.2929870621364028E-2</v>
      </c>
      <c r="AK38" s="43">
        <v>-4.73E-4</v>
      </c>
      <c r="AL38" s="43">
        <v>-4.7399999999999997E-4</v>
      </c>
      <c r="AM38" s="43">
        <v>4.1999999999999998E-5</v>
      </c>
      <c r="AO38" s="30">
        <v>2.047321722136404E-2</v>
      </c>
      <c r="AP38" s="43">
        <v>-2.9100000000000003E-4</v>
      </c>
      <c r="AQ38" s="43">
        <v>-2.9100000000000003E-4</v>
      </c>
      <c r="AR38" s="43">
        <v>-1.3200000000000001E-4</v>
      </c>
      <c r="AS38" s="30">
        <v>2.2929870621364028E-2</v>
      </c>
      <c r="AT38" s="43">
        <v>-2.9999999999999997E-4</v>
      </c>
      <c r="AU38" s="43">
        <v>-2.9999999999999997E-4</v>
      </c>
      <c r="AV38" s="43">
        <v>-1.2300000000000001E-4</v>
      </c>
      <c r="AX38" s="30">
        <v>2.047321722136404E-2</v>
      </c>
      <c r="AY38" s="43">
        <v>-4.4799999999999999E-4</v>
      </c>
      <c r="AZ38" s="43">
        <v>-4.4799999999999999E-4</v>
      </c>
      <c r="BA38" s="43">
        <v>1.5E-5</v>
      </c>
      <c r="BB38" s="30">
        <v>2.2929870621364028E-2</v>
      </c>
      <c r="BC38" s="43">
        <v>-4.7600000000000002E-4</v>
      </c>
      <c r="BD38" s="43">
        <v>-4.7699999999999999E-4</v>
      </c>
      <c r="BE38" s="43">
        <v>4.3000000000000002E-5</v>
      </c>
      <c r="BG38" s="30">
        <v>2.047321722136404E-2</v>
      </c>
      <c r="BH38" s="43">
        <v>-2.8899999999999998E-4</v>
      </c>
      <c r="BI38" s="43">
        <v>-2.8899999999999998E-4</v>
      </c>
      <c r="BJ38" s="43">
        <v>-1.36E-4</v>
      </c>
      <c r="BK38" s="30">
        <v>2.2929870621364028E-2</v>
      </c>
      <c r="BL38" s="43">
        <v>-2.9799999999999998E-4</v>
      </c>
      <c r="BM38" s="43">
        <v>-2.9799999999999998E-4</v>
      </c>
      <c r="BN38" s="43">
        <v>-1.27E-4</v>
      </c>
      <c r="BP38" s="30">
        <v>2.047321722136404E-2</v>
      </c>
      <c r="BQ38" s="43">
        <v>-4.06E-4</v>
      </c>
      <c r="BR38" s="43">
        <v>-3.9800000000000002E-4</v>
      </c>
      <c r="BS38" s="43">
        <v>1.3300000000000001E-4</v>
      </c>
      <c r="BT38" s="30">
        <v>2.2929870621364028E-2</v>
      </c>
      <c r="BU38" s="43">
        <v>-4.3600000000000003E-4</v>
      </c>
      <c r="BV38" s="43">
        <v>-4.28E-4</v>
      </c>
      <c r="BW38" s="43">
        <v>1.64E-4</v>
      </c>
      <c r="BY38" s="30">
        <v>2.047321722136404E-2</v>
      </c>
      <c r="BZ38" s="43">
        <v>-2.92E-4</v>
      </c>
      <c r="CA38" s="43">
        <v>-2.7700000000000001E-4</v>
      </c>
      <c r="CB38" s="43">
        <v>1.9000000000000001E-5</v>
      </c>
      <c r="CC38" s="30">
        <v>2.2929870621364028E-2</v>
      </c>
      <c r="CD38" s="43">
        <v>-3.0200000000000002E-4</v>
      </c>
      <c r="CE38" s="43">
        <v>-2.8699999999999998E-4</v>
      </c>
      <c r="CF38" s="43">
        <v>2.9E-5</v>
      </c>
      <c r="CH38" s="30">
        <v>2.047321722136404E-2</v>
      </c>
      <c r="CI38" s="43">
        <v>-3.3700000000000001E-4</v>
      </c>
      <c r="CJ38" s="43">
        <v>-3.1399999999999999E-4</v>
      </c>
      <c r="CK38" s="43">
        <v>-1.16E-4</v>
      </c>
      <c r="CL38" s="30">
        <v>2.2929870621364028E-2</v>
      </c>
      <c r="CM38" s="43">
        <v>-3.5199999999999999E-4</v>
      </c>
      <c r="CN38" s="43">
        <v>-3.2600000000000001E-4</v>
      </c>
      <c r="CO38" s="43">
        <v>-1.0399999999999999E-4</v>
      </c>
      <c r="CQ38" s="30">
        <v>2.047321722136404E-2</v>
      </c>
      <c r="CR38" s="43">
        <v>-2.14E-4</v>
      </c>
      <c r="CS38" s="43">
        <v>-2.13E-4</v>
      </c>
      <c r="CT38" s="43">
        <v>-2.0900000000000001E-4</v>
      </c>
      <c r="CU38" s="30">
        <v>2.2929870621364028E-2</v>
      </c>
      <c r="CV38" s="43">
        <v>-2.14E-4</v>
      </c>
      <c r="CW38" s="43">
        <v>-2.13E-4</v>
      </c>
      <c r="CX38" s="43">
        <v>-2.0900000000000001E-4</v>
      </c>
    </row>
    <row r="39" spans="2:102" x14ac:dyDescent="0.25">
      <c r="H39" s="73"/>
      <c r="I39" s="73"/>
      <c r="N39" s="30">
        <v>2.1155621254697374E-2</v>
      </c>
      <c r="O39" s="43">
        <v>-3.0600000000000001E-4</v>
      </c>
      <c r="P39" s="43">
        <v>-2.81E-4</v>
      </c>
      <c r="Q39" s="43">
        <v>-3.8000000000000002E-5</v>
      </c>
      <c r="R39" s="30">
        <v>2.3748755421364027E-2</v>
      </c>
      <c r="S39" s="43">
        <v>-3.19E-4</v>
      </c>
      <c r="T39" s="43">
        <v>-2.9100000000000003E-4</v>
      </c>
      <c r="U39" s="43">
        <v>-2.4000000000000001E-5</v>
      </c>
      <c r="W39" s="30">
        <v>2.1155621254697374E-2</v>
      </c>
      <c r="X39" s="43">
        <v>-3.4400000000000001E-4</v>
      </c>
      <c r="Y39" s="43">
        <v>-3.1199999999999999E-4</v>
      </c>
      <c r="Z39" s="43">
        <v>-3.0000000000000001E-6</v>
      </c>
      <c r="AA39" s="30">
        <v>2.3748755421364027E-2</v>
      </c>
      <c r="AB39" s="43">
        <v>-3.4299999999999999E-4</v>
      </c>
      <c r="AC39" s="43">
        <v>-3.1100000000000002E-4</v>
      </c>
      <c r="AD39" s="43">
        <v>-9.9999999999999995E-7</v>
      </c>
      <c r="AF39" s="30">
        <v>2.1155621254697374E-2</v>
      </c>
      <c r="AG39" s="43">
        <v>-4.5300000000000001E-4</v>
      </c>
      <c r="AH39" s="43">
        <v>-4.5399999999999998E-4</v>
      </c>
      <c r="AI39" s="43">
        <v>2.1999999999999999E-5</v>
      </c>
      <c r="AJ39" s="30">
        <v>2.3748755421364027E-2</v>
      </c>
      <c r="AK39" s="43">
        <v>-4.8299999999999998E-4</v>
      </c>
      <c r="AL39" s="43">
        <v>-4.84E-4</v>
      </c>
      <c r="AM39" s="43">
        <v>5.1999999999999997E-5</v>
      </c>
      <c r="AO39" s="30">
        <v>2.1155621254697374E-2</v>
      </c>
      <c r="AP39" s="43">
        <v>-2.9399999999999999E-4</v>
      </c>
      <c r="AQ39" s="43">
        <v>-2.9399999999999999E-4</v>
      </c>
      <c r="AR39" s="43">
        <v>-1.2999999999999999E-4</v>
      </c>
      <c r="AS39" s="30">
        <v>2.3748755421364027E-2</v>
      </c>
      <c r="AT39" s="43">
        <v>-3.0299999999999999E-4</v>
      </c>
      <c r="AU39" s="43">
        <v>-3.0299999999999999E-4</v>
      </c>
      <c r="AV39" s="43">
        <v>-1.2E-4</v>
      </c>
      <c r="AX39" s="30">
        <v>2.1155621254697374E-2</v>
      </c>
      <c r="AY39" s="43">
        <v>-4.55E-4</v>
      </c>
      <c r="AZ39" s="43">
        <v>-4.5600000000000003E-4</v>
      </c>
      <c r="BA39" s="43">
        <v>2.3E-5</v>
      </c>
      <c r="BB39" s="30">
        <v>2.3748755421364027E-2</v>
      </c>
      <c r="BC39" s="43">
        <v>-4.8500000000000003E-4</v>
      </c>
      <c r="BD39" s="43">
        <v>-4.86E-4</v>
      </c>
      <c r="BE39" s="43">
        <v>5.1999999999999997E-5</v>
      </c>
      <c r="BG39" s="30">
        <v>2.1155621254697374E-2</v>
      </c>
      <c r="BH39" s="43">
        <v>-2.92E-4</v>
      </c>
      <c r="BI39" s="43">
        <v>-2.92E-4</v>
      </c>
      <c r="BJ39" s="43">
        <v>-1.34E-4</v>
      </c>
      <c r="BK39" s="30">
        <v>2.3748755421364027E-2</v>
      </c>
      <c r="BL39" s="43">
        <v>-3.01E-4</v>
      </c>
      <c r="BM39" s="43">
        <v>-3.0200000000000002E-4</v>
      </c>
      <c r="BN39" s="43">
        <v>-1.2400000000000001E-4</v>
      </c>
      <c r="BP39" s="30">
        <v>2.1155621254697374E-2</v>
      </c>
      <c r="BQ39" s="43">
        <v>-4.15E-4</v>
      </c>
      <c r="BR39" s="43">
        <v>-4.06E-4</v>
      </c>
      <c r="BS39" s="43">
        <v>1.4200000000000001E-4</v>
      </c>
      <c r="BT39" s="30">
        <v>2.3748755421364027E-2</v>
      </c>
      <c r="BU39" s="43">
        <v>-4.4700000000000002E-4</v>
      </c>
      <c r="BV39" s="43">
        <v>-4.3800000000000002E-4</v>
      </c>
      <c r="BW39" s="43">
        <v>1.75E-4</v>
      </c>
      <c r="BY39" s="30">
        <v>2.1155621254697374E-2</v>
      </c>
      <c r="BZ39" s="43">
        <v>-2.9500000000000001E-4</v>
      </c>
      <c r="CA39" s="43">
        <v>-2.7999999999999998E-4</v>
      </c>
      <c r="CB39" s="43">
        <v>2.1999999999999999E-5</v>
      </c>
      <c r="CC39" s="30">
        <v>2.3748755421364027E-2</v>
      </c>
      <c r="CD39" s="43">
        <v>-3.0499999999999999E-4</v>
      </c>
      <c r="CE39" s="43">
        <v>-2.9E-4</v>
      </c>
      <c r="CF39" s="43">
        <v>3.1999999999999999E-5</v>
      </c>
      <c r="CH39" s="30">
        <v>2.1155621254697374E-2</v>
      </c>
      <c r="CI39" s="43">
        <v>-3.4099999999999999E-4</v>
      </c>
      <c r="CJ39" s="43">
        <v>-3.1799999999999998E-4</v>
      </c>
      <c r="CK39" s="43">
        <v>-1.13E-4</v>
      </c>
      <c r="CL39" s="30">
        <v>2.3748755421364027E-2</v>
      </c>
      <c r="CM39" s="43">
        <v>-3.57E-4</v>
      </c>
      <c r="CN39" s="43">
        <v>-3.3E-4</v>
      </c>
      <c r="CO39" s="43">
        <v>-1E-4</v>
      </c>
      <c r="CQ39" s="30">
        <v>2.1155621254697374E-2</v>
      </c>
      <c r="CR39" s="43">
        <v>-2.14E-4</v>
      </c>
      <c r="CS39" s="43">
        <v>-2.13E-4</v>
      </c>
      <c r="CT39" s="43">
        <v>-2.0900000000000001E-4</v>
      </c>
      <c r="CU39" s="30">
        <v>2.3748755421364027E-2</v>
      </c>
      <c r="CV39" s="43">
        <v>-2.14E-4</v>
      </c>
      <c r="CW39" s="43">
        <v>-2.13E-4</v>
      </c>
      <c r="CX39" s="43">
        <v>-2.0900000000000001E-4</v>
      </c>
    </row>
    <row r="40" spans="2:102" x14ac:dyDescent="0.25">
      <c r="H40" s="1"/>
      <c r="I40" s="1"/>
      <c r="N40" s="30">
        <v>2.1838025288030707E-2</v>
      </c>
      <c r="O40" s="43">
        <v>-3.0899999999999998E-4</v>
      </c>
      <c r="P40" s="43">
        <v>-2.8299999999999999E-4</v>
      </c>
      <c r="Q40" s="43">
        <v>-3.4999999999999997E-5</v>
      </c>
      <c r="R40" s="30">
        <v>2.4567640221364026E-2</v>
      </c>
      <c r="S40" s="43">
        <v>-3.2299999999999999E-4</v>
      </c>
      <c r="T40" s="43">
        <v>-2.9399999999999999E-4</v>
      </c>
      <c r="U40" s="43">
        <v>-2.0000000000000002E-5</v>
      </c>
      <c r="W40" s="30">
        <v>2.1838025288030707E-2</v>
      </c>
      <c r="X40" s="43">
        <v>-3.4400000000000001E-4</v>
      </c>
      <c r="Y40" s="43">
        <v>-3.1199999999999999E-4</v>
      </c>
      <c r="Z40" s="43">
        <v>-3.0000000000000001E-6</v>
      </c>
      <c r="AA40" s="30">
        <v>2.4567640221364026E-2</v>
      </c>
      <c r="AB40" s="43">
        <v>-3.4200000000000002E-4</v>
      </c>
      <c r="AC40" s="43">
        <v>-3.1E-4</v>
      </c>
      <c r="AD40" s="43">
        <v>-3.735E-7</v>
      </c>
      <c r="AF40" s="30">
        <v>2.1838025288030707E-2</v>
      </c>
      <c r="AG40" s="43">
        <v>-4.6099999999999998E-4</v>
      </c>
      <c r="AH40" s="43">
        <v>-4.6200000000000001E-4</v>
      </c>
      <c r="AI40" s="43">
        <v>3.0000000000000001E-5</v>
      </c>
      <c r="AJ40" s="30">
        <v>2.4567640221364026E-2</v>
      </c>
      <c r="AK40" s="43">
        <v>-4.9200000000000003E-4</v>
      </c>
      <c r="AL40" s="43">
        <v>-4.9299999999999995E-4</v>
      </c>
      <c r="AM40" s="43">
        <v>6.0999999999999999E-5</v>
      </c>
      <c r="AO40" s="30">
        <v>2.1838025288030707E-2</v>
      </c>
      <c r="AP40" s="43">
        <v>-2.9599999999999998E-4</v>
      </c>
      <c r="AQ40" s="43">
        <v>-2.9599999999999998E-4</v>
      </c>
      <c r="AR40" s="43">
        <v>-1.27E-4</v>
      </c>
      <c r="AS40" s="30">
        <v>2.4567640221364026E-2</v>
      </c>
      <c r="AT40" s="43">
        <v>-3.0600000000000001E-4</v>
      </c>
      <c r="AU40" s="43">
        <v>-3.0699999999999998E-4</v>
      </c>
      <c r="AV40" s="43">
        <v>-1.17E-4</v>
      </c>
      <c r="AX40" s="30">
        <v>2.1838025288030707E-2</v>
      </c>
      <c r="AY40" s="43">
        <v>-4.6299999999999998E-4</v>
      </c>
      <c r="AZ40" s="43">
        <v>-4.64E-4</v>
      </c>
      <c r="BA40" s="43">
        <v>3.1000000000000001E-5</v>
      </c>
      <c r="BB40" s="30">
        <v>2.4567640221364026E-2</v>
      </c>
      <c r="BC40" s="43">
        <v>-4.95E-4</v>
      </c>
      <c r="BD40" s="43">
        <v>-4.9600000000000002E-4</v>
      </c>
      <c r="BE40" s="43">
        <v>6.0999999999999999E-5</v>
      </c>
      <c r="BG40" s="30">
        <v>2.1838025288030707E-2</v>
      </c>
      <c r="BH40" s="43">
        <v>-2.9399999999999999E-4</v>
      </c>
      <c r="BI40" s="43">
        <v>-2.9399999999999999E-4</v>
      </c>
      <c r="BJ40" s="43">
        <v>-1.3100000000000001E-4</v>
      </c>
      <c r="BK40" s="30">
        <v>2.4567640221364026E-2</v>
      </c>
      <c r="BL40" s="43">
        <v>-3.0499999999999999E-4</v>
      </c>
      <c r="BM40" s="43">
        <v>-3.0499999999999999E-4</v>
      </c>
      <c r="BN40" s="43">
        <v>-1.21E-4</v>
      </c>
      <c r="BP40" s="30">
        <v>2.1838025288030707E-2</v>
      </c>
      <c r="BQ40" s="43">
        <v>-4.2299999999999998E-4</v>
      </c>
      <c r="BR40" s="43">
        <v>-4.15E-4</v>
      </c>
      <c r="BS40" s="43">
        <v>1.4999999999999999E-4</v>
      </c>
      <c r="BT40" s="30">
        <v>2.4567640221364026E-2</v>
      </c>
      <c r="BU40" s="43">
        <v>-4.57E-4</v>
      </c>
      <c r="BV40" s="43">
        <v>-4.4799999999999999E-4</v>
      </c>
      <c r="BW40" s="43">
        <v>1.85E-4</v>
      </c>
      <c r="BY40" s="30">
        <v>2.1838025288030707E-2</v>
      </c>
      <c r="BZ40" s="43">
        <v>-2.9799999999999998E-4</v>
      </c>
      <c r="CA40" s="43">
        <v>-2.8200000000000002E-4</v>
      </c>
      <c r="CB40" s="43">
        <v>2.4000000000000001E-5</v>
      </c>
      <c r="CC40" s="30">
        <v>2.4567640221364026E-2</v>
      </c>
      <c r="CD40" s="43">
        <v>-3.0899999999999998E-4</v>
      </c>
      <c r="CE40" s="43">
        <v>-2.9300000000000002E-4</v>
      </c>
      <c r="CF40" s="43">
        <v>3.4999999999999997E-5</v>
      </c>
      <c r="CH40" s="30">
        <v>2.1838025288030707E-2</v>
      </c>
      <c r="CI40" s="43">
        <v>-3.4499999999999998E-4</v>
      </c>
      <c r="CJ40" s="43">
        <v>-3.21E-4</v>
      </c>
      <c r="CK40" s="43">
        <v>-1.1E-4</v>
      </c>
      <c r="CL40" s="30">
        <v>2.4567640221364026E-2</v>
      </c>
      <c r="CM40" s="43">
        <v>-3.6200000000000002E-4</v>
      </c>
      <c r="CN40" s="43">
        <v>-3.3399999999999999E-4</v>
      </c>
      <c r="CO40" s="43">
        <v>-9.6000000000000002E-5</v>
      </c>
      <c r="CQ40" s="30">
        <v>2.1838025288030707E-2</v>
      </c>
      <c r="CR40" s="43">
        <v>-2.14E-4</v>
      </c>
      <c r="CS40" s="43">
        <v>-2.13E-4</v>
      </c>
      <c r="CT40" s="43">
        <v>-2.0900000000000001E-4</v>
      </c>
      <c r="CU40" s="30">
        <v>2.4567640221364026E-2</v>
      </c>
      <c r="CV40" s="43">
        <v>-2.14E-4</v>
      </c>
      <c r="CW40" s="43">
        <v>-2.13E-4</v>
      </c>
      <c r="CX40" s="43">
        <v>-2.0900000000000001E-4</v>
      </c>
    </row>
    <row r="41" spans="2:102" x14ac:dyDescent="0.25">
      <c r="H41" s="1"/>
      <c r="I41" s="1"/>
      <c r="N41" s="30">
        <v>2.2520429321364041E-2</v>
      </c>
      <c r="O41" s="43">
        <v>-3.1300000000000002E-4</v>
      </c>
      <c r="P41" s="43">
        <v>-2.8600000000000001E-4</v>
      </c>
      <c r="Q41" s="43">
        <v>-3.1000000000000001E-5</v>
      </c>
      <c r="R41" s="30">
        <v>2.4567640221364026E-2</v>
      </c>
      <c r="S41" s="43">
        <v>-3.2299999999999999E-4</v>
      </c>
      <c r="T41" s="43">
        <v>-2.9399999999999999E-4</v>
      </c>
      <c r="U41" s="43">
        <v>-2.0000000000000002E-5</v>
      </c>
      <c r="W41" s="30">
        <v>2.2520429321364041E-2</v>
      </c>
      <c r="X41" s="43">
        <v>-3.4400000000000001E-4</v>
      </c>
      <c r="Y41" s="43">
        <v>-3.1100000000000002E-4</v>
      </c>
      <c r="Z41" s="43">
        <v>-1.9999999999999999E-6</v>
      </c>
      <c r="AA41" s="30">
        <v>2.4567640221364026E-2</v>
      </c>
      <c r="AB41" s="43">
        <v>-3.4200000000000002E-4</v>
      </c>
      <c r="AC41" s="43">
        <v>-3.1E-4</v>
      </c>
      <c r="AD41" s="43">
        <v>-3.735E-7</v>
      </c>
      <c r="AF41" s="30">
        <v>2.2520429321364041E-2</v>
      </c>
      <c r="AG41" s="43">
        <v>-4.6900000000000002E-4</v>
      </c>
      <c r="AH41" s="43">
        <v>-4.6999999999999999E-4</v>
      </c>
      <c r="AI41" s="43">
        <v>3.8000000000000002E-5</v>
      </c>
      <c r="AJ41" s="30">
        <v>2.4567640221364026E-2</v>
      </c>
      <c r="AK41" s="43">
        <v>-4.9200000000000003E-4</v>
      </c>
      <c r="AL41" s="43">
        <v>-4.9299999999999995E-4</v>
      </c>
      <c r="AM41" s="43">
        <v>6.0999999999999999E-5</v>
      </c>
      <c r="AO41" s="30">
        <v>2.2520429321364041E-2</v>
      </c>
      <c r="AP41" s="43">
        <v>-2.99E-4</v>
      </c>
      <c r="AQ41" s="43">
        <v>-2.99E-4</v>
      </c>
      <c r="AR41" s="43">
        <v>-1.25E-4</v>
      </c>
      <c r="AS41" s="30">
        <v>2.4567640221364026E-2</v>
      </c>
      <c r="AT41" s="43">
        <v>-3.0600000000000001E-4</v>
      </c>
      <c r="AU41" s="43">
        <v>-3.0699999999999998E-4</v>
      </c>
      <c r="AV41" s="43">
        <v>-1.17E-4</v>
      </c>
      <c r="AX41" s="30">
        <v>2.2520429321364041E-2</v>
      </c>
      <c r="AY41" s="43">
        <v>-4.7100000000000001E-4</v>
      </c>
      <c r="AZ41" s="43">
        <v>-4.7199999999999998E-4</v>
      </c>
      <c r="BA41" s="43">
        <v>3.8000000000000002E-5</v>
      </c>
      <c r="BB41" s="30">
        <v>2.4567640221364026E-2</v>
      </c>
      <c r="BC41" s="43">
        <v>-4.95E-4</v>
      </c>
      <c r="BD41" s="43">
        <v>-4.9600000000000002E-4</v>
      </c>
      <c r="BE41" s="43">
        <v>6.0999999999999999E-5</v>
      </c>
      <c r="BG41" s="30">
        <v>2.2520429321364041E-2</v>
      </c>
      <c r="BH41" s="43">
        <v>-2.9700000000000001E-4</v>
      </c>
      <c r="BI41" s="43">
        <v>-2.9700000000000001E-4</v>
      </c>
      <c r="BJ41" s="43">
        <v>-1.2799999999999999E-4</v>
      </c>
      <c r="BK41" s="30">
        <v>2.4567640221364026E-2</v>
      </c>
      <c r="BL41" s="43">
        <v>-3.0499999999999999E-4</v>
      </c>
      <c r="BM41" s="43">
        <v>-3.0499999999999999E-4</v>
      </c>
      <c r="BN41" s="43">
        <v>-1.21E-4</v>
      </c>
      <c r="BP41" s="30">
        <v>2.2520429321364041E-2</v>
      </c>
      <c r="BQ41" s="43">
        <v>-4.3100000000000001E-4</v>
      </c>
      <c r="BR41" s="43">
        <v>-4.2299999999999998E-4</v>
      </c>
      <c r="BS41" s="43">
        <v>1.5799999999999999E-4</v>
      </c>
      <c r="BT41" s="30">
        <v>2.4567640221364026E-2</v>
      </c>
      <c r="BU41" s="43">
        <v>-4.57E-4</v>
      </c>
      <c r="BV41" s="43">
        <v>-4.4799999999999999E-4</v>
      </c>
      <c r="BW41" s="43">
        <v>1.85E-4</v>
      </c>
      <c r="BY41" s="30">
        <v>2.2520429321364041E-2</v>
      </c>
      <c r="BZ41" s="43">
        <v>-2.9999999999999997E-4</v>
      </c>
      <c r="CA41" s="43">
        <v>-2.8499999999999999E-4</v>
      </c>
      <c r="CB41" s="43">
        <v>2.6999999999999999E-5</v>
      </c>
      <c r="CC41" s="30">
        <v>2.4567640221364026E-2</v>
      </c>
      <c r="CD41" s="43">
        <v>-3.0899999999999998E-4</v>
      </c>
      <c r="CE41" s="43">
        <v>-2.9300000000000002E-4</v>
      </c>
      <c r="CF41" s="43">
        <v>3.4999999999999997E-5</v>
      </c>
      <c r="CH41" s="30">
        <v>2.2520429321364041E-2</v>
      </c>
      <c r="CI41" s="43">
        <v>-3.4900000000000003E-4</v>
      </c>
      <c r="CJ41" s="43">
        <v>-3.2400000000000001E-4</v>
      </c>
      <c r="CK41" s="43">
        <v>-1.06E-4</v>
      </c>
      <c r="CL41" s="30">
        <v>2.4567640221364026E-2</v>
      </c>
      <c r="CM41" s="43">
        <v>-3.6200000000000002E-4</v>
      </c>
      <c r="CN41" s="43">
        <v>-3.3399999999999999E-4</v>
      </c>
      <c r="CO41" s="43">
        <v>-9.6000000000000002E-5</v>
      </c>
      <c r="CQ41" s="30">
        <v>2.2520429321364041E-2</v>
      </c>
      <c r="CR41" s="43">
        <v>-2.14E-4</v>
      </c>
      <c r="CS41" s="43">
        <v>-2.13E-4</v>
      </c>
      <c r="CT41" s="43">
        <v>-2.0900000000000001E-4</v>
      </c>
      <c r="CU41" s="30">
        <v>2.4567640221364026E-2</v>
      </c>
      <c r="CV41" s="43">
        <v>-2.14E-4</v>
      </c>
      <c r="CW41" s="43">
        <v>-2.13E-4</v>
      </c>
      <c r="CX41" s="43">
        <v>-2.0900000000000001E-4</v>
      </c>
    </row>
    <row r="42" spans="2:102" x14ac:dyDescent="0.25">
      <c r="N42" s="30">
        <v>2.3202833354697375E-2</v>
      </c>
      <c r="O42" s="43">
        <v>-3.1599999999999998E-4</v>
      </c>
      <c r="P42" s="43">
        <v>-2.8899999999999998E-4</v>
      </c>
      <c r="Q42" s="43">
        <v>-2.6999999999999999E-5</v>
      </c>
      <c r="R42" s="30">
        <v>2.5386525021364025E-2</v>
      </c>
      <c r="S42" s="43">
        <v>-3.2600000000000001E-4</v>
      </c>
      <c r="T42" s="43">
        <v>-2.9700000000000001E-4</v>
      </c>
      <c r="U42" s="43">
        <v>-1.5999999999999999E-5</v>
      </c>
      <c r="W42" s="30">
        <v>2.3202833354697375E-2</v>
      </c>
      <c r="X42" s="43">
        <v>-3.4299999999999999E-4</v>
      </c>
      <c r="Y42" s="43">
        <v>-3.1100000000000002E-4</v>
      </c>
      <c r="Z42" s="43">
        <v>-1.9999999999999999E-6</v>
      </c>
      <c r="AA42" s="30">
        <v>2.5386525021364025E-2</v>
      </c>
      <c r="AB42" s="43">
        <v>-3.4200000000000002E-4</v>
      </c>
      <c r="AC42" s="43">
        <v>-3.0899999999999998E-4</v>
      </c>
      <c r="AD42" s="43">
        <v>3.6660000000000001E-7</v>
      </c>
      <c r="AF42" s="30">
        <v>2.3202833354697375E-2</v>
      </c>
      <c r="AG42" s="43">
        <v>-4.7600000000000002E-4</v>
      </c>
      <c r="AH42" s="43">
        <v>-4.7699999999999999E-4</v>
      </c>
      <c r="AI42" s="43">
        <v>4.5000000000000003E-5</v>
      </c>
      <c r="AJ42" s="30">
        <v>2.5386525021364025E-2</v>
      </c>
      <c r="AK42" s="43">
        <v>-5.0100000000000003E-4</v>
      </c>
      <c r="AL42" s="43">
        <v>-5.0299999999999997E-4</v>
      </c>
      <c r="AM42" s="43">
        <v>6.9999999999999994E-5</v>
      </c>
      <c r="AO42" s="30">
        <v>2.3202833354697375E-2</v>
      </c>
      <c r="AP42" s="43">
        <v>-3.01E-4</v>
      </c>
      <c r="AQ42" s="43">
        <v>-3.01E-4</v>
      </c>
      <c r="AR42" s="43">
        <v>-1.22E-4</v>
      </c>
      <c r="AS42" s="30">
        <v>2.5386525021364025E-2</v>
      </c>
      <c r="AT42" s="43">
        <v>-3.0899999999999998E-4</v>
      </c>
      <c r="AU42" s="43">
        <v>-3.1E-4</v>
      </c>
      <c r="AV42" s="43">
        <v>-1.1400000000000001E-4</v>
      </c>
      <c r="AX42" s="30">
        <v>2.3202833354697375E-2</v>
      </c>
      <c r="AY42" s="43">
        <v>-4.7899999999999999E-4</v>
      </c>
      <c r="AZ42" s="43">
        <v>-4.8000000000000001E-4</v>
      </c>
      <c r="BA42" s="43">
        <v>4.6E-5</v>
      </c>
      <c r="BB42" s="30">
        <v>2.5386525021364025E-2</v>
      </c>
      <c r="BC42" s="43">
        <v>-5.04E-4</v>
      </c>
      <c r="BD42" s="43">
        <v>-5.0500000000000002E-4</v>
      </c>
      <c r="BE42" s="43">
        <v>7.1000000000000005E-5</v>
      </c>
      <c r="BG42" s="30">
        <v>2.3202833354697375E-2</v>
      </c>
      <c r="BH42" s="43">
        <v>-2.99E-4</v>
      </c>
      <c r="BI42" s="43">
        <v>-2.9999999999999997E-4</v>
      </c>
      <c r="BJ42" s="43">
        <v>-1.26E-4</v>
      </c>
      <c r="BK42" s="30">
        <v>2.5386525021364025E-2</v>
      </c>
      <c r="BL42" s="43">
        <v>-3.0800000000000001E-4</v>
      </c>
      <c r="BM42" s="43">
        <v>-3.0800000000000001E-4</v>
      </c>
      <c r="BN42" s="43">
        <v>-1.18E-4</v>
      </c>
      <c r="BP42" s="30">
        <v>2.3202833354697375E-2</v>
      </c>
      <c r="BQ42" s="43">
        <v>-4.4000000000000002E-4</v>
      </c>
      <c r="BR42" s="43">
        <v>-4.3100000000000001E-4</v>
      </c>
      <c r="BS42" s="43">
        <v>1.6699999999999999E-4</v>
      </c>
      <c r="BT42" s="30">
        <v>2.5386525021364025E-2</v>
      </c>
      <c r="BU42" s="43">
        <v>-4.6700000000000002E-4</v>
      </c>
      <c r="BV42" s="43">
        <v>-4.5899999999999999E-4</v>
      </c>
      <c r="BW42" s="43">
        <v>1.9599999999999999E-4</v>
      </c>
      <c r="BY42" s="30">
        <v>2.3202833354697375E-2</v>
      </c>
      <c r="BZ42" s="43">
        <v>-3.0299999999999999E-4</v>
      </c>
      <c r="CA42" s="43">
        <v>-2.8800000000000001E-4</v>
      </c>
      <c r="CB42" s="43">
        <v>3.0000000000000001E-5</v>
      </c>
      <c r="CC42" s="30">
        <v>2.5386525021364025E-2</v>
      </c>
      <c r="CD42" s="43">
        <v>-3.1199999999999999E-4</v>
      </c>
      <c r="CE42" s="43">
        <v>-2.9700000000000001E-4</v>
      </c>
      <c r="CF42" s="43">
        <v>3.8000000000000002E-5</v>
      </c>
      <c r="CH42" s="30">
        <v>2.3202833354697375E-2</v>
      </c>
      <c r="CI42" s="43">
        <v>-3.5300000000000002E-4</v>
      </c>
      <c r="CJ42" s="43">
        <v>-3.28E-4</v>
      </c>
      <c r="CK42" s="43">
        <v>-1.03E-4</v>
      </c>
      <c r="CL42" s="30">
        <v>2.5386525021364025E-2</v>
      </c>
      <c r="CM42" s="43">
        <v>-3.6699999999999998E-4</v>
      </c>
      <c r="CN42" s="43">
        <v>-3.39E-4</v>
      </c>
      <c r="CO42" s="43">
        <v>-9.2E-5</v>
      </c>
      <c r="CQ42" s="30">
        <v>2.3202833354697375E-2</v>
      </c>
      <c r="CR42" s="43">
        <v>-2.14E-4</v>
      </c>
      <c r="CS42" s="43">
        <v>-2.13E-4</v>
      </c>
      <c r="CT42" s="43">
        <v>-2.0900000000000001E-4</v>
      </c>
      <c r="CU42" s="30">
        <v>2.5386525021364025E-2</v>
      </c>
      <c r="CV42" s="43">
        <v>-2.13E-4</v>
      </c>
      <c r="CW42" s="43">
        <v>-2.13E-4</v>
      </c>
      <c r="CX42" s="43">
        <v>-2.0900000000000001E-4</v>
      </c>
    </row>
    <row r="43" spans="2:102" x14ac:dyDescent="0.25">
      <c r="N43" s="30">
        <v>2.3885237388030712E-2</v>
      </c>
      <c r="O43" s="43">
        <v>-3.19E-4</v>
      </c>
      <c r="P43" s="43">
        <v>-2.9100000000000003E-4</v>
      </c>
      <c r="Q43" s="43">
        <v>-2.4000000000000001E-5</v>
      </c>
      <c r="R43" s="30">
        <v>2.6205409821364024E-2</v>
      </c>
      <c r="S43" s="43">
        <v>-3.3E-4</v>
      </c>
      <c r="T43" s="43">
        <v>-2.9999999999999997E-4</v>
      </c>
      <c r="U43" s="43">
        <v>-1.1E-5</v>
      </c>
      <c r="W43" s="30">
        <v>2.3885237388030712E-2</v>
      </c>
      <c r="X43" s="43">
        <v>-3.4299999999999999E-4</v>
      </c>
      <c r="Y43" s="43">
        <v>-3.1E-4</v>
      </c>
      <c r="Z43" s="43">
        <v>-9.9999999999999995E-7</v>
      </c>
      <c r="AA43" s="30">
        <v>2.6205409821364024E-2</v>
      </c>
      <c r="AB43" s="43">
        <v>-3.4099999999999999E-4</v>
      </c>
      <c r="AC43" s="43">
        <v>-3.0899999999999998E-4</v>
      </c>
      <c r="AD43" s="43">
        <v>9.9999999999999995E-7</v>
      </c>
      <c r="AF43" s="30">
        <v>2.3885237388030712E-2</v>
      </c>
      <c r="AG43" s="43">
        <v>-4.84E-4</v>
      </c>
      <c r="AH43" s="43">
        <v>-4.8500000000000003E-4</v>
      </c>
      <c r="AI43" s="43">
        <v>5.3000000000000001E-5</v>
      </c>
      <c r="AJ43" s="30">
        <v>2.6205409821364024E-2</v>
      </c>
      <c r="AK43" s="43">
        <v>-5.1099999999999995E-4</v>
      </c>
      <c r="AL43" s="43">
        <v>-5.1199999999999998E-4</v>
      </c>
      <c r="AM43" s="43">
        <v>7.8999999999999996E-5</v>
      </c>
      <c r="AO43" s="30">
        <v>2.3885237388030712E-2</v>
      </c>
      <c r="AP43" s="43">
        <v>-3.0400000000000002E-4</v>
      </c>
      <c r="AQ43" s="43">
        <v>-3.0400000000000002E-4</v>
      </c>
      <c r="AR43" s="43">
        <v>-1.2E-4</v>
      </c>
      <c r="AS43" s="30">
        <v>2.6205409821364024E-2</v>
      </c>
      <c r="AT43" s="43">
        <v>-3.1199999999999999E-4</v>
      </c>
      <c r="AU43" s="43">
        <v>-3.1300000000000002E-4</v>
      </c>
      <c r="AV43" s="43">
        <v>-1.11E-4</v>
      </c>
      <c r="AX43" s="30">
        <v>2.3885237388030712E-2</v>
      </c>
      <c r="AY43" s="43">
        <v>-4.8700000000000002E-4</v>
      </c>
      <c r="AZ43" s="43">
        <v>-4.8799999999999999E-4</v>
      </c>
      <c r="BA43" s="43">
        <v>5.3000000000000001E-5</v>
      </c>
      <c r="BB43" s="30">
        <v>2.6205409821364024E-2</v>
      </c>
      <c r="BC43" s="43">
        <v>-5.1400000000000003E-4</v>
      </c>
      <c r="BD43" s="43">
        <v>-5.1500000000000005E-4</v>
      </c>
      <c r="BE43" s="43">
        <v>8.0000000000000007E-5</v>
      </c>
      <c r="BG43" s="30">
        <v>2.3885237388030712E-2</v>
      </c>
      <c r="BH43" s="43">
        <v>-3.0200000000000002E-4</v>
      </c>
      <c r="BI43" s="43">
        <v>-3.0200000000000002E-4</v>
      </c>
      <c r="BJ43" s="43">
        <v>-1.2400000000000001E-4</v>
      </c>
      <c r="BK43" s="30">
        <v>2.6205409821364024E-2</v>
      </c>
      <c r="BL43" s="43">
        <v>-3.1100000000000002E-4</v>
      </c>
      <c r="BM43" s="43">
        <v>-3.1100000000000002E-4</v>
      </c>
      <c r="BN43" s="43">
        <v>-1.15E-4</v>
      </c>
      <c r="BP43" s="30">
        <v>2.3885237388030712E-2</v>
      </c>
      <c r="BQ43" s="43">
        <v>-4.4799999999999999E-4</v>
      </c>
      <c r="BR43" s="43">
        <v>-4.4000000000000002E-4</v>
      </c>
      <c r="BS43" s="43">
        <v>1.76E-4</v>
      </c>
      <c r="BT43" s="30">
        <v>2.6205409821364024E-2</v>
      </c>
      <c r="BU43" s="43">
        <v>-4.8000000000000001E-4</v>
      </c>
      <c r="BV43" s="43">
        <v>-4.7100000000000001E-4</v>
      </c>
      <c r="BW43" s="43">
        <v>2.12E-4</v>
      </c>
      <c r="BY43" s="30">
        <v>2.3885237388030712E-2</v>
      </c>
      <c r="BZ43" s="43">
        <v>-3.0600000000000001E-4</v>
      </c>
      <c r="CA43" s="43">
        <v>-2.9100000000000003E-4</v>
      </c>
      <c r="CB43" s="43">
        <v>3.3000000000000003E-5</v>
      </c>
      <c r="CC43" s="30">
        <v>2.6205409821364024E-2</v>
      </c>
      <c r="CD43" s="43">
        <v>-3.1500000000000001E-4</v>
      </c>
      <c r="CE43" s="43">
        <v>-2.9999999999999997E-4</v>
      </c>
      <c r="CF43" s="43">
        <v>4.1E-5</v>
      </c>
      <c r="CH43" s="30">
        <v>2.3885237388030712E-2</v>
      </c>
      <c r="CI43" s="43">
        <v>-3.5799999999999997E-4</v>
      </c>
      <c r="CJ43" s="43">
        <v>-3.3100000000000002E-4</v>
      </c>
      <c r="CK43" s="43">
        <v>-1E-4</v>
      </c>
      <c r="CL43" s="30">
        <v>2.6205409821364024E-2</v>
      </c>
      <c r="CM43" s="43">
        <v>-3.7199999999999999E-4</v>
      </c>
      <c r="CN43" s="43">
        <v>-3.4299999999999999E-4</v>
      </c>
      <c r="CO43" s="43">
        <v>-8.7999999999999998E-5</v>
      </c>
      <c r="CQ43" s="30">
        <v>2.3885237388030712E-2</v>
      </c>
      <c r="CR43" s="43">
        <v>-2.14E-4</v>
      </c>
      <c r="CS43" s="43">
        <v>-2.13E-4</v>
      </c>
      <c r="CT43" s="43">
        <v>-2.0900000000000001E-4</v>
      </c>
      <c r="CU43" s="30">
        <v>2.6205409821364024E-2</v>
      </c>
      <c r="CV43" s="43">
        <v>-2.13E-4</v>
      </c>
      <c r="CW43" s="43">
        <v>-2.13E-4</v>
      </c>
      <c r="CX43" s="43">
        <v>-2.0900000000000001E-4</v>
      </c>
    </row>
    <row r="44" spans="2:102" x14ac:dyDescent="0.25">
      <c r="N44" s="30">
        <v>2.4567641421364046E-2</v>
      </c>
      <c r="O44" s="43">
        <v>-3.2299999999999999E-4</v>
      </c>
      <c r="P44" s="43">
        <v>-2.9399999999999999E-4</v>
      </c>
      <c r="Q44" s="43">
        <v>-2.0000000000000002E-5</v>
      </c>
      <c r="R44" s="30">
        <v>2.7024294621364024E-2</v>
      </c>
      <c r="S44" s="43">
        <v>-3.3399999999999999E-4</v>
      </c>
      <c r="T44" s="43">
        <v>-3.0400000000000002E-4</v>
      </c>
      <c r="U44" s="43">
        <v>-6.9999999999999999E-6</v>
      </c>
      <c r="W44" s="30">
        <v>2.4567641421364046E-2</v>
      </c>
      <c r="X44" s="43">
        <v>-3.4200000000000002E-4</v>
      </c>
      <c r="Y44" s="43">
        <v>-3.1E-4</v>
      </c>
      <c r="Z44" s="43">
        <v>-3.7409999999999999E-7</v>
      </c>
      <c r="AA44" s="30">
        <v>2.7024294621364024E-2</v>
      </c>
      <c r="AB44" s="43">
        <v>-3.4099999999999999E-4</v>
      </c>
      <c r="AC44" s="43">
        <v>-3.0800000000000001E-4</v>
      </c>
      <c r="AD44" s="43">
        <v>1.9999999999999999E-6</v>
      </c>
      <c r="AF44" s="30">
        <v>2.4567641421364046E-2</v>
      </c>
      <c r="AG44" s="43">
        <v>-4.9200000000000003E-4</v>
      </c>
      <c r="AH44" s="43">
        <v>-4.9299999999999995E-4</v>
      </c>
      <c r="AI44" s="43">
        <v>6.0999999999999999E-5</v>
      </c>
      <c r="AJ44" s="30">
        <v>2.7024294621364024E-2</v>
      </c>
      <c r="AK44" s="43">
        <v>-5.1999999999999995E-4</v>
      </c>
      <c r="AL44" s="43">
        <v>-5.2099999999999998E-4</v>
      </c>
      <c r="AM44" s="43">
        <v>8.7999999999999998E-5</v>
      </c>
      <c r="AO44" s="30">
        <v>2.4567641421364046E-2</v>
      </c>
      <c r="AP44" s="43">
        <v>-3.0600000000000001E-4</v>
      </c>
      <c r="AQ44" s="43">
        <v>-3.0699999999999998E-4</v>
      </c>
      <c r="AR44" s="43">
        <v>-1.17E-4</v>
      </c>
      <c r="AS44" s="30">
        <v>2.7024294621364024E-2</v>
      </c>
      <c r="AT44" s="43">
        <v>-3.1500000000000001E-4</v>
      </c>
      <c r="AU44" s="43">
        <v>-3.1599999999999998E-4</v>
      </c>
      <c r="AV44" s="43">
        <v>-1.08E-4</v>
      </c>
      <c r="AX44" s="30">
        <v>2.4567641421364046E-2</v>
      </c>
      <c r="AY44" s="43">
        <v>-4.95E-4</v>
      </c>
      <c r="AZ44" s="43">
        <v>-4.9600000000000002E-4</v>
      </c>
      <c r="BA44" s="43">
        <v>6.0999999999999999E-5</v>
      </c>
      <c r="BB44" s="30">
        <v>2.7024294621364024E-2</v>
      </c>
      <c r="BC44" s="43">
        <v>-5.2400000000000005E-4</v>
      </c>
      <c r="BD44" s="43">
        <v>-5.2499999999999997E-4</v>
      </c>
      <c r="BE44" s="43">
        <v>8.8999999999999995E-5</v>
      </c>
      <c r="BG44" s="30">
        <v>2.4567641421364046E-2</v>
      </c>
      <c r="BH44" s="43">
        <v>-3.0499999999999999E-4</v>
      </c>
      <c r="BI44" s="43">
        <v>-3.0499999999999999E-4</v>
      </c>
      <c r="BJ44" s="43">
        <v>-1.21E-4</v>
      </c>
      <c r="BK44" s="30">
        <v>2.7024294621364024E-2</v>
      </c>
      <c r="BL44" s="43">
        <v>-3.1399999999999999E-4</v>
      </c>
      <c r="BM44" s="43">
        <v>-3.1399999999999999E-4</v>
      </c>
      <c r="BN44" s="43">
        <v>-1.12E-4</v>
      </c>
      <c r="BP44" s="30">
        <v>2.4567641421364046E-2</v>
      </c>
      <c r="BQ44" s="43">
        <v>-4.57E-4</v>
      </c>
      <c r="BR44" s="43">
        <v>-4.4799999999999999E-4</v>
      </c>
      <c r="BS44" s="43">
        <v>1.85E-4</v>
      </c>
      <c r="BT44" s="30">
        <v>2.7024294621364024E-2</v>
      </c>
      <c r="BU44" s="43">
        <v>-4.9100000000000001E-4</v>
      </c>
      <c r="BV44" s="43">
        <v>-4.8200000000000001E-4</v>
      </c>
      <c r="BW44" s="43">
        <v>2.2599999999999999E-4</v>
      </c>
      <c r="BY44" s="30">
        <v>2.4567641421364046E-2</v>
      </c>
      <c r="BZ44" s="43">
        <v>-3.0800000000000001E-4</v>
      </c>
      <c r="CA44" s="43">
        <v>-2.9300000000000002E-4</v>
      </c>
      <c r="CB44" s="43">
        <v>3.4999999999999997E-5</v>
      </c>
      <c r="CC44" s="30">
        <v>2.7024294621364024E-2</v>
      </c>
      <c r="CD44" s="43">
        <v>-3.1799999999999998E-4</v>
      </c>
      <c r="CE44" s="43">
        <v>-3.0299999999999999E-4</v>
      </c>
      <c r="CF44" s="43">
        <v>4.3999999999999999E-5</v>
      </c>
      <c r="CH44" s="30">
        <v>2.4567641421364046E-2</v>
      </c>
      <c r="CI44" s="43">
        <v>-3.6200000000000002E-4</v>
      </c>
      <c r="CJ44" s="43">
        <v>-3.3399999999999999E-4</v>
      </c>
      <c r="CK44" s="43">
        <v>-9.6000000000000002E-5</v>
      </c>
      <c r="CL44" s="30">
        <v>2.7024294621364024E-2</v>
      </c>
      <c r="CM44" s="43">
        <v>-3.7800000000000003E-4</v>
      </c>
      <c r="CN44" s="43">
        <v>-3.4699999999999998E-4</v>
      </c>
      <c r="CO44" s="43">
        <v>-8.3999999999999995E-5</v>
      </c>
      <c r="CQ44" s="30">
        <v>2.4567641421364046E-2</v>
      </c>
      <c r="CR44" s="43">
        <v>-2.14E-4</v>
      </c>
      <c r="CS44" s="43">
        <v>-2.13E-4</v>
      </c>
      <c r="CT44" s="43">
        <v>-2.0900000000000001E-4</v>
      </c>
      <c r="CU44" s="30">
        <v>2.7024294621364024E-2</v>
      </c>
      <c r="CV44" s="43">
        <v>-2.13E-4</v>
      </c>
      <c r="CW44" s="43">
        <v>-2.13E-4</v>
      </c>
      <c r="CX44" s="43">
        <v>-2.0900000000000001E-4</v>
      </c>
    </row>
    <row r="45" spans="2:102" x14ac:dyDescent="0.25">
      <c r="N45" s="30">
        <v>2.5250045454697379E-2</v>
      </c>
      <c r="O45" s="43">
        <v>-3.2600000000000001E-4</v>
      </c>
      <c r="P45" s="43">
        <v>-2.9700000000000001E-4</v>
      </c>
      <c r="Q45" s="43">
        <v>-1.5999999999999999E-5</v>
      </c>
      <c r="R45" s="30">
        <v>2.7843179421364023E-2</v>
      </c>
      <c r="S45" s="43">
        <v>-3.3799999999999998E-4</v>
      </c>
      <c r="T45" s="43">
        <v>-3.0699999999999998E-4</v>
      </c>
      <c r="U45" s="43">
        <v>-3.0000000000000001E-6</v>
      </c>
      <c r="W45" s="30">
        <v>2.5250045454697379E-2</v>
      </c>
      <c r="X45" s="43">
        <v>-3.4200000000000002E-4</v>
      </c>
      <c r="Y45" s="43">
        <v>-3.1E-4</v>
      </c>
      <c r="Z45" s="43">
        <v>2.1869999999999999E-7</v>
      </c>
      <c r="AA45" s="30">
        <v>2.7843179421364023E-2</v>
      </c>
      <c r="AB45" s="43">
        <v>-3.4000000000000002E-4</v>
      </c>
      <c r="AC45" s="43">
        <v>-3.0800000000000001E-4</v>
      </c>
      <c r="AD45" s="43">
        <v>1.9999999999999999E-6</v>
      </c>
      <c r="AF45" s="30">
        <v>2.5250045454697379E-2</v>
      </c>
      <c r="AG45" s="43">
        <v>-5.0000000000000001E-4</v>
      </c>
      <c r="AH45" s="43">
        <v>-5.0100000000000003E-4</v>
      </c>
      <c r="AI45" s="43">
        <v>6.8999999999999997E-5</v>
      </c>
      <c r="AJ45" s="30">
        <v>2.7843179421364023E-2</v>
      </c>
      <c r="AK45" s="43">
        <v>-5.2999999999999998E-4</v>
      </c>
      <c r="AL45" s="43">
        <v>-5.31E-4</v>
      </c>
      <c r="AM45" s="43">
        <v>9.7E-5</v>
      </c>
      <c r="AO45" s="30">
        <v>2.5250045454697379E-2</v>
      </c>
      <c r="AP45" s="43">
        <v>-3.0899999999999998E-4</v>
      </c>
      <c r="AQ45" s="43">
        <v>-3.0899999999999998E-4</v>
      </c>
      <c r="AR45" s="43">
        <v>-1.15E-4</v>
      </c>
      <c r="AS45" s="30">
        <v>2.7843179421364023E-2</v>
      </c>
      <c r="AT45" s="43">
        <v>-3.1799999999999998E-4</v>
      </c>
      <c r="AU45" s="43">
        <v>-3.19E-4</v>
      </c>
      <c r="AV45" s="43">
        <v>-1.05E-4</v>
      </c>
      <c r="AX45" s="30">
        <v>2.5250045454697379E-2</v>
      </c>
      <c r="AY45" s="43">
        <v>-5.0199999999999995E-4</v>
      </c>
      <c r="AZ45" s="43">
        <v>-5.04E-4</v>
      </c>
      <c r="BA45" s="43">
        <v>6.8999999999999997E-5</v>
      </c>
      <c r="BB45" s="30">
        <v>2.7843179421364023E-2</v>
      </c>
      <c r="BC45" s="43">
        <v>-5.3399999999999997E-4</v>
      </c>
      <c r="BD45" s="43">
        <v>-5.3499999999999999E-4</v>
      </c>
      <c r="BE45" s="43">
        <v>9.7999999999999997E-5</v>
      </c>
      <c r="BG45" s="30">
        <v>2.5250045454697379E-2</v>
      </c>
      <c r="BH45" s="43">
        <v>-3.0699999999999998E-4</v>
      </c>
      <c r="BI45" s="43">
        <v>-3.0699999999999998E-4</v>
      </c>
      <c r="BJ45" s="43">
        <v>-1.1900000000000001E-4</v>
      </c>
      <c r="BK45" s="30">
        <v>2.7843179421364023E-2</v>
      </c>
      <c r="BL45" s="43">
        <v>-3.1700000000000001E-4</v>
      </c>
      <c r="BM45" s="43">
        <v>-3.1700000000000001E-4</v>
      </c>
      <c r="BN45" s="43">
        <v>-1.0900000000000001E-4</v>
      </c>
      <c r="BP45" s="30">
        <v>2.5250045454697379E-2</v>
      </c>
      <c r="BQ45" s="43">
        <v>-4.6500000000000003E-4</v>
      </c>
      <c r="BR45" s="43">
        <v>-4.57E-4</v>
      </c>
      <c r="BS45" s="43">
        <v>1.94E-4</v>
      </c>
      <c r="BT45" s="30">
        <v>2.7843179421364023E-2</v>
      </c>
      <c r="BU45" s="43">
        <v>-5.0299999999999997E-4</v>
      </c>
      <c r="BV45" s="43">
        <v>-4.9399999999999997E-4</v>
      </c>
      <c r="BW45" s="43">
        <v>2.42E-4</v>
      </c>
      <c r="BY45" s="30">
        <v>2.5250045454697379E-2</v>
      </c>
      <c r="BZ45" s="43">
        <v>-3.1100000000000002E-4</v>
      </c>
      <c r="CA45" s="43">
        <v>-2.9599999999999998E-4</v>
      </c>
      <c r="CB45" s="43">
        <v>3.8000000000000002E-5</v>
      </c>
      <c r="CC45" s="30">
        <v>2.7843179421364023E-2</v>
      </c>
      <c r="CD45" s="43">
        <v>-3.21E-4</v>
      </c>
      <c r="CE45" s="43">
        <v>-3.0600000000000001E-4</v>
      </c>
      <c r="CF45" s="43">
        <v>4.6999999999999997E-5</v>
      </c>
      <c r="CH45" s="30">
        <v>2.5250045454697379E-2</v>
      </c>
      <c r="CI45" s="43">
        <v>-3.6600000000000001E-4</v>
      </c>
      <c r="CJ45" s="43">
        <v>-3.3799999999999998E-4</v>
      </c>
      <c r="CK45" s="43">
        <v>-9.2999999999999997E-5</v>
      </c>
      <c r="CL45" s="30">
        <v>2.7843179421364023E-2</v>
      </c>
      <c r="CM45" s="43">
        <v>-3.8299999999999999E-4</v>
      </c>
      <c r="CN45" s="43">
        <v>-3.5199999999999999E-4</v>
      </c>
      <c r="CO45" s="43">
        <v>-7.8999999999999996E-5</v>
      </c>
      <c r="CQ45" s="30">
        <v>2.5250045454697379E-2</v>
      </c>
      <c r="CR45" s="43">
        <v>-2.14E-4</v>
      </c>
      <c r="CS45" s="43">
        <v>-2.13E-4</v>
      </c>
      <c r="CT45" s="43">
        <v>-2.0900000000000001E-4</v>
      </c>
      <c r="CU45" s="30">
        <v>2.7843179421364023E-2</v>
      </c>
      <c r="CV45" s="43">
        <v>-2.13E-4</v>
      </c>
      <c r="CW45" s="43">
        <v>-2.13E-4</v>
      </c>
      <c r="CX45" s="43">
        <v>-2.0900000000000001E-4</v>
      </c>
    </row>
    <row r="46" spans="2:102" x14ac:dyDescent="0.25">
      <c r="N46" s="30">
        <v>2.5932449488030713E-2</v>
      </c>
      <c r="O46" s="43">
        <v>-3.2899999999999997E-4</v>
      </c>
      <c r="P46" s="43">
        <v>-2.9999999999999997E-4</v>
      </c>
      <c r="Q46" s="43">
        <v>-1.2999999999999999E-5</v>
      </c>
      <c r="R46" s="30">
        <v>2.8662064221364025E-2</v>
      </c>
      <c r="S46" s="43">
        <v>-3.4299999999999999E-4</v>
      </c>
      <c r="T46" s="43">
        <v>-3.1E-4</v>
      </c>
      <c r="U46" s="43">
        <v>1.9999999999999999E-6</v>
      </c>
      <c r="W46" s="30">
        <v>2.5932449488030713E-2</v>
      </c>
      <c r="X46" s="43">
        <v>-3.4099999999999999E-4</v>
      </c>
      <c r="Y46" s="43">
        <v>-3.0899999999999998E-4</v>
      </c>
      <c r="Z46" s="43">
        <v>9.9999999999999995E-7</v>
      </c>
      <c r="AA46" s="30">
        <v>2.8662064221364025E-2</v>
      </c>
      <c r="AB46" s="43">
        <v>-3.39E-4</v>
      </c>
      <c r="AC46" s="43">
        <v>-3.0699999999999998E-4</v>
      </c>
      <c r="AD46" s="43">
        <v>3.0000000000000001E-6</v>
      </c>
      <c r="AF46" s="30">
        <v>2.5932449488030713E-2</v>
      </c>
      <c r="AG46" s="43">
        <v>-5.0799999999999999E-4</v>
      </c>
      <c r="AH46" s="43">
        <v>-5.0900000000000001E-4</v>
      </c>
      <c r="AI46" s="43">
        <v>7.6000000000000004E-5</v>
      </c>
      <c r="AJ46" s="30">
        <v>2.8662064221364025E-2</v>
      </c>
      <c r="AK46" s="43">
        <v>-5.4000000000000001E-4</v>
      </c>
      <c r="AL46" s="43">
        <v>-5.4100000000000003E-4</v>
      </c>
      <c r="AM46" s="43">
        <v>1.07E-4</v>
      </c>
      <c r="AO46" s="30">
        <v>2.5932449488030713E-2</v>
      </c>
      <c r="AP46" s="43">
        <v>-3.1100000000000002E-4</v>
      </c>
      <c r="AQ46" s="43">
        <v>-3.1199999999999999E-4</v>
      </c>
      <c r="AR46" s="43">
        <v>-1.12E-4</v>
      </c>
      <c r="AS46" s="30">
        <v>2.8662064221364025E-2</v>
      </c>
      <c r="AT46" s="43">
        <v>-3.21E-4</v>
      </c>
      <c r="AU46" s="43">
        <v>-3.21E-4</v>
      </c>
      <c r="AV46" s="43">
        <v>-1.02E-4</v>
      </c>
      <c r="AX46" s="30">
        <v>2.5932449488030713E-2</v>
      </c>
      <c r="AY46" s="43">
        <v>-5.1099999999999995E-4</v>
      </c>
      <c r="AZ46" s="43">
        <v>-5.1199999999999998E-4</v>
      </c>
      <c r="BA46" s="43">
        <v>7.6000000000000004E-5</v>
      </c>
      <c r="BB46" s="30">
        <v>2.8662064221364025E-2</v>
      </c>
      <c r="BC46" s="43">
        <v>-5.44E-4</v>
      </c>
      <c r="BD46" s="43">
        <v>-5.4500000000000002E-4</v>
      </c>
      <c r="BE46" s="43">
        <v>1.08E-4</v>
      </c>
      <c r="BG46" s="30">
        <v>2.5932449488030713E-2</v>
      </c>
      <c r="BH46" s="43">
        <v>-3.1E-4</v>
      </c>
      <c r="BI46" s="43">
        <v>-3.1E-4</v>
      </c>
      <c r="BJ46" s="43">
        <v>-1.16E-4</v>
      </c>
      <c r="BK46" s="30">
        <v>2.8662064221364025E-2</v>
      </c>
      <c r="BL46" s="43">
        <v>-3.19E-4</v>
      </c>
      <c r="BM46" s="43">
        <v>-3.2000000000000003E-4</v>
      </c>
      <c r="BN46" s="43">
        <v>-1.07E-4</v>
      </c>
      <c r="BP46" s="30">
        <v>2.5932449488030713E-2</v>
      </c>
      <c r="BQ46" s="43">
        <v>-4.75E-4</v>
      </c>
      <c r="BR46" s="43">
        <v>-4.6700000000000002E-4</v>
      </c>
      <c r="BS46" s="43">
        <v>2.0699999999999999E-4</v>
      </c>
      <c r="BT46" s="30">
        <v>2.8662064221364025E-2</v>
      </c>
      <c r="BU46" s="43">
        <v>-5.1599999999999997E-4</v>
      </c>
      <c r="BV46" s="43">
        <v>-5.0600000000000005E-4</v>
      </c>
      <c r="BW46" s="43">
        <v>2.6400000000000002E-4</v>
      </c>
      <c r="BY46" s="30">
        <v>2.5932449488030713E-2</v>
      </c>
      <c r="BZ46" s="43">
        <v>-3.1399999999999999E-4</v>
      </c>
      <c r="CA46" s="43">
        <v>-2.99E-4</v>
      </c>
      <c r="CB46" s="43">
        <v>4.0000000000000003E-5</v>
      </c>
      <c r="CC46" s="30">
        <v>2.8662064221364025E-2</v>
      </c>
      <c r="CD46" s="43">
        <v>-3.2400000000000001E-4</v>
      </c>
      <c r="CE46" s="43">
        <v>-3.0899999999999998E-4</v>
      </c>
      <c r="CF46" s="43">
        <v>5.0000000000000002E-5</v>
      </c>
      <c r="CH46" s="30">
        <v>2.5932449488030713E-2</v>
      </c>
      <c r="CI46" s="43">
        <v>-3.6999999999999999E-4</v>
      </c>
      <c r="CJ46" s="43">
        <v>-3.4099999999999999E-4</v>
      </c>
      <c r="CK46" s="43">
        <v>-9.0000000000000006E-5</v>
      </c>
      <c r="CL46" s="30">
        <v>2.8662064221364025E-2</v>
      </c>
      <c r="CM46" s="43">
        <v>-3.8900000000000002E-4</v>
      </c>
      <c r="CN46" s="43">
        <v>-3.5599999999999998E-4</v>
      </c>
      <c r="CO46" s="43">
        <v>-7.4999999999999993E-5</v>
      </c>
      <c r="CQ46" s="30">
        <v>2.5932449488030713E-2</v>
      </c>
      <c r="CR46" s="43">
        <v>-2.14E-4</v>
      </c>
      <c r="CS46" s="43">
        <v>-2.13E-4</v>
      </c>
      <c r="CT46" s="43">
        <v>-2.0799999999999999E-4</v>
      </c>
      <c r="CU46" s="30">
        <v>2.8662064221364025E-2</v>
      </c>
      <c r="CV46" s="43">
        <v>-2.13E-4</v>
      </c>
      <c r="CW46" s="43">
        <v>-2.13E-4</v>
      </c>
      <c r="CX46" s="43">
        <v>-2.0900000000000001E-4</v>
      </c>
    </row>
    <row r="47" spans="2:102" x14ac:dyDescent="0.25">
      <c r="N47" s="30">
        <v>2.6614853521364047E-2</v>
      </c>
      <c r="O47" s="43">
        <v>-3.3300000000000002E-4</v>
      </c>
      <c r="P47" s="43">
        <v>-3.0200000000000002E-4</v>
      </c>
      <c r="Q47" s="43">
        <v>-9.0000000000000002E-6</v>
      </c>
      <c r="R47" s="30">
        <v>2.9480949021364024E-2</v>
      </c>
      <c r="S47" s="43">
        <v>-3.4699999999999998E-4</v>
      </c>
      <c r="T47" s="43">
        <v>-3.1399999999999999E-4</v>
      </c>
      <c r="U47" s="43">
        <v>6.0000000000000002E-6</v>
      </c>
      <c r="W47" s="30">
        <v>2.6614853521364047E-2</v>
      </c>
      <c r="X47" s="43">
        <v>-3.4099999999999999E-4</v>
      </c>
      <c r="Y47" s="43">
        <v>-3.0899999999999998E-4</v>
      </c>
      <c r="Z47" s="43">
        <v>9.9999999999999995E-7</v>
      </c>
      <c r="AA47" s="30">
        <v>2.9480949021364024E-2</v>
      </c>
      <c r="AB47" s="43">
        <v>-3.39E-4</v>
      </c>
      <c r="AC47" s="43">
        <v>-3.0600000000000001E-4</v>
      </c>
      <c r="AD47" s="43">
        <v>3.9999999999999998E-6</v>
      </c>
      <c r="AF47" s="30">
        <v>2.6614853521364047E-2</v>
      </c>
      <c r="AG47" s="43">
        <v>-5.1599999999999997E-4</v>
      </c>
      <c r="AH47" s="43">
        <v>-5.1699999999999999E-4</v>
      </c>
      <c r="AI47" s="43">
        <v>8.3999999999999995E-5</v>
      </c>
      <c r="AJ47" s="30">
        <v>2.9480949021364024E-2</v>
      </c>
      <c r="AK47" s="43">
        <v>-5.5000000000000003E-4</v>
      </c>
      <c r="AL47" s="43">
        <v>-5.5099999999999995E-4</v>
      </c>
      <c r="AM47" s="43">
        <v>1.16E-4</v>
      </c>
      <c r="AO47" s="30">
        <v>2.6614853521364047E-2</v>
      </c>
      <c r="AP47" s="43">
        <v>-3.1399999999999999E-4</v>
      </c>
      <c r="AQ47" s="43">
        <v>-3.1399999999999999E-4</v>
      </c>
      <c r="AR47" s="43">
        <v>-1.1E-4</v>
      </c>
      <c r="AS47" s="30">
        <v>2.9480949021364024E-2</v>
      </c>
      <c r="AT47" s="43">
        <v>-3.2400000000000001E-4</v>
      </c>
      <c r="AU47" s="43">
        <v>-3.2400000000000001E-4</v>
      </c>
      <c r="AV47" s="43">
        <v>-1E-4</v>
      </c>
      <c r="AX47" s="30">
        <v>2.6614853521364047E-2</v>
      </c>
      <c r="AY47" s="43">
        <v>-5.1800000000000001E-4</v>
      </c>
      <c r="AZ47" s="43">
        <v>-5.1999999999999995E-4</v>
      </c>
      <c r="BA47" s="43">
        <v>8.3999999999999995E-5</v>
      </c>
      <c r="BB47" s="30">
        <v>2.9480949021364024E-2</v>
      </c>
      <c r="BC47" s="43">
        <v>-5.5400000000000002E-4</v>
      </c>
      <c r="BD47" s="43">
        <v>-5.5500000000000005E-4</v>
      </c>
      <c r="BE47" s="43">
        <v>1.17E-4</v>
      </c>
      <c r="BG47" s="30">
        <v>2.6614853521364047E-2</v>
      </c>
      <c r="BH47" s="43">
        <v>-3.1199999999999999E-4</v>
      </c>
      <c r="BI47" s="43">
        <v>-3.1199999999999999E-4</v>
      </c>
      <c r="BJ47" s="43">
        <v>-1.1400000000000001E-4</v>
      </c>
      <c r="BK47" s="30">
        <v>2.9480949021364024E-2</v>
      </c>
      <c r="BL47" s="43">
        <v>-3.2200000000000002E-4</v>
      </c>
      <c r="BM47" s="43">
        <v>-3.2299999999999999E-4</v>
      </c>
      <c r="BN47" s="43">
        <v>-1.0399999999999999E-4</v>
      </c>
      <c r="BP47" s="30">
        <v>2.6614853521364047E-2</v>
      </c>
      <c r="BQ47" s="43">
        <v>-4.8500000000000003E-4</v>
      </c>
      <c r="BR47" s="43">
        <v>-4.7600000000000002E-4</v>
      </c>
      <c r="BS47" s="43">
        <v>2.1900000000000001E-4</v>
      </c>
      <c r="BT47" s="30">
        <v>2.9480949021364024E-2</v>
      </c>
      <c r="BU47" s="43">
        <v>-5.2899999999999996E-4</v>
      </c>
      <c r="BV47" s="43">
        <v>-5.1900000000000004E-4</v>
      </c>
      <c r="BW47" s="43">
        <v>2.8400000000000002E-4</v>
      </c>
      <c r="BY47" s="30">
        <v>2.6614853521364047E-2</v>
      </c>
      <c r="BZ47" s="43">
        <v>-3.1599999999999998E-4</v>
      </c>
      <c r="CA47" s="43">
        <v>-3.01E-4</v>
      </c>
      <c r="CB47" s="43">
        <v>4.3000000000000002E-5</v>
      </c>
      <c r="CC47" s="30">
        <v>2.9480949021364024E-2</v>
      </c>
      <c r="CD47" s="43">
        <v>-3.2699999999999998E-4</v>
      </c>
      <c r="CE47" s="43">
        <v>-3.1199999999999999E-4</v>
      </c>
      <c r="CF47" s="43">
        <v>5.3000000000000001E-5</v>
      </c>
      <c r="CH47" s="30">
        <v>2.6614853521364047E-2</v>
      </c>
      <c r="CI47" s="43">
        <v>-3.7399999999999998E-4</v>
      </c>
      <c r="CJ47" s="43">
        <v>-3.4400000000000001E-4</v>
      </c>
      <c r="CK47" s="43">
        <v>-8.7000000000000001E-5</v>
      </c>
      <c r="CL47" s="30">
        <v>2.9480949021364024E-2</v>
      </c>
      <c r="CM47" s="43">
        <v>-3.9399999999999998E-4</v>
      </c>
      <c r="CN47" s="43">
        <v>-3.6099999999999999E-4</v>
      </c>
      <c r="CO47" s="43">
        <v>-6.9999999999999994E-5</v>
      </c>
      <c r="CQ47" s="30">
        <v>2.6614853521364047E-2</v>
      </c>
      <c r="CR47" s="43">
        <v>-2.14E-4</v>
      </c>
      <c r="CS47" s="43">
        <v>-2.13E-4</v>
      </c>
      <c r="CT47" s="43">
        <v>-2.0799999999999999E-4</v>
      </c>
      <c r="CU47" s="30">
        <v>2.9480949021364024E-2</v>
      </c>
      <c r="CV47" s="43">
        <v>-2.13E-4</v>
      </c>
      <c r="CW47" s="43">
        <v>-2.13E-4</v>
      </c>
      <c r="CX47" s="43">
        <v>-2.0799999999999999E-4</v>
      </c>
    </row>
    <row r="48" spans="2:102" x14ac:dyDescent="0.25">
      <c r="N48" s="30">
        <v>2.7297257554697384E-2</v>
      </c>
      <c r="O48" s="43">
        <v>-3.3599999999999998E-4</v>
      </c>
      <c r="P48" s="43">
        <v>-3.0499999999999999E-4</v>
      </c>
      <c r="Q48" s="43">
        <v>-5.0000000000000004E-6</v>
      </c>
      <c r="R48" s="30">
        <v>3.0299833821364024E-2</v>
      </c>
      <c r="S48" s="43">
        <v>-3.5100000000000002E-4</v>
      </c>
      <c r="T48" s="43">
        <v>-3.1700000000000001E-4</v>
      </c>
      <c r="U48" s="43">
        <v>1.1E-5</v>
      </c>
      <c r="W48" s="30">
        <v>2.7297257554697384E-2</v>
      </c>
      <c r="X48" s="43">
        <v>-3.4000000000000002E-4</v>
      </c>
      <c r="Y48" s="43">
        <v>-3.0800000000000001E-4</v>
      </c>
      <c r="Z48" s="43">
        <v>1.9999999999999999E-6</v>
      </c>
      <c r="AA48" s="30">
        <v>3.0299833821364024E-2</v>
      </c>
      <c r="AB48" s="43">
        <v>-3.3799999999999998E-4</v>
      </c>
      <c r="AC48" s="43">
        <v>-3.0600000000000001E-4</v>
      </c>
      <c r="AD48" s="43">
        <v>3.9999999999999998E-6</v>
      </c>
      <c r="AF48" s="30">
        <v>2.7297257554697384E-2</v>
      </c>
      <c r="AG48" s="43">
        <v>-5.2400000000000005E-4</v>
      </c>
      <c r="AH48" s="43">
        <v>-5.2499999999999997E-4</v>
      </c>
      <c r="AI48" s="43">
        <v>9.1000000000000003E-5</v>
      </c>
      <c r="AJ48" s="30">
        <v>3.0299833821364024E-2</v>
      </c>
      <c r="AK48" s="43">
        <v>-5.5999999999999995E-4</v>
      </c>
      <c r="AL48" s="43">
        <v>-5.62E-4</v>
      </c>
      <c r="AM48" s="43">
        <v>1.26E-4</v>
      </c>
      <c r="AO48" s="30">
        <v>2.7297257554697384E-2</v>
      </c>
      <c r="AP48" s="43">
        <v>-3.1599999999999998E-4</v>
      </c>
      <c r="AQ48" s="43">
        <v>-3.1700000000000001E-4</v>
      </c>
      <c r="AR48" s="43">
        <v>-1.07E-4</v>
      </c>
      <c r="AS48" s="30">
        <v>3.0299833821364024E-2</v>
      </c>
      <c r="AT48" s="43">
        <v>-3.2699999999999998E-4</v>
      </c>
      <c r="AU48" s="43">
        <v>-3.2699999999999998E-4</v>
      </c>
      <c r="AV48" s="43">
        <v>-9.7E-5</v>
      </c>
      <c r="AX48" s="30">
        <v>2.7297257554697384E-2</v>
      </c>
      <c r="AY48" s="43">
        <v>-5.2700000000000002E-4</v>
      </c>
      <c r="AZ48" s="43">
        <v>-5.2800000000000004E-4</v>
      </c>
      <c r="BA48" s="43">
        <v>9.1000000000000003E-5</v>
      </c>
      <c r="BB48" s="30">
        <v>3.0299833821364024E-2</v>
      </c>
      <c r="BC48" s="43">
        <v>-5.6400000000000005E-4</v>
      </c>
      <c r="BD48" s="43">
        <v>-5.6499999999999996E-4</v>
      </c>
      <c r="BE48" s="43">
        <v>1.27E-4</v>
      </c>
      <c r="BG48" s="30">
        <v>2.7297257554697384E-2</v>
      </c>
      <c r="BH48" s="43">
        <v>-3.1500000000000001E-4</v>
      </c>
      <c r="BI48" s="43">
        <v>-3.1500000000000001E-4</v>
      </c>
      <c r="BJ48" s="43">
        <v>-1.11E-4</v>
      </c>
      <c r="BK48" s="30">
        <v>3.0299833821364024E-2</v>
      </c>
      <c r="BL48" s="43">
        <v>-3.2499999999999999E-4</v>
      </c>
      <c r="BM48" s="43">
        <v>-3.2499999999999999E-4</v>
      </c>
      <c r="BN48" s="43">
        <v>-1.01E-4</v>
      </c>
      <c r="BP48" s="30">
        <v>2.7297257554697384E-2</v>
      </c>
      <c r="BQ48" s="43">
        <v>-4.95E-4</v>
      </c>
      <c r="BR48" s="43">
        <v>-4.8500000000000003E-4</v>
      </c>
      <c r="BS48" s="43">
        <v>2.31E-4</v>
      </c>
      <c r="BT48" s="30">
        <v>3.0299833821364024E-2</v>
      </c>
      <c r="BU48" s="43">
        <v>-5.4100000000000003E-4</v>
      </c>
      <c r="BV48" s="43">
        <v>-5.31E-4</v>
      </c>
      <c r="BW48" s="43">
        <v>3.0400000000000002E-4</v>
      </c>
      <c r="BY48" s="30">
        <v>2.7297257554697384E-2</v>
      </c>
      <c r="BZ48" s="43">
        <v>-3.19E-4</v>
      </c>
      <c r="CA48" s="43">
        <v>-3.0400000000000002E-4</v>
      </c>
      <c r="CB48" s="43">
        <v>4.5000000000000003E-5</v>
      </c>
      <c r="CC48" s="30">
        <v>3.0299833821364024E-2</v>
      </c>
      <c r="CD48" s="43">
        <v>-3.3E-4</v>
      </c>
      <c r="CE48" s="43">
        <v>-3.1500000000000001E-4</v>
      </c>
      <c r="CF48" s="43">
        <v>5.5999999999999999E-5</v>
      </c>
      <c r="CH48" s="30">
        <v>2.7297257554697384E-2</v>
      </c>
      <c r="CI48" s="43">
        <v>-3.7800000000000003E-4</v>
      </c>
      <c r="CJ48" s="43">
        <v>-3.48E-4</v>
      </c>
      <c r="CK48" s="43">
        <v>-8.2999999999999998E-5</v>
      </c>
      <c r="CL48" s="30">
        <v>3.0299833821364024E-2</v>
      </c>
      <c r="CM48" s="43">
        <v>-4.0000000000000002E-4</v>
      </c>
      <c r="CN48" s="43">
        <v>-3.6600000000000001E-4</v>
      </c>
      <c r="CO48" s="43">
        <v>-6.6000000000000005E-5</v>
      </c>
      <c r="CQ48" s="30">
        <v>2.7297257554697384E-2</v>
      </c>
      <c r="CR48" s="43">
        <v>-2.14E-4</v>
      </c>
      <c r="CS48" s="43">
        <v>-2.13E-4</v>
      </c>
      <c r="CT48" s="43">
        <v>-2.0799999999999999E-4</v>
      </c>
      <c r="CU48" s="30">
        <v>3.0299833821364024E-2</v>
      </c>
      <c r="CV48" s="43">
        <v>-2.13E-4</v>
      </c>
      <c r="CW48" s="43">
        <v>-2.13E-4</v>
      </c>
      <c r="CX48" s="43">
        <v>-2.0799999999999999E-4</v>
      </c>
    </row>
    <row r="49" spans="14:102" x14ac:dyDescent="0.25">
      <c r="N49" s="30">
        <v>2.7979661588030717E-2</v>
      </c>
      <c r="O49" s="43">
        <v>-3.4000000000000002E-4</v>
      </c>
      <c r="P49" s="43">
        <v>-3.0800000000000001E-4</v>
      </c>
      <c r="Q49" s="43">
        <v>-1.9999999999999999E-6</v>
      </c>
      <c r="R49" s="30">
        <v>3.1118718621364023E-2</v>
      </c>
      <c r="S49" s="43">
        <v>-3.5599999999999998E-4</v>
      </c>
      <c r="T49" s="43">
        <v>-3.21E-4</v>
      </c>
      <c r="U49" s="43">
        <v>1.5999999999999999E-5</v>
      </c>
      <c r="W49" s="30">
        <v>2.7979661588030717E-2</v>
      </c>
      <c r="X49" s="43">
        <v>-3.4000000000000002E-4</v>
      </c>
      <c r="Y49" s="43">
        <v>-3.0800000000000001E-4</v>
      </c>
      <c r="Z49" s="43">
        <v>1.9999999999999999E-6</v>
      </c>
      <c r="AA49" s="30">
        <v>3.1118718621364023E-2</v>
      </c>
      <c r="AB49" s="43">
        <v>-3.3700000000000001E-4</v>
      </c>
      <c r="AC49" s="43">
        <v>-3.0499999999999999E-4</v>
      </c>
      <c r="AD49" s="43">
        <v>5.0000000000000004E-6</v>
      </c>
      <c r="AF49" s="30">
        <v>2.7979661588030717E-2</v>
      </c>
      <c r="AG49" s="43">
        <v>-5.3200000000000003E-4</v>
      </c>
      <c r="AH49" s="43">
        <v>-5.3300000000000005E-4</v>
      </c>
      <c r="AI49" s="43">
        <v>9.8999999999999994E-5</v>
      </c>
      <c r="AJ49" s="30">
        <v>3.1118718621364023E-2</v>
      </c>
      <c r="AK49" s="43">
        <v>-5.7300000000000005E-4</v>
      </c>
      <c r="AL49" s="43">
        <v>-5.7399999999999997E-4</v>
      </c>
      <c r="AM49" s="43">
        <v>1.4100000000000001E-4</v>
      </c>
      <c r="AO49" s="30">
        <v>2.7979661588030717E-2</v>
      </c>
      <c r="AP49" s="43">
        <v>-3.19E-4</v>
      </c>
      <c r="AQ49" s="43">
        <v>-3.19E-4</v>
      </c>
      <c r="AR49" s="43">
        <v>-1.05E-4</v>
      </c>
      <c r="AS49" s="30">
        <v>3.1118718621364023E-2</v>
      </c>
      <c r="AT49" s="43">
        <v>-3.2899999999999997E-4</v>
      </c>
      <c r="AU49" s="43">
        <v>-3.3E-4</v>
      </c>
      <c r="AV49" s="43">
        <v>-9.3999999999999994E-5</v>
      </c>
      <c r="AX49" s="30">
        <v>2.7979661588030717E-2</v>
      </c>
      <c r="AY49" s="43">
        <v>-5.3499999999999999E-4</v>
      </c>
      <c r="AZ49" s="43">
        <v>-5.3600000000000002E-4</v>
      </c>
      <c r="BA49" s="43">
        <v>9.8999999999999994E-5</v>
      </c>
      <c r="BB49" s="30">
        <v>3.1118718621364023E-2</v>
      </c>
      <c r="BC49" s="43">
        <v>-5.7700000000000004E-4</v>
      </c>
      <c r="BD49" s="43">
        <v>-5.7799999999999995E-4</v>
      </c>
      <c r="BE49" s="43">
        <v>1.4300000000000001E-4</v>
      </c>
      <c r="BG49" s="30">
        <v>2.7979661588030717E-2</v>
      </c>
      <c r="BH49" s="43">
        <v>-3.1700000000000001E-4</v>
      </c>
      <c r="BI49" s="43">
        <v>-3.1700000000000001E-4</v>
      </c>
      <c r="BJ49" s="43">
        <v>-1.0900000000000001E-4</v>
      </c>
      <c r="BK49" s="30">
        <v>3.1118718621364023E-2</v>
      </c>
      <c r="BL49" s="43">
        <v>-3.28E-4</v>
      </c>
      <c r="BM49" s="43">
        <v>-3.28E-4</v>
      </c>
      <c r="BN49" s="43">
        <v>-9.8999999999999994E-5</v>
      </c>
      <c r="BP49" s="30">
        <v>2.7979661588030717E-2</v>
      </c>
      <c r="BQ49" s="43">
        <v>-5.04E-4</v>
      </c>
      <c r="BR49" s="43">
        <v>-4.95E-4</v>
      </c>
      <c r="BS49" s="43">
        <v>2.4399999999999999E-4</v>
      </c>
      <c r="BT49" s="30">
        <v>3.1118718621364023E-2</v>
      </c>
      <c r="BU49" s="43">
        <v>-5.5500000000000005E-4</v>
      </c>
      <c r="BV49" s="43">
        <v>-5.4500000000000002E-4</v>
      </c>
      <c r="BW49" s="43">
        <v>3.3799999999999998E-4</v>
      </c>
      <c r="BY49" s="30">
        <v>2.7979661588030717E-2</v>
      </c>
      <c r="BZ49" s="43">
        <v>-3.2200000000000002E-4</v>
      </c>
      <c r="CA49" s="43">
        <v>-3.0699999999999998E-4</v>
      </c>
      <c r="CB49" s="43">
        <v>4.8000000000000001E-5</v>
      </c>
      <c r="CC49" s="30">
        <v>3.1118718621364023E-2</v>
      </c>
      <c r="CD49" s="43">
        <v>-3.3300000000000002E-4</v>
      </c>
      <c r="CE49" s="43">
        <v>-3.1799999999999998E-4</v>
      </c>
      <c r="CF49" s="43">
        <v>5.8999999999999998E-5</v>
      </c>
      <c r="CH49" s="30">
        <v>2.7979661588030717E-2</v>
      </c>
      <c r="CI49" s="43">
        <v>-3.8299999999999999E-4</v>
      </c>
      <c r="CJ49" s="43">
        <v>-3.5100000000000002E-4</v>
      </c>
      <c r="CK49" s="43">
        <v>-8.0000000000000007E-5</v>
      </c>
      <c r="CL49" s="30">
        <v>3.1118718621364023E-2</v>
      </c>
      <c r="CM49" s="43">
        <v>-4.06E-4</v>
      </c>
      <c r="CN49" s="43">
        <v>-3.7100000000000002E-4</v>
      </c>
      <c r="CO49" s="43">
        <v>-6.0999999999999999E-5</v>
      </c>
      <c r="CQ49" s="30">
        <v>2.7979661588030717E-2</v>
      </c>
      <c r="CR49" s="43">
        <v>-2.14E-4</v>
      </c>
      <c r="CS49" s="43">
        <v>-2.13E-4</v>
      </c>
      <c r="CT49" s="43">
        <v>-2.0799999999999999E-4</v>
      </c>
      <c r="CU49" s="30">
        <v>3.1118718621364023E-2</v>
      </c>
      <c r="CV49" s="43">
        <v>-2.14E-4</v>
      </c>
      <c r="CW49" s="43">
        <v>-2.13E-4</v>
      </c>
      <c r="CX49" s="43">
        <v>-2.0799999999999999E-4</v>
      </c>
    </row>
    <row r="50" spans="14:102" x14ac:dyDescent="0.25">
      <c r="N50" s="30">
        <v>2.8662065621364051E-2</v>
      </c>
      <c r="O50" s="43">
        <v>-3.4299999999999999E-4</v>
      </c>
      <c r="P50" s="43">
        <v>-3.1100000000000002E-4</v>
      </c>
      <c r="Q50" s="43">
        <v>1.9999999999999999E-6</v>
      </c>
      <c r="R50" s="30">
        <v>3.1937603421364022E-2</v>
      </c>
      <c r="S50" s="43">
        <v>-3.6099999999999999E-4</v>
      </c>
      <c r="T50" s="43">
        <v>-3.2499999999999999E-4</v>
      </c>
      <c r="U50" s="43">
        <v>2.0999999999999999E-5</v>
      </c>
      <c r="W50" s="30">
        <v>2.8662065621364051E-2</v>
      </c>
      <c r="X50" s="43">
        <v>-3.39E-4</v>
      </c>
      <c r="Y50" s="43">
        <v>-3.0699999999999998E-4</v>
      </c>
      <c r="Z50" s="43">
        <v>3.0000000000000001E-6</v>
      </c>
      <c r="AA50" s="30">
        <v>3.1937603421364022E-2</v>
      </c>
      <c r="AB50" s="43">
        <v>-3.3599999999999998E-4</v>
      </c>
      <c r="AC50" s="43">
        <v>-3.0400000000000002E-4</v>
      </c>
      <c r="AD50" s="43">
        <v>5.0000000000000004E-6</v>
      </c>
      <c r="AF50" s="30">
        <v>2.8662065621364051E-2</v>
      </c>
      <c r="AG50" s="43">
        <v>-5.4000000000000001E-4</v>
      </c>
      <c r="AH50" s="43">
        <v>-5.4199999999999995E-4</v>
      </c>
      <c r="AI50" s="43">
        <v>1.07E-4</v>
      </c>
      <c r="AJ50" s="30">
        <v>3.1937603421364022E-2</v>
      </c>
      <c r="AK50" s="43">
        <v>-5.8399999999999999E-4</v>
      </c>
      <c r="AL50" s="43">
        <v>-5.8500000000000002E-4</v>
      </c>
      <c r="AM50" s="43">
        <v>1.55E-4</v>
      </c>
      <c r="AO50" s="30">
        <v>2.8662065621364051E-2</v>
      </c>
      <c r="AP50" s="43">
        <v>-3.21E-4</v>
      </c>
      <c r="AQ50" s="43">
        <v>-3.21E-4</v>
      </c>
      <c r="AR50" s="43">
        <v>-1.02E-4</v>
      </c>
      <c r="AS50" s="30">
        <v>3.1937603421364022E-2</v>
      </c>
      <c r="AT50" s="43">
        <v>-3.3199999999999999E-4</v>
      </c>
      <c r="AU50" s="43">
        <v>-3.3199999999999999E-4</v>
      </c>
      <c r="AV50" s="43">
        <v>-9.2E-5</v>
      </c>
      <c r="AX50" s="30">
        <v>2.8662065621364051E-2</v>
      </c>
      <c r="AY50" s="43">
        <v>-5.4299999999999997E-4</v>
      </c>
      <c r="AZ50" s="43">
        <v>-5.44E-4</v>
      </c>
      <c r="BA50" s="43">
        <v>1.07E-4</v>
      </c>
      <c r="BB50" s="30">
        <v>3.1937603421364022E-2</v>
      </c>
      <c r="BC50" s="43">
        <v>-5.8799999999999998E-4</v>
      </c>
      <c r="BD50" s="43">
        <v>-5.9000000000000003E-4</v>
      </c>
      <c r="BE50" s="43">
        <v>1.56E-4</v>
      </c>
      <c r="BG50" s="30">
        <v>2.8662065621364051E-2</v>
      </c>
      <c r="BH50" s="43">
        <v>-3.19E-4</v>
      </c>
      <c r="BI50" s="43">
        <v>-3.2000000000000003E-4</v>
      </c>
      <c r="BJ50" s="43">
        <v>-1.07E-4</v>
      </c>
      <c r="BK50" s="30">
        <v>3.1937603421364022E-2</v>
      </c>
      <c r="BL50" s="43">
        <v>-3.3E-4</v>
      </c>
      <c r="BM50" s="43">
        <v>-3.3100000000000002E-4</v>
      </c>
      <c r="BN50" s="43">
        <v>-9.6000000000000002E-5</v>
      </c>
      <c r="BP50" s="30">
        <v>2.8662065621364051E-2</v>
      </c>
      <c r="BQ50" s="43">
        <v>-5.1500000000000005E-4</v>
      </c>
      <c r="BR50" s="43">
        <v>-5.0500000000000002E-4</v>
      </c>
      <c r="BS50" s="43">
        <v>2.63E-4</v>
      </c>
      <c r="BT50" s="30">
        <v>3.1937603421364022E-2</v>
      </c>
      <c r="BU50" s="43">
        <v>-5.6800000000000004E-4</v>
      </c>
      <c r="BV50" s="43">
        <v>-5.5800000000000001E-4</v>
      </c>
      <c r="BW50" s="43">
        <v>3.6600000000000001E-4</v>
      </c>
      <c r="BY50" s="30">
        <v>2.8662065621364051E-2</v>
      </c>
      <c r="BZ50" s="43">
        <v>-3.2400000000000001E-4</v>
      </c>
      <c r="CA50" s="43">
        <v>-3.0899999999999998E-4</v>
      </c>
      <c r="CB50" s="43">
        <v>5.0000000000000002E-5</v>
      </c>
      <c r="CC50" s="30">
        <v>3.1937603421364022E-2</v>
      </c>
      <c r="CD50" s="43">
        <v>-3.3599999999999998E-4</v>
      </c>
      <c r="CE50" s="43">
        <v>-3.21E-4</v>
      </c>
      <c r="CF50" s="43">
        <v>6.0999999999999999E-5</v>
      </c>
      <c r="CH50" s="30">
        <v>2.8662065621364051E-2</v>
      </c>
      <c r="CI50" s="43">
        <v>-3.8699999999999997E-4</v>
      </c>
      <c r="CJ50" s="43">
        <v>-3.5500000000000001E-4</v>
      </c>
      <c r="CK50" s="43">
        <v>-7.6000000000000004E-5</v>
      </c>
      <c r="CL50" s="30">
        <v>3.1937603421364022E-2</v>
      </c>
      <c r="CM50" s="43">
        <v>-4.1199999999999999E-4</v>
      </c>
      <c r="CN50" s="43">
        <v>-3.7500000000000001E-4</v>
      </c>
      <c r="CO50" s="43">
        <v>-5.5999999999999999E-5</v>
      </c>
      <c r="CQ50" s="30">
        <v>2.8662065621364051E-2</v>
      </c>
      <c r="CR50" s="43">
        <v>-2.14E-4</v>
      </c>
      <c r="CS50" s="43">
        <v>-2.13E-4</v>
      </c>
      <c r="CT50" s="43">
        <v>-2.0799999999999999E-4</v>
      </c>
      <c r="CU50" s="30">
        <v>3.1937603421364022E-2</v>
      </c>
      <c r="CV50" s="43">
        <v>-2.14E-4</v>
      </c>
      <c r="CW50" s="43">
        <v>-2.14E-4</v>
      </c>
      <c r="CX50" s="43">
        <v>-2.0799999999999999E-4</v>
      </c>
    </row>
    <row r="51" spans="14:102" x14ac:dyDescent="0.25">
      <c r="N51" s="30">
        <v>2.9344469654697385E-2</v>
      </c>
      <c r="O51" s="43">
        <v>-3.4699999999999998E-4</v>
      </c>
      <c r="P51" s="43">
        <v>-3.1399999999999999E-4</v>
      </c>
      <c r="Q51" s="43">
        <v>6.0000000000000002E-6</v>
      </c>
      <c r="R51" s="30">
        <v>3.2756488221364025E-2</v>
      </c>
      <c r="S51" s="43">
        <v>-3.6499999999999998E-4</v>
      </c>
      <c r="T51" s="43">
        <v>-3.28E-4</v>
      </c>
      <c r="U51" s="43">
        <v>2.5999999999999998E-5</v>
      </c>
      <c r="W51" s="30">
        <v>2.9344469654697385E-2</v>
      </c>
      <c r="X51" s="43">
        <v>-3.39E-4</v>
      </c>
      <c r="Y51" s="43">
        <v>-3.0699999999999998E-4</v>
      </c>
      <c r="Z51" s="43">
        <v>3.0000000000000001E-6</v>
      </c>
      <c r="AA51" s="30">
        <v>3.2756488221364025E-2</v>
      </c>
      <c r="AB51" s="43">
        <v>-3.3599999999999998E-4</v>
      </c>
      <c r="AC51" s="43">
        <v>-3.0299999999999999E-4</v>
      </c>
      <c r="AD51" s="43">
        <v>6.0000000000000002E-6</v>
      </c>
      <c r="AF51" s="30">
        <v>2.9344469654697385E-2</v>
      </c>
      <c r="AG51" s="43">
        <v>-5.4900000000000001E-4</v>
      </c>
      <c r="AH51" s="43">
        <v>-5.5000000000000003E-4</v>
      </c>
      <c r="AI51" s="43">
        <v>1.15E-4</v>
      </c>
      <c r="AJ51" s="30">
        <v>3.2756488221364025E-2</v>
      </c>
      <c r="AK51" s="43">
        <v>-5.9599999999999996E-4</v>
      </c>
      <c r="AL51" s="43">
        <v>-5.9699999999999998E-4</v>
      </c>
      <c r="AM51" s="43">
        <v>1.6799999999999999E-4</v>
      </c>
      <c r="AO51" s="30">
        <v>2.9344469654697385E-2</v>
      </c>
      <c r="AP51" s="43">
        <v>-3.2400000000000001E-4</v>
      </c>
      <c r="AQ51" s="43">
        <v>-3.2400000000000001E-4</v>
      </c>
      <c r="AR51" s="43">
        <v>-1E-4</v>
      </c>
      <c r="AS51" s="30">
        <v>3.2756488221364025E-2</v>
      </c>
      <c r="AT51" s="43">
        <v>-3.3500000000000001E-4</v>
      </c>
      <c r="AU51" s="43">
        <v>-3.3500000000000001E-4</v>
      </c>
      <c r="AV51" s="43">
        <v>-8.8999999999999995E-5</v>
      </c>
      <c r="AX51" s="30">
        <v>2.9344469654697385E-2</v>
      </c>
      <c r="AY51" s="43">
        <v>-5.5099999999999995E-4</v>
      </c>
      <c r="AZ51" s="43">
        <v>-5.53E-4</v>
      </c>
      <c r="BA51" s="43">
        <v>1.15E-4</v>
      </c>
      <c r="BB51" s="30">
        <v>3.2756488221364025E-2</v>
      </c>
      <c r="BC51" s="43">
        <v>-5.9999999999999995E-4</v>
      </c>
      <c r="BD51" s="43">
        <v>-6.0099999999999997E-4</v>
      </c>
      <c r="BE51" s="43">
        <v>1.6899999999999999E-4</v>
      </c>
      <c r="BG51" s="30">
        <v>2.9344469654697385E-2</v>
      </c>
      <c r="BH51" s="43">
        <v>-3.2200000000000002E-4</v>
      </c>
      <c r="BI51" s="43">
        <v>-3.2200000000000002E-4</v>
      </c>
      <c r="BJ51" s="43">
        <v>-1.0399999999999999E-4</v>
      </c>
      <c r="BK51" s="30">
        <v>3.2756488221364025E-2</v>
      </c>
      <c r="BL51" s="43">
        <v>-3.3300000000000002E-4</v>
      </c>
      <c r="BM51" s="43">
        <v>-3.3300000000000002E-4</v>
      </c>
      <c r="BN51" s="43">
        <v>-9.3999999999999994E-5</v>
      </c>
      <c r="BP51" s="30">
        <v>2.9344469654697385E-2</v>
      </c>
      <c r="BQ51" s="43">
        <v>-5.2499999999999997E-4</v>
      </c>
      <c r="BR51" s="43">
        <v>-5.1599999999999997E-4</v>
      </c>
      <c r="BS51" s="43">
        <v>2.7999999999999998E-4</v>
      </c>
      <c r="BT51" s="30">
        <v>3.2756488221364025E-2</v>
      </c>
      <c r="BU51" s="43">
        <v>-5.8100000000000003E-4</v>
      </c>
      <c r="BV51" s="43">
        <v>-5.71E-4</v>
      </c>
      <c r="BW51" s="43">
        <v>3.9500000000000001E-4</v>
      </c>
      <c r="BY51" s="30">
        <v>2.9344469654697385E-2</v>
      </c>
      <c r="BZ51" s="43">
        <v>-3.2699999999999998E-4</v>
      </c>
      <c r="CA51" s="43">
        <v>-3.1199999999999999E-4</v>
      </c>
      <c r="CB51" s="43">
        <v>5.3000000000000001E-5</v>
      </c>
      <c r="CC51" s="30">
        <v>3.2756488221364025E-2</v>
      </c>
      <c r="CD51" s="43">
        <v>-3.39E-4</v>
      </c>
      <c r="CE51" s="43">
        <v>-3.2400000000000001E-4</v>
      </c>
      <c r="CF51" s="43">
        <v>6.3999999999999997E-5</v>
      </c>
      <c r="CH51" s="30">
        <v>2.9344469654697385E-2</v>
      </c>
      <c r="CI51" s="43">
        <v>-3.9100000000000002E-4</v>
      </c>
      <c r="CJ51" s="43">
        <v>-3.5799999999999997E-4</v>
      </c>
      <c r="CK51" s="43">
        <v>-7.2999999999999999E-5</v>
      </c>
      <c r="CL51" s="30">
        <v>3.2756488221364025E-2</v>
      </c>
      <c r="CM51" s="43">
        <v>-4.17E-4</v>
      </c>
      <c r="CN51" s="43">
        <v>-3.8000000000000002E-4</v>
      </c>
      <c r="CO51" s="43">
        <v>-5.1E-5</v>
      </c>
      <c r="CQ51" s="30">
        <v>2.9344469654697385E-2</v>
      </c>
      <c r="CR51" s="43">
        <v>-2.14E-4</v>
      </c>
      <c r="CS51" s="43">
        <v>-2.14E-4</v>
      </c>
      <c r="CT51" s="43">
        <v>-2.0799999999999999E-4</v>
      </c>
      <c r="CU51" s="30">
        <v>3.2756488221364025E-2</v>
      </c>
      <c r="CV51" s="43">
        <v>-2.1499999999999999E-4</v>
      </c>
      <c r="CW51" s="43">
        <v>-2.14E-4</v>
      </c>
      <c r="CX51" s="43">
        <v>-2.0699999999999999E-4</v>
      </c>
    </row>
    <row r="52" spans="14:102" x14ac:dyDescent="0.25">
      <c r="N52" s="30">
        <v>3.0026873688030718E-2</v>
      </c>
      <c r="O52" s="43">
        <v>-3.5100000000000002E-4</v>
      </c>
      <c r="P52" s="43">
        <v>-3.1700000000000001E-4</v>
      </c>
      <c r="Q52" s="43">
        <v>1.0000000000000001E-5</v>
      </c>
      <c r="R52" s="30">
        <v>3.2756488221364025E-2</v>
      </c>
      <c r="S52" s="43">
        <v>-3.6499999999999998E-4</v>
      </c>
      <c r="T52" s="43">
        <v>-3.28E-4</v>
      </c>
      <c r="U52" s="43">
        <v>2.5999999999999998E-5</v>
      </c>
      <c r="W52" s="30">
        <v>3.0026873688030718E-2</v>
      </c>
      <c r="X52" s="43">
        <v>-3.3799999999999998E-4</v>
      </c>
      <c r="Y52" s="43">
        <v>-3.0600000000000001E-4</v>
      </c>
      <c r="Z52" s="43">
        <v>3.9999999999999998E-6</v>
      </c>
      <c r="AA52" s="30">
        <v>3.2756488221364025E-2</v>
      </c>
      <c r="AB52" s="43">
        <v>-3.3599999999999998E-4</v>
      </c>
      <c r="AC52" s="43">
        <v>-3.0299999999999999E-4</v>
      </c>
      <c r="AD52" s="43">
        <v>6.0000000000000002E-6</v>
      </c>
      <c r="AF52" s="30">
        <v>3.0026873688030718E-2</v>
      </c>
      <c r="AG52" s="43">
        <v>-5.5699999999999999E-4</v>
      </c>
      <c r="AH52" s="43">
        <v>-5.5800000000000001E-4</v>
      </c>
      <c r="AI52" s="43">
        <v>1.2300000000000001E-4</v>
      </c>
      <c r="AJ52" s="30">
        <v>3.2756488221364025E-2</v>
      </c>
      <c r="AK52" s="43">
        <v>-5.9599999999999996E-4</v>
      </c>
      <c r="AL52" s="43">
        <v>-5.9699999999999998E-4</v>
      </c>
      <c r="AM52" s="43">
        <v>1.6799999999999999E-4</v>
      </c>
      <c r="AO52" s="30">
        <v>3.0026873688030718E-2</v>
      </c>
      <c r="AP52" s="43">
        <v>-3.2600000000000001E-4</v>
      </c>
      <c r="AQ52" s="43">
        <v>-3.2600000000000001E-4</v>
      </c>
      <c r="AR52" s="43">
        <v>-9.7999999999999997E-5</v>
      </c>
      <c r="AS52" s="30">
        <v>3.2756488221364025E-2</v>
      </c>
      <c r="AT52" s="43">
        <v>-3.3500000000000001E-4</v>
      </c>
      <c r="AU52" s="43">
        <v>-3.3500000000000001E-4</v>
      </c>
      <c r="AV52" s="43">
        <v>-8.8999999999999995E-5</v>
      </c>
      <c r="AX52" s="30">
        <v>3.0026873688030718E-2</v>
      </c>
      <c r="AY52" s="43">
        <v>-5.5999999999999995E-4</v>
      </c>
      <c r="AZ52" s="43">
        <v>-5.6099999999999998E-4</v>
      </c>
      <c r="BA52" s="43">
        <v>1.2300000000000001E-4</v>
      </c>
      <c r="BB52" s="30">
        <v>3.2756488221364025E-2</v>
      </c>
      <c r="BC52" s="43">
        <v>-5.9999999999999995E-4</v>
      </c>
      <c r="BD52" s="43">
        <v>-6.0099999999999997E-4</v>
      </c>
      <c r="BE52" s="43">
        <v>1.6899999999999999E-4</v>
      </c>
      <c r="BG52" s="30">
        <v>3.0026873688030718E-2</v>
      </c>
      <c r="BH52" s="43">
        <v>-3.2400000000000001E-4</v>
      </c>
      <c r="BI52" s="43">
        <v>-3.2499999999999999E-4</v>
      </c>
      <c r="BJ52" s="43">
        <v>-1.02E-4</v>
      </c>
      <c r="BK52" s="30">
        <v>3.2756488221364025E-2</v>
      </c>
      <c r="BL52" s="43">
        <v>-3.3300000000000002E-4</v>
      </c>
      <c r="BM52" s="43">
        <v>-3.3300000000000002E-4</v>
      </c>
      <c r="BN52" s="43">
        <v>-9.3999999999999994E-5</v>
      </c>
      <c r="BP52" s="30">
        <v>3.0026873688030718E-2</v>
      </c>
      <c r="BQ52" s="43">
        <v>-5.3600000000000002E-4</v>
      </c>
      <c r="BR52" s="43">
        <v>-5.2599999999999999E-4</v>
      </c>
      <c r="BS52" s="43">
        <v>2.9599999999999998E-4</v>
      </c>
      <c r="BT52" s="30">
        <v>3.2756488221364025E-2</v>
      </c>
      <c r="BU52" s="43">
        <v>-5.8100000000000003E-4</v>
      </c>
      <c r="BV52" s="43">
        <v>-5.71E-4</v>
      </c>
      <c r="BW52" s="43">
        <v>3.9500000000000001E-4</v>
      </c>
      <c r="BY52" s="30">
        <v>3.0026873688030718E-2</v>
      </c>
      <c r="BZ52" s="43">
        <v>-3.2899999999999997E-4</v>
      </c>
      <c r="CA52" s="43">
        <v>-3.1399999999999999E-4</v>
      </c>
      <c r="CB52" s="43">
        <v>5.5000000000000002E-5</v>
      </c>
      <c r="CC52" s="30">
        <v>3.2756488221364025E-2</v>
      </c>
      <c r="CD52" s="43">
        <v>-3.39E-4</v>
      </c>
      <c r="CE52" s="43">
        <v>-3.2400000000000001E-4</v>
      </c>
      <c r="CF52" s="43">
        <v>6.3999999999999997E-5</v>
      </c>
      <c r="CH52" s="30">
        <v>3.0026873688030718E-2</v>
      </c>
      <c r="CI52" s="43">
        <v>-3.9599999999999998E-4</v>
      </c>
      <c r="CJ52" s="43">
        <v>-3.6200000000000002E-4</v>
      </c>
      <c r="CK52" s="43">
        <v>-6.8999999999999997E-5</v>
      </c>
      <c r="CL52" s="30">
        <v>3.2756488221364025E-2</v>
      </c>
      <c r="CM52" s="43">
        <v>-4.17E-4</v>
      </c>
      <c r="CN52" s="43">
        <v>-3.8000000000000002E-4</v>
      </c>
      <c r="CO52" s="43">
        <v>-5.1E-5</v>
      </c>
      <c r="CQ52" s="30">
        <v>3.0026873688030718E-2</v>
      </c>
      <c r="CR52" s="43">
        <v>-2.14E-4</v>
      </c>
      <c r="CS52" s="43">
        <v>-2.14E-4</v>
      </c>
      <c r="CT52" s="43">
        <v>-2.0799999999999999E-4</v>
      </c>
      <c r="CU52" s="30">
        <v>3.2756488221364025E-2</v>
      </c>
      <c r="CV52" s="43">
        <v>-2.1499999999999999E-4</v>
      </c>
      <c r="CW52" s="43">
        <v>-2.14E-4</v>
      </c>
      <c r="CX52" s="43">
        <v>-2.0699999999999999E-4</v>
      </c>
    </row>
    <row r="53" spans="14:102" x14ac:dyDescent="0.25">
      <c r="N53" s="30">
        <v>3.0709277721364055E-2</v>
      </c>
      <c r="O53" s="43">
        <v>-3.5500000000000001E-4</v>
      </c>
      <c r="P53" s="43">
        <v>-3.2000000000000003E-4</v>
      </c>
      <c r="Q53" s="43">
        <v>1.4E-5</v>
      </c>
      <c r="R53" s="30">
        <v>3.357537302136402E-2</v>
      </c>
      <c r="S53" s="43">
        <v>-3.6999999999999999E-4</v>
      </c>
      <c r="T53" s="43">
        <v>-3.3199999999999999E-4</v>
      </c>
      <c r="U53" s="43">
        <v>3.0000000000000001E-5</v>
      </c>
      <c r="W53" s="30">
        <v>3.0709277721364055E-2</v>
      </c>
      <c r="X53" s="43">
        <v>-3.3799999999999998E-4</v>
      </c>
      <c r="Y53" s="43">
        <v>-3.0499999999999999E-4</v>
      </c>
      <c r="Z53" s="43">
        <v>3.9999999999999998E-6</v>
      </c>
      <c r="AA53" s="30">
        <v>3.357537302136402E-2</v>
      </c>
      <c r="AB53" s="43">
        <v>-3.3500000000000001E-4</v>
      </c>
      <c r="AC53" s="43">
        <v>-3.0299999999999999E-4</v>
      </c>
      <c r="AD53" s="43">
        <v>6.0000000000000002E-6</v>
      </c>
      <c r="AF53" s="30">
        <v>3.0709277721364055E-2</v>
      </c>
      <c r="AG53" s="43">
        <v>-5.6700000000000001E-4</v>
      </c>
      <c r="AH53" s="43">
        <v>-5.6800000000000004E-4</v>
      </c>
      <c r="AI53" s="43">
        <v>1.35E-4</v>
      </c>
      <c r="AJ53" s="30">
        <v>3.357537302136402E-2</v>
      </c>
      <c r="AK53" s="43">
        <v>-6.0700000000000001E-4</v>
      </c>
      <c r="AL53" s="43">
        <v>-6.0800000000000003E-4</v>
      </c>
      <c r="AM53" s="43">
        <v>1.8100000000000001E-4</v>
      </c>
      <c r="AO53" s="30">
        <v>3.0709277721364055E-2</v>
      </c>
      <c r="AP53" s="43">
        <v>-3.28E-4</v>
      </c>
      <c r="AQ53" s="43">
        <v>-3.28E-4</v>
      </c>
      <c r="AR53" s="43">
        <v>-9.6000000000000002E-5</v>
      </c>
      <c r="AS53" s="30">
        <v>3.357537302136402E-2</v>
      </c>
      <c r="AT53" s="43">
        <v>-3.3700000000000001E-4</v>
      </c>
      <c r="AU53" s="43">
        <v>-3.3700000000000001E-4</v>
      </c>
      <c r="AV53" s="43">
        <v>-8.7000000000000001E-5</v>
      </c>
      <c r="AX53" s="30">
        <v>3.0709277721364055E-2</v>
      </c>
      <c r="AY53" s="43">
        <v>-5.6999999999999998E-4</v>
      </c>
      <c r="AZ53" s="43">
        <v>-5.71E-4</v>
      </c>
      <c r="BA53" s="43">
        <v>1.35E-4</v>
      </c>
      <c r="BB53" s="30">
        <v>3.357537302136402E-2</v>
      </c>
      <c r="BC53" s="43">
        <v>-6.11E-4</v>
      </c>
      <c r="BD53" s="43">
        <v>-6.1300000000000005E-4</v>
      </c>
      <c r="BE53" s="43">
        <v>1.8200000000000001E-4</v>
      </c>
      <c r="BG53" s="30">
        <v>3.0709277721364055E-2</v>
      </c>
      <c r="BH53" s="43">
        <v>-3.2600000000000001E-4</v>
      </c>
      <c r="BI53" s="43">
        <v>-3.2699999999999998E-4</v>
      </c>
      <c r="BJ53" s="43">
        <v>-1E-4</v>
      </c>
      <c r="BK53" s="30">
        <v>3.357537302136402E-2</v>
      </c>
      <c r="BL53" s="43">
        <v>-3.3500000000000001E-4</v>
      </c>
      <c r="BM53" s="43">
        <v>-3.3599999999999998E-4</v>
      </c>
      <c r="BN53" s="43">
        <v>-9.1000000000000003E-5</v>
      </c>
      <c r="BP53" s="30">
        <v>3.0709277721364055E-2</v>
      </c>
      <c r="BQ53" s="43">
        <v>-5.4699999999999996E-4</v>
      </c>
      <c r="BR53" s="43">
        <v>-5.3700000000000004E-4</v>
      </c>
      <c r="BS53" s="43">
        <v>3.2299999999999999E-4</v>
      </c>
      <c r="BT53" s="30">
        <v>3.357537302136402E-2</v>
      </c>
      <c r="BU53" s="43">
        <v>-5.9400000000000002E-4</v>
      </c>
      <c r="BV53" s="43">
        <v>-5.8399999999999999E-4</v>
      </c>
      <c r="BW53" s="43">
        <v>4.2299999999999998E-4</v>
      </c>
      <c r="BY53" s="30">
        <v>3.0709277721364055E-2</v>
      </c>
      <c r="BZ53" s="43">
        <v>-3.3199999999999999E-4</v>
      </c>
      <c r="CA53" s="43">
        <v>-3.1700000000000001E-4</v>
      </c>
      <c r="CB53" s="43">
        <v>5.8E-5</v>
      </c>
      <c r="CC53" s="30">
        <v>3.357537302136402E-2</v>
      </c>
      <c r="CD53" s="43">
        <v>-3.4200000000000002E-4</v>
      </c>
      <c r="CE53" s="43">
        <v>-3.2600000000000001E-4</v>
      </c>
      <c r="CF53" s="43">
        <v>6.7000000000000002E-5</v>
      </c>
      <c r="CH53" s="30">
        <v>3.0709277721364055E-2</v>
      </c>
      <c r="CI53" s="43">
        <v>-4.0099999999999999E-4</v>
      </c>
      <c r="CJ53" s="43">
        <v>-3.6600000000000001E-4</v>
      </c>
      <c r="CK53" s="43">
        <v>-6.4999999999999994E-5</v>
      </c>
      <c r="CL53" s="30">
        <v>3.357537302136402E-2</v>
      </c>
      <c r="CM53" s="43">
        <v>-4.2299999999999998E-4</v>
      </c>
      <c r="CN53" s="43">
        <v>-3.8499999999999998E-4</v>
      </c>
      <c r="CO53" s="43">
        <v>-4.6999999999999997E-5</v>
      </c>
      <c r="CQ53" s="30">
        <v>3.0709277721364055E-2</v>
      </c>
      <c r="CR53" s="43">
        <v>-2.14E-4</v>
      </c>
      <c r="CS53" s="43">
        <v>-2.14E-4</v>
      </c>
      <c r="CT53" s="43">
        <v>-2.0699999999999999E-4</v>
      </c>
      <c r="CU53" s="30">
        <v>3.357537302136402E-2</v>
      </c>
      <c r="CV53" s="43">
        <v>-2.1499999999999999E-4</v>
      </c>
      <c r="CW53" s="43">
        <v>-2.14E-4</v>
      </c>
      <c r="CX53" s="43">
        <v>-2.0699999999999999E-4</v>
      </c>
    </row>
    <row r="54" spans="14:102" x14ac:dyDescent="0.25">
      <c r="N54" s="30">
        <v>3.1391681754697386E-2</v>
      </c>
      <c r="O54" s="43">
        <v>-3.59E-4</v>
      </c>
      <c r="P54" s="43">
        <v>-3.2299999999999999E-4</v>
      </c>
      <c r="Q54" s="43">
        <v>1.8E-5</v>
      </c>
      <c r="R54" s="30">
        <v>3.4394257821364023E-2</v>
      </c>
      <c r="S54" s="43">
        <v>-3.7500000000000001E-4</v>
      </c>
      <c r="T54" s="43">
        <v>-3.3599999999999998E-4</v>
      </c>
      <c r="U54" s="43">
        <v>3.4999999999999997E-5</v>
      </c>
      <c r="W54" s="30">
        <v>3.1391681754697386E-2</v>
      </c>
      <c r="X54" s="43">
        <v>-3.3700000000000001E-4</v>
      </c>
      <c r="Y54" s="43">
        <v>-3.0499999999999999E-4</v>
      </c>
      <c r="Z54" s="43">
        <v>5.0000000000000004E-6</v>
      </c>
      <c r="AA54" s="30">
        <v>3.4394257821364023E-2</v>
      </c>
      <c r="AB54" s="43">
        <v>-3.3399999999999999E-4</v>
      </c>
      <c r="AC54" s="43">
        <v>-3.0200000000000002E-4</v>
      </c>
      <c r="AD54" s="43">
        <v>6.9999999999999999E-6</v>
      </c>
      <c r="AF54" s="30">
        <v>3.1391681754697386E-2</v>
      </c>
      <c r="AG54" s="43">
        <v>-5.7600000000000001E-4</v>
      </c>
      <c r="AH54" s="43">
        <v>-5.7799999999999995E-4</v>
      </c>
      <c r="AI54" s="43">
        <v>1.46E-4</v>
      </c>
      <c r="AJ54" s="30">
        <v>3.4394257821364023E-2</v>
      </c>
      <c r="AK54" s="43">
        <v>-6.1799999999999995E-4</v>
      </c>
      <c r="AL54" s="43">
        <v>-6.2E-4</v>
      </c>
      <c r="AM54" s="43">
        <v>1.94E-4</v>
      </c>
      <c r="AO54" s="30">
        <v>3.1391681754697386E-2</v>
      </c>
      <c r="AP54" s="43">
        <v>-3.3E-4</v>
      </c>
      <c r="AQ54" s="43">
        <v>-3.3E-4</v>
      </c>
      <c r="AR54" s="43">
        <v>-9.2999999999999997E-5</v>
      </c>
      <c r="AS54" s="30">
        <v>3.4394257821364023E-2</v>
      </c>
      <c r="AT54" s="43">
        <v>-3.4000000000000002E-4</v>
      </c>
      <c r="AU54" s="43">
        <v>-3.4000000000000002E-4</v>
      </c>
      <c r="AV54" s="43">
        <v>-8.3999999999999995E-5</v>
      </c>
      <c r="AX54" s="30">
        <v>3.1391681754697386E-2</v>
      </c>
      <c r="AY54" s="43">
        <v>-5.7899999999999998E-4</v>
      </c>
      <c r="AZ54" s="43">
        <v>-5.8100000000000003E-4</v>
      </c>
      <c r="BA54" s="43">
        <v>1.46E-4</v>
      </c>
      <c r="BB54" s="30">
        <v>3.4394257821364023E-2</v>
      </c>
      <c r="BC54" s="43">
        <v>-6.2299999999999996E-4</v>
      </c>
      <c r="BD54" s="43">
        <v>-6.2399999999999999E-4</v>
      </c>
      <c r="BE54" s="43">
        <v>1.95E-4</v>
      </c>
      <c r="BG54" s="30">
        <v>3.1391681754697386E-2</v>
      </c>
      <c r="BH54" s="43">
        <v>-3.2899999999999997E-4</v>
      </c>
      <c r="BI54" s="43">
        <v>-3.2899999999999997E-4</v>
      </c>
      <c r="BJ54" s="43">
        <v>-9.7999999999999997E-5</v>
      </c>
      <c r="BK54" s="30">
        <v>3.4394257821364023E-2</v>
      </c>
      <c r="BL54" s="43">
        <v>-3.3799999999999998E-4</v>
      </c>
      <c r="BM54" s="43">
        <v>-3.3799999999999998E-4</v>
      </c>
      <c r="BN54" s="43">
        <v>-8.8999999999999995E-5</v>
      </c>
      <c r="BP54" s="30">
        <v>3.1391681754697386E-2</v>
      </c>
      <c r="BQ54" s="43">
        <v>-5.5699999999999999E-4</v>
      </c>
      <c r="BR54" s="43">
        <v>-5.4799999999999998E-4</v>
      </c>
      <c r="BS54" s="43">
        <v>3.4600000000000001E-4</v>
      </c>
      <c r="BT54" s="30">
        <v>3.4394257821364023E-2</v>
      </c>
      <c r="BU54" s="43">
        <v>-6.0700000000000001E-4</v>
      </c>
      <c r="BV54" s="43">
        <v>-5.9699999999999998E-4</v>
      </c>
      <c r="BW54" s="43">
        <v>4.5100000000000001E-4</v>
      </c>
      <c r="BY54" s="30">
        <v>3.1391681754697386E-2</v>
      </c>
      <c r="BZ54" s="43">
        <v>-3.3399999999999999E-4</v>
      </c>
      <c r="CA54" s="43">
        <v>-3.19E-4</v>
      </c>
      <c r="CB54" s="43">
        <v>6.0000000000000002E-5</v>
      </c>
      <c r="CC54" s="30">
        <v>3.4394257821364023E-2</v>
      </c>
      <c r="CD54" s="43">
        <v>-3.4400000000000001E-4</v>
      </c>
      <c r="CE54" s="43">
        <v>-3.2899999999999997E-4</v>
      </c>
      <c r="CF54" s="43">
        <v>6.9999999999999994E-5</v>
      </c>
      <c r="CH54" s="30">
        <v>3.1391681754697386E-2</v>
      </c>
      <c r="CI54" s="43">
        <v>-4.0499999999999998E-4</v>
      </c>
      <c r="CJ54" s="43">
        <v>-3.6999999999999999E-4</v>
      </c>
      <c r="CK54" s="43">
        <v>-6.2000000000000003E-5</v>
      </c>
      <c r="CL54" s="30">
        <v>3.4394257821364023E-2</v>
      </c>
      <c r="CM54" s="43">
        <v>-4.2900000000000002E-4</v>
      </c>
      <c r="CN54" s="43">
        <v>-3.8900000000000002E-4</v>
      </c>
      <c r="CO54" s="43">
        <v>-4.1999999999999998E-5</v>
      </c>
      <c r="CQ54" s="30">
        <v>3.1391681754697386E-2</v>
      </c>
      <c r="CR54" s="43">
        <v>-2.1499999999999999E-4</v>
      </c>
      <c r="CS54" s="43">
        <v>-2.14E-4</v>
      </c>
      <c r="CT54" s="43">
        <v>-2.0699999999999999E-4</v>
      </c>
      <c r="CU54" s="30">
        <v>3.4394257821364023E-2</v>
      </c>
      <c r="CV54" s="43">
        <v>-2.1499999999999999E-4</v>
      </c>
      <c r="CW54" s="43">
        <v>-2.14E-4</v>
      </c>
      <c r="CX54" s="43">
        <v>-2.0599999999999999E-4</v>
      </c>
    </row>
    <row r="55" spans="14:102" x14ac:dyDescent="0.25">
      <c r="N55" s="30">
        <v>3.2074085788030719E-2</v>
      </c>
      <c r="O55" s="43">
        <v>-3.6299999999999999E-4</v>
      </c>
      <c r="P55" s="43">
        <v>-3.2600000000000001E-4</v>
      </c>
      <c r="Q55" s="43">
        <v>2.1999999999999999E-5</v>
      </c>
      <c r="R55" s="30">
        <v>3.5213142621364019E-2</v>
      </c>
      <c r="S55" s="43">
        <v>-3.8000000000000002E-4</v>
      </c>
      <c r="T55" s="43">
        <v>-3.4000000000000002E-4</v>
      </c>
      <c r="U55" s="43">
        <v>4.0000000000000003E-5</v>
      </c>
      <c r="W55" s="30">
        <v>3.2074085788030719E-2</v>
      </c>
      <c r="X55" s="43">
        <v>-3.3599999999999998E-4</v>
      </c>
      <c r="Y55" s="43">
        <v>-3.0400000000000002E-4</v>
      </c>
      <c r="Z55" s="43">
        <v>5.0000000000000004E-6</v>
      </c>
      <c r="AA55" s="30">
        <v>3.5213142621364019E-2</v>
      </c>
      <c r="AB55" s="43">
        <v>-3.3300000000000002E-4</v>
      </c>
      <c r="AC55" s="43">
        <v>-3.01E-4</v>
      </c>
      <c r="AD55" s="43">
        <v>6.9999999999999999E-6</v>
      </c>
      <c r="AF55" s="30">
        <v>3.2074085788030719E-2</v>
      </c>
      <c r="AG55" s="43">
        <v>-5.8600000000000004E-4</v>
      </c>
      <c r="AH55" s="43">
        <v>-5.8699999999999996E-4</v>
      </c>
      <c r="AI55" s="43">
        <v>1.5699999999999999E-4</v>
      </c>
      <c r="AJ55" s="30">
        <v>3.5213142621364019E-2</v>
      </c>
      <c r="AK55" s="43">
        <v>-6.3000000000000003E-4</v>
      </c>
      <c r="AL55" s="43">
        <v>-6.3100000000000005E-4</v>
      </c>
      <c r="AM55" s="43">
        <v>2.0799999999999999E-4</v>
      </c>
      <c r="AO55" s="30">
        <v>3.2074085788030719E-2</v>
      </c>
      <c r="AP55" s="43">
        <v>-3.3199999999999999E-4</v>
      </c>
      <c r="AQ55" s="43">
        <v>-3.3300000000000002E-4</v>
      </c>
      <c r="AR55" s="43">
        <v>-9.1000000000000003E-5</v>
      </c>
      <c r="AS55" s="30">
        <v>3.5213142621364019E-2</v>
      </c>
      <c r="AT55" s="43">
        <v>-3.4200000000000002E-4</v>
      </c>
      <c r="AU55" s="43">
        <v>-3.4299999999999999E-4</v>
      </c>
      <c r="AV55" s="43">
        <v>-8.1000000000000004E-5</v>
      </c>
      <c r="AX55" s="30">
        <v>3.2074085788030719E-2</v>
      </c>
      <c r="AY55" s="43">
        <v>-5.8900000000000001E-4</v>
      </c>
      <c r="AZ55" s="43">
        <v>-5.9000000000000003E-4</v>
      </c>
      <c r="BA55" s="43">
        <v>1.5699999999999999E-4</v>
      </c>
      <c r="BB55" s="30">
        <v>3.5213142621364019E-2</v>
      </c>
      <c r="BC55" s="43">
        <v>-6.3400000000000001E-4</v>
      </c>
      <c r="BD55" s="43">
        <v>-6.3500000000000004E-4</v>
      </c>
      <c r="BE55" s="43">
        <v>2.0900000000000001E-4</v>
      </c>
      <c r="BG55" s="30">
        <v>3.2074085788030719E-2</v>
      </c>
      <c r="BH55" s="43">
        <v>-3.3100000000000002E-4</v>
      </c>
      <c r="BI55" s="43">
        <v>-3.3100000000000002E-4</v>
      </c>
      <c r="BJ55" s="43">
        <v>-9.6000000000000002E-5</v>
      </c>
      <c r="BK55" s="30">
        <v>3.5213142621364019E-2</v>
      </c>
      <c r="BL55" s="43">
        <v>-3.4099999999999999E-4</v>
      </c>
      <c r="BM55" s="43">
        <v>-3.4099999999999999E-4</v>
      </c>
      <c r="BN55" s="43">
        <v>-8.6000000000000003E-5</v>
      </c>
      <c r="BP55" s="30">
        <v>3.2074085788030719E-2</v>
      </c>
      <c r="BQ55" s="43">
        <v>-5.6800000000000004E-4</v>
      </c>
      <c r="BR55" s="43">
        <v>-5.5900000000000004E-4</v>
      </c>
      <c r="BS55" s="43">
        <v>3.6999999999999999E-4</v>
      </c>
      <c r="BT55" s="30">
        <v>3.5213142621364019E-2</v>
      </c>
      <c r="BU55" s="43">
        <v>-6.2E-4</v>
      </c>
      <c r="BV55" s="43">
        <v>-6.0999999999999997E-4</v>
      </c>
      <c r="BW55" s="43">
        <v>4.7899999999999999E-4</v>
      </c>
      <c r="BY55" s="30">
        <v>3.2074085788030719E-2</v>
      </c>
      <c r="BZ55" s="43">
        <v>-3.3599999999999998E-4</v>
      </c>
      <c r="CA55" s="43">
        <v>-3.21E-4</v>
      </c>
      <c r="CB55" s="43">
        <v>6.2000000000000003E-5</v>
      </c>
      <c r="CC55" s="30">
        <v>3.5213142621364019E-2</v>
      </c>
      <c r="CD55" s="43">
        <v>-3.4699999999999998E-4</v>
      </c>
      <c r="CE55" s="43">
        <v>-3.3199999999999999E-4</v>
      </c>
      <c r="CF55" s="43">
        <v>7.2000000000000002E-5</v>
      </c>
      <c r="CH55" s="30">
        <v>3.2074085788030719E-2</v>
      </c>
      <c r="CI55" s="43">
        <v>-4.0999999999999999E-4</v>
      </c>
      <c r="CJ55" s="43">
        <v>-3.7399999999999998E-4</v>
      </c>
      <c r="CK55" s="43">
        <v>-5.8E-5</v>
      </c>
      <c r="CL55" s="30">
        <v>3.5213142621364019E-2</v>
      </c>
      <c r="CM55" s="43">
        <v>-4.3399999999999998E-4</v>
      </c>
      <c r="CN55" s="43">
        <v>-3.9399999999999998E-4</v>
      </c>
      <c r="CO55" s="43">
        <v>-3.8000000000000002E-5</v>
      </c>
      <c r="CQ55" s="30">
        <v>3.2074085788030719E-2</v>
      </c>
      <c r="CR55" s="43">
        <v>-2.1499999999999999E-4</v>
      </c>
      <c r="CS55" s="43">
        <v>-2.14E-4</v>
      </c>
      <c r="CT55" s="43">
        <v>-2.0699999999999999E-4</v>
      </c>
      <c r="CU55" s="30">
        <v>3.5213142621364019E-2</v>
      </c>
      <c r="CV55" s="43">
        <v>-2.1599999999999999E-4</v>
      </c>
      <c r="CW55" s="43">
        <v>-2.1499999999999999E-4</v>
      </c>
      <c r="CX55" s="43">
        <v>-2.0599999999999999E-4</v>
      </c>
    </row>
    <row r="56" spans="14:102" x14ac:dyDescent="0.25">
      <c r="N56" s="30">
        <v>3.275648982136406E-2</v>
      </c>
      <c r="O56" s="43">
        <v>-3.6699999999999998E-4</v>
      </c>
      <c r="P56" s="43">
        <v>-3.3E-4</v>
      </c>
      <c r="Q56" s="43">
        <v>2.5999999999999998E-5</v>
      </c>
      <c r="R56" s="30">
        <v>3.6032027421364021E-2</v>
      </c>
      <c r="S56" s="43">
        <v>-3.8400000000000001E-4</v>
      </c>
      <c r="T56" s="43">
        <v>-3.4400000000000001E-4</v>
      </c>
      <c r="U56" s="43">
        <v>4.5000000000000003E-5</v>
      </c>
      <c r="W56" s="30">
        <v>3.275648982136406E-2</v>
      </c>
      <c r="X56" s="43">
        <v>-3.3599999999999998E-4</v>
      </c>
      <c r="Y56" s="43">
        <v>-3.0299999999999999E-4</v>
      </c>
      <c r="Z56" s="43">
        <v>5.0000000000000004E-6</v>
      </c>
      <c r="AA56" s="30">
        <v>3.6032027421364021E-2</v>
      </c>
      <c r="AB56" s="43">
        <v>-3.3199999999999999E-4</v>
      </c>
      <c r="AC56" s="43">
        <v>-2.9999999999999997E-4</v>
      </c>
      <c r="AD56" s="43">
        <v>6.9999999999999999E-6</v>
      </c>
      <c r="AF56" s="30">
        <v>3.275648982136406E-2</v>
      </c>
      <c r="AG56" s="43">
        <v>-5.9500000000000004E-4</v>
      </c>
      <c r="AH56" s="43">
        <v>-5.9699999999999998E-4</v>
      </c>
      <c r="AI56" s="43">
        <v>1.6799999999999999E-4</v>
      </c>
      <c r="AJ56" s="30">
        <v>3.6032027421364021E-2</v>
      </c>
      <c r="AK56" s="43">
        <v>-6.4099999999999997E-4</v>
      </c>
      <c r="AL56" s="43">
        <v>-6.4300000000000002E-4</v>
      </c>
      <c r="AM56" s="43">
        <v>2.2100000000000001E-4</v>
      </c>
      <c r="AO56" s="30">
        <v>3.275648982136406E-2</v>
      </c>
      <c r="AP56" s="43">
        <v>-3.3500000000000001E-4</v>
      </c>
      <c r="AQ56" s="43">
        <v>-3.3500000000000001E-4</v>
      </c>
      <c r="AR56" s="43">
        <v>-8.8999999999999995E-5</v>
      </c>
      <c r="AS56" s="30">
        <v>3.6032027421364021E-2</v>
      </c>
      <c r="AT56" s="43">
        <v>-3.4499999999999998E-4</v>
      </c>
      <c r="AU56" s="43">
        <v>-3.4499999999999998E-4</v>
      </c>
      <c r="AV56" s="43">
        <v>-7.8999999999999996E-5</v>
      </c>
      <c r="AX56" s="30">
        <v>3.275648982136406E-2</v>
      </c>
      <c r="AY56" s="43">
        <v>-5.9800000000000001E-4</v>
      </c>
      <c r="AZ56" s="43">
        <v>-5.9999999999999995E-4</v>
      </c>
      <c r="BA56" s="43">
        <v>1.6799999999999999E-4</v>
      </c>
      <c r="BB56" s="30">
        <v>3.6032027421364021E-2</v>
      </c>
      <c r="BC56" s="43">
        <v>-6.4599999999999998E-4</v>
      </c>
      <c r="BD56" s="43">
        <v>-6.4700000000000001E-4</v>
      </c>
      <c r="BE56" s="43">
        <v>2.22E-4</v>
      </c>
      <c r="BG56" s="30">
        <v>3.275648982136406E-2</v>
      </c>
      <c r="BH56" s="43">
        <v>-3.3300000000000002E-4</v>
      </c>
      <c r="BI56" s="43">
        <v>-3.3300000000000002E-4</v>
      </c>
      <c r="BJ56" s="43">
        <v>-9.3999999999999994E-5</v>
      </c>
      <c r="BK56" s="30">
        <v>3.6032027421364021E-2</v>
      </c>
      <c r="BL56" s="43">
        <v>-3.4299999999999999E-4</v>
      </c>
      <c r="BM56" s="43">
        <v>-3.4400000000000001E-4</v>
      </c>
      <c r="BN56" s="43">
        <v>-8.2999999999999998E-5</v>
      </c>
      <c r="BP56" s="30">
        <v>3.275648982136406E-2</v>
      </c>
      <c r="BQ56" s="43">
        <v>-5.7899999999999998E-4</v>
      </c>
      <c r="BR56" s="43">
        <v>-5.6899999999999995E-4</v>
      </c>
      <c r="BS56" s="43">
        <v>3.9300000000000001E-4</v>
      </c>
      <c r="BT56" s="30">
        <v>3.6032027421364021E-2</v>
      </c>
      <c r="BU56" s="43">
        <v>-6.3199999999999997E-4</v>
      </c>
      <c r="BV56" s="43">
        <v>-6.2299999999999996E-4</v>
      </c>
      <c r="BW56" s="43">
        <v>5.0699999999999996E-4</v>
      </c>
      <c r="BY56" s="30">
        <v>3.275648982136406E-2</v>
      </c>
      <c r="BZ56" s="43">
        <v>-3.39E-4</v>
      </c>
      <c r="CA56" s="43">
        <v>-3.2400000000000001E-4</v>
      </c>
      <c r="CB56" s="43">
        <v>6.3999999999999997E-5</v>
      </c>
      <c r="CC56" s="30">
        <v>3.6032027421364021E-2</v>
      </c>
      <c r="CD56" s="43">
        <v>-3.5E-4</v>
      </c>
      <c r="CE56" s="43">
        <v>-3.3500000000000001E-4</v>
      </c>
      <c r="CF56" s="43">
        <v>7.4999999999999993E-5</v>
      </c>
      <c r="CH56" s="30">
        <v>3.275648982136406E-2</v>
      </c>
      <c r="CI56" s="43">
        <v>-4.15E-4</v>
      </c>
      <c r="CJ56" s="43">
        <v>-3.77E-4</v>
      </c>
      <c r="CK56" s="43">
        <v>-5.3999999999999998E-5</v>
      </c>
      <c r="CL56" s="30">
        <v>3.6032027421364021E-2</v>
      </c>
      <c r="CM56" s="43">
        <v>-4.4000000000000002E-4</v>
      </c>
      <c r="CN56" s="43">
        <v>-3.9899999999999999E-4</v>
      </c>
      <c r="CO56" s="43">
        <v>-3.3000000000000003E-5</v>
      </c>
      <c r="CQ56" s="30">
        <v>3.275648982136406E-2</v>
      </c>
      <c r="CR56" s="43">
        <v>-2.1499999999999999E-4</v>
      </c>
      <c r="CS56" s="43">
        <v>-2.14E-4</v>
      </c>
      <c r="CT56" s="43">
        <v>-2.0699999999999999E-4</v>
      </c>
      <c r="CU56" s="30">
        <v>3.6032027421364021E-2</v>
      </c>
      <c r="CV56" s="43">
        <v>-2.1599999999999999E-4</v>
      </c>
      <c r="CW56" s="43">
        <v>-2.1499999999999999E-4</v>
      </c>
      <c r="CX56" s="43">
        <v>-2.0599999999999999E-4</v>
      </c>
    </row>
    <row r="57" spans="14:102" x14ac:dyDescent="0.25">
      <c r="N57" s="30">
        <v>3.3438893854697394E-2</v>
      </c>
      <c r="O57" s="43">
        <v>-3.7100000000000002E-4</v>
      </c>
      <c r="P57" s="43">
        <v>-3.3300000000000002E-4</v>
      </c>
      <c r="Q57" s="43">
        <v>3.0000000000000001E-5</v>
      </c>
      <c r="R57" s="30">
        <v>3.6850912221364024E-2</v>
      </c>
      <c r="S57" s="43">
        <v>-3.8999999999999999E-4</v>
      </c>
      <c r="T57" s="43">
        <v>-3.48E-4</v>
      </c>
      <c r="U57" s="43">
        <v>5.1E-5</v>
      </c>
      <c r="W57" s="30">
        <v>3.3438893854697394E-2</v>
      </c>
      <c r="X57" s="43">
        <v>-3.3500000000000001E-4</v>
      </c>
      <c r="Y57" s="43">
        <v>-3.0299999999999999E-4</v>
      </c>
      <c r="Z57" s="43">
        <v>6.0000000000000002E-6</v>
      </c>
      <c r="AA57" s="30">
        <v>3.6850912221364024E-2</v>
      </c>
      <c r="AB57" s="43">
        <v>-3.3100000000000002E-4</v>
      </c>
      <c r="AC57" s="43">
        <v>-2.99E-4</v>
      </c>
      <c r="AD57" s="43">
        <v>7.9999999999999996E-6</v>
      </c>
      <c r="AF57" s="30">
        <v>3.3438893854697394E-2</v>
      </c>
      <c r="AG57" s="43">
        <v>-6.0499999999999996E-4</v>
      </c>
      <c r="AH57" s="43">
        <v>-6.0599999999999998E-4</v>
      </c>
      <c r="AI57" s="43">
        <v>1.7899999999999999E-4</v>
      </c>
      <c r="AJ57" s="30">
        <v>3.6850912221364024E-2</v>
      </c>
      <c r="AK57" s="43">
        <v>-6.5700000000000003E-4</v>
      </c>
      <c r="AL57" s="43">
        <v>-6.5899999999999997E-4</v>
      </c>
      <c r="AM57" s="43">
        <v>2.5900000000000001E-4</v>
      </c>
      <c r="AO57" s="30">
        <v>3.3438893854697394E-2</v>
      </c>
      <c r="AP57" s="43">
        <v>-3.3700000000000001E-4</v>
      </c>
      <c r="AQ57" s="43">
        <v>-3.3700000000000001E-4</v>
      </c>
      <c r="AR57" s="43">
        <v>-8.7000000000000001E-5</v>
      </c>
      <c r="AS57" s="30">
        <v>3.6850912221364024E-2</v>
      </c>
      <c r="AT57" s="43">
        <v>-3.4699999999999998E-4</v>
      </c>
      <c r="AU57" s="43">
        <v>-3.4699999999999998E-4</v>
      </c>
      <c r="AV57" s="43">
        <v>-7.7000000000000001E-5</v>
      </c>
      <c r="AX57" s="30">
        <v>3.3438893854697394E-2</v>
      </c>
      <c r="AY57" s="43">
        <v>-6.0800000000000003E-4</v>
      </c>
      <c r="AZ57" s="43">
        <v>-6.0899999999999995E-4</v>
      </c>
      <c r="BA57" s="43">
        <v>1.7799999999999999E-4</v>
      </c>
      <c r="BB57" s="30">
        <v>3.6850912221364024E-2</v>
      </c>
      <c r="BC57" s="43">
        <v>-6.6100000000000002E-4</v>
      </c>
      <c r="BD57" s="43">
        <v>-6.6299999999999996E-4</v>
      </c>
      <c r="BE57" s="43">
        <v>2.5999999999999998E-4</v>
      </c>
      <c r="BG57" s="30">
        <v>3.3438893854697394E-2</v>
      </c>
      <c r="BH57" s="43">
        <v>-3.3500000000000001E-4</v>
      </c>
      <c r="BI57" s="43">
        <v>-3.3500000000000001E-4</v>
      </c>
      <c r="BJ57" s="43">
        <v>-9.1000000000000003E-5</v>
      </c>
      <c r="BK57" s="30">
        <v>3.6850912221364024E-2</v>
      </c>
      <c r="BL57" s="43">
        <v>-3.4499999999999998E-4</v>
      </c>
      <c r="BM57" s="43">
        <v>-3.4600000000000001E-4</v>
      </c>
      <c r="BN57" s="43">
        <v>-8.2000000000000001E-5</v>
      </c>
      <c r="BP57" s="30">
        <v>3.3438893854697394E-2</v>
      </c>
      <c r="BQ57" s="43">
        <v>-5.9000000000000003E-4</v>
      </c>
      <c r="BR57" s="43">
        <v>-5.8E-4</v>
      </c>
      <c r="BS57" s="43">
        <v>4.1599999999999997E-4</v>
      </c>
      <c r="BT57" s="30">
        <v>3.6850912221364024E-2</v>
      </c>
      <c r="BU57" s="43">
        <v>-6.4800000000000003E-4</v>
      </c>
      <c r="BV57" s="43">
        <v>-6.38E-4</v>
      </c>
      <c r="BW57" s="43">
        <v>5.4000000000000001E-4</v>
      </c>
      <c r="BY57" s="30">
        <v>3.3438893854697394E-2</v>
      </c>
      <c r="BZ57" s="43">
        <v>-3.4099999999999999E-4</v>
      </c>
      <c r="CA57" s="43">
        <v>-3.2600000000000001E-4</v>
      </c>
      <c r="CB57" s="43">
        <v>6.7000000000000002E-5</v>
      </c>
      <c r="CC57" s="30">
        <v>3.6850912221364024E-2</v>
      </c>
      <c r="CD57" s="43">
        <v>-3.5199999999999999E-4</v>
      </c>
      <c r="CE57" s="43">
        <v>-3.3700000000000001E-4</v>
      </c>
      <c r="CF57" s="43">
        <v>7.7000000000000001E-5</v>
      </c>
      <c r="CH57" s="30">
        <v>3.3438893854697394E-2</v>
      </c>
      <c r="CI57" s="43">
        <v>-4.1899999999999999E-4</v>
      </c>
      <c r="CJ57" s="43">
        <v>-3.8099999999999999E-4</v>
      </c>
      <c r="CK57" s="43">
        <v>-5.1E-5</v>
      </c>
      <c r="CL57" s="30">
        <v>3.6850912221364024E-2</v>
      </c>
      <c r="CM57" s="43">
        <v>-4.4700000000000002E-4</v>
      </c>
      <c r="CN57" s="43">
        <v>-4.0400000000000001E-4</v>
      </c>
      <c r="CO57" s="43">
        <v>-2.8E-5</v>
      </c>
      <c r="CQ57" s="30">
        <v>3.3438893854697394E-2</v>
      </c>
      <c r="CR57" s="43">
        <v>-2.1499999999999999E-4</v>
      </c>
      <c r="CS57" s="43">
        <v>-2.1499999999999999E-4</v>
      </c>
      <c r="CT57" s="43">
        <v>-2.0599999999999999E-4</v>
      </c>
      <c r="CU57" s="30">
        <v>3.6850912221364024E-2</v>
      </c>
      <c r="CV57" s="43">
        <v>-2.1699999999999999E-4</v>
      </c>
      <c r="CW57" s="43">
        <v>-2.1499999999999999E-4</v>
      </c>
      <c r="CX57" s="43">
        <v>-2.05E-4</v>
      </c>
    </row>
    <row r="58" spans="14:102" x14ac:dyDescent="0.25">
      <c r="N58" s="30">
        <v>3.4121297888030727E-2</v>
      </c>
      <c r="O58" s="43">
        <v>-3.7399999999999998E-4</v>
      </c>
      <c r="P58" s="43">
        <v>-3.3599999999999998E-4</v>
      </c>
      <c r="Q58" s="43">
        <v>3.4999999999999997E-5</v>
      </c>
      <c r="R58" s="30">
        <v>3.766979702136402E-2</v>
      </c>
      <c r="S58" s="43">
        <v>-3.9599999999999998E-4</v>
      </c>
      <c r="T58" s="43">
        <v>-3.5300000000000002E-4</v>
      </c>
      <c r="U58" s="43">
        <v>5.5999999999999999E-5</v>
      </c>
      <c r="W58" s="30">
        <v>3.4121297888030727E-2</v>
      </c>
      <c r="X58" s="43">
        <v>-3.3399999999999999E-4</v>
      </c>
      <c r="Y58" s="43">
        <v>-3.0200000000000002E-4</v>
      </c>
      <c r="Z58" s="43">
        <v>6.0000000000000002E-6</v>
      </c>
      <c r="AA58" s="30">
        <v>3.766979702136402E-2</v>
      </c>
      <c r="AB58" s="43">
        <v>-3.3E-4</v>
      </c>
      <c r="AC58" s="43">
        <v>-2.9799999999999998E-4</v>
      </c>
      <c r="AD58" s="43">
        <v>7.9999999999999996E-6</v>
      </c>
      <c r="AF58" s="30">
        <v>3.4121297888030727E-2</v>
      </c>
      <c r="AG58" s="43">
        <v>-6.1399999999999996E-4</v>
      </c>
      <c r="AH58" s="43">
        <v>-6.1600000000000001E-4</v>
      </c>
      <c r="AI58" s="43">
        <v>1.8900000000000001E-4</v>
      </c>
      <c r="AJ58" s="30">
        <v>3.766979702136402E-2</v>
      </c>
      <c r="AK58" s="43">
        <v>-6.7100000000000005E-4</v>
      </c>
      <c r="AL58" s="43">
        <v>-6.7299999999999999E-4</v>
      </c>
      <c r="AM58" s="43">
        <v>2.9100000000000003E-4</v>
      </c>
      <c r="AO58" s="30">
        <v>3.4121297888030727E-2</v>
      </c>
      <c r="AP58" s="43">
        <v>-3.39E-4</v>
      </c>
      <c r="AQ58" s="43">
        <v>-3.39E-4</v>
      </c>
      <c r="AR58" s="43">
        <v>-8.5000000000000006E-5</v>
      </c>
      <c r="AS58" s="30">
        <v>3.766979702136402E-2</v>
      </c>
      <c r="AT58" s="43">
        <v>-3.4900000000000003E-4</v>
      </c>
      <c r="AU58" s="43">
        <v>-3.4900000000000003E-4</v>
      </c>
      <c r="AV58" s="43">
        <v>-7.4999999999999993E-5</v>
      </c>
      <c r="AX58" s="30">
        <v>3.4121297888030727E-2</v>
      </c>
      <c r="AY58" s="43">
        <v>-6.1700000000000004E-4</v>
      </c>
      <c r="AZ58" s="43">
        <v>-6.1899999999999998E-4</v>
      </c>
      <c r="BA58" s="43">
        <v>1.8900000000000001E-4</v>
      </c>
      <c r="BB58" s="30">
        <v>3.766979702136402E-2</v>
      </c>
      <c r="BC58" s="43">
        <v>-6.7599999999999995E-4</v>
      </c>
      <c r="BD58" s="43">
        <v>-6.78E-4</v>
      </c>
      <c r="BE58" s="43">
        <v>2.92E-4</v>
      </c>
      <c r="BG58" s="30">
        <v>3.4121297888030727E-2</v>
      </c>
      <c r="BH58" s="43">
        <v>-3.3700000000000001E-4</v>
      </c>
      <c r="BI58" s="43">
        <v>-3.3799999999999998E-4</v>
      </c>
      <c r="BJ58" s="43">
        <v>-8.8999999999999995E-5</v>
      </c>
      <c r="BK58" s="30">
        <v>3.766979702136402E-2</v>
      </c>
      <c r="BL58" s="43">
        <v>-3.48E-4</v>
      </c>
      <c r="BM58" s="43">
        <v>-3.48E-4</v>
      </c>
      <c r="BN58" s="43">
        <v>-7.8999999999999996E-5</v>
      </c>
      <c r="BP58" s="30">
        <v>3.4121297888030727E-2</v>
      </c>
      <c r="BQ58" s="43">
        <v>-5.9999999999999995E-4</v>
      </c>
      <c r="BR58" s="43">
        <v>-5.9100000000000005E-4</v>
      </c>
      <c r="BS58" s="43">
        <v>4.4000000000000002E-4</v>
      </c>
      <c r="BT58" s="30">
        <v>3.766979702136402E-2</v>
      </c>
      <c r="BU58" s="43">
        <v>-6.6200000000000005E-4</v>
      </c>
      <c r="BV58" s="43">
        <v>-6.5300000000000004E-4</v>
      </c>
      <c r="BW58" s="43">
        <v>5.7200000000000003E-4</v>
      </c>
      <c r="BY58" s="30">
        <v>3.4121297888030727E-2</v>
      </c>
      <c r="BZ58" s="43">
        <v>-3.4400000000000001E-4</v>
      </c>
      <c r="CA58" s="43">
        <v>-3.28E-4</v>
      </c>
      <c r="CB58" s="43">
        <v>6.8999999999999997E-5</v>
      </c>
      <c r="CC58" s="30">
        <v>3.766979702136402E-2</v>
      </c>
      <c r="CD58" s="43">
        <v>-3.5500000000000001E-4</v>
      </c>
      <c r="CE58" s="43">
        <v>-3.4000000000000002E-4</v>
      </c>
      <c r="CF58" s="43">
        <v>7.8999999999999996E-5</v>
      </c>
      <c r="CH58" s="30">
        <v>3.4121297888030727E-2</v>
      </c>
      <c r="CI58" s="43">
        <v>-4.2400000000000001E-4</v>
      </c>
      <c r="CJ58" s="43">
        <v>-3.8499999999999998E-4</v>
      </c>
      <c r="CK58" s="43">
        <v>-4.6999999999999997E-5</v>
      </c>
      <c r="CL58" s="30">
        <v>3.766979702136402E-2</v>
      </c>
      <c r="CM58" s="43">
        <v>-4.5300000000000001E-4</v>
      </c>
      <c r="CN58" s="43">
        <v>-4.0900000000000002E-4</v>
      </c>
      <c r="CO58" s="43">
        <v>-2.3E-5</v>
      </c>
      <c r="CQ58" s="30">
        <v>3.4121297888030727E-2</v>
      </c>
      <c r="CR58" s="43">
        <v>-2.1599999999999999E-4</v>
      </c>
      <c r="CS58" s="43">
        <v>-2.1499999999999999E-4</v>
      </c>
      <c r="CT58" s="43">
        <v>-2.0599999999999999E-4</v>
      </c>
      <c r="CU58" s="30">
        <v>3.766979702136402E-2</v>
      </c>
      <c r="CV58" s="43">
        <v>-2.1699999999999999E-4</v>
      </c>
      <c r="CW58" s="43">
        <v>-2.1599999999999999E-4</v>
      </c>
      <c r="CX58" s="43">
        <v>-2.05E-4</v>
      </c>
    </row>
    <row r="59" spans="14:102" x14ac:dyDescent="0.25">
      <c r="N59" s="30">
        <v>3.4803701921364061E-2</v>
      </c>
      <c r="O59" s="43">
        <v>-3.7800000000000003E-4</v>
      </c>
      <c r="P59" s="43">
        <v>-3.39E-4</v>
      </c>
      <c r="Q59" s="43">
        <v>3.8999999999999999E-5</v>
      </c>
      <c r="R59" s="30">
        <v>3.8488681821364022E-2</v>
      </c>
      <c r="S59" s="43">
        <v>-4.0099999999999999E-4</v>
      </c>
      <c r="T59" s="43">
        <v>-3.57E-4</v>
      </c>
      <c r="U59" s="43">
        <v>6.2000000000000003E-5</v>
      </c>
      <c r="W59" s="30">
        <v>3.4803701921364061E-2</v>
      </c>
      <c r="X59" s="43">
        <v>-3.3399999999999999E-4</v>
      </c>
      <c r="Y59" s="43">
        <v>-3.0200000000000002E-4</v>
      </c>
      <c r="Z59" s="43">
        <v>6.9999999999999999E-6</v>
      </c>
      <c r="AA59" s="30">
        <v>3.8488681821364022E-2</v>
      </c>
      <c r="AB59" s="43">
        <v>-3.2899999999999997E-4</v>
      </c>
      <c r="AC59" s="43">
        <v>-2.9700000000000001E-4</v>
      </c>
      <c r="AD59" s="43">
        <v>7.9999999999999996E-6</v>
      </c>
      <c r="AF59" s="30">
        <v>3.4803701921364061E-2</v>
      </c>
      <c r="AG59" s="43">
        <v>-6.2399999999999999E-4</v>
      </c>
      <c r="AH59" s="43">
        <v>-6.2500000000000001E-4</v>
      </c>
      <c r="AI59" s="43">
        <v>2.0000000000000001E-4</v>
      </c>
      <c r="AJ59" s="30">
        <v>3.8488681821364022E-2</v>
      </c>
      <c r="AK59" s="43">
        <v>-6.8599999999999998E-4</v>
      </c>
      <c r="AL59" s="43">
        <v>-6.8800000000000003E-4</v>
      </c>
      <c r="AM59" s="43">
        <v>3.2299999999999999E-4</v>
      </c>
      <c r="AO59" s="30">
        <v>3.4803701921364061E-2</v>
      </c>
      <c r="AP59" s="43">
        <v>-3.4099999999999999E-4</v>
      </c>
      <c r="AQ59" s="43">
        <v>-3.4099999999999999E-4</v>
      </c>
      <c r="AR59" s="43">
        <v>-8.2999999999999998E-5</v>
      </c>
      <c r="AS59" s="30">
        <v>3.8488681821364022E-2</v>
      </c>
      <c r="AT59" s="43">
        <v>-3.5100000000000002E-4</v>
      </c>
      <c r="AU59" s="43">
        <v>-3.5199999999999999E-4</v>
      </c>
      <c r="AV59" s="43">
        <v>-7.2999999999999999E-5</v>
      </c>
      <c r="AX59" s="30">
        <v>3.4803701921364061E-2</v>
      </c>
      <c r="AY59" s="43">
        <v>-6.2699999999999995E-4</v>
      </c>
      <c r="AZ59" s="43">
        <v>-6.2799999999999998E-4</v>
      </c>
      <c r="BA59" s="43">
        <v>2.0000000000000001E-4</v>
      </c>
      <c r="BB59" s="30">
        <v>3.8488681821364022E-2</v>
      </c>
      <c r="BC59" s="43">
        <v>-6.9099999999999999E-4</v>
      </c>
      <c r="BD59" s="43">
        <v>-6.9200000000000002E-4</v>
      </c>
      <c r="BE59" s="43">
        <v>3.2299999999999999E-4</v>
      </c>
      <c r="BG59" s="30">
        <v>3.4803701921364061E-2</v>
      </c>
      <c r="BH59" s="43">
        <v>-3.4000000000000002E-4</v>
      </c>
      <c r="BI59" s="43">
        <v>-3.4000000000000002E-4</v>
      </c>
      <c r="BJ59" s="43">
        <v>-8.7000000000000001E-5</v>
      </c>
      <c r="BK59" s="30">
        <v>3.8488681821364022E-2</v>
      </c>
      <c r="BL59" s="43">
        <v>-3.5E-4</v>
      </c>
      <c r="BM59" s="43">
        <v>-3.5E-4</v>
      </c>
      <c r="BN59" s="43">
        <v>-7.7000000000000001E-5</v>
      </c>
      <c r="BP59" s="30">
        <v>3.4803701921364061E-2</v>
      </c>
      <c r="BQ59" s="43">
        <v>-6.11E-4</v>
      </c>
      <c r="BR59" s="43">
        <v>-6.02E-4</v>
      </c>
      <c r="BS59" s="43">
        <v>4.6299999999999998E-4</v>
      </c>
      <c r="BT59" s="30">
        <v>3.8488681821364022E-2</v>
      </c>
      <c r="BU59" s="43">
        <v>-6.7699999999999998E-4</v>
      </c>
      <c r="BV59" s="43">
        <v>-6.6699999999999995E-4</v>
      </c>
      <c r="BW59" s="43">
        <v>6.0400000000000004E-4</v>
      </c>
      <c r="BY59" s="30">
        <v>3.4803701921364061E-2</v>
      </c>
      <c r="BZ59" s="43">
        <v>-3.4600000000000001E-4</v>
      </c>
      <c r="CA59" s="43">
        <v>-3.3100000000000002E-4</v>
      </c>
      <c r="CB59" s="43">
        <v>7.1000000000000005E-5</v>
      </c>
      <c r="CC59" s="30">
        <v>3.8488681821364022E-2</v>
      </c>
      <c r="CD59" s="43">
        <v>-3.57E-4</v>
      </c>
      <c r="CE59" s="43">
        <v>-3.4200000000000002E-4</v>
      </c>
      <c r="CF59" s="43">
        <v>8.2000000000000001E-5</v>
      </c>
      <c r="CH59" s="30">
        <v>3.4803701921364061E-2</v>
      </c>
      <c r="CI59" s="43">
        <v>-4.2900000000000002E-4</v>
      </c>
      <c r="CJ59" s="43">
        <v>-3.8900000000000002E-4</v>
      </c>
      <c r="CK59" s="43">
        <v>-4.3000000000000002E-5</v>
      </c>
      <c r="CL59" s="30">
        <v>3.8488681821364022E-2</v>
      </c>
      <c r="CM59" s="43">
        <v>-4.5899999999999999E-4</v>
      </c>
      <c r="CN59" s="43">
        <v>-4.1399999999999998E-4</v>
      </c>
      <c r="CO59" s="43">
        <v>-1.8E-5</v>
      </c>
      <c r="CQ59" s="30">
        <v>3.4803701921364061E-2</v>
      </c>
      <c r="CR59" s="43">
        <v>-2.1599999999999999E-4</v>
      </c>
      <c r="CS59" s="43">
        <v>-2.1499999999999999E-4</v>
      </c>
      <c r="CT59" s="43">
        <v>-2.0599999999999999E-4</v>
      </c>
      <c r="CU59" s="30">
        <v>3.8488681821364022E-2</v>
      </c>
      <c r="CV59" s="43">
        <v>-2.1800000000000001E-4</v>
      </c>
      <c r="CW59" s="43">
        <v>-2.1699999999999999E-4</v>
      </c>
      <c r="CX59" s="43">
        <v>-2.04E-4</v>
      </c>
    </row>
    <row r="60" spans="14:102" x14ac:dyDescent="0.25">
      <c r="N60" s="30">
        <v>3.5486105954697394E-2</v>
      </c>
      <c r="O60" s="43">
        <v>-3.8200000000000002E-4</v>
      </c>
      <c r="P60" s="43">
        <v>-3.4200000000000002E-4</v>
      </c>
      <c r="Q60" s="43">
        <v>4.3000000000000002E-5</v>
      </c>
      <c r="R60" s="30">
        <v>3.9307566621364018E-2</v>
      </c>
      <c r="S60" s="43">
        <v>-4.0700000000000003E-4</v>
      </c>
      <c r="T60" s="43">
        <v>-3.6200000000000002E-4</v>
      </c>
      <c r="U60" s="43">
        <v>6.7000000000000002E-5</v>
      </c>
      <c r="W60" s="30">
        <v>3.5486105954697394E-2</v>
      </c>
      <c r="X60" s="43">
        <v>-3.3300000000000002E-4</v>
      </c>
      <c r="Y60" s="43">
        <v>-3.01E-4</v>
      </c>
      <c r="Z60" s="43">
        <v>6.9999999999999999E-6</v>
      </c>
      <c r="AA60" s="30">
        <v>3.9307566621364018E-2</v>
      </c>
      <c r="AB60" s="43">
        <v>-3.28E-4</v>
      </c>
      <c r="AC60" s="43">
        <v>-2.9599999999999998E-4</v>
      </c>
      <c r="AD60" s="43">
        <v>7.9999999999999996E-6</v>
      </c>
      <c r="AF60" s="30">
        <v>3.5486105954697394E-2</v>
      </c>
      <c r="AG60" s="43">
        <v>-6.3299999999999999E-4</v>
      </c>
      <c r="AH60" s="43">
        <v>-6.3500000000000004E-4</v>
      </c>
      <c r="AI60" s="43">
        <v>2.1100000000000001E-4</v>
      </c>
      <c r="AJ60" s="30">
        <v>3.9307566621364018E-2</v>
      </c>
      <c r="AK60" s="43">
        <v>-7.0200000000000004E-4</v>
      </c>
      <c r="AL60" s="43">
        <v>-7.0399999999999998E-4</v>
      </c>
      <c r="AM60" s="43">
        <v>3.5599999999999998E-4</v>
      </c>
      <c r="AO60" s="30">
        <v>3.5486105954697394E-2</v>
      </c>
      <c r="AP60" s="43">
        <v>-3.4299999999999999E-4</v>
      </c>
      <c r="AQ60" s="43">
        <v>-3.4299999999999999E-4</v>
      </c>
      <c r="AR60" s="43">
        <v>-8.1000000000000004E-5</v>
      </c>
      <c r="AS60" s="30">
        <v>3.9307566621364018E-2</v>
      </c>
      <c r="AT60" s="43">
        <v>-3.5300000000000002E-4</v>
      </c>
      <c r="AU60" s="43">
        <v>-3.5399999999999999E-4</v>
      </c>
      <c r="AV60" s="43">
        <v>-7.1000000000000005E-5</v>
      </c>
      <c r="AX60" s="30">
        <v>3.5486105954697394E-2</v>
      </c>
      <c r="AY60" s="43">
        <v>-6.3599999999999996E-4</v>
      </c>
      <c r="AZ60" s="43">
        <v>-6.38E-4</v>
      </c>
      <c r="BA60" s="43">
        <v>2.1100000000000001E-4</v>
      </c>
      <c r="BB60" s="30">
        <v>3.9307566621364018E-2</v>
      </c>
      <c r="BC60" s="43">
        <v>-7.0799999999999997E-4</v>
      </c>
      <c r="BD60" s="43">
        <v>-7.0899999999999999E-4</v>
      </c>
      <c r="BE60" s="43">
        <v>3.5599999999999998E-4</v>
      </c>
      <c r="BG60" s="30">
        <v>3.5486105954697394E-2</v>
      </c>
      <c r="BH60" s="43">
        <v>-3.4200000000000002E-4</v>
      </c>
      <c r="BI60" s="43">
        <v>-3.4200000000000002E-4</v>
      </c>
      <c r="BJ60" s="43">
        <v>-8.5000000000000006E-5</v>
      </c>
      <c r="BK60" s="30">
        <v>3.9307566621364018E-2</v>
      </c>
      <c r="BL60" s="43">
        <v>-3.5199999999999999E-4</v>
      </c>
      <c r="BM60" s="43">
        <v>-3.5199999999999999E-4</v>
      </c>
      <c r="BN60" s="43">
        <v>-7.4999999999999993E-5</v>
      </c>
      <c r="BP60" s="30">
        <v>3.5486105954697394E-2</v>
      </c>
      <c r="BQ60" s="43">
        <v>-6.2200000000000005E-4</v>
      </c>
      <c r="BR60" s="43">
        <v>-6.1200000000000002E-4</v>
      </c>
      <c r="BS60" s="43">
        <v>4.86E-4</v>
      </c>
      <c r="BT60" s="30">
        <v>3.9307566621364018E-2</v>
      </c>
      <c r="BU60" s="43">
        <v>-6.9200000000000002E-4</v>
      </c>
      <c r="BV60" s="43">
        <v>-6.8199999999999999E-4</v>
      </c>
      <c r="BW60" s="43">
        <v>6.3599999999999996E-4</v>
      </c>
      <c r="BY60" s="30">
        <v>3.5486105954697394E-2</v>
      </c>
      <c r="BZ60" s="43">
        <v>-3.48E-4</v>
      </c>
      <c r="CA60" s="43">
        <v>-3.3300000000000002E-4</v>
      </c>
      <c r="CB60" s="43">
        <v>7.3999999999999996E-5</v>
      </c>
      <c r="CC60" s="30">
        <v>3.9307566621364018E-2</v>
      </c>
      <c r="CD60" s="43">
        <v>-3.6000000000000002E-4</v>
      </c>
      <c r="CE60" s="43">
        <v>-3.4400000000000001E-4</v>
      </c>
      <c r="CF60" s="43">
        <v>8.3999999999999995E-5</v>
      </c>
      <c r="CH60" s="30">
        <v>3.5486105954697394E-2</v>
      </c>
      <c r="CI60" s="43">
        <v>-4.3300000000000001E-4</v>
      </c>
      <c r="CJ60" s="43">
        <v>-3.9300000000000001E-4</v>
      </c>
      <c r="CK60" s="43">
        <v>-3.8999999999999999E-5</v>
      </c>
      <c r="CL60" s="30">
        <v>3.9307566621364018E-2</v>
      </c>
      <c r="CM60" s="43">
        <v>-4.66E-4</v>
      </c>
      <c r="CN60" s="43">
        <v>-4.2000000000000002E-4</v>
      </c>
      <c r="CO60" s="43">
        <v>-1.2999999999999999E-5</v>
      </c>
      <c r="CQ60" s="30">
        <v>3.5486105954697394E-2</v>
      </c>
      <c r="CR60" s="43">
        <v>-2.1599999999999999E-4</v>
      </c>
      <c r="CS60" s="43">
        <v>-2.1499999999999999E-4</v>
      </c>
      <c r="CT60" s="43">
        <v>-2.0599999999999999E-4</v>
      </c>
      <c r="CU60" s="30">
        <v>3.9307566621364018E-2</v>
      </c>
      <c r="CV60" s="43">
        <v>-2.1900000000000001E-4</v>
      </c>
      <c r="CW60" s="43">
        <v>-2.1699999999999999E-4</v>
      </c>
      <c r="CX60" s="43">
        <v>-2.03E-4</v>
      </c>
    </row>
    <row r="61" spans="14:102" x14ac:dyDescent="0.25">
      <c r="N61" s="30">
        <v>3.6168509988030728E-2</v>
      </c>
      <c r="O61" s="43">
        <v>-3.86E-4</v>
      </c>
      <c r="P61" s="43">
        <v>-3.4499999999999998E-4</v>
      </c>
      <c r="Q61" s="43">
        <v>4.6999999999999997E-5</v>
      </c>
      <c r="R61" s="30">
        <v>4.0126451421364021E-2</v>
      </c>
      <c r="S61" s="43">
        <v>-4.1199999999999999E-4</v>
      </c>
      <c r="T61" s="43">
        <v>-3.6600000000000001E-4</v>
      </c>
      <c r="U61" s="43">
        <v>7.2000000000000002E-5</v>
      </c>
      <c r="W61" s="30">
        <v>3.6168509988030728E-2</v>
      </c>
      <c r="X61" s="43">
        <v>-3.3199999999999999E-4</v>
      </c>
      <c r="Y61" s="43">
        <v>-2.9999999999999997E-4</v>
      </c>
      <c r="Z61" s="43">
        <v>6.9999999999999999E-6</v>
      </c>
      <c r="AA61" s="30">
        <v>4.0126451421364021E-2</v>
      </c>
      <c r="AB61" s="43">
        <v>-3.2699999999999998E-4</v>
      </c>
      <c r="AC61" s="43">
        <v>-2.9500000000000001E-4</v>
      </c>
      <c r="AD61" s="43">
        <v>7.9999999999999996E-6</v>
      </c>
      <c r="AF61" s="30">
        <v>3.6168509988030728E-2</v>
      </c>
      <c r="AG61" s="43">
        <v>-6.4199999999999999E-4</v>
      </c>
      <c r="AH61" s="43">
        <v>-6.4400000000000004E-4</v>
      </c>
      <c r="AI61" s="43">
        <v>2.22E-4</v>
      </c>
      <c r="AJ61" s="30">
        <v>4.0126451421364021E-2</v>
      </c>
      <c r="AK61" s="43">
        <v>-7.1900000000000002E-4</v>
      </c>
      <c r="AL61" s="43">
        <v>-7.2099999999999996E-4</v>
      </c>
      <c r="AM61" s="43">
        <v>3.88E-4</v>
      </c>
      <c r="AO61" s="30">
        <v>3.6168509988030728E-2</v>
      </c>
      <c r="AP61" s="43">
        <v>-3.4499999999999998E-4</v>
      </c>
      <c r="AQ61" s="43">
        <v>-3.4600000000000001E-4</v>
      </c>
      <c r="AR61" s="43">
        <v>-7.7999999999999999E-5</v>
      </c>
      <c r="AS61" s="30">
        <v>4.0126451421364021E-2</v>
      </c>
      <c r="AT61" s="43">
        <v>-3.5599999999999998E-4</v>
      </c>
      <c r="AU61" s="43">
        <v>-3.5599999999999998E-4</v>
      </c>
      <c r="AV61" s="43">
        <v>-6.7999999999999999E-5</v>
      </c>
      <c r="AX61" s="30">
        <v>3.6168509988030728E-2</v>
      </c>
      <c r="AY61" s="43">
        <v>-6.4499999999999996E-4</v>
      </c>
      <c r="AZ61" s="43">
        <v>-6.4700000000000001E-4</v>
      </c>
      <c r="BA61" s="43">
        <v>2.22E-4</v>
      </c>
      <c r="BB61" s="30">
        <v>4.0126451421364021E-2</v>
      </c>
      <c r="BC61" s="43">
        <v>-7.2400000000000003E-4</v>
      </c>
      <c r="BD61" s="43">
        <v>-7.2599999999999997E-4</v>
      </c>
      <c r="BE61" s="43">
        <v>3.88E-4</v>
      </c>
      <c r="BG61" s="30">
        <v>3.6168509988030728E-2</v>
      </c>
      <c r="BH61" s="43">
        <v>-3.4400000000000001E-4</v>
      </c>
      <c r="BI61" s="43">
        <v>-3.4400000000000001E-4</v>
      </c>
      <c r="BJ61" s="43">
        <v>-8.2999999999999998E-5</v>
      </c>
      <c r="BK61" s="30">
        <v>4.0126451421364021E-2</v>
      </c>
      <c r="BL61" s="43">
        <v>-3.5399999999999999E-4</v>
      </c>
      <c r="BM61" s="43">
        <v>-3.5399999999999999E-4</v>
      </c>
      <c r="BN61" s="43">
        <v>-7.2999999999999999E-5</v>
      </c>
      <c r="BP61" s="30">
        <v>3.6168509988030728E-2</v>
      </c>
      <c r="BQ61" s="43">
        <v>-6.3199999999999997E-4</v>
      </c>
      <c r="BR61" s="43">
        <v>-6.2299999999999996E-4</v>
      </c>
      <c r="BS61" s="43">
        <v>5.0900000000000001E-4</v>
      </c>
      <c r="BT61" s="30">
        <v>4.0126451421364021E-2</v>
      </c>
      <c r="BU61" s="43">
        <v>-7.0600000000000003E-4</v>
      </c>
      <c r="BV61" s="43">
        <v>-6.9700000000000003E-4</v>
      </c>
      <c r="BW61" s="43">
        <v>6.6799999999999997E-4</v>
      </c>
      <c r="BY61" s="30">
        <v>3.6168509988030728E-2</v>
      </c>
      <c r="BZ61" s="43">
        <v>-3.5100000000000002E-4</v>
      </c>
      <c r="CA61" s="43">
        <v>-3.3599999999999998E-4</v>
      </c>
      <c r="CB61" s="43">
        <v>7.6000000000000004E-5</v>
      </c>
      <c r="CC61" s="30">
        <v>4.0126451421364021E-2</v>
      </c>
      <c r="CD61" s="43">
        <v>-3.6200000000000002E-4</v>
      </c>
      <c r="CE61" s="43">
        <v>-3.4699999999999998E-4</v>
      </c>
      <c r="CF61" s="43">
        <v>8.6000000000000003E-5</v>
      </c>
      <c r="CH61" s="30">
        <v>3.6168509988030728E-2</v>
      </c>
      <c r="CI61" s="43">
        <v>-4.3800000000000002E-4</v>
      </c>
      <c r="CJ61" s="43">
        <v>-3.9599999999999998E-4</v>
      </c>
      <c r="CK61" s="43">
        <v>-3.6000000000000001E-5</v>
      </c>
      <c r="CL61" s="30">
        <v>4.0126451421364021E-2</v>
      </c>
      <c r="CM61" s="43">
        <v>-4.7199999999999998E-4</v>
      </c>
      <c r="CN61" s="43">
        <v>-4.2499999999999998E-4</v>
      </c>
      <c r="CO61" s="43">
        <v>-7.9999999999999996E-6</v>
      </c>
      <c r="CQ61" s="30">
        <v>3.6168509988030728E-2</v>
      </c>
      <c r="CR61" s="43">
        <v>-2.1599999999999999E-4</v>
      </c>
      <c r="CS61" s="43">
        <v>-2.1499999999999999E-4</v>
      </c>
      <c r="CT61" s="43">
        <v>-2.05E-4</v>
      </c>
      <c r="CU61" s="30">
        <v>4.0126451421364021E-2</v>
      </c>
      <c r="CV61" s="43">
        <v>-2.1900000000000001E-4</v>
      </c>
      <c r="CW61" s="43">
        <v>-2.1800000000000001E-4</v>
      </c>
      <c r="CX61" s="43">
        <v>-2.03E-4</v>
      </c>
    </row>
    <row r="62" spans="14:102" x14ac:dyDescent="0.25">
      <c r="N62" s="30">
        <v>3.6850914021364062E-2</v>
      </c>
      <c r="O62" s="43">
        <v>-3.9100000000000002E-4</v>
      </c>
      <c r="P62" s="43">
        <v>-3.4900000000000003E-4</v>
      </c>
      <c r="Q62" s="43">
        <v>5.1E-5</v>
      </c>
      <c r="R62" s="30">
        <v>4.0945336221364016E-2</v>
      </c>
      <c r="S62" s="43">
        <v>-4.1800000000000002E-4</v>
      </c>
      <c r="T62" s="43">
        <v>-3.7100000000000002E-4</v>
      </c>
      <c r="U62" s="43">
        <v>7.7999999999999999E-5</v>
      </c>
      <c r="W62" s="30">
        <v>3.6850914021364062E-2</v>
      </c>
      <c r="X62" s="43">
        <v>-3.3100000000000002E-4</v>
      </c>
      <c r="Y62" s="43">
        <v>-2.99E-4</v>
      </c>
      <c r="Z62" s="43">
        <v>6.9999999999999999E-6</v>
      </c>
      <c r="AA62" s="30">
        <v>4.0945336221364016E-2</v>
      </c>
      <c r="AB62" s="43">
        <v>-3.2499999999999999E-4</v>
      </c>
      <c r="AC62" s="43">
        <v>-2.9399999999999999E-4</v>
      </c>
      <c r="AD62" s="43">
        <v>7.9999999999999996E-6</v>
      </c>
      <c r="AF62" s="30">
        <v>3.6850914021364062E-2</v>
      </c>
      <c r="AG62" s="43">
        <v>-6.5600000000000001E-4</v>
      </c>
      <c r="AH62" s="43">
        <v>-6.5799999999999995E-4</v>
      </c>
      <c r="AI62" s="43">
        <v>2.5700000000000001E-4</v>
      </c>
      <c r="AJ62" s="30">
        <v>4.0945336221364016E-2</v>
      </c>
      <c r="AK62" s="43">
        <v>-7.3499999999999998E-4</v>
      </c>
      <c r="AL62" s="43">
        <v>-7.3700000000000002E-4</v>
      </c>
      <c r="AM62" s="43">
        <v>4.2000000000000002E-4</v>
      </c>
      <c r="AO62" s="30">
        <v>3.6850914021364062E-2</v>
      </c>
      <c r="AP62" s="43">
        <v>-3.4699999999999998E-4</v>
      </c>
      <c r="AQ62" s="43">
        <v>-3.4699999999999998E-4</v>
      </c>
      <c r="AR62" s="43">
        <v>-7.7000000000000001E-5</v>
      </c>
      <c r="AS62" s="30">
        <v>4.0945336221364016E-2</v>
      </c>
      <c r="AT62" s="43">
        <v>-3.5799999999999997E-4</v>
      </c>
      <c r="AU62" s="43">
        <v>-3.5799999999999997E-4</v>
      </c>
      <c r="AV62" s="43">
        <v>-6.6000000000000005E-5</v>
      </c>
      <c r="AX62" s="30">
        <v>3.6850914021364062E-2</v>
      </c>
      <c r="AY62" s="43">
        <v>-6.5899999999999997E-4</v>
      </c>
      <c r="AZ62" s="43">
        <v>-6.6100000000000002E-4</v>
      </c>
      <c r="BA62" s="43">
        <v>2.5599999999999999E-4</v>
      </c>
      <c r="BB62" s="30">
        <v>4.0945336221364016E-2</v>
      </c>
      <c r="BC62" s="43">
        <v>-7.3999999999999999E-4</v>
      </c>
      <c r="BD62" s="43">
        <v>-7.4200000000000004E-4</v>
      </c>
      <c r="BE62" s="43">
        <v>4.2099999999999999E-4</v>
      </c>
      <c r="BG62" s="30">
        <v>3.6850914021364062E-2</v>
      </c>
      <c r="BH62" s="43">
        <v>-3.4600000000000001E-4</v>
      </c>
      <c r="BI62" s="43">
        <v>-3.4600000000000001E-4</v>
      </c>
      <c r="BJ62" s="43">
        <v>-8.1000000000000004E-5</v>
      </c>
      <c r="BK62" s="30">
        <v>4.0945336221364016E-2</v>
      </c>
      <c r="BL62" s="43">
        <v>-3.5599999999999998E-4</v>
      </c>
      <c r="BM62" s="43">
        <v>-3.57E-4</v>
      </c>
      <c r="BN62" s="43">
        <v>-7.1000000000000005E-5</v>
      </c>
      <c r="BP62" s="30">
        <v>3.6850914021364062E-2</v>
      </c>
      <c r="BQ62" s="43">
        <v>-6.4499999999999996E-4</v>
      </c>
      <c r="BR62" s="43">
        <v>-6.3599999999999996E-4</v>
      </c>
      <c r="BS62" s="43">
        <v>5.3799999999999996E-4</v>
      </c>
      <c r="BT62" s="30">
        <v>4.0945336221364016E-2</v>
      </c>
      <c r="BU62" s="43">
        <v>-7.2099999999999996E-4</v>
      </c>
      <c r="BV62" s="43">
        <v>-7.1199999999999996E-4</v>
      </c>
      <c r="BW62" s="43">
        <v>6.9999999999999999E-4</v>
      </c>
      <c r="BY62" s="30">
        <v>3.6850914021364062E-2</v>
      </c>
      <c r="BZ62" s="43">
        <v>-3.5300000000000002E-4</v>
      </c>
      <c r="CA62" s="43">
        <v>-3.3700000000000001E-4</v>
      </c>
      <c r="CB62" s="43">
        <v>7.7000000000000001E-5</v>
      </c>
      <c r="CC62" s="30">
        <v>4.0945336221364016E-2</v>
      </c>
      <c r="CD62" s="43">
        <v>-3.6400000000000001E-4</v>
      </c>
      <c r="CE62" s="43">
        <v>-3.4900000000000003E-4</v>
      </c>
      <c r="CF62" s="43">
        <v>8.7999999999999998E-5</v>
      </c>
      <c r="CH62" s="30">
        <v>3.6850914021364062E-2</v>
      </c>
      <c r="CI62" s="43">
        <v>-4.44E-4</v>
      </c>
      <c r="CJ62" s="43">
        <v>-4.0099999999999999E-4</v>
      </c>
      <c r="CK62" s="43">
        <v>-3.1000000000000001E-5</v>
      </c>
      <c r="CL62" s="30">
        <v>4.0945336221364016E-2</v>
      </c>
      <c r="CM62" s="43">
        <v>-4.7899999999999999E-4</v>
      </c>
      <c r="CN62" s="43">
        <v>-4.2999999999999999E-4</v>
      </c>
      <c r="CO62" s="43">
        <v>-3.0000000000000001E-6</v>
      </c>
      <c r="CQ62" s="30">
        <v>3.6850914021364062E-2</v>
      </c>
      <c r="CR62" s="43">
        <v>-2.1699999999999999E-4</v>
      </c>
      <c r="CS62" s="43">
        <v>-2.1599999999999999E-4</v>
      </c>
      <c r="CT62" s="43">
        <v>-2.05E-4</v>
      </c>
      <c r="CU62" s="30">
        <v>4.0945336221364016E-2</v>
      </c>
      <c r="CV62" s="43">
        <v>-2.2000000000000001E-4</v>
      </c>
      <c r="CW62" s="43">
        <v>-2.1800000000000001E-4</v>
      </c>
      <c r="CX62" s="43">
        <v>-2.02E-4</v>
      </c>
    </row>
    <row r="63" spans="14:102" x14ac:dyDescent="0.25">
      <c r="N63" s="30">
        <v>3.7533318054697395E-2</v>
      </c>
      <c r="O63" s="43">
        <v>-3.9599999999999998E-4</v>
      </c>
      <c r="P63" s="43">
        <v>-3.5300000000000002E-4</v>
      </c>
      <c r="Q63" s="43">
        <v>5.5999999999999999E-5</v>
      </c>
      <c r="R63" s="30"/>
      <c r="W63" s="30">
        <v>3.7533318054697395E-2</v>
      </c>
      <c r="X63" s="43">
        <v>-3.3E-4</v>
      </c>
      <c r="Y63" s="43">
        <v>-2.9799999999999998E-4</v>
      </c>
      <c r="Z63" s="43">
        <v>7.9999999999999996E-6</v>
      </c>
      <c r="AA63" s="30"/>
      <c r="AF63" s="30">
        <v>3.7533318054697395E-2</v>
      </c>
      <c r="AG63" s="43">
        <v>-6.6799999999999997E-4</v>
      </c>
      <c r="AH63" s="43">
        <v>-6.7000000000000002E-4</v>
      </c>
      <c r="AI63" s="43">
        <v>2.8400000000000002E-4</v>
      </c>
      <c r="AJ63" s="30"/>
      <c r="AO63" s="30">
        <v>3.7533318054697395E-2</v>
      </c>
      <c r="AP63" s="43">
        <v>-3.4900000000000003E-4</v>
      </c>
      <c r="AQ63" s="43">
        <v>-3.4900000000000003E-4</v>
      </c>
      <c r="AR63" s="43">
        <v>-7.4999999999999993E-5</v>
      </c>
      <c r="AS63" s="30"/>
      <c r="AX63" s="30">
        <v>3.7533318054697395E-2</v>
      </c>
      <c r="AY63" s="43">
        <v>-6.7100000000000005E-4</v>
      </c>
      <c r="AZ63" s="43">
        <v>-6.7299999999999999E-4</v>
      </c>
      <c r="BA63" s="43">
        <v>2.8299999999999999E-4</v>
      </c>
      <c r="BB63" s="30"/>
      <c r="BG63" s="30">
        <v>3.7533318054697395E-2</v>
      </c>
      <c r="BH63" s="43">
        <v>-3.4699999999999998E-4</v>
      </c>
      <c r="BI63" s="43">
        <v>-3.48E-4</v>
      </c>
      <c r="BJ63" s="43">
        <v>-8.0000000000000007E-5</v>
      </c>
      <c r="BK63" s="30"/>
      <c r="BP63" s="30">
        <v>3.7533318054697395E-2</v>
      </c>
      <c r="BQ63" s="43">
        <v>-6.5700000000000003E-4</v>
      </c>
      <c r="BR63" s="43">
        <v>-6.4800000000000003E-4</v>
      </c>
      <c r="BS63" s="43">
        <v>5.6400000000000005E-4</v>
      </c>
      <c r="BT63" s="30"/>
      <c r="BY63" s="30">
        <v>3.7533318054697395E-2</v>
      </c>
      <c r="BZ63" s="43">
        <v>-3.5500000000000001E-4</v>
      </c>
      <c r="CA63" s="43">
        <v>-3.39E-4</v>
      </c>
      <c r="CB63" s="43">
        <v>7.8999999999999996E-5</v>
      </c>
      <c r="CC63" s="30"/>
      <c r="CH63" s="30">
        <v>3.7533318054697395E-2</v>
      </c>
      <c r="CI63" s="43">
        <v>-4.4900000000000002E-4</v>
      </c>
      <c r="CJ63" s="43">
        <v>-4.0499999999999998E-4</v>
      </c>
      <c r="CK63" s="43">
        <v>-2.6999999999999999E-5</v>
      </c>
      <c r="CL63" s="30"/>
      <c r="CQ63" s="30">
        <v>3.7533318054697395E-2</v>
      </c>
      <c r="CR63" s="43">
        <v>-2.1800000000000001E-4</v>
      </c>
      <c r="CS63" s="43">
        <v>-2.1599999999999999E-4</v>
      </c>
      <c r="CT63" s="43">
        <v>-2.04E-4</v>
      </c>
      <c r="CU63" s="30"/>
    </row>
    <row r="64" spans="14:102" x14ac:dyDescent="0.25">
      <c r="N64" s="30">
        <v>3.8215722088030729E-2</v>
      </c>
      <c r="O64" s="43">
        <v>-4.0000000000000002E-4</v>
      </c>
      <c r="P64" s="43">
        <v>-3.57E-4</v>
      </c>
      <c r="Q64" s="43">
        <v>6.0000000000000002E-5</v>
      </c>
      <c r="R64" s="30"/>
      <c r="W64" s="30">
        <v>3.8215722088030729E-2</v>
      </c>
      <c r="X64" s="43">
        <v>-3.2899999999999997E-4</v>
      </c>
      <c r="Y64" s="43">
        <v>-2.9799999999999998E-4</v>
      </c>
      <c r="Z64" s="43">
        <v>7.9999999999999996E-6</v>
      </c>
      <c r="AA64" s="30"/>
      <c r="AF64" s="30">
        <v>3.8215722088030729E-2</v>
      </c>
      <c r="AG64" s="43">
        <v>-6.8000000000000005E-4</v>
      </c>
      <c r="AH64" s="43">
        <v>-6.8199999999999999E-4</v>
      </c>
      <c r="AI64" s="43">
        <v>3.1E-4</v>
      </c>
      <c r="AJ64" s="30"/>
      <c r="AO64" s="30">
        <v>3.8215722088030729E-2</v>
      </c>
      <c r="AP64" s="43">
        <v>-3.5100000000000002E-4</v>
      </c>
      <c r="AQ64" s="43">
        <v>-3.5100000000000002E-4</v>
      </c>
      <c r="AR64" s="43">
        <v>-7.2999999999999999E-5</v>
      </c>
      <c r="AS64" s="30"/>
      <c r="AX64" s="30">
        <v>3.8215722088030729E-2</v>
      </c>
      <c r="AY64" s="43">
        <v>-6.8300000000000001E-4</v>
      </c>
      <c r="AZ64" s="43">
        <v>-6.8499999999999995E-4</v>
      </c>
      <c r="BA64" s="43">
        <v>3.0899999999999998E-4</v>
      </c>
      <c r="BB64" s="30"/>
      <c r="BG64" s="30">
        <v>3.8215722088030729E-2</v>
      </c>
      <c r="BH64" s="43">
        <v>-3.4900000000000003E-4</v>
      </c>
      <c r="BI64" s="43">
        <v>-3.5E-4</v>
      </c>
      <c r="BJ64" s="43">
        <v>-7.7999999999999999E-5</v>
      </c>
      <c r="BK64" s="30"/>
      <c r="BP64" s="30">
        <v>3.8215722088030729E-2</v>
      </c>
      <c r="BQ64" s="43">
        <v>-6.69E-4</v>
      </c>
      <c r="BR64" s="43">
        <v>-6.6E-4</v>
      </c>
      <c r="BS64" s="43">
        <v>5.9000000000000003E-4</v>
      </c>
      <c r="BT64" s="30"/>
      <c r="BY64" s="30">
        <v>3.8215722088030729E-2</v>
      </c>
      <c r="BZ64" s="43">
        <v>-3.57E-4</v>
      </c>
      <c r="CA64" s="43">
        <v>-3.4099999999999999E-4</v>
      </c>
      <c r="CB64" s="43">
        <v>8.1000000000000004E-5</v>
      </c>
      <c r="CC64" s="30"/>
      <c r="CH64" s="30">
        <v>3.8215722088030729E-2</v>
      </c>
      <c r="CI64" s="43">
        <v>-4.5399999999999998E-4</v>
      </c>
      <c r="CJ64" s="43">
        <v>-4.0999999999999999E-4</v>
      </c>
      <c r="CK64" s="43">
        <v>-2.3E-5</v>
      </c>
      <c r="CL64" s="30"/>
      <c r="CQ64" s="30">
        <v>3.8215722088030729E-2</v>
      </c>
      <c r="CR64" s="43">
        <v>-2.1800000000000001E-4</v>
      </c>
      <c r="CS64" s="43">
        <v>-2.1699999999999999E-4</v>
      </c>
      <c r="CT64" s="43">
        <v>-2.04E-4</v>
      </c>
      <c r="CU64" s="30"/>
    </row>
    <row r="65" spans="14:99" x14ac:dyDescent="0.25">
      <c r="N65" s="30">
        <v>3.8898126121364063E-2</v>
      </c>
      <c r="O65" s="43">
        <v>-4.0499999999999998E-4</v>
      </c>
      <c r="P65" s="43">
        <v>-3.6099999999999999E-4</v>
      </c>
      <c r="Q65" s="43">
        <v>6.4999999999999994E-5</v>
      </c>
      <c r="R65" s="30"/>
      <c r="W65" s="30">
        <v>3.8898126121364063E-2</v>
      </c>
      <c r="X65" s="43">
        <v>-3.28E-4</v>
      </c>
      <c r="Y65" s="43">
        <v>-2.9700000000000001E-4</v>
      </c>
      <c r="Z65" s="43">
        <v>7.9999999999999996E-6</v>
      </c>
      <c r="AA65" s="30"/>
      <c r="AF65" s="30">
        <v>3.8898126121364063E-2</v>
      </c>
      <c r="AG65" s="43">
        <v>-6.9200000000000002E-4</v>
      </c>
      <c r="AH65" s="43">
        <v>-6.9399999999999996E-4</v>
      </c>
      <c r="AI65" s="43">
        <v>3.3700000000000001E-4</v>
      </c>
      <c r="AJ65" s="30"/>
      <c r="AO65" s="30">
        <v>3.8898126121364063E-2</v>
      </c>
      <c r="AP65" s="43">
        <v>-3.5199999999999999E-4</v>
      </c>
      <c r="AQ65" s="43">
        <v>-3.5300000000000002E-4</v>
      </c>
      <c r="AR65" s="43">
        <v>-7.2000000000000002E-5</v>
      </c>
      <c r="AS65" s="30"/>
      <c r="AX65" s="30">
        <v>3.8898126121364063E-2</v>
      </c>
      <c r="AY65" s="43">
        <v>-6.9700000000000003E-4</v>
      </c>
      <c r="AZ65" s="43">
        <v>-6.9899999999999997E-4</v>
      </c>
      <c r="BA65" s="43">
        <v>3.3599999999999998E-4</v>
      </c>
      <c r="BB65" s="30"/>
      <c r="BG65" s="30">
        <v>3.8898126121364063E-2</v>
      </c>
      <c r="BH65" s="43">
        <v>-3.5100000000000002E-4</v>
      </c>
      <c r="BI65" s="43">
        <v>-3.5100000000000002E-4</v>
      </c>
      <c r="BJ65" s="43">
        <v>-7.6000000000000004E-5</v>
      </c>
      <c r="BK65" s="30"/>
      <c r="BP65" s="30">
        <v>3.8898126121364063E-2</v>
      </c>
      <c r="BQ65" s="43">
        <v>-6.8099999999999996E-4</v>
      </c>
      <c r="BR65" s="43">
        <v>-6.7199999999999996E-4</v>
      </c>
      <c r="BS65" s="43">
        <v>6.1600000000000001E-4</v>
      </c>
      <c r="BT65" s="30"/>
      <c r="BY65" s="30">
        <v>3.8898126121364063E-2</v>
      </c>
      <c r="BZ65" s="43">
        <v>-3.59E-4</v>
      </c>
      <c r="CA65" s="43">
        <v>-3.4299999999999999E-4</v>
      </c>
      <c r="CB65" s="43">
        <v>8.2999999999999998E-5</v>
      </c>
      <c r="CC65" s="30"/>
      <c r="CH65" s="30">
        <v>3.8898126121364063E-2</v>
      </c>
      <c r="CI65" s="43">
        <v>-4.5899999999999999E-4</v>
      </c>
      <c r="CJ65" s="43">
        <v>-4.1399999999999998E-4</v>
      </c>
      <c r="CK65" s="43">
        <v>-1.9000000000000001E-5</v>
      </c>
      <c r="CL65" s="30"/>
      <c r="CQ65" s="30">
        <v>3.8898126121364063E-2</v>
      </c>
      <c r="CR65" s="43">
        <v>-2.1900000000000001E-4</v>
      </c>
      <c r="CS65" s="43">
        <v>-2.1699999999999999E-4</v>
      </c>
      <c r="CT65" s="43">
        <v>-2.03E-4</v>
      </c>
      <c r="CU65" s="30"/>
    </row>
    <row r="66" spans="14:99" x14ac:dyDescent="0.25">
      <c r="N66" s="30">
        <v>3.9580530154697403E-2</v>
      </c>
      <c r="O66" s="43">
        <v>-4.0999999999999999E-4</v>
      </c>
      <c r="P66" s="43">
        <v>-3.6400000000000001E-4</v>
      </c>
      <c r="Q66" s="43">
        <v>6.8999999999999997E-5</v>
      </c>
      <c r="R66" s="30"/>
      <c r="W66" s="30">
        <v>3.9580530154697403E-2</v>
      </c>
      <c r="X66" s="43">
        <v>-3.2699999999999998E-4</v>
      </c>
      <c r="Y66" s="43">
        <v>-2.9599999999999998E-4</v>
      </c>
      <c r="Z66" s="43">
        <v>7.9999999999999996E-6</v>
      </c>
      <c r="AA66" s="30"/>
      <c r="AF66" s="30">
        <v>3.9580530154697403E-2</v>
      </c>
      <c r="AG66" s="43">
        <v>-7.0699999999999995E-4</v>
      </c>
      <c r="AH66" s="43">
        <v>-7.0899999999999999E-4</v>
      </c>
      <c r="AI66" s="43">
        <v>3.6400000000000001E-4</v>
      </c>
      <c r="AJ66" s="30"/>
      <c r="AO66" s="30">
        <v>3.9580530154697403E-2</v>
      </c>
      <c r="AP66" s="43">
        <v>-3.5399999999999999E-4</v>
      </c>
      <c r="AQ66" s="43">
        <v>-3.5399999999999999E-4</v>
      </c>
      <c r="AR66" s="43">
        <v>-6.9999999999999994E-5</v>
      </c>
      <c r="AS66" s="30"/>
      <c r="AX66" s="30">
        <v>3.9580530154697403E-2</v>
      </c>
      <c r="AY66" s="43">
        <v>-7.1000000000000002E-4</v>
      </c>
      <c r="AZ66" s="43">
        <v>-7.1199999999999996E-4</v>
      </c>
      <c r="BA66" s="43">
        <v>3.6299999999999999E-4</v>
      </c>
      <c r="BB66" s="30"/>
      <c r="BG66" s="30">
        <v>3.9580530154697403E-2</v>
      </c>
      <c r="BH66" s="43">
        <v>-3.5300000000000002E-4</v>
      </c>
      <c r="BI66" s="43">
        <v>-3.5300000000000002E-4</v>
      </c>
      <c r="BJ66" s="43">
        <v>-7.4999999999999993E-5</v>
      </c>
      <c r="BK66" s="30"/>
      <c r="BP66" s="30">
        <v>3.9580530154697403E-2</v>
      </c>
      <c r="BQ66" s="43">
        <v>-6.9399999999999996E-4</v>
      </c>
      <c r="BR66" s="43">
        <v>-6.8499999999999995E-4</v>
      </c>
      <c r="BS66" s="43">
        <v>6.4300000000000002E-4</v>
      </c>
      <c r="BT66" s="30"/>
      <c r="BY66" s="30">
        <v>3.9580530154697403E-2</v>
      </c>
      <c r="BZ66" s="43">
        <v>-3.6099999999999999E-4</v>
      </c>
      <c r="CA66" s="43">
        <v>-3.4499999999999998E-4</v>
      </c>
      <c r="CB66" s="43">
        <v>8.5000000000000006E-5</v>
      </c>
      <c r="CC66" s="30"/>
      <c r="CH66" s="30">
        <v>3.9580530154697403E-2</v>
      </c>
      <c r="CI66" s="43">
        <v>-4.6500000000000003E-4</v>
      </c>
      <c r="CJ66" s="43">
        <v>-4.1800000000000002E-4</v>
      </c>
      <c r="CK66" s="43">
        <v>-1.4E-5</v>
      </c>
      <c r="CL66" s="30"/>
      <c r="CQ66" s="30">
        <v>3.9580530154697403E-2</v>
      </c>
      <c r="CR66" s="43">
        <v>-2.1900000000000001E-4</v>
      </c>
      <c r="CS66" s="43">
        <v>-2.1800000000000001E-4</v>
      </c>
      <c r="CT66" s="43">
        <v>-2.03E-4</v>
      </c>
      <c r="CU66" s="30"/>
    </row>
    <row r="67" spans="14:99" x14ac:dyDescent="0.25">
      <c r="N67" s="30">
        <v>4.0262934188030737E-2</v>
      </c>
      <c r="O67" s="43">
        <v>-4.1399999999999998E-4</v>
      </c>
      <c r="P67" s="43">
        <v>-3.68E-4</v>
      </c>
      <c r="Q67" s="43">
        <v>7.3999999999999996E-5</v>
      </c>
      <c r="R67" s="30"/>
      <c r="W67" s="30">
        <v>4.0262934188030737E-2</v>
      </c>
      <c r="X67" s="43">
        <v>-3.2699999999999998E-4</v>
      </c>
      <c r="Y67" s="43">
        <v>-2.9500000000000001E-4</v>
      </c>
      <c r="Z67" s="43">
        <v>7.9999999999999996E-6</v>
      </c>
      <c r="AA67" s="30"/>
      <c r="AF67" s="30">
        <v>4.0262934188030737E-2</v>
      </c>
      <c r="AG67" s="43">
        <v>-7.2000000000000005E-4</v>
      </c>
      <c r="AH67" s="43">
        <v>-7.2199999999999999E-4</v>
      </c>
      <c r="AI67" s="43">
        <v>3.9100000000000002E-4</v>
      </c>
      <c r="AJ67" s="30"/>
      <c r="AO67" s="30">
        <v>4.0262934188030737E-2</v>
      </c>
      <c r="AP67" s="43">
        <v>-3.5599999999999998E-4</v>
      </c>
      <c r="AQ67" s="43">
        <v>-3.5599999999999998E-4</v>
      </c>
      <c r="AR67" s="43">
        <v>-6.7999999999999999E-5</v>
      </c>
      <c r="AS67" s="30"/>
      <c r="AX67" s="30">
        <v>4.0262934188030737E-2</v>
      </c>
      <c r="AY67" s="43">
        <v>-7.2400000000000003E-4</v>
      </c>
      <c r="AZ67" s="43">
        <v>-7.2599999999999997E-4</v>
      </c>
      <c r="BA67" s="43">
        <v>3.8999999999999999E-4</v>
      </c>
      <c r="BB67" s="30"/>
      <c r="BG67" s="30">
        <v>4.0262934188030737E-2</v>
      </c>
      <c r="BH67" s="43">
        <v>-3.5500000000000001E-4</v>
      </c>
      <c r="BI67" s="43">
        <v>-3.5500000000000001E-4</v>
      </c>
      <c r="BJ67" s="43">
        <v>-7.2999999999999999E-5</v>
      </c>
      <c r="BK67" s="30"/>
      <c r="BP67" s="30">
        <v>4.0262934188030737E-2</v>
      </c>
      <c r="BQ67" s="43">
        <v>-7.0600000000000003E-4</v>
      </c>
      <c r="BR67" s="43">
        <v>-6.9700000000000003E-4</v>
      </c>
      <c r="BS67" s="43">
        <v>6.7000000000000002E-4</v>
      </c>
      <c r="BT67" s="30"/>
      <c r="BY67" s="30">
        <v>4.0262934188030737E-2</v>
      </c>
      <c r="BZ67" s="43">
        <v>-3.6200000000000002E-4</v>
      </c>
      <c r="CA67" s="43">
        <v>-3.4699999999999998E-4</v>
      </c>
      <c r="CB67" s="43">
        <v>8.7000000000000001E-5</v>
      </c>
      <c r="CC67" s="30"/>
      <c r="CH67" s="30">
        <v>4.0262934188030737E-2</v>
      </c>
      <c r="CI67" s="43">
        <v>-4.6999999999999999E-4</v>
      </c>
      <c r="CJ67" s="43">
        <v>-4.2299999999999998E-4</v>
      </c>
      <c r="CK67" s="43">
        <v>-1.0000000000000001E-5</v>
      </c>
      <c r="CL67" s="30"/>
      <c r="CQ67" s="30">
        <v>4.0262934188030737E-2</v>
      </c>
      <c r="CR67" s="43">
        <v>-2.2000000000000001E-4</v>
      </c>
      <c r="CS67" s="43">
        <v>-2.1800000000000001E-4</v>
      </c>
      <c r="CT67" s="43">
        <v>-2.02E-4</v>
      </c>
      <c r="CU67" s="30"/>
    </row>
    <row r="68" spans="14:99" x14ac:dyDescent="0.25">
      <c r="N68" s="30">
        <v>4.0945338221364043E-2</v>
      </c>
      <c r="O68" s="43">
        <v>-4.2000000000000002E-4</v>
      </c>
      <c r="P68" s="43">
        <v>-3.7300000000000001E-4</v>
      </c>
      <c r="Q68" s="43">
        <v>8.0000000000000007E-5</v>
      </c>
      <c r="R68" s="30"/>
      <c r="W68" s="30">
        <v>4.0945338221364043E-2</v>
      </c>
      <c r="X68" s="43">
        <v>-3.2600000000000001E-4</v>
      </c>
      <c r="Y68" s="43">
        <v>-2.9399999999999999E-4</v>
      </c>
      <c r="Z68" s="43">
        <v>7.9999999999999996E-6</v>
      </c>
      <c r="AA68" s="30"/>
      <c r="AF68" s="30">
        <v>4.0945338221364043E-2</v>
      </c>
      <c r="AG68" s="43">
        <v>-7.3300000000000004E-4</v>
      </c>
      <c r="AH68" s="43">
        <v>-7.36E-4</v>
      </c>
      <c r="AI68" s="43">
        <v>4.1800000000000002E-4</v>
      </c>
      <c r="AJ68" s="30"/>
      <c r="AO68" s="30">
        <v>4.0945338221364043E-2</v>
      </c>
      <c r="AP68" s="43">
        <v>-3.5799999999999997E-4</v>
      </c>
      <c r="AQ68" s="43">
        <v>-3.5799999999999997E-4</v>
      </c>
      <c r="AR68" s="43">
        <v>-6.6000000000000005E-5</v>
      </c>
      <c r="AS68" s="30"/>
      <c r="AX68" s="30">
        <v>4.0945338221364043E-2</v>
      </c>
      <c r="AY68" s="43">
        <v>-7.3700000000000002E-4</v>
      </c>
      <c r="AZ68" s="43">
        <v>-7.3899999999999997E-4</v>
      </c>
      <c r="BA68" s="43">
        <v>4.17E-4</v>
      </c>
      <c r="BB68" s="30"/>
      <c r="BG68" s="30">
        <v>4.0945338221364043E-2</v>
      </c>
      <c r="BH68" s="43">
        <v>-3.5599999999999998E-4</v>
      </c>
      <c r="BI68" s="43">
        <v>-3.57E-4</v>
      </c>
      <c r="BJ68" s="43">
        <v>-7.1000000000000005E-5</v>
      </c>
      <c r="BK68" s="30"/>
      <c r="BP68" s="30">
        <v>4.0945338221364043E-2</v>
      </c>
      <c r="BQ68" s="43">
        <v>-7.18E-4</v>
      </c>
      <c r="BR68" s="43">
        <v>-7.0899999999999999E-4</v>
      </c>
      <c r="BS68" s="43">
        <v>6.96E-4</v>
      </c>
      <c r="BT68" s="30"/>
      <c r="BY68" s="30">
        <v>4.0945338221364043E-2</v>
      </c>
      <c r="BZ68" s="43">
        <v>-3.6400000000000001E-4</v>
      </c>
      <c r="CA68" s="43">
        <v>-3.4900000000000003E-4</v>
      </c>
      <c r="CB68" s="43">
        <v>8.8999999999999995E-5</v>
      </c>
      <c r="CC68" s="30"/>
      <c r="CH68" s="30">
        <v>4.0945338221364043E-2</v>
      </c>
      <c r="CI68" s="43">
        <v>-4.75E-4</v>
      </c>
      <c r="CJ68" s="43">
        <v>-4.2700000000000002E-4</v>
      </c>
      <c r="CK68" s="43">
        <v>-6.0000000000000002E-6</v>
      </c>
      <c r="CL68" s="30"/>
      <c r="CQ68" s="30">
        <v>4.0945338221364043E-2</v>
      </c>
      <c r="CR68" s="43">
        <v>-2.2000000000000001E-4</v>
      </c>
      <c r="CS68" s="43">
        <v>-2.1900000000000001E-4</v>
      </c>
      <c r="CT68" s="43">
        <v>-2.02E-4</v>
      </c>
      <c r="CU68" s="30"/>
    </row>
    <row r="69" spans="14:99" x14ac:dyDescent="0.25">
      <c r="N69" s="30"/>
      <c r="R69" s="30"/>
      <c r="W69" s="30"/>
      <c r="AA69" s="30"/>
      <c r="AF69" s="30"/>
      <c r="AJ69" s="30"/>
      <c r="AO69" s="30"/>
      <c r="AS69" s="30"/>
      <c r="AX69" s="30"/>
      <c r="BB69" s="30"/>
      <c r="BG69" s="30"/>
      <c r="BK69" s="30"/>
      <c r="BP69" s="30"/>
      <c r="BT69" s="30"/>
      <c r="BY69" s="30"/>
      <c r="CC69" s="30"/>
      <c r="CH69" s="30"/>
      <c r="CL69" s="30"/>
      <c r="CQ69" s="30"/>
      <c r="CU69" s="30"/>
    </row>
    <row r="70" spans="14:99" x14ac:dyDescent="0.25">
      <c r="N70" s="30"/>
      <c r="R70" s="30"/>
      <c r="W70" s="30"/>
      <c r="AA70" s="30"/>
      <c r="AF70" s="30"/>
      <c r="AJ70" s="30"/>
      <c r="AO70" s="30"/>
      <c r="AS70" s="30"/>
      <c r="AX70" s="30"/>
      <c r="BB70" s="30"/>
      <c r="BG70" s="30"/>
      <c r="BK70" s="30"/>
      <c r="BP70" s="30"/>
      <c r="BT70" s="30"/>
      <c r="BY70" s="30"/>
      <c r="CC70" s="30"/>
      <c r="CH70" s="30"/>
      <c r="CL70" s="30"/>
      <c r="CQ70" s="30"/>
      <c r="CU70" s="30"/>
    </row>
    <row r="71" spans="14:99" x14ac:dyDescent="0.25">
      <c r="N71" s="30"/>
      <c r="R71" s="30"/>
      <c r="W71" s="30"/>
      <c r="AA71" s="30"/>
      <c r="AF71" s="30"/>
      <c r="AJ71" s="30"/>
      <c r="AO71" s="30"/>
      <c r="AS71" s="30"/>
      <c r="AX71" s="30"/>
      <c r="BB71" s="30"/>
      <c r="BG71" s="30"/>
      <c r="BK71" s="30"/>
      <c r="BP71" s="30"/>
      <c r="BT71" s="30"/>
      <c r="BY71" s="30"/>
      <c r="CC71" s="30"/>
      <c r="CH71" s="30"/>
      <c r="CL71" s="30"/>
      <c r="CQ71" s="30"/>
      <c r="CU71" s="30"/>
    </row>
    <row r="72" spans="14:99" x14ac:dyDescent="0.25">
      <c r="N72" s="30"/>
      <c r="R72" s="30"/>
      <c r="W72" s="30"/>
      <c r="AA72" s="30"/>
      <c r="AF72" s="30"/>
      <c r="AJ72" s="30"/>
      <c r="AO72" s="30"/>
      <c r="AS72" s="30"/>
      <c r="AX72" s="30"/>
      <c r="BB72" s="30"/>
      <c r="BG72" s="30"/>
      <c r="BK72" s="30"/>
      <c r="BP72" s="30"/>
      <c r="BT72" s="30"/>
      <c r="BY72" s="30"/>
      <c r="CC72" s="30"/>
      <c r="CH72" s="30"/>
      <c r="CL72" s="30"/>
      <c r="CQ72" s="30"/>
      <c r="CU72" s="30"/>
    </row>
    <row r="73" spans="14:99" x14ac:dyDescent="0.25">
      <c r="N73" s="30"/>
      <c r="R73" s="30"/>
      <c r="W73" s="30"/>
      <c r="AA73" s="30"/>
      <c r="AF73" s="30"/>
      <c r="AJ73" s="30"/>
      <c r="AO73" s="30"/>
      <c r="AS73" s="30"/>
      <c r="AX73" s="30"/>
      <c r="BB73" s="30"/>
      <c r="BG73" s="30"/>
      <c r="BK73" s="30"/>
      <c r="BP73" s="30"/>
      <c r="BT73" s="30"/>
      <c r="BY73" s="30"/>
      <c r="CC73" s="30"/>
      <c r="CH73" s="30"/>
      <c r="CL73" s="30"/>
      <c r="CQ73" s="30"/>
      <c r="CU73" s="30"/>
    </row>
    <row r="74" spans="14:99" x14ac:dyDescent="0.25">
      <c r="N74" s="30"/>
      <c r="R74" s="30"/>
      <c r="W74" s="30"/>
      <c r="AA74" s="30"/>
      <c r="AF74" s="30"/>
      <c r="AJ74" s="30"/>
      <c r="AO74" s="30"/>
      <c r="AS74" s="30"/>
      <c r="AX74" s="30"/>
      <c r="BB74" s="30"/>
      <c r="BG74" s="30"/>
      <c r="BK74" s="30"/>
      <c r="BP74" s="30"/>
      <c r="BT74" s="30"/>
      <c r="BY74" s="30"/>
      <c r="CC74" s="30"/>
      <c r="CH74" s="30"/>
      <c r="CL74" s="30"/>
      <c r="CQ74" s="30"/>
      <c r="CU74" s="30"/>
    </row>
    <row r="75" spans="14:99" x14ac:dyDescent="0.25">
      <c r="N75" s="30"/>
      <c r="R75" s="30"/>
      <c r="W75" s="30"/>
      <c r="AA75" s="30"/>
      <c r="AF75" s="30"/>
      <c r="AJ75" s="30"/>
      <c r="AO75" s="30"/>
      <c r="AS75" s="30"/>
      <c r="AX75" s="30"/>
      <c r="BB75" s="30"/>
      <c r="BG75" s="30"/>
      <c r="BK75" s="30"/>
      <c r="BP75" s="30"/>
      <c r="BT75" s="30"/>
      <c r="BY75" s="30"/>
      <c r="CC75" s="30"/>
      <c r="CH75" s="30"/>
      <c r="CL75" s="30"/>
      <c r="CQ75" s="30"/>
      <c r="CU75" s="30"/>
    </row>
    <row r="76" spans="14:99" x14ac:dyDescent="0.25">
      <c r="N76" s="30"/>
      <c r="R76" s="30"/>
      <c r="W76" s="30"/>
      <c r="AA76" s="30"/>
      <c r="AF76" s="30"/>
      <c r="AJ76" s="30"/>
      <c r="AO76" s="30"/>
      <c r="AS76" s="30"/>
      <c r="AX76" s="30"/>
      <c r="BB76" s="30"/>
      <c r="BG76" s="30"/>
      <c r="BK76" s="30"/>
      <c r="BP76" s="30"/>
      <c r="BT76" s="30"/>
      <c r="BY76" s="30"/>
      <c r="CC76" s="30"/>
      <c r="CH76" s="30"/>
      <c r="CL76" s="30"/>
      <c r="CQ76" s="30"/>
      <c r="CU76" s="30"/>
    </row>
    <row r="77" spans="14:99" x14ac:dyDescent="0.25">
      <c r="N77" s="30"/>
      <c r="R77" s="30"/>
      <c r="W77" s="30"/>
      <c r="AA77" s="30"/>
      <c r="AF77" s="30"/>
      <c r="AJ77" s="30"/>
      <c r="AO77" s="30"/>
      <c r="AS77" s="30"/>
      <c r="AX77" s="30"/>
      <c r="BB77" s="30"/>
      <c r="BG77" s="30"/>
      <c r="BK77" s="30"/>
      <c r="BP77" s="30"/>
      <c r="BT77" s="30"/>
      <c r="BY77" s="30"/>
      <c r="CC77" s="30"/>
      <c r="CH77" s="30"/>
      <c r="CL77" s="30"/>
      <c r="CQ77" s="30"/>
      <c r="CU77" s="30"/>
    </row>
    <row r="78" spans="14:99" x14ac:dyDescent="0.25">
      <c r="N78" s="30"/>
      <c r="R78" s="30"/>
      <c r="W78" s="30"/>
      <c r="AA78" s="30"/>
      <c r="AF78" s="30"/>
      <c r="AJ78" s="30"/>
      <c r="AO78" s="30"/>
      <c r="AS78" s="30"/>
      <c r="AX78" s="30"/>
      <c r="BB78" s="30"/>
      <c r="BG78" s="30"/>
      <c r="BK78" s="30"/>
      <c r="BP78" s="30"/>
      <c r="BT78" s="30"/>
      <c r="BY78" s="30"/>
      <c r="CC78" s="30"/>
      <c r="CH78" s="30"/>
      <c r="CL78" s="30"/>
      <c r="CQ78" s="30"/>
      <c r="CU78" s="30"/>
    </row>
    <row r="79" spans="14:99" x14ac:dyDescent="0.25">
      <c r="N79" s="30"/>
      <c r="R79" s="30"/>
      <c r="W79" s="30"/>
      <c r="AA79" s="30"/>
      <c r="AF79" s="30"/>
      <c r="AJ79" s="30"/>
      <c r="AO79" s="30"/>
      <c r="AS79" s="30"/>
      <c r="AX79" s="30"/>
      <c r="BB79" s="30"/>
      <c r="BG79" s="30"/>
      <c r="BK79" s="30"/>
      <c r="BP79" s="30"/>
      <c r="BT79" s="30"/>
      <c r="BY79" s="30"/>
      <c r="CC79" s="30"/>
      <c r="CH79" s="30"/>
      <c r="CL79" s="30"/>
      <c r="CQ79" s="30"/>
      <c r="CU79" s="30"/>
    </row>
    <row r="80" spans="14:99" x14ac:dyDescent="0.25">
      <c r="N80" s="30"/>
      <c r="R80" s="30"/>
      <c r="W80" s="30"/>
      <c r="AA80" s="30"/>
      <c r="AF80" s="30"/>
      <c r="AJ80" s="30"/>
      <c r="AO80" s="30"/>
      <c r="AS80" s="30"/>
      <c r="AX80" s="30"/>
      <c r="BB80" s="30"/>
      <c r="BG80" s="30"/>
      <c r="BK80" s="30"/>
      <c r="BP80" s="30"/>
      <c r="BT80" s="30"/>
      <c r="BY80" s="30"/>
      <c r="CC80" s="30"/>
      <c r="CH80" s="30"/>
      <c r="CL80" s="30"/>
      <c r="CQ80" s="30"/>
      <c r="CU80" s="30"/>
    </row>
    <row r="81" spans="14:99" x14ac:dyDescent="0.25">
      <c r="N81" s="30"/>
      <c r="R81" s="30"/>
      <c r="W81" s="30"/>
      <c r="AA81" s="30"/>
      <c r="AF81" s="30"/>
      <c r="AJ81" s="30"/>
      <c r="AO81" s="30"/>
      <c r="AS81" s="30"/>
      <c r="AX81" s="30"/>
      <c r="BB81" s="30"/>
      <c r="BG81" s="30"/>
      <c r="BK81" s="30"/>
      <c r="BP81" s="30"/>
      <c r="BT81" s="30"/>
      <c r="BY81" s="30"/>
      <c r="CC81" s="30"/>
      <c r="CH81" s="30"/>
      <c r="CL81" s="30"/>
      <c r="CQ81" s="30"/>
      <c r="CU81" s="30"/>
    </row>
    <row r="82" spans="14:99" x14ac:dyDescent="0.25">
      <c r="N82" s="30"/>
      <c r="R82" s="30"/>
      <c r="W82" s="30"/>
      <c r="AA82" s="30"/>
      <c r="AF82" s="30"/>
      <c r="AJ82" s="30"/>
      <c r="AO82" s="30"/>
      <c r="AS82" s="30"/>
      <c r="AX82" s="30"/>
      <c r="BB82" s="30"/>
      <c r="BG82" s="30"/>
      <c r="BK82" s="30"/>
      <c r="BP82" s="30"/>
      <c r="BT82" s="30"/>
      <c r="BY82" s="30"/>
      <c r="CC82" s="30"/>
      <c r="CH82" s="30"/>
      <c r="CL82" s="30"/>
      <c r="CQ82" s="30"/>
      <c r="CU82" s="30"/>
    </row>
    <row r="83" spans="14:99" x14ac:dyDescent="0.25">
      <c r="N83" s="30"/>
      <c r="R83" s="30"/>
      <c r="W83" s="30"/>
      <c r="AA83" s="30"/>
      <c r="AF83" s="30"/>
      <c r="AJ83" s="30"/>
      <c r="AO83" s="30"/>
      <c r="AS83" s="30"/>
      <c r="AX83" s="30"/>
      <c r="BB83" s="30"/>
      <c r="BG83" s="30"/>
      <c r="BK83" s="30"/>
      <c r="BP83" s="30"/>
      <c r="BT83" s="30"/>
      <c r="BY83" s="30"/>
      <c r="CC83" s="30"/>
      <c r="CH83" s="30"/>
      <c r="CL83" s="30"/>
      <c r="CQ83" s="30"/>
      <c r="CU83" s="30"/>
    </row>
    <row r="84" spans="14:99" x14ac:dyDescent="0.25">
      <c r="N84" s="30"/>
      <c r="R84" s="30"/>
      <c r="W84" s="30"/>
      <c r="AA84" s="30"/>
      <c r="AF84" s="30"/>
      <c r="AJ84" s="30"/>
      <c r="AO84" s="30"/>
      <c r="AS84" s="30"/>
      <c r="AX84" s="30"/>
      <c r="BB84" s="30"/>
      <c r="BG84" s="30"/>
      <c r="BK84" s="30"/>
      <c r="BP84" s="30"/>
      <c r="BT84" s="30"/>
      <c r="BY84" s="30"/>
      <c r="CC84" s="30"/>
      <c r="CH84" s="30"/>
      <c r="CL84" s="30"/>
      <c r="CQ84" s="30"/>
      <c r="CU84" s="30"/>
    </row>
    <row r="85" spans="14:99" x14ac:dyDescent="0.25">
      <c r="N85" s="30"/>
      <c r="R85" s="30"/>
      <c r="W85" s="30"/>
      <c r="AA85" s="30"/>
      <c r="AF85" s="30"/>
      <c r="AJ85" s="30"/>
      <c r="AO85" s="30"/>
      <c r="AS85" s="30"/>
      <c r="AX85" s="30"/>
      <c r="BB85" s="30"/>
      <c r="BG85" s="30"/>
      <c r="BK85" s="30"/>
      <c r="BP85" s="30"/>
      <c r="BT85" s="30"/>
      <c r="BY85" s="30"/>
      <c r="CC85" s="30"/>
      <c r="CH85" s="30"/>
      <c r="CL85" s="30"/>
      <c r="CQ85" s="30"/>
      <c r="CU85" s="30"/>
    </row>
    <row r="86" spans="14:99" x14ac:dyDescent="0.25">
      <c r="N86" s="30"/>
      <c r="R86" s="30"/>
      <c r="W86" s="30"/>
      <c r="AA86" s="30"/>
      <c r="AF86" s="30"/>
      <c r="AJ86" s="30"/>
      <c r="AO86" s="30"/>
      <c r="AS86" s="30"/>
      <c r="AX86" s="30"/>
      <c r="BB86" s="30"/>
      <c r="BG86" s="30"/>
      <c r="BK86" s="30"/>
      <c r="BP86" s="30"/>
      <c r="BT86" s="30"/>
      <c r="BY86" s="30"/>
      <c r="CC86" s="30"/>
      <c r="CH86" s="30"/>
      <c r="CL86" s="30"/>
      <c r="CQ86" s="30"/>
      <c r="CU86" s="30"/>
    </row>
    <row r="87" spans="14:99" x14ac:dyDescent="0.25">
      <c r="N87" s="30"/>
      <c r="R87" s="30"/>
      <c r="W87" s="30"/>
      <c r="AA87" s="30"/>
      <c r="AF87" s="30"/>
      <c r="AJ87" s="30"/>
      <c r="AO87" s="30"/>
      <c r="AS87" s="30"/>
      <c r="AX87" s="30"/>
      <c r="BB87" s="30"/>
      <c r="BG87" s="30"/>
      <c r="BK87" s="30"/>
      <c r="BP87" s="30"/>
      <c r="BT87" s="30"/>
      <c r="BY87" s="30"/>
      <c r="CC87" s="30"/>
      <c r="CH87" s="30"/>
      <c r="CL87" s="30"/>
      <c r="CQ87" s="30"/>
      <c r="CU87" s="30"/>
    </row>
    <row r="88" spans="14:99" x14ac:dyDescent="0.25">
      <c r="N88" s="30"/>
      <c r="R88" s="30"/>
      <c r="W88" s="30"/>
      <c r="AA88" s="30"/>
      <c r="AF88" s="30"/>
      <c r="AJ88" s="30"/>
      <c r="AO88" s="30"/>
      <c r="AS88" s="30"/>
      <c r="AX88" s="30"/>
      <c r="BB88" s="30"/>
      <c r="BG88" s="30"/>
      <c r="BK88" s="30"/>
      <c r="BP88" s="30"/>
      <c r="BT88" s="30"/>
      <c r="BY88" s="30"/>
      <c r="CC88" s="30"/>
      <c r="CH88" s="30"/>
      <c r="CL88" s="30"/>
      <c r="CQ88" s="30"/>
      <c r="CU88" s="30"/>
    </row>
    <row r="89" spans="14:99" x14ac:dyDescent="0.25">
      <c r="N89" s="30"/>
      <c r="R89" s="30"/>
      <c r="W89" s="30"/>
      <c r="AA89" s="30"/>
      <c r="AF89" s="30"/>
      <c r="AJ89" s="30"/>
      <c r="AO89" s="30"/>
      <c r="AS89" s="30"/>
      <c r="AX89" s="30"/>
      <c r="BB89" s="30"/>
      <c r="BG89" s="30"/>
      <c r="BK89" s="30"/>
      <c r="BP89" s="30"/>
      <c r="BT89" s="30"/>
      <c r="BY89" s="30"/>
      <c r="CC89" s="30"/>
      <c r="CH89" s="30"/>
      <c r="CL89" s="30"/>
      <c r="CQ89" s="30"/>
      <c r="CU89" s="30"/>
    </row>
    <row r="90" spans="14:99" x14ac:dyDescent="0.25">
      <c r="N90" s="30"/>
      <c r="R90" s="30"/>
      <c r="W90" s="30"/>
      <c r="AA90" s="30"/>
      <c r="AF90" s="30"/>
      <c r="AJ90" s="30"/>
      <c r="AO90" s="30"/>
      <c r="AS90" s="30"/>
      <c r="AX90" s="30"/>
      <c r="BB90" s="30"/>
      <c r="BG90" s="30"/>
      <c r="BK90" s="30"/>
      <c r="BP90" s="30"/>
      <c r="BT90" s="30"/>
      <c r="BY90" s="30"/>
      <c r="CC90" s="30"/>
      <c r="CH90" s="30"/>
      <c r="CL90" s="30"/>
      <c r="CQ90" s="30"/>
      <c r="CU90" s="30"/>
    </row>
    <row r="91" spans="14:99" x14ac:dyDescent="0.25">
      <c r="N91" s="30"/>
      <c r="R91" s="30"/>
      <c r="W91" s="30"/>
      <c r="AA91" s="30"/>
      <c r="AF91" s="30"/>
      <c r="AJ91" s="30"/>
      <c r="AO91" s="30"/>
      <c r="AS91" s="30"/>
      <c r="AX91" s="30"/>
      <c r="BB91" s="30"/>
      <c r="BG91" s="30"/>
      <c r="BK91" s="30"/>
      <c r="BP91" s="30"/>
      <c r="BT91" s="30"/>
      <c r="BY91" s="30"/>
      <c r="CC91" s="30"/>
      <c r="CH91" s="30"/>
      <c r="CL91" s="30"/>
      <c r="CQ91" s="30"/>
      <c r="CU91" s="30"/>
    </row>
    <row r="92" spans="14:99" x14ac:dyDescent="0.25">
      <c r="N92" s="30"/>
      <c r="R92" s="30"/>
      <c r="W92" s="30"/>
      <c r="AA92" s="30"/>
      <c r="AF92" s="30"/>
      <c r="AJ92" s="30"/>
      <c r="AO92" s="30"/>
      <c r="AS92" s="30"/>
      <c r="AX92" s="30"/>
      <c r="BB92" s="30"/>
      <c r="BG92" s="30"/>
      <c r="BK92" s="30"/>
      <c r="BP92" s="30"/>
      <c r="BT92" s="30"/>
      <c r="BY92" s="30"/>
      <c r="CC92" s="30"/>
      <c r="CH92" s="30"/>
      <c r="CL92" s="30"/>
      <c r="CQ92" s="30"/>
      <c r="CU92" s="30"/>
    </row>
    <row r="93" spans="14:99" x14ac:dyDescent="0.25">
      <c r="N93" s="30"/>
      <c r="R93" s="30"/>
      <c r="W93" s="30"/>
      <c r="AA93" s="30"/>
      <c r="AF93" s="30"/>
      <c r="AJ93" s="30"/>
      <c r="AO93" s="30"/>
      <c r="AS93" s="30"/>
      <c r="AX93" s="30"/>
      <c r="BB93" s="30"/>
      <c r="BG93" s="30"/>
      <c r="BK93" s="30"/>
      <c r="BP93" s="30"/>
      <c r="BT93" s="30"/>
      <c r="BY93" s="30"/>
      <c r="CC93" s="30"/>
      <c r="CH93" s="30"/>
      <c r="CL93" s="30"/>
      <c r="CQ93" s="30"/>
      <c r="CU93" s="30"/>
    </row>
    <row r="94" spans="14:99" x14ac:dyDescent="0.25">
      <c r="N94" s="30"/>
      <c r="R94" s="30"/>
      <c r="W94" s="30"/>
      <c r="AA94" s="30"/>
      <c r="AF94" s="30"/>
      <c r="AJ94" s="30"/>
      <c r="AO94" s="30"/>
      <c r="AS94" s="30"/>
      <c r="AX94" s="30"/>
      <c r="BB94" s="30"/>
      <c r="BG94" s="30"/>
      <c r="BK94" s="30"/>
      <c r="BP94" s="30"/>
      <c r="BT94" s="30"/>
      <c r="BY94" s="30"/>
      <c r="CC94" s="30"/>
      <c r="CH94" s="30"/>
      <c r="CL94" s="30"/>
      <c r="CQ94" s="30"/>
      <c r="CU94" s="30"/>
    </row>
    <row r="95" spans="14:99" x14ac:dyDescent="0.25">
      <c r="N95" s="30"/>
      <c r="R95" s="30"/>
      <c r="W95" s="30"/>
      <c r="AA95" s="30"/>
      <c r="AF95" s="30"/>
      <c r="AJ95" s="30"/>
      <c r="AO95" s="30"/>
      <c r="AS95" s="30"/>
      <c r="AX95" s="30"/>
      <c r="BB95" s="30"/>
      <c r="BG95" s="30"/>
      <c r="BK95" s="30"/>
      <c r="BP95" s="30"/>
      <c r="BT95" s="30"/>
      <c r="BY95" s="30"/>
      <c r="CC95" s="30"/>
      <c r="CH95" s="30"/>
      <c r="CL95" s="30"/>
      <c r="CQ95" s="30"/>
      <c r="CU95" s="30"/>
    </row>
  </sheetData>
  <mergeCells count="131"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9525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219075</xdr:colOff>
                    <xdr:row>35</xdr:row>
                    <xdr:rowOff>133350</xdr:rowOff>
                  </from>
                  <to>
                    <xdr:col>4</xdr:col>
                    <xdr:colOff>447675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95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5" customHeight="1" x14ac:dyDescent="0.25">
      <c r="N3" s="22" t="s">
        <v>39</v>
      </c>
      <c r="O3" s="75">
        <v>2</v>
      </c>
      <c r="P3" s="76"/>
      <c r="Q3" s="77"/>
      <c r="R3" s="22" t="s">
        <v>41</v>
      </c>
      <c r="S3" s="75" t="s">
        <v>127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127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129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129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129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129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129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129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128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128</v>
      </c>
      <c r="CW3" s="76"/>
      <c r="CX3" s="77"/>
    </row>
    <row r="4" spans="2:103" x14ac:dyDescent="0.25">
      <c r="N4" s="22" t="s">
        <v>46</v>
      </c>
      <c r="O4" s="75" t="s">
        <v>374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375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342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343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360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361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332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333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356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357</v>
      </c>
      <c r="CS4" s="76"/>
      <c r="CT4" s="77"/>
      <c r="CU4" s="22" t="s">
        <v>45</v>
      </c>
      <c r="CV4" s="75" t="s">
        <v>64</v>
      </c>
      <c r="CW4" s="76"/>
      <c r="CX4" s="77"/>
    </row>
    <row r="5" spans="2:103" ht="14.45" customHeight="1" x14ac:dyDescent="0.25">
      <c r="B5" t="b">
        <v>0</v>
      </c>
      <c r="N5" s="58" t="s">
        <v>89</v>
      </c>
      <c r="O5" s="59"/>
      <c r="P5" s="59"/>
      <c r="Q5" s="60"/>
      <c r="R5" s="58" t="s">
        <v>103</v>
      </c>
      <c r="S5" s="59"/>
      <c r="T5" s="59"/>
      <c r="U5" s="60"/>
      <c r="W5" s="58" t="s">
        <v>89</v>
      </c>
      <c r="X5" s="59"/>
      <c r="Y5" s="59"/>
      <c r="Z5" s="60"/>
      <c r="AA5" s="58" t="s">
        <v>103</v>
      </c>
      <c r="AB5" s="59"/>
      <c r="AC5" s="59"/>
      <c r="AD5" s="60"/>
      <c r="AF5" s="58" t="s">
        <v>89</v>
      </c>
      <c r="AG5" s="59"/>
      <c r="AH5" s="59"/>
      <c r="AI5" s="60"/>
      <c r="AJ5" s="58" t="s">
        <v>103</v>
      </c>
      <c r="AK5" s="59"/>
      <c r="AL5" s="59"/>
      <c r="AM5" s="60"/>
      <c r="AO5" s="58" t="s">
        <v>89</v>
      </c>
      <c r="AP5" s="59"/>
      <c r="AQ5" s="59"/>
      <c r="AR5" s="60"/>
      <c r="AS5" s="58" t="s">
        <v>103</v>
      </c>
      <c r="AT5" s="59"/>
      <c r="AU5" s="59"/>
      <c r="AV5" s="60"/>
      <c r="AX5" s="58" t="s">
        <v>89</v>
      </c>
      <c r="AY5" s="59"/>
      <c r="AZ5" s="59"/>
      <c r="BA5" s="60"/>
      <c r="BB5" s="58" t="s">
        <v>103</v>
      </c>
      <c r="BC5" s="59"/>
      <c r="BD5" s="59"/>
      <c r="BE5" s="60"/>
      <c r="BG5" s="58" t="s">
        <v>89</v>
      </c>
      <c r="BH5" s="59"/>
      <c r="BI5" s="59"/>
      <c r="BJ5" s="60"/>
      <c r="BK5" s="58" t="s">
        <v>103</v>
      </c>
      <c r="BL5" s="59"/>
      <c r="BM5" s="59"/>
      <c r="BN5" s="60"/>
      <c r="BP5" s="58" t="s">
        <v>89</v>
      </c>
      <c r="BQ5" s="59"/>
      <c r="BR5" s="59"/>
      <c r="BS5" s="60"/>
      <c r="BT5" s="58" t="s">
        <v>103</v>
      </c>
      <c r="BU5" s="59"/>
      <c r="BV5" s="59"/>
      <c r="BW5" s="60"/>
      <c r="BY5" s="58" t="s">
        <v>89</v>
      </c>
      <c r="BZ5" s="59"/>
      <c r="CA5" s="59"/>
      <c r="CB5" s="60"/>
      <c r="CC5" s="58" t="s">
        <v>103</v>
      </c>
      <c r="CD5" s="59"/>
      <c r="CE5" s="59"/>
      <c r="CF5" s="60"/>
      <c r="CH5" s="58" t="s">
        <v>89</v>
      </c>
      <c r="CI5" s="59"/>
      <c r="CJ5" s="59"/>
      <c r="CK5" s="60"/>
      <c r="CL5" s="58" t="s">
        <v>103</v>
      </c>
      <c r="CM5" s="59"/>
      <c r="CN5" s="59"/>
      <c r="CO5" s="60"/>
      <c r="CQ5" s="58" t="s">
        <v>89</v>
      </c>
      <c r="CR5" s="59"/>
      <c r="CS5" s="59"/>
      <c r="CT5" s="60"/>
      <c r="CU5" s="58" t="s">
        <v>103</v>
      </c>
      <c r="CV5" s="59"/>
      <c r="CW5" s="59"/>
      <c r="CX5" s="60"/>
    </row>
    <row r="6" spans="2:103" ht="14.45" customHeight="1" x14ac:dyDescent="0.25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5.5" x14ac:dyDescent="0.25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1">
        <v>2</v>
      </c>
      <c r="C8" s="71"/>
      <c r="D8" s="71" t="s">
        <v>912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/>
      <c r="N8" s="30">
        <v>3.9530487864430235E-7</v>
      </c>
      <c r="O8" s="43">
        <v>-2.8600000000000001E-4</v>
      </c>
      <c r="P8" s="43">
        <v>-2.6699999999999998E-4</v>
      </c>
      <c r="Q8" s="43">
        <v>-8.2999999999999998E-5</v>
      </c>
      <c r="R8" s="30">
        <v>3.9530487864430235E-7</v>
      </c>
      <c r="S8" s="43">
        <v>-2.8600000000000001E-4</v>
      </c>
      <c r="T8" s="43">
        <v>-2.6699999999999998E-4</v>
      </c>
      <c r="U8" s="43">
        <v>-8.2999999999999998E-5</v>
      </c>
      <c r="W8" s="30">
        <v>3.9530487864430235E-7</v>
      </c>
      <c r="X8" s="43">
        <v>-3.57E-4</v>
      </c>
      <c r="Y8" s="43">
        <v>-3.2499999999999999E-4</v>
      </c>
      <c r="Z8" s="43">
        <v>-2.1999999999999999E-5</v>
      </c>
      <c r="AA8" s="30">
        <v>3.9530487864430235E-7</v>
      </c>
      <c r="AB8" s="43">
        <v>-3.57E-4</v>
      </c>
      <c r="AC8" s="43">
        <v>-3.2499999999999999E-4</v>
      </c>
      <c r="AD8" s="43">
        <v>-2.1999999999999999E-5</v>
      </c>
      <c r="AF8" s="30">
        <v>3.9530487864430235E-7</v>
      </c>
      <c r="AG8" s="43">
        <v>-2.1499999999999999E-4</v>
      </c>
      <c r="AH8" s="43">
        <v>-2.14E-4</v>
      </c>
      <c r="AI8" s="43">
        <v>-2.12E-4</v>
      </c>
      <c r="AJ8" s="30">
        <v>3.9530487864430235E-7</v>
      </c>
      <c r="AK8" s="43">
        <v>-2.1499999999999999E-4</v>
      </c>
      <c r="AL8" s="43">
        <v>-2.14E-4</v>
      </c>
      <c r="AM8" s="43">
        <v>-2.12E-4</v>
      </c>
      <c r="AO8" s="30">
        <v>3.9530487864430235E-7</v>
      </c>
      <c r="AP8" s="43">
        <v>-2.14E-4</v>
      </c>
      <c r="AQ8" s="43">
        <v>-2.13E-4</v>
      </c>
      <c r="AR8" s="43">
        <v>-2.0900000000000001E-4</v>
      </c>
      <c r="AS8" s="30">
        <v>3.9530487864430235E-7</v>
      </c>
      <c r="AT8" s="43">
        <v>-2.14E-4</v>
      </c>
      <c r="AU8" s="43">
        <v>-2.13E-4</v>
      </c>
      <c r="AV8" s="43">
        <v>-2.0900000000000001E-4</v>
      </c>
      <c r="AX8" s="30">
        <v>3.9530487864430235E-7</v>
      </c>
      <c r="AY8" s="43">
        <v>-2.1499999999999999E-4</v>
      </c>
      <c r="AZ8" s="43">
        <v>-2.14E-4</v>
      </c>
      <c r="BA8" s="43">
        <v>-2.12E-4</v>
      </c>
      <c r="BB8" s="30">
        <v>3.9530487864430235E-7</v>
      </c>
      <c r="BC8" s="43">
        <v>-2.1499999999999999E-4</v>
      </c>
      <c r="BD8" s="43">
        <v>-2.14E-4</v>
      </c>
      <c r="BE8" s="43">
        <v>-2.12E-4</v>
      </c>
      <c r="BG8" s="30">
        <v>3.9530487864430235E-7</v>
      </c>
      <c r="BH8" s="43">
        <v>-2.14E-4</v>
      </c>
      <c r="BI8" s="43">
        <v>-2.13E-4</v>
      </c>
      <c r="BJ8" s="43">
        <v>-2.0900000000000001E-4</v>
      </c>
      <c r="BK8" s="30">
        <v>3.9530487864430235E-7</v>
      </c>
      <c r="BL8" s="43">
        <v>-2.14E-4</v>
      </c>
      <c r="BM8" s="43">
        <v>-2.13E-4</v>
      </c>
      <c r="BN8" s="43">
        <v>-2.0900000000000001E-4</v>
      </c>
      <c r="BP8" s="30">
        <v>3.9530487864430235E-7</v>
      </c>
      <c r="BQ8" s="43">
        <v>-1.7699999999999999E-4</v>
      </c>
      <c r="BR8" s="43">
        <v>-1.6799999999999999E-4</v>
      </c>
      <c r="BS8" s="43">
        <v>-9.2E-5</v>
      </c>
      <c r="BT8" s="30">
        <v>3.9530487864430235E-7</v>
      </c>
      <c r="BU8" s="43">
        <v>-1.7699999999999999E-4</v>
      </c>
      <c r="BV8" s="43">
        <v>-1.6799999999999999E-4</v>
      </c>
      <c r="BW8" s="43">
        <v>-9.2E-5</v>
      </c>
      <c r="BY8" s="30">
        <v>3.9530487864430235E-7</v>
      </c>
      <c r="BZ8" s="43">
        <v>-2.1000000000000001E-4</v>
      </c>
      <c r="CA8" s="43">
        <v>-1.95E-4</v>
      </c>
      <c r="CB8" s="43">
        <v>-6.0999999999999999E-5</v>
      </c>
      <c r="CC8" s="30">
        <v>3.9530487864430235E-7</v>
      </c>
      <c r="CD8" s="43">
        <v>-2.1000000000000001E-4</v>
      </c>
      <c r="CE8" s="43">
        <v>-1.95E-4</v>
      </c>
      <c r="CF8" s="43">
        <v>-6.0999999999999999E-5</v>
      </c>
      <c r="CH8" s="30">
        <v>3.9530487864430235E-7</v>
      </c>
      <c r="CI8" s="43">
        <v>-2.1599999999999999E-4</v>
      </c>
      <c r="CJ8" s="43">
        <v>-2.1499999999999999E-4</v>
      </c>
      <c r="CK8" s="43">
        <v>-2.13E-4</v>
      </c>
      <c r="CL8" s="30">
        <v>3.9530487864430235E-7</v>
      </c>
      <c r="CM8" s="43">
        <v>-2.1599999999999999E-4</v>
      </c>
      <c r="CN8" s="43">
        <v>-2.1499999999999999E-4</v>
      </c>
      <c r="CO8" s="43">
        <v>-2.13E-4</v>
      </c>
      <c r="CQ8" s="30">
        <v>3.9530487864430235E-7</v>
      </c>
      <c r="CR8" s="43">
        <v>-2.14E-4</v>
      </c>
      <c r="CS8" s="43">
        <v>-2.14E-4</v>
      </c>
      <c r="CT8" s="43">
        <v>-2.1000000000000001E-4</v>
      </c>
      <c r="CU8" s="30">
        <v>3.9530487864430235E-7</v>
      </c>
      <c r="CV8" s="43">
        <v>-2.14E-4</v>
      </c>
      <c r="CW8" s="43">
        <v>-2.14E-4</v>
      </c>
      <c r="CX8" s="43">
        <v>-2.1000000000000001E-4</v>
      </c>
    </row>
    <row r="9" spans="2:103" x14ac:dyDescent="0.25">
      <c r="B9" s="71">
        <v>5</v>
      </c>
      <c r="C9" s="71"/>
      <c r="D9" s="71" t="s">
        <v>913</v>
      </c>
      <c r="E9" s="71"/>
      <c r="F9" s="71" t="s">
        <v>64</v>
      </c>
      <c r="G9" s="71"/>
      <c r="H9" s="2">
        <v>4.1717697304878634E-2</v>
      </c>
      <c r="I9" s="1">
        <v>-2.5000000000000001E-3</v>
      </c>
      <c r="J9" s="2">
        <v>0.2292713866768068</v>
      </c>
      <c r="K9" s="1"/>
      <c r="N9" s="30">
        <v>6.956836715453109E-4</v>
      </c>
      <c r="O9" s="43">
        <v>-2.8299999999999999E-4</v>
      </c>
      <c r="P9" s="43">
        <v>-2.6400000000000002E-4</v>
      </c>
      <c r="Q9" s="43">
        <v>-8.5000000000000006E-5</v>
      </c>
      <c r="R9" s="30">
        <v>8.3474130487864431E-4</v>
      </c>
      <c r="S9" s="43">
        <v>-2.8200000000000002E-4</v>
      </c>
      <c r="T9" s="43">
        <v>-2.63E-4</v>
      </c>
      <c r="U9" s="43">
        <v>-8.5000000000000006E-5</v>
      </c>
      <c r="W9" s="30">
        <v>6.956836715453109E-4</v>
      </c>
      <c r="X9" s="43">
        <v>-3.57E-4</v>
      </c>
      <c r="Y9" s="43">
        <v>-3.2499999999999999E-4</v>
      </c>
      <c r="Z9" s="43">
        <v>-2.0999999999999999E-5</v>
      </c>
      <c r="AA9" s="30">
        <v>8.3474130487864431E-4</v>
      </c>
      <c r="AB9" s="43">
        <v>-3.57E-4</v>
      </c>
      <c r="AC9" s="43">
        <v>-3.2499999999999999E-4</v>
      </c>
      <c r="AD9" s="43">
        <v>-2.0999999999999999E-5</v>
      </c>
      <c r="AF9" s="30">
        <v>6.956836715453109E-4</v>
      </c>
      <c r="AG9" s="43">
        <v>-2.1699999999999999E-4</v>
      </c>
      <c r="AH9" s="43">
        <v>-2.1599999999999999E-4</v>
      </c>
      <c r="AI9" s="43">
        <v>-2.1000000000000001E-4</v>
      </c>
      <c r="AJ9" s="30">
        <v>8.3474130487864431E-4</v>
      </c>
      <c r="AK9" s="43">
        <v>-2.1699999999999999E-4</v>
      </c>
      <c r="AL9" s="43">
        <v>-2.1699999999999999E-4</v>
      </c>
      <c r="AM9" s="43">
        <v>-2.1000000000000001E-4</v>
      </c>
      <c r="AO9" s="30">
        <v>6.956836715453109E-4</v>
      </c>
      <c r="AP9" s="43">
        <v>-2.14E-4</v>
      </c>
      <c r="AQ9" s="43">
        <v>-2.14E-4</v>
      </c>
      <c r="AR9" s="43">
        <v>-2.0900000000000001E-4</v>
      </c>
      <c r="AS9" s="30">
        <v>8.3474130487864431E-4</v>
      </c>
      <c r="AT9" s="43">
        <v>-2.14E-4</v>
      </c>
      <c r="AU9" s="43">
        <v>-2.14E-4</v>
      </c>
      <c r="AV9" s="43">
        <v>-2.0900000000000001E-4</v>
      </c>
      <c r="AX9" s="30">
        <v>6.956836715453109E-4</v>
      </c>
      <c r="AY9" s="43">
        <v>-2.1800000000000001E-4</v>
      </c>
      <c r="AZ9" s="43">
        <v>-2.1699999999999999E-4</v>
      </c>
      <c r="BA9" s="43">
        <v>-2.0900000000000001E-4</v>
      </c>
      <c r="BB9" s="30">
        <v>8.3474130487864431E-4</v>
      </c>
      <c r="BC9" s="43">
        <v>-2.1900000000000001E-4</v>
      </c>
      <c r="BD9" s="43">
        <v>-2.1800000000000001E-4</v>
      </c>
      <c r="BE9" s="43">
        <v>-2.0900000000000001E-4</v>
      </c>
      <c r="BG9" s="30">
        <v>6.956836715453109E-4</v>
      </c>
      <c r="BH9" s="43">
        <v>-2.13E-4</v>
      </c>
      <c r="BI9" s="43">
        <v>-2.13E-4</v>
      </c>
      <c r="BJ9" s="43">
        <v>-2.0900000000000001E-4</v>
      </c>
      <c r="BK9" s="30">
        <v>8.3474130487864431E-4</v>
      </c>
      <c r="BL9" s="43">
        <v>-2.13E-4</v>
      </c>
      <c r="BM9" s="43">
        <v>-2.13E-4</v>
      </c>
      <c r="BN9" s="43">
        <v>-2.0900000000000001E-4</v>
      </c>
      <c r="BP9" s="30">
        <v>6.956836715453109E-4</v>
      </c>
      <c r="BQ9" s="43">
        <v>-1.8000000000000001E-4</v>
      </c>
      <c r="BR9" s="43">
        <v>-1.7100000000000001E-4</v>
      </c>
      <c r="BS9" s="43">
        <v>-9.0000000000000006E-5</v>
      </c>
      <c r="BT9" s="30">
        <v>8.3474130487864431E-4</v>
      </c>
      <c r="BU9" s="43">
        <v>-1.8100000000000001E-4</v>
      </c>
      <c r="BV9" s="43">
        <v>-1.7200000000000001E-4</v>
      </c>
      <c r="BW9" s="43">
        <v>-8.8999999999999995E-5</v>
      </c>
      <c r="BY9" s="30">
        <v>6.956836715453109E-4</v>
      </c>
      <c r="BZ9" s="43">
        <v>-2.1000000000000001E-4</v>
      </c>
      <c r="CA9" s="43">
        <v>-1.94E-4</v>
      </c>
      <c r="CB9" s="43">
        <v>-6.2000000000000003E-5</v>
      </c>
      <c r="CC9" s="30">
        <v>8.3474130487864431E-4</v>
      </c>
      <c r="CD9" s="43">
        <v>-2.0900000000000001E-4</v>
      </c>
      <c r="CE9" s="43">
        <v>-1.94E-4</v>
      </c>
      <c r="CF9" s="43">
        <v>-6.2000000000000003E-5</v>
      </c>
      <c r="CH9" s="30">
        <v>6.956836715453109E-4</v>
      </c>
      <c r="CI9" s="43">
        <v>-2.22E-4</v>
      </c>
      <c r="CJ9" s="43">
        <v>-2.22E-4</v>
      </c>
      <c r="CK9" s="43">
        <v>-2.0599999999999999E-4</v>
      </c>
      <c r="CL9" s="30">
        <v>8.3474130487864431E-4</v>
      </c>
      <c r="CM9" s="43">
        <v>-2.23E-4</v>
      </c>
      <c r="CN9" s="43">
        <v>-2.23E-4</v>
      </c>
      <c r="CO9" s="43">
        <v>-2.05E-4</v>
      </c>
      <c r="CQ9" s="30">
        <v>6.956836715453109E-4</v>
      </c>
      <c r="CR9" s="43">
        <v>-2.1599999999999999E-4</v>
      </c>
      <c r="CS9" s="43">
        <v>-2.1499999999999999E-4</v>
      </c>
      <c r="CT9" s="43">
        <v>-2.0900000000000001E-4</v>
      </c>
      <c r="CU9" s="30">
        <v>8.3474130487864431E-4</v>
      </c>
      <c r="CV9" s="43">
        <v>-2.1599999999999999E-4</v>
      </c>
      <c r="CW9" s="43">
        <v>-2.1599999999999999E-4</v>
      </c>
      <c r="CX9" s="43">
        <v>-2.0799999999999999E-4</v>
      </c>
    </row>
    <row r="10" spans="2:103" x14ac:dyDescent="0.25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1.3909720382119775E-3</v>
      </c>
      <c r="O10" s="43">
        <v>-2.7900000000000001E-4</v>
      </c>
      <c r="P10" s="43">
        <v>-2.61E-4</v>
      </c>
      <c r="Q10" s="43">
        <v>-8.7000000000000001E-5</v>
      </c>
      <c r="R10" s="30">
        <v>1.6690873048786443E-3</v>
      </c>
      <c r="S10" s="43">
        <v>-2.7799999999999998E-4</v>
      </c>
      <c r="T10" s="43">
        <v>-2.5999999999999998E-4</v>
      </c>
      <c r="U10" s="43">
        <v>-8.7999999999999998E-5</v>
      </c>
      <c r="W10" s="30">
        <v>1.3909720382119775E-3</v>
      </c>
      <c r="X10" s="43">
        <v>-3.57E-4</v>
      </c>
      <c r="Y10" s="43">
        <v>-3.2499999999999999E-4</v>
      </c>
      <c r="Z10" s="43">
        <v>-2.0999999999999999E-5</v>
      </c>
      <c r="AA10" s="30">
        <v>1.6690873048786443E-3</v>
      </c>
      <c r="AB10" s="43">
        <v>-3.57E-4</v>
      </c>
      <c r="AC10" s="43">
        <v>-3.2499999999999999E-4</v>
      </c>
      <c r="AD10" s="43">
        <v>-2.0000000000000002E-5</v>
      </c>
      <c r="AF10" s="30">
        <v>1.3909720382119775E-3</v>
      </c>
      <c r="AG10" s="43">
        <v>-2.2000000000000001E-4</v>
      </c>
      <c r="AH10" s="43">
        <v>-2.1900000000000001E-4</v>
      </c>
      <c r="AI10" s="43">
        <v>-2.0799999999999999E-4</v>
      </c>
      <c r="AJ10" s="30">
        <v>1.6690873048786443E-3</v>
      </c>
      <c r="AK10" s="43">
        <v>-2.22E-4</v>
      </c>
      <c r="AL10" s="43">
        <v>-2.2000000000000001E-4</v>
      </c>
      <c r="AM10" s="43">
        <v>-2.0599999999999999E-4</v>
      </c>
      <c r="AO10" s="30">
        <v>1.3909720382119775E-3</v>
      </c>
      <c r="AP10" s="43">
        <v>-2.14E-4</v>
      </c>
      <c r="AQ10" s="43">
        <v>-2.14E-4</v>
      </c>
      <c r="AR10" s="43">
        <v>-2.0900000000000001E-4</v>
      </c>
      <c r="AS10" s="30">
        <v>1.6690873048786443E-3</v>
      </c>
      <c r="AT10" s="43">
        <v>-2.14E-4</v>
      </c>
      <c r="AU10" s="43">
        <v>-2.14E-4</v>
      </c>
      <c r="AV10" s="43">
        <v>-2.0900000000000001E-4</v>
      </c>
      <c r="AX10" s="30">
        <v>1.3909720382119775E-3</v>
      </c>
      <c r="AY10" s="43">
        <v>-2.22E-4</v>
      </c>
      <c r="AZ10" s="43">
        <v>-2.2000000000000001E-4</v>
      </c>
      <c r="BA10" s="43">
        <v>-2.0699999999999999E-4</v>
      </c>
      <c r="BB10" s="30">
        <v>1.6690873048786443E-3</v>
      </c>
      <c r="BC10" s="43">
        <v>-2.23E-4</v>
      </c>
      <c r="BD10" s="43">
        <v>-2.2100000000000001E-4</v>
      </c>
      <c r="BE10" s="43">
        <v>-2.05E-4</v>
      </c>
      <c r="BG10" s="30">
        <v>1.3909720382119775E-3</v>
      </c>
      <c r="BH10" s="43">
        <v>-2.13E-4</v>
      </c>
      <c r="BI10" s="43">
        <v>-2.13E-4</v>
      </c>
      <c r="BJ10" s="43">
        <v>-2.0900000000000001E-4</v>
      </c>
      <c r="BK10" s="30">
        <v>1.6690873048786443E-3</v>
      </c>
      <c r="BL10" s="43">
        <v>-2.13E-4</v>
      </c>
      <c r="BM10" s="43">
        <v>-2.13E-4</v>
      </c>
      <c r="BN10" s="43">
        <v>-2.1000000000000001E-4</v>
      </c>
      <c r="BP10" s="30">
        <v>1.3909720382119775E-3</v>
      </c>
      <c r="BQ10" s="43">
        <v>-1.84E-4</v>
      </c>
      <c r="BR10" s="43">
        <v>-1.74E-4</v>
      </c>
      <c r="BS10" s="43">
        <v>-8.7000000000000001E-5</v>
      </c>
      <c r="BT10" s="30">
        <v>1.6690873048786443E-3</v>
      </c>
      <c r="BU10" s="43">
        <v>-1.85E-4</v>
      </c>
      <c r="BV10" s="43">
        <v>-1.75E-4</v>
      </c>
      <c r="BW10" s="43">
        <v>-8.7000000000000001E-5</v>
      </c>
      <c r="BY10" s="30">
        <v>1.3909720382119775E-3</v>
      </c>
      <c r="BZ10" s="43">
        <v>-2.0900000000000001E-4</v>
      </c>
      <c r="CA10" s="43">
        <v>-1.94E-4</v>
      </c>
      <c r="CB10" s="43">
        <v>-6.3E-5</v>
      </c>
      <c r="CC10" s="30">
        <v>1.6690873048786443E-3</v>
      </c>
      <c r="CD10" s="43">
        <v>-2.0900000000000001E-4</v>
      </c>
      <c r="CE10" s="43">
        <v>-1.94E-4</v>
      </c>
      <c r="CF10" s="43">
        <v>-6.3E-5</v>
      </c>
      <c r="CH10" s="30">
        <v>1.3909720382119775E-3</v>
      </c>
      <c r="CI10" s="43">
        <v>-2.2900000000000001E-4</v>
      </c>
      <c r="CJ10" s="43">
        <v>-2.2900000000000001E-4</v>
      </c>
      <c r="CK10" s="43">
        <v>-2.0000000000000001E-4</v>
      </c>
      <c r="CL10" s="30">
        <v>1.6690873048786443E-3</v>
      </c>
      <c r="CM10" s="43">
        <v>-2.32E-4</v>
      </c>
      <c r="CN10" s="43">
        <v>-2.32E-4</v>
      </c>
      <c r="CO10" s="43">
        <v>-1.9699999999999999E-4</v>
      </c>
      <c r="CQ10" s="30">
        <v>1.3909720382119775E-3</v>
      </c>
      <c r="CR10" s="43">
        <v>-2.1800000000000001E-4</v>
      </c>
      <c r="CS10" s="43">
        <v>-2.1800000000000001E-4</v>
      </c>
      <c r="CT10" s="43">
        <v>-2.0599999999999999E-4</v>
      </c>
      <c r="CU10" s="30">
        <v>1.6690873048786443E-3</v>
      </c>
      <c r="CV10" s="43">
        <v>-2.1900000000000001E-4</v>
      </c>
      <c r="CW10" s="43">
        <v>-2.1900000000000001E-4</v>
      </c>
      <c r="CX10" s="43">
        <v>-2.05E-4</v>
      </c>
    </row>
    <row r="11" spans="2:103" x14ac:dyDescent="0.25">
      <c r="B11" s="71">
        <v>11</v>
      </c>
      <c r="C11" s="71"/>
      <c r="H11" s="2">
        <v>0</v>
      </c>
      <c r="I11" s="1">
        <v>-9.8528304427183775E-3</v>
      </c>
      <c r="J11" s="2">
        <v>0</v>
      </c>
      <c r="K11" s="1"/>
      <c r="N11" s="30">
        <v>2.086260404878644E-3</v>
      </c>
      <c r="O11" s="43">
        <v>-2.7599999999999999E-4</v>
      </c>
      <c r="P11" s="43">
        <v>-2.5799999999999998E-4</v>
      </c>
      <c r="Q11" s="43">
        <v>-9.0000000000000006E-5</v>
      </c>
      <c r="R11" s="30">
        <v>2.5034333048786443E-3</v>
      </c>
      <c r="S11" s="43">
        <v>-2.7300000000000002E-4</v>
      </c>
      <c r="T11" s="43">
        <v>-2.5599999999999999E-4</v>
      </c>
      <c r="U11" s="43">
        <v>-9.1000000000000003E-5</v>
      </c>
      <c r="W11" s="30">
        <v>2.086260404878644E-3</v>
      </c>
      <c r="X11" s="43">
        <v>-3.57E-4</v>
      </c>
      <c r="Y11" s="43">
        <v>-3.2499999999999999E-4</v>
      </c>
      <c r="Z11" s="43">
        <v>-2.0000000000000002E-5</v>
      </c>
      <c r="AA11" s="30">
        <v>2.5034333048786443E-3</v>
      </c>
      <c r="AB11" s="43">
        <v>-3.57E-4</v>
      </c>
      <c r="AC11" s="43">
        <v>-3.2499999999999999E-4</v>
      </c>
      <c r="AD11" s="43">
        <v>-2.0000000000000002E-5</v>
      </c>
      <c r="AF11" s="30">
        <v>2.086260404878644E-3</v>
      </c>
      <c r="AG11" s="43">
        <v>-2.24E-4</v>
      </c>
      <c r="AH11" s="43">
        <v>-2.22E-4</v>
      </c>
      <c r="AI11" s="43">
        <v>-2.05E-4</v>
      </c>
      <c r="AJ11" s="30">
        <v>2.5034333048786443E-3</v>
      </c>
      <c r="AK11" s="43">
        <v>-2.2599999999999999E-4</v>
      </c>
      <c r="AL11" s="43">
        <v>-2.24E-4</v>
      </c>
      <c r="AM11" s="43">
        <v>-2.03E-4</v>
      </c>
      <c r="AO11" s="30">
        <v>2.086260404878644E-3</v>
      </c>
      <c r="AP11" s="43">
        <v>-2.14E-4</v>
      </c>
      <c r="AQ11" s="43">
        <v>-2.14E-4</v>
      </c>
      <c r="AR11" s="43">
        <v>-2.0799999999999999E-4</v>
      </c>
      <c r="AS11" s="30">
        <v>2.5034333048786443E-3</v>
      </c>
      <c r="AT11" s="43">
        <v>-2.14E-4</v>
      </c>
      <c r="AU11" s="43">
        <v>-2.14E-4</v>
      </c>
      <c r="AV11" s="43">
        <v>-2.0799999999999999E-4</v>
      </c>
      <c r="AX11" s="30">
        <v>2.086260404878644E-3</v>
      </c>
      <c r="AY11" s="43">
        <v>-2.2499999999999999E-4</v>
      </c>
      <c r="AZ11" s="43">
        <v>-2.23E-4</v>
      </c>
      <c r="BA11" s="43">
        <v>-2.04E-4</v>
      </c>
      <c r="BB11" s="30">
        <v>2.5034333048786443E-3</v>
      </c>
      <c r="BC11" s="43">
        <v>-2.2699999999999999E-4</v>
      </c>
      <c r="BD11" s="43">
        <v>-2.2499999999999999E-4</v>
      </c>
      <c r="BE11" s="43">
        <v>-2.02E-4</v>
      </c>
      <c r="BG11" s="30">
        <v>2.086260404878644E-3</v>
      </c>
      <c r="BH11" s="43">
        <v>-2.13E-4</v>
      </c>
      <c r="BI11" s="43">
        <v>-2.13E-4</v>
      </c>
      <c r="BJ11" s="43">
        <v>-2.1000000000000001E-4</v>
      </c>
      <c r="BK11" s="30">
        <v>2.5034333048786443E-3</v>
      </c>
      <c r="BL11" s="43">
        <v>-2.13E-4</v>
      </c>
      <c r="BM11" s="43">
        <v>-2.13E-4</v>
      </c>
      <c r="BN11" s="43">
        <v>-2.1000000000000001E-4</v>
      </c>
      <c r="BP11" s="30">
        <v>2.086260404878644E-3</v>
      </c>
      <c r="BQ11" s="43">
        <v>-1.8699999999999999E-4</v>
      </c>
      <c r="BR11" s="43">
        <v>-1.7699999999999999E-4</v>
      </c>
      <c r="BS11" s="43">
        <v>-8.5000000000000006E-5</v>
      </c>
      <c r="BT11" s="30">
        <v>2.5034333048786443E-3</v>
      </c>
      <c r="BU11" s="43">
        <v>-1.8900000000000001E-4</v>
      </c>
      <c r="BV11" s="43">
        <v>-1.7799999999999999E-4</v>
      </c>
      <c r="BW11" s="43">
        <v>-8.3999999999999995E-5</v>
      </c>
      <c r="BY11" s="30">
        <v>2.086260404878644E-3</v>
      </c>
      <c r="BZ11" s="43">
        <v>-2.0900000000000001E-4</v>
      </c>
      <c r="CA11" s="43">
        <v>-1.94E-4</v>
      </c>
      <c r="CB11" s="43">
        <v>-6.3999999999999997E-5</v>
      </c>
      <c r="CC11" s="30">
        <v>2.5034333048786443E-3</v>
      </c>
      <c r="CD11" s="43">
        <v>-2.0799999999999999E-4</v>
      </c>
      <c r="CE11" s="43">
        <v>-1.93E-4</v>
      </c>
      <c r="CF11" s="43">
        <v>-6.3999999999999997E-5</v>
      </c>
      <c r="CH11" s="30">
        <v>2.086260404878644E-3</v>
      </c>
      <c r="CI11" s="43">
        <v>-2.3599999999999999E-4</v>
      </c>
      <c r="CJ11" s="43">
        <v>-2.3599999999999999E-4</v>
      </c>
      <c r="CK11" s="43">
        <v>-1.93E-4</v>
      </c>
      <c r="CL11" s="30">
        <v>2.5034333048786443E-3</v>
      </c>
      <c r="CM11" s="43">
        <v>-2.4000000000000001E-4</v>
      </c>
      <c r="CN11" s="43">
        <v>-2.4000000000000001E-4</v>
      </c>
      <c r="CO11" s="43">
        <v>-1.8900000000000001E-4</v>
      </c>
      <c r="CQ11" s="30">
        <v>2.086260404878644E-3</v>
      </c>
      <c r="CR11" s="43">
        <v>-2.2100000000000001E-4</v>
      </c>
      <c r="CS11" s="43">
        <v>-2.2100000000000001E-4</v>
      </c>
      <c r="CT11" s="43">
        <v>-2.04E-4</v>
      </c>
      <c r="CU11" s="30">
        <v>2.5034333048786443E-3</v>
      </c>
      <c r="CV11" s="43">
        <v>-2.23E-4</v>
      </c>
      <c r="CW11" s="43">
        <v>-2.22E-4</v>
      </c>
      <c r="CX11" s="43">
        <v>-2.02E-4</v>
      </c>
    </row>
    <row r="12" spans="2:103" x14ac:dyDescent="0.25">
      <c r="B12" s="71">
        <v>21</v>
      </c>
      <c r="C12" s="71"/>
      <c r="H12" s="2">
        <v>4.1717697304878634E-2</v>
      </c>
      <c r="I12" s="1">
        <v>-9.8528304427183775E-3</v>
      </c>
      <c r="J12" s="2">
        <v>0.2292713866768068</v>
      </c>
      <c r="K12" s="1"/>
      <c r="N12" s="30">
        <v>2.7815487715453107E-3</v>
      </c>
      <c r="O12" s="43">
        <v>-2.72E-4</v>
      </c>
      <c r="P12" s="43">
        <v>-2.5500000000000002E-4</v>
      </c>
      <c r="Q12" s="43">
        <v>-9.2E-5</v>
      </c>
      <c r="R12" s="30">
        <v>3.3377793048786444E-3</v>
      </c>
      <c r="S12" s="43">
        <v>-2.6899999999999998E-4</v>
      </c>
      <c r="T12" s="43">
        <v>-2.5300000000000002E-4</v>
      </c>
      <c r="U12" s="43">
        <v>-9.3999999999999994E-5</v>
      </c>
      <c r="W12" s="30">
        <v>2.7815487715453107E-3</v>
      </c>
      <c r="X12" s="43">
        <v>-3.57E-4</v>
      </c>
      <c r="Y12" s="43">
        <v>-3.2499999999999999E-4</v>
      </c>
      <c r="Z12" s="43">
        <v>-1.9000000000000001E-5</v>
      </c>
      <c r="AA12" s="30">
        <v>3.3377793048786444E-3</v>
      </c>
      <c r="AB12" s="43">
        <v>-3.57E-4</v>
      </c>
      <c r="AC12" s="43">
        <v>-3.2499999999999999E-4</v>
      </c>
      <c r="AD12" s="43">
        <v>-1.9000000000000001E-5</v>
      </c>
      <c r="AF12" s="30">
        <v>2.7815487715453107E-3</v>
      </c>
      <c r="AG12" s="43">
        <v>-2.2699999999999999E-4</v>
      </c>
      <c r="AH12" s="43">
        <v>-2.2499999999999999E-4</v>
      </c>
      <c r="AI12" s="43">
        <v>-2.02E-4</v>
      </c>
      <c r="AJ12" s="30">
        <v>3.3377793048786444E-3</v>
      </c>
      <c r="AK12" s="43">
        <v>-2.3000000000000001E-4</v>
      </c>
      <c r="AL12" s="43">
        <v>-2.2699999999999999E-4</v>
      </c>
      <c r="AM12" s="43">
        <v>-2.0000000000000001E-4</v>
      </c>
      <c r="AO12" s="30">
        <v>2.7815487715453107E-3</v>
      </c>
      <c r="AP12" s="43">
        <v>-2.14E-4</v>
      </c>
      <c r="AQ12" s="43">
        <v>-2.14E-4</v>
      </c>
      <c r="AR12" s="43">
        <v>-2.0799999999999999E-4</v>
      </c>
      <c r="AS12" s="30">
        <v>3.3377793048786444E-3</v>
      </c>
      <c r="AT12" s="43">
        <v>-2.1499999999999999E-4</v>
      </c>
      <c r="AU12" s="43">
        <v>-2.14E-4</v>
      </c>
      <c r="AV12" s="43">
        <v>-2.0799999999999999E-4</v>
      </c>
      <c r="AX12" s="30">
        <v>2.7815487715453107E-3</v>
      </c>
      <c r="AY12" s="43">
        <v>-2.2900000000000001E-4</v>
      </c>
      <c r="AZ12" s="43">
        <v>-2.2599999999999999E-4</v>
      </c>
      <c r="BA12" s="43">
        <v>-2.0100000000000001E-4</v>
      </c>
      <c r="BB12" s="30">
        <v>3.3377793048786444E-3</v>
      </c>
      <c r="BC12" s="43">
        <v>-2.32E-4</v>
      </c>
      <c r="BD12" s="43">
        <v>-2.2800000000000001E-4</v>
      </c>
      <c r="BE12" s="43">
        <v>-1.9900000000000001E-4</v>
      </c>
      <c r="BG12" s="30">
        <v>2.7815487715453107E-3</v>
      </c>
      <c r="BH12" s="43">
        <v>-2.13E-4</v>
      </c>
      <c r="BI12" s="43">
        <v>-2.13E-4</v>
      </c>
      <c r="BJ12" s="43">
        <v>-2.1000000000000001E-4</v>
      </c>
      <c r="BK12" s="30">
        <v>3.3377793048786444E-3</v>
      </c>
      <c r="BL12" s="43">
        <v>-2.13E-4</v>
      </c>
      <c r="BM12" s="43">
        <v>-2.13E-4</v>
      </c>
      <c r="BN12" s="43">
        <v>-2.1000000000000001E-4</v>
      </c>
      <c r="BP12" s="30">
        <v>2.7815487715453107E-3</v>
      </c>
      <c r="BQ12" s="43">
        <v>-1.9000000000000001E-4</v>
      </c>
      <c r="BR12" s="43">
        <v>-1.7899999999999999E-4</v>
      </c>
      <c r="BS12" s="43">
        <v>-8.2999999999999998E-5</v>
      </c>
      <c r="BT12" s="30">
        <v>3.3377793048786444E-3</v>
      </c>
      <c r="BU12" s="43">
        <v>-1.93E-4</v>
      </c>
      <c r="BV12" s="43">
        <v>-1.8100000000000001E-4</v>
      </c>
      <c r="BW12" s="43">
        <v>-8.1000000000000004E-5</v>
      </c>
      <c r="BY12" s="30">
        <v>2.7815487715453107E-3</v>
      </c>
      <c r="BZ12" s="43">
        <v>-2.0799999999999999E-4</v>
      </c>
      <c r="CA12" s="43">
        <v>-1.93E-4</v>
      </c>
      <c r="CB12" s="43">
        <v>-6.4999999999999994E-5</v>
      </c>
      <c r="CC12" s="30">
        <v>3.3377793048786444E-3</v>
      </c>
      <c r="CD12" s="43">
        <v>-2.0799999999999999E-4</v>
      </c>
      <c r="CE12" s="43">
        <v>-1.93E-4</v>
      </c>
      <c r="CF12" s="43">
        <v>-6.4999999999999994E-5</v>
      </c>
      <c r="CH12" s="30">
        <v>2.7815487715453107E-3</v>
      </c>
      <c r="CI12" s="43">
        <v>-2.43E-4</v>
      </c>
      <c r="CJ12" s="43">
        <v>-2.43E-4</v>
      </c>
      <c r="CK12" s="43">
        <v>-1.8599999999999999E-4</v>
      </c>
      <c r="CL12" s="30">
        <v>3.3377793048786444E-3</v>
      </c>
      <c r="CM12" s="43">
        <v>-2.4800000000000001E-4</v>
      </c>
      <c r="CN12" s="43">
        <v>-2.4800000000000001E-4</v>
      </c>
      <c r="CO12" s="43">
        <v>-1.8100000000000001E-4</v>
      </c>
      <c r="CQ12" s="30">
        <v>2.7815487715453107E-3</v>
      </c>
      <c r="CR12" s="43">
        <v>-2.24E-4</v>
      </c>
      <c r="CS12" s="43">
        <v>-2.23E-4</v>
      </c>
      <c r="CT12" s="43">
        <v>-2.0100000000000001E-4</v>
      </c>
      <c r="CU12" s="30">
        <v>3.3377793048786444E-3</v>
      </c>
      <c r="CV12" s="43">
        <v>-2.2599999999999999E-4</v>
      </c>
      <c r="CW12" s="43">
        <v>-2.2599999999999999E-4</v>
      </c>
      <c r="CX12" s="43">
        <v>-1.9900000000000001E-4</v>
      </c>
    </row>
    <row r="13" spans="2:103" x14ac:dyDescent="0.25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3.4768371382119774E-3</v>
      </c>
      <c r="O13" s="43">
        <v>-2.6800000000000001E-4</v>
      </c>
      <c r="P13" s="43">
        <v>-2.52E-4</v>
      </c>
      <c r="Q13" s="43">
        <v>-9.3999999999999994E-5</v>
      </c>
      <c r="R13" s="30">
        <v>4.1721253048786445E-3</v>
      </c>
      <c r="S13" s="43">
        <v>-2.6499999999999999E-4</v>
      </c>
      <c r="T13" s="43">
        <v>-2.4899999999999998E-4</v>
      </c>
      <c r="U13" s="43">
        <v>-9.7E-5</v>
      </c>
      <c r="W13" s="30">
        <v>3.4768371382119774E-3</v>
      </c>
      <c r="X13" s="43">
        <v>-3.57E-4</v>
      </c>
      <c r="Y13" s="43">
        <v>-3.2499999999999999E-4</v>
      </c>
      <c r="Z13" s="43">
        <v>-1.9000000000000001E-5</v>
      </c>
      <c r="AA13" s="30">
        <v>4.1721253048786445E-3</v>
      </c>
      <c r="AB13" s="43">
        <v>-3.57E-4</v>
      </c>
      <c r="AC13" s="43">
        <v>-3.2499999999999999E-4</v>
      </c>
      <c r="AD13" s="43">
        <v>-1.8E-5</v>
      </c>
      <c r="AF13" s="30">
        <v>3.4768371382119774E-3</v>
      </c>
      <c r="AG13" s="43">
        <v>-2.31E-4</v>
      </c>
      <c r="AH13" s="43">
        <v>-2.2800000000000001E-4</v>
      </c>
      <c r="AI13" s="43">
        <v>-1.9900000000000001E-4</v>
      </c>
      <c r="AJ13" s="30">
        <v>4.1721253048786445E-3</v>
      </c>
      <c r="AK13" s="43">
        <v>-2.3499999999999999E-4</v>
      </c>
      <c r="AL13" s="43">
        <v>-2.31E-4</v>
      </c>
      <c r="AM13" s="43">
        <v>-1.9599999999999999E-4</v>
      </c>
      <c r="AO13" s="30">
        <v>3.4768371382119774E-3</v>
      </c>
      <c r="AP13" s="43">
        <v>-2.1499999999999999E-4</v>
      </c>
      <c r="AQ13" s="43">
        <v>-2.14E-4</v>
      </c>
      <c r="AR13" s="43">
        <v>-2.0799999999999999E-4</v>
      </c>
      <c r="AS13" s="30">
        <v>4.1721253048786445E-3</v>
      </c>
      <c r="AT13" s="43">
        <v>-2.1499999999999999E-4</v>
      </c>
      <c r="AU13" s="43">
        <v>-2.14E-4</v>
      </c>
      <c r="AV13" s="43">
        <v>-2.0799999999999999E-4</v>
      </c>
      <c r="AX13" s="30">
        <v>3.4768371382119774E-3</v>
      </c>
      <c r="AY13" s="43">
        <v>-2.32E-4</v>
      </c>
      <c r="AZ13" s="43">
        <v>-2.2900000000000001E-4</v>
      </c>
      <c r="BA13" s="43">
        <v>-1.9799999999999999E-4</v>
      </c>
      <c r="BB13" s="30">
        <v>4.1721253048786445E-3</v>
      </c>
      <c r="BC13" s="43">
        <v>-2.3599999999999999E-4</v>
      </c>
      <c r="BD13" s="43">
        <v>-2.32E-4</v>
      </c>
      <c r="BE13" s="43">
        <v>-1.95E-4</v>
      </c>
      <c r="BG13" s="30">
        <v>3.4768371382119774E-3</v>
      </c>
      <c r="BH13" s="43">
        <v>-2.13E-4</v>
      </c>
      <c r="BI13" s="43">
        <v>-2.13E-4</v>
      </c>
      <c r="BJ13" s="43">
        <v>-2.1000000000000001E-4</v>
      </c>
      <c r="BK13" s="30">
        <v>4.1721253048786445E-3</v>
      </c>
      <c r="BL13" s="43">
        <v>-2.13E-4</v>
      </c>
      <c r="BM13" s="43">
        <v>-2.13E-4</v>
      </c>
      <c r="BN13" s="43">
        <v>-2.1000000000000001E-4</v>
      </c>
      <c r="BP13" s="30">
        <v>3.4768371382119774E-3</v>
      </c>
      <c r="BQ13" s="43">
        <v>-1.94E-4</v>
      </c>
      <c r="BR13" s="43">
        <v>-1.8200000000000001E-4</v>
      </c>
      <c r="BS13" s="43">
        <v>-8.0000000000000007E-5</v>
      </c>
      <c r="BT13" s="30">
        <v>4.1721253048786445E-3</v>
      </c>
      <c r="BU13" s="43">
        <v>-1.9699999999999999E-4</v>
      </c>
      <c r="BV13" s="43">
        <v>-1.85E-4</v>
      </c>
      <c r="BW13" s="43">
        <v>-7.7999999999999999E-5</v>
      </c>
      <c r="BY13" s="30">
        <v>3.4768371382119774E-3</v>
      </c>
      <c r="BZ13" s="43">
        <v>-2.0799999999999999E-4</v>
      </c>
      <c r="CA13" s="43">
        <v>-1.93E-4</v>
      </c>
      <c r="CB13" s="43">
        <v>-6.4999999999999994E-5</v>
      </c>
      <c r="CC13" s="30">
        <v>4.1721253048786445E-3</v>
      </c>
      <c r="CD13" s="43">
        <v>-2.0699999999999999E-4</v>
      </c>
      <c r="CE13" s="43">
        <v>-1.93E-4</v>
      </c>
      <c r="CF13" s="43">
        <v>-6.6000000000000005E-5</v>
      </c>
      <c r="CH13" s="30">
        <v>3.4768371382119774E-3</v>
      </c>
      <c r="CI13" s="43">
        <v>-2.5000000000000001E-4</v>
      </c>
      <c r="CJ13" s="43">
        <v>-2.5000000000000001E-4</v>
      </c>
      <c r="CK13" s="43">
        <v>-1.8000000000000001E-4</v>
      </c>
      <c r="CL13" s="30">
        <v>4.1721253048786445E-3</v>
      </c>
      <c r="CM13" s="43">
        <v>-2.5700000000000001E-4</v>
      </c>
      <c r="CN13" s="43">
        <v>-2.5700000000000001E-4</v>
      </c>
      <c r="CO13" s="43">
        <v>-1.73E-4</v>
      </c>
      <c r="CQ13" s="30">
        <v>3.4768371382119774E-3</v>
      </c>
      <c r="CR13" s="43">
        <v>-2.2599999999999999E-4</v>
      </c>
      <c r="CS13" s="43">
        <v>-2.2599999999999999E-4</v>
      </c>
      <c r="CT13" s="43">
        <v>-1.9799999999999999E-4</v>
      </c>
      <c r="CU13" s="30">
        <v>4.1721253048786445E-3</v>
      </c>
      <c r="CV13" s="43">
        <v>-2.2900000000000001E-4</v>
      </c>
      <c r="CW13" s="43">
        <v>-2.2900000000000001E-4</v>
      </c>
      <c r="CX13" s="43">
        <v>-1.9599999999999999E-4</v>
      </c>
    </row>
    <row r="14" spans="2:103" x14ac:dyDescent="0.25">
      <c r="B14" s="71"/>
      <c r="C14" s="71"/>
      <c r="H14" s="2">
        <v>0</v>
      </c>
      <c r="I14" s="1">
        <v>-1.3137107256957837E-2</v>
      </c>
      <c r="J14" s="2">
        <v>0</v>
      </c>
      <c r="K14" s="1"/>
      <c r="N14" s="30">
        <v>4.1721255048786446E-3</v>
      </c>
      <c r="O14" s="43">
        <v>-2.6499999999999999E-4</v>
      </c>
      <c r="P14" s="43">
        <v>-2.4899999999999998E-4</v>
      </c>
      <c r="Q14" s="43">
        <v>-9.7E-5</v>
      </c>
      <c r="R14" s="30">
        <v>5.0064713048786442E-3</v>
      </c>
      <c r="S14" s="43">
        <v>-2.5999999999999998E-4</v>
      </c>
      <c r="T14" s="43">
        <v>-2.4499999999999999E-4</v>
      </c>
      <c r="U14" s="43">
        <v>-9.8999999999999994E-5</v>
      </c>
      <c r="W14" s="30">
        <v>4.1721255048786446E-3</v>
      </c>
      <c r="X14" s="43">
        <v>-3.57E-4</v>
      </c>
      <c r="Y14" s="43">
        <v>-3.2499999999999999E-4</v>
      </c>
      <c r="Z14" s="43">
        <v>-1.8E-5</v>
      </c>
      <c r="AA14" s="30">
        <v>5.0064713048786442E-3</v>
      </c>
      <c r="AB14" s="43">
        <v>-3.57E-4</v>
      </c>
      <c r="AC14" s="43">
        <v>-3.2499999999999999E-4</v>
      </c>
      <c r="AD14" s="43">
        <v>-1.7E-5</v>
      </c>
      <c r="AF14" s="30">
        <v>4.1721255048786446E-3</v>
      </c>
      <c r="AG14" s="43">
        <v>-2.3499999999999999E-4</v>
      </c>
      <c r="AH14" s="43">
        <v>-2.31E-4</v>
      </c>
      <c r="AI14" s="43">
        <v>-1.9599999999999999E-4</v>
      </c>
      <c r="AJ14" s="30">
        <v>5.0064713048786442E-3</v>
      </c>
      <c r="AK14" s="43">
        <v>-2.3900000000000001E-4</v>
      </c>
      <c r="AL14" s="43">
        <v>-2.34E-4</v>
      </c>
      <c r="AM14" s="43">
        <v>-1.93E-4</v>
      </c>
      <c r="AO14" s="30">
        <v>4.1721255048786446E-3</v>
      </c>
      <c r="AP14" s="43">
        <v>-2.1499999999999999E-4</v>
      </c>
      <c r="AQ14" s="43">
        <v>-2.14E-4</v>
      </c>
      <c r="AR14" s="43">
        <v>-2.0799999999999999E-4</v>
      </c>
      <c r="AS14" s="30">
        <v>5.0064713048786442E-3</v>
      </c>
      <c r="AT14" s="43">
        <v>-2.1499999999999999E-4</v>
      </c>
      <c r="AU14" s="43">
        <v>-2.1499999999999999E-4</v>
      </c>
      <c r="AV14" s="43">
        <v>-2.0799999999999999E-4</v>
      </c>
      <c r="AX14" s="30">
        <v>4.1721255048786446E-3</v>
      </c>
      <c r="AY14" s="43">
        <v>-2.3599999999999999E-4</v>
      </c>
      <c r="AZ14" s="43">
        <v>-2.32E-4</v>
      </c>
      <c r="BA14" s="43">
        <v>-1.95E-4</v>
      </c>
      <c r="BB14" s="30">
        <v>5.0064713048786442E-3</v>
      </c>
      <c r="BC14" s="43">
        <v>-2.4000000000000001E-4</v>
      </c>
      <c r="BD14" s="43">
        <v>-2.3499999999999999E-4</v>
      </c>
      <c r="BE14" s="43">
        <v>-1.92E-4</v>
      </c>
      <c r="BG14" s="30">
        <v>4.1721255048786446E-3</v>
      </c>
      <c r="BH14" s="43">
        <v>-2.13E-4</v>
      </c>
      <c r="BI14" s="43">
        <v>-2.13E-4</v>
      </c>
      <c r="BJ14" s="43">
        <v>-2.1000000000000001E-4</v>
      </c>
      <c r="BK14" s="30">
        <v>5.0064713048786442E-3</v>
      </c>
      <c r="BL14" s="43">
        <v>-2.13E-4</v>
      </c>
      <c r="BM14" s="43">
        <v>-2.13E-4</v>
      </c>
      <c r="BN14" s="43">
        <v>-2.1000000000000001E-4</v>
      </c>
      <c r="BP14" s="30">
        <v>4.1721255048786446E-3</v>
      </c>
      <c r="BQ14" s="43">
        <v>-1.9699999999999999E-4</v>
      </c>
      <c r="BR14" s="43">
        <v>-1.85E-4</v>
      </c>
      <c r="BS14" s="43">
        <v>-7.7999999999999999E-5</v>
      </c>
      <c r="BT14" s="30">
        <v>5.0064713048786442E-3</v>
      </c>
      <c r="BU14" s="43">
        <v>-2.0100000000000001E-4</v>
      </c>
      <c r="BV14" s="43">
        <v>-1.8799999999999999E-4</v>
      </c>
      <c r="BW14" s="43">
        <v>-7.4999999999999993E-5</v>
      </c>
      <c r="BY14" s="30">
        <v>4.1721255048786446E-3</v>
      </c>
      <c r="BZ14" s="43">
        <v>-2.0699999999999999E-4</v>
      </c>
      <c r="CA14" s="43">
        <v>-1.93E-4</v>
      </c>
      <c r="CB14" s="43">
        <v>-6.6000000000000005E-5</v>
      </c>
      <c r="CC14" s="30">
        <v>5.0064713048786442E-3</v>
      </c>
      <c r="CD14" s="43">
        <v>-2.0699999999999999E-4</v>
      </c>
      <c r="CE14" s="43">
        <v>-1.92E-4</v>
      </c>
      <c r="CF14" s="43">
        <v>-6.7000000000000002E-5</v>
      </c>
      <c r="CH14" s="30">
        <v>4.1721255048786446E-3</v>
      </c>
      <c r="CI14" s="43">
        <v>-2.5700000000000001E-4</v>
      </c>
      <c r="CJ14" s="43">
        <v>-2.5700000000000001E-4</v>
      </c>
      <c r="CK14" s="43">
        <v>-1.73E-4</v>
      </c>
      <c r="CL14" s="30">
        <v>5.0064713048786442E-3</v>
      </c>
      <c r="CM14" s="43">
        <v>-2.6499999999999999E-4</v>
      </c>
      <c r="CN14" s="43">
        <v>-2.6499999999999999E-4</v>
      </c>
      <c r="CO14" s="43">
        <v>-1.65E-4</v>
      </c>
      <c r="CQ14" s="30">
        <v>4.1721255048786446E-3</v>
      </c>
      <c r="CR14" s="43">
        <v>-2.2900000000000001E-4</v>
      </c>
      <c r="CS14" s="43">
        <v>-2.2900000000000001E-4</v>
      </c>
      <c r="CT14" s="43">
        <v>-1.9599999999999999E-4</v>
      </c>
      <c r="CU14" s="30">
        <v>5.0064713048786442E-3</v>
      </c>
      <c r="CV14" s="43">
        <v>-2.32E-4</v>
      </c>
      <c r="CW14" s="43">
        <v>-2.32E-4</v>
      </c>
      <c r="CX14" s="43">
        <v>-1.93E-4</v>
      </c>
    </row>
    <row r="15" spans="2:103" x14ac:dyDescent="0.25">
      <c r="B15" s="71"/>
      <c r="C15" s="71"/>
      <c r="H15" s="2">
        <v>4.1717697304878634E-2</v>
      </c>
      <c r="I15" s="1">
        <v>-1.3137107256957837E-2</v>
      </c>
      <c r="J15" s="2">
        <v>0.2292713866768068</v>
      </c>
      <c r="K15" s="1"/>
      <c r="N15" s="30">
        <v>4.8674138715453109E-3</v>
      </c>
      <c r="O15" s="43">
        <v>-2.61E-4</v>
      </c>
      <c r="P15" s="43">
        <v>-2.4600000000000002E-4</v>
      </c>
      <c r="Q15" s="43">
        <v>-9.8999999999999994E-5</v>
      </c>
      <c r="R15" s="30">
        <v>5.8408173048786448E-3</v>
      </c>
      <c r="S15" s="43">
        <v>-2.5599999999999999E-4</v>
      </c>
      <c r="T15" s="43">
        <v>-2.42E-4</v>
      </c>
      <c r="U15" s="43">
        <v>-1.02E-4</v>
      </c>
      <c r="W15" s="30">
        <v>4.8674138715453109E-3</v>
      </c>
      <c r="X15" s="43">
        <v>-3.57E-4</v>
      </c>
      <c r="Y15" s="43">
        <v>-3.2499999999999999E-4</v>
      </c>
      <c r="Z15" s="43">
        <v>-1.7E-5</v>
      </c>
      <c r="AA15" s="30">
        <v>5.8408173048786448E-3</v>
      </c>
      <c r="AB15" s="43">
        <v>-3.5799999999999997E-4</v>
      </c>
      <c r="AC15" s="43">
        <v>-3.2499999999999999E-4</v>
      </c>
      <c r="AD15" s="43">
        <v>-1.5999999999999999E-5</v>
      </c>
      <c r="AF15" s="30">
        <v>4.8674138715453109E-3</v>
      </c>
      <c r="AG15" s="43">
        <v>-2.3800000000000001E-4</v>
      </c>
      <c r="AH15" s="43">
        <v>-2.34E-4</v>
      </c>
      <c r="AI15" s="43">
        <v>-1.94E-4</v>
      </c>
      <c r="AJ15" s="30">
        <v>5.8408173048786448E-3</v>
      </c>
      <c r="AK15" s="43">
        <v>-2.43E-4</v>
      </c>
      <c r="AL15" s="43">
        <v>-2.3800000000000001E-4</v>
      </c>
      <c r="AM15" s="43">
        <v>-1.9000000000000001E-4</v>
      </c>
      <c r="AO15" s="30">
        <v>4.8674138715453109E-3</v>
      </c>
      <c r="AP15" s="43">
        <v>-2.1499999999999999E-4</v>
      </c>
      <c r="AQ15" s="43">
        <v>-2.1499999999999999E-4</v>
      </c>
      <c r="AR15" s="43">
        <v>-2.0799999999999999E-4</v>
      </c>
      <c r="AS15" s="30">
        <v>5.8408173048786448E-3</v>
      </c>
      <c r="AT15" s="43">
        <v>-2.1499999999999999E-4</v>
      </c>
      <c r="AU15" s="43">
        <v>-2.1499999999999999E-4</v>
      </c>
      <c r="AV15" s="43">
        <v>-2.0699999999999999E-4</v>
      </c>
      <c r="AX15" s="30">
        <v>4.8674138715453109E-3</v>
      </c>
      <c r="AY15" s="43">
        <v>-2.3900000000000001E-4</v>
      </c>
      <c r="AZ15" s="43">
        <v>-2.3499999999999999E-4</v>
      </c>
      <c r="BA15" s="43">
        <v>-1.93E-4</v>
      </c>
      <c r="BB15" s="30">
        <v>5.8408173048786448E-3</v>
      </c>
      <c r="BC15" s="43">
        <v>-2.4399999999999999E-4</v>
      </c>
      <c r="BD15" s="43">
        <v>-2.3900000000000001E-4</v>
      </c>
      <c r="BE15" s="43">
        <v>-1.8900000000000001E-4</v>
      </c>
      <c r="BG15" s="30">
        <v>4.8674138715453109E-3</v>
      </c>
      <c r="BH15" s="43">
        <v>-2.13E-4</v>
      </c>
      <c r="BI15" s="43">
        <v>-2.13E-4</v>
      </c>
      <c r="BJ15" s="43">
        <v>-2.1000000000000001E-4</v>
      </c>
      <c r="BK15" s="30">
        <v>5.8408173048786448E-3</v>
      </c>
      <c r="BL15" s="43">
        <v>-2.13E-4</v>
      </c>
      <c r="BM15" s="43">
        <v>-2.13E-4</v>
      </c>
      <c r="BN15" s="43">
        <v>-2.0900000000000001E-4</v>
      </c>
      <c r="BP15" s="30">
        <v>4.8674138715453109E-3</v>
      </c>
      <c r="BQ15" s="43">
        <v>-2.0000000000000001E-4</v>
      </c>
      <c r="BR15" s="43">
        <v>-1.8799999999999999E-4</v>
      </c>
      <c r="BS15" s="43">
        <v>-7.6000000000000004E-5</v>
      </c>
      <c r="BT15" s="30">
        <v>5.8408173048786448E-3</v>
      </c>
      <c r="BU15" s="43">
        <v>-2.05E-4</v>
      </c>
      <c r="BV15" s="43">
        <v>-1.9100000000000001E-4</v>
      </c>
      <c r="BW15" s="43">
        <v>-7.2999999999999999E-5</v>
      </c>
      <c r="BY15" s="30">
        <v>4.8674138715453109E-3</v>
      </c>
      <c r="BZ15" s="43">
        <v>-2.0699999999999999E-4</v>
      </c>
      <c r="CA15" s="43">
        <v>-1.92E-4</v>
      </c>
      <c r="CB15" s="43">
        <v>-6.7000000000000002E-5</v>
      </c>
      <c r="CC15" s="30">
        <v>5.8408173048786448E-3</v>
      </c>
      <c r="CD15" s="43">
        <v>-2.0599999999999999E-4</v>
      </c>
      <c r="CE15" s="43">
        <v>-1.92E-4</v>
      </c>
      <c r="CF15" s="43">
        <v>-6.7999999999999999E-5</v>
      </c>
      <c r="CH15" s="30">
        <v>4.8674138715453109E-3</v>
      </c>
      <c r="CI15" s="43">
        <v>-2.63E-4</v>
      </c>
      <c r="CJ15" s="43">
        <v>-2.63E-4</v>
      </c>
      <c r="CK15" s="43">
        <v>-1.66E-4</v>
      </c>
      <c r="CL15" s="30">
        <v>5.8408173048786448E-3</v>
      </c>
      <c r="CM15" s="43">
        <v>-2.7300000000000002E-4</v>
      </c>
      <c r="CN15" s="43">
        <v>-2.7300000000000002E-4</v>
      </c>
      <c r="CO15" s="43">
        <v>-1.5699999999999999E-4</v>
      </c>
      <c r="CQ15" s="30">
        <v>4.8674138715453109E-3</v>
      </c>
      <c r="CR15" s="43">
        <v>-2.32E-4</v>
      </c>
      <c r="CS15" s="43">
        <v>-2.31E-4</v>
      </c>
      <c r="CT15" s="43">
        <v>-1.93E-4</v>
      </c>
      <c r="CU15" s="30">
        <v>5.8408173048786448E-3</v>
      </c>
      <c r="CV15" s="43">
        <v>-2.3499999999999999E-4</v>
      </c>
      <c r="CW15" s="43">
        <v>-2.3499999999999999E-4</v>
      </c>
      <c r="CX15" s="43">
        <v>-1.8900000000000001E-4</v>
      </c>
    </row>
    <row r="16" spans="2:103" x14ac:dyDescent="0.25">
      <c r="B16" s="71"/>
      <c r="C16" s="71"/>
      <c r="N16" s="30">
        <v>5.5627022382119772E-3</v>
      </c>
      <c r="O16" s="43">
        <v>-2.5799999999999998E-4</v>
      </c>
      <c r="P16" s="43">
        <v>-2.43E-4</v>
      </c>
      <c r="Q16" s="43">
        <v>-1.01E-4</v>
      </c>
      <c r="R16" s="30">
        <v>6.6751633048786445E-3</v>
      </c>
      <c r="S16" s="43">
        <v>-2.52E-4</v>
      </c>
      <c r="T16" s="43">
        <v>-2.3800000000000001E-4</v>
      </c>
      <c r="U16" s="43">
        <v>-1.05E-4</v>
      </c>
      <c r="W16" s="30">
        <v>5.5627022382119772E-3</v>
      </c>
      <c r="X16" s="43">
        <v>-3.57E-4</v>
      </c>
      <c r="Y16" s="43">
        <v>-3.2499999999999999E-4</v>
      </c>
      <c r="Z16" s="43">
        <v>-1.7E-5</v>
      </c>
      <c r="AA16" s="30">
        <v>6.6751633048786445E-3</v>
      </c>
      <c r="AB16" s="43">
        <v>-3.5799999999999997E-4</v>
      </c>
      <c r="AC16" s="43">
        <v>-3.2499999999999999E-4</v>
      </c>
      <c r="AD16" s="43">
        <v>-1.5999999999999999E-5</v>
      </c>
      <c r="AF16" s="30">
        <v>5.5627022382119772E-3</v>
      </c>
      <c r="AG16" s="43">
        <v>-2.42E-4</v>
      </c>
      <c r="AH16" s="43">
        <v>-2.3699999999999999E-4</v>
      </c>
      <c r="AI16" s="43">
        <v>-1.9100000000000001E-4</v>
      </c>
      <c r="AJ16" s="30">
        <v>6.6751633048786445E-3</v>
      </c>
      <c r="AK16" s="43">
        <v>-2.4699999999999999E-4</v>
      </c>
      <c r="AL16" s="43">
        <v>-2.41E-4</v>
      </c>
      <c r="AM16" s="43">
        <v>-1.8599999999999999E-4</v>
      </c>
      <c r="AO16" s="30">
        <v>5.5627022382119772E-3</v>
      </c>
      <c r="AP16" s="43">
        <v>-2.1499999999999999E-4</v>
      </c>
      <c r="AQ16" s="43">
        <v>-2.1499999999999999E-4</v>
      </c>
      <c r="AR16" s="43">
        <v>-2.0799999999999999E-4</v>
      </c>
      <c r="AS16" s="30">
        <v>6.6751633048786445E-3</v>
      </c>
      <c r="AT16" s="43">
        <v>-2.1599999999999999E-4</v>
      </c>
      <c r="AU16" s="43">
        <v>-2.1499999999999999E-4</v>
      </c>
      <c r="AV16" s="43">
        <v>-2.0699999999999999E-4</v>
      </c>
      <c r="AX16" s="30">
        <v>5.5627022382119772E-3</v>
      </c>
      <c r="AY16" s="43">
        <v>-2.43E-4</v>
      </c>
      <c r="AZ16" s="43">
        <v>-2.3800000000000001E-4</v>
      </c>
      <c r="BA16" s="43">
        <v>-1.9000000000000001E-4</v>
      </c>
      <c r="BB16" s="30">
        <v>6.6751633048786445E-3</v>
      </c>
      <c r="BC16" s="43">
        <v>-2.4899999999999998E-4</v>
      </c>
      <c r="BD16" s="43">
        <v>-2.42E-4</v>
      </c>
      <c r="BE16" s="43">
        <v>-1.85E-4</v>
      </c>
      <c r="BG16" s="30">
        <v>5.5627022382119772E-3</v>
      </c>
      <c r="BH16" s="43">
        <v>-2.13E-4</v>
      </c>
      <c r="BI16" s="43">
        <v>-2.13E-4</v>
      </c>
      <c r="BJ16" s="43">
        <v>-2.0900000000000001E-4</v>
      </c>
      <c r="BK16" s="30">
        <v>6.6751633048786445E-3</v>
      </c>
      <c r="BL16" s="43">
        <v>-2.14E-4</v>
      </c>
      <c r="BM16" s="43">
        <v>-2.14E-4</v>
      </c>
      <c r="BN16" s="43">
        <v>-2.0900000000000001E-4</v>
      </c>
      <c r="BP16" s="30">
        <v>5.5627022382119772E-3</v>
      </c>
      <c r="BQ16" s="43">
        <v>-2.04E-4</v>
      </c>
      <c r="BR16" s="43">
        <v>-1.9000000000000001E-4</v>
      </c>
      <c r="BS16" s="43">
        <v>-7.3999999999999996E-5</v>
      </c>
      <c r="BT16" s="30">
        <v>6.6751633048786445E-3</v>
      </c>
      <c r="BU16" s="43">
        <v>-2.0900000000000001E-4</v>
      </c>
      <c r="BV16" s="43">
        <v>-1.95E-4</v>
      </c>
      <c r="BW16" s="43">
        <v>-6.9999999999999994E-5</v>
      </c>
      <c r="BY16" s="30">
        <v>5.5627022382119772E-3</v>
      </c>
      <c r="BZ16" s="43">
        <v>-2.0599999999999999E-4</v>
      </c>
      <c r="CA16" s="43">
        <v>-1.92E-4</v>
      </c>
      <c r="CB16" s="43">
        <v>-6.7999999999999999E-5</v>
      </c>
      <c r="CC16" s="30">
        <v>6.6751633048786445E-3</v>
      </c>
      <c r="CD16" s="43">
        <v>-2.05E-4</v>
      </c>
      <c r="CE16" s="43">
        <v>-1.9100000000000001E-4</v>
      </c>
      <c r="CF16" s="43">
        <v>-6.8999999999999997E-5</v>
      </c>
      <c r="CH16" s="30">
        <v>5.5627022382119772E-3</v>
      </c>
      <c r="CI16" s="43">
        <v>-2.7E-4</v>
      </c>
      <c r="CJ16" s="43">
        <v>-2.7E-4</v>
      </c>
      <c r="CK16" s="43">
        <v>-1.5899999999999999E-4</v>
      </c>
      <c r="CL16" s="30">
        <v>6.6751633048786445E-3</v>
      </c>
      <c r="CM16" s="43">
        <v>-2.81E-4</v>
      </c>
      <c r="CN16" s="43">
        <v>-2.81E-4</v>
      </c>
      <c r="CO16" s="43">
        <v>-1.4899999999999999E-4</v>
      </c>
      <c r="CQ16" s="30">
        <v>5.5627022382119772E-3</v>
      </c>
      <c r="CR16" s="43">
        <v>-2.34E-4</v>
      </c>
      <c r="CS16" s="43">
        <v>-2.34E-4</v>
      </c>
      <c r="CT16" s="43">
        <v>-1.9100000000000001E-4</v>
      </c>
      <c r="CU16" s="30">
        <v>6.6751633048786445E-3</v>
      </c>
      <c r="CV16" s="43">
        <v>-2.3900000000000001E-4</v>
      </c>
      <c r="CW16" s="43">
        <v>-2.3800000000000001E-4</v>
      </c>
      <c r="CX16" s="43">
        <v>-1.8599999999999999E-4</v>
      </c>
    </row>
    <row r="17" spans="2:102" x14ac:dyDescent="0.25">
      <c r="B17" s="71"/>
      <c r="C17" s="71"/>
      <c r="H17" s="72" t="s">
        <v>105</v>
      </c>
      <c r="I17" s="72"/>
      <c r="J17" s="72"/>
      <c r="K17" s="72"/>
      <c r="N17" s="30">
        <v>6.2579906048786434E-3</v>
      </c>
      <c r="O17" s="43">
        <v>-2.5399999999999999E-4</v>
      </c>
      <c r="P17" s="43">
        <v>-2.4000000000000001E-4</v>
      </c>
      <c r="Q17" s="43">
        <v>-1.0399999999999999E-4</v>
      </c>
      <c r="R17" s="30">
        <v>7.509509304878645E-3</v>
      </c>
      <c r="S17" s="43">
        <v>-2.4699999999999999E-4</v>
      </c>
      <c r="T17" s="43">
        <v>-2.34E-4</v>
      </c>
      <c r="U17" s="43">
        <v>-1.08E-4</v>
      </c>
      <c r="W17" s="30">
        <v>6.2579906048786434E-3</v>
      </c>
      <c r="X17" s="43">
        <v>-3.5799999999999997E-4</v>
      </c>
      <c r="Y17" s="43">
        <v>-3.2499999999999999E-4</v>
      </c>
      <c r="Z17" s="43">
        <v>-1.5999999999999999E-5</v>
      </c>
      <c r="AA17" s="30">
        <v>7.509509304878645E-3</v>
      </c>
      <c r="AB17" s="43">
        <v>-3.5799999999999997E-4</v>
      </c>
      <c r="AC17" s="43">
        <v>-3.2499999999999999E-4</v>
      </c>
      <c r="AD17" s="43">
        <v>-1.5E-5</v>
      </c>
      <c r="AF17" s="30">
        <v>6.2579906048786434E-3</v>
      </c>
      <c r="AG17" s="43">
        <v>-2.4499999999999999E-4</v>
      </c>
      <c r="AH17" s="43">
        <v>-2.3900000000000001E-4</v>
      </c>
      <c r="AI17" s="43">
        <v>-1.8799999999999999E-4</v>
      </c>
      <c r="AJ17" s="30">
        <v>7.509509304878645E-3</v>
      </c>
      <c r="AK17" s="43">
        <v>-2.52E-4</v>
      </c>
      <c r="AL17" s="43">
        <v>-2.4499999999999999E-4</v>
      </c>
      <c r="AM17" s="43">
        <v>-1.83E-4</v>
      </c>
      <c r="AO17" s="30">
        <v>6.2579906048786434E-3</v>
      </c>
      <c r="AP17" s="43">
        <v>-2.1599999999999999E-4</v>
      </c>
      <c r="AQ17" s="43">
        <v>-2.1499999999999999E-4</v>
      </c>
      <c r="AR17" s="43">
        <v>-2.0699999999999999E-4</v>
      </c>
      <c r="AS17" s="30">
        <v>7.509509304878645E-3</v>
      </c>
      <c r="AT17" s="43">
        <v>-2.1599999999999999E-4</v>
      </c>
      <c r="AU17" s="43">
        <v>-2.1499999999999999E-4</v>
      </c>
      <c r="AV17" s="43">
        <v>-2.0699999999999999E-4</v>
      </c>
      <c r="AX17" s="30">
        <v>6.2579906048786434E-3</v>
      </c>
      <c r="AY17" s="43">
        <v>-2.4699999999999999E-4</v>
      </c>
      <c r="AZ17" s="43">
        <v>-2.41E-4</v>
      </c>
      <c r="BA17" s="43">
        <v>-1.8699999999999999E-4</v>
      </c>
      <c r="BB17" s="30">
        <v>7.509509304878645E-3</v>
      </c>
      <c r="BC17" s="43">
        <v>-2.5300000000000002E-4</v>
      </c>
      <c r="BD17" s="43">
        <v>-2.4600000000000002E-4</v>
      </c>
      <c r="BE17" s="43">
        <v>-1.8200000000000001E-4</v>
      </c>
      <c r="BG17" s="30">
        <v>6.2579906048786434E-3</v>
      </c>
      <c r="BH17" s="43">
        <v>-2.14E-4</v>
      </c>
      <c r="BI17" s="43">
        <v>-2.13E-4</v>
      </c>
      <c r="BJ17" s="43">
        <v>-2.0900000000000001E-4</v>
      </c>
      <c r="BK17" s="30">
        <v>7.509509304878645E-3</v>
      </c>
      <c r="BL17" s="43">
        <v>-2.14E-4</v>
      </c>
      <c r="BM17" s="43">
        <v>-2.14E-4</v>
      </c>
      <c r="BN17" s="43">
        <v>-2.0900000000000001E-4</v>
      </c>
      <c r="BP17" s="30">
        <v>6.2579906048786434E-3</v>
      </c>
      <c r="BQ17" s="43">
        <v>-2.0699999999999999E-4</v>
      </c>
      <c r="BR17" s="43">
        <v>-1.93E-4</v>
      </c>
      <c r="BS17" s="43">
        <v>-7.1000000000000005E-5</v>
      </c>
      <c r="BT17" s="30">
        <v>7.509509304878645E-3</v>
      </c>
      <c r="BU17" s="43">
        <v>-2.13E-4</v>
      </c>
      <c r="BV17" s="43">
        <v>-1.9799999999999999E-4</v>
      </c>
      <c r="BW17" s="43">
        <v>-6.7000000000000002E-5</v>
      </c>
      <c r="BY17" s="30">
        <v>6.2579906048786434E-3</v>
      </c>
      <c r="BZ17" s="43">
        <v>-2.0599999999999999E-4</v>
      </c>
      <c r="CA17" s="43">
        <v>-1.92E-4</v>
      </c>
      <c r="CB17" s="43">
        <v>-6.8999999999999997E-5</v>
      </c>
      <c r="CC17" s="30">
        <v>7.509509304878645E-3</v>
      </c>
      <c r="CD17" s="43">
        <v>-2.05E-4</v>
      </c>
      <c r="CE17" s="43">
        <v>-1.9100000000000001E-4</v>
      </c>
      <c r="CF17" s="43">
        <v>-6.9999999999999994E-5</v>
      </c>
      <c r="CH17" s="30">
        <v>6.2579906048786434E-3</v>
      </c>
      <c r="CI17" s="43">
        <v>-2.7700000000000001E-4</v>
      </c>
      <c r="CJ17" s="43">
        <v>-2.7700000000000001E-4</v>
      </c>
      <c r="CK17" s="43">
        <v>-1.5300000000000001E-4</v>
      </c>
      <c r="CL17" s="30">
        <v>7.509509304878645E-3</v>
      </c>
      <c r="CM17" s="43">
        <v>-2.9E-4</v>
      </c>
      <c r="CN17" s="43">
        <v>-2.9E-4</v>
      </c>
      <c r="CO17" s="43">
        <v>-1.3999999999999999E-4</v>
      </c>
      <c r="CQ17" s="30">
        <v>6.2579906048786434E-3</v>
      </c>
      <c r="CR17" s="43">
        <v>-2.3699999999999999E-4</v>
      </c>
      <c r="CS17" s="43">
        <v>-2.3699999999999999E-4</v>
      </c>
      <c r="CT17" s="43">
        <v>-1.8799999999999999E-4</v>
      </c>
      <c r="CU17" s="30">
        <v>7.509509304878645E-3</v>
      </c>
      <c r="CV17" s="43">
        <v>-2.42E-4</v>
      </c>
      <c r="CW17" s="43">
        <v>-2.42E-4</v>
      </c>
      <c r="CX17" s="43">
        <v>-1.83E-4</v>
      </c>
    </row>
    <row r="18" spans="2:102" x14ac:dyDescent="0.25">
      <c r="H18" s="73" t="s">
        <v>65</v>
      </c>
      <c r="I18" s="73"/>
      <c r="J18" s="73" t="s">
        <v>65</v>
      </c>
      <c r="K18" s="73"/>
      <c r="N18" s="30">
        <v>6.9532789715453106E-3</v>
      </c>
      <c r="O18" s="43">
        <v>-2.5000000000000001E-4</v>
      </c>
      <c r="P18" s="43">
        <v>-2.3699999999999999E-4</v>
      </c>
      <c r="Q18" s="43">
        <v>-1.06E-4</v>
      </c>
      <c r="R18" s="30">
        <v>8.3438553048786456E-3</v>
      </c>
      <c r="S18" s="43">
        <v>-2.43E-4</v>
      </c>
      <c r="T18" s="43">
        <v>-2.31E-4</v>
      </c>
      <c r="U18" s="43">
        <v>-1.11E-4</v>
      </c>
      <c r="W18" s="30">
        <v>6.9532789715453106E-3</v>
      </c>
      <c r="X18" s="43">
        <v>-3.5799999999999997E-4</v>
      </c>
      <c r="Y18" s="43">
        <v>-3.2499999999999999E-4</v>
      </c>
      <c r="Z18" s="43">
        <v>-1.5E-5</v>
      </c>
      <c r="AA18" s="30">
        <v>8.3438553048786456E-3</v>
      </c>
      <c r="AB18" s="43">
        <v>-3.5799999999999997E-4</v>
      </c>
      <c r="AC18" s="43">
        <v>-3.2499999999999999E-4</v>
      </c>
      <c r="AD18" s="43">
        <v>-1.4E-5</v>
      </c>
      <c r="AF18" s="30">
        <v>6.9532789715453106E-3</v>
      </c>
      <c r="AG18" s="43">
        <v>-2.4899999999999998E-4</v>
      </c>
      <c r="AH18" s="43">
        <v>-2.42E-4</v>
      </c>
      <c r="AI18" s="43">
        <v>-1.85E-4</v>
      </c>
      <c r="AJ18" s="30">
        <v>8.3438553048786456E-3</v>
      </c>
      <c r="AK18" s="43">
        <v>-2.5599999999999999E-4</v>
      </c>
      <c r="AL18" s="43">
        <v>-2.4800000000000001E-4</v>
      </c>
      <c r="AM18" s="43">
        <v>-1.8000000000000001E-4</v>
      </c>
      <c r="AO18" s="30">
        <v>6.9532789715453106E-3</v>
      </c>
      <c r="AP18" s="43">
        <v>-2.1599999999999999E-4</v>
      </c>
      <c r="AQ18" s="43">
        <v>-2.1499999999999999E-4</v>
      </c>
      <c r="AR18" s="43">
        <v>-2.0699999999999999E-4</v>
      </c>
      <c r="AS18" s="30">
        <v>8.3438553048786456E-3</v>
      </c>
      <c r="AT18" s="43">
        <v>-2.1599999999999999E-4</v>
      </c>
      <c r="AU18" s="43">
        <v>-2.1599999999999999E-4</v>
      </c>
      <c r="AV18" s="43">
        <v>-2.0699999999999999E-4</v>
      </c>
      <c r="AX18" s="30">
        <v>6.9532789715453106E-3</v>
      </c>
      <c r="AY18" s="43">
        <v>-2.5000000000000001E-4</v>
      </c>
      <c r="AZ18" s="43">
        <v>-2.4399999999999999E-4</v>
      </c>
      <c r="BA18" s="43">
        <v>-1.84E-4</v>
      </c>
      <c r="BB18" s="30">
        <v>8.3438553048786456E-3</v>
      </c>
      <c r="BC18" s="43">
        <v>-2.5700000000000001E-4</v>
      </c>
      <c r="BD18" s="43">
        <v>-2.4899999999999998E-4</v>
      </c>
      <c r="BE18" s="43">
        <v>-1.7899999999999999E-4</v>
      </c>
      <c r="BG18" s="30">
        <v>6.9532789715453106E-3</v>
      </c>
      <c r="BH18" s="43">
        <v>-2.14E-4</v>
      </c>
      <c r="BI18" s="43">
        <v>-2.14E-4</v>
      </c>
      <c r="BJ18" s="43">
        <v>-2.0900000000000001E-4</v>
      </c>
      <c r="BK18" s="30">
        <v>8.3438553048786456E-3</v>
      </c>
      <c r="BL18" s="43">
        <v>-2.14E-4</v>
      </c>
      <c r="BM18" s="43">
        <v>-2.14E-4</v>
      </c>
      <c r="BN18" s="43">
        <v>-2.0900000000000001E-4</v>
      </c>
      <c r="BP18" s="30">
        <v>6.9532789715453106E-3</v>
      </c>
      <c r="BQ18" s="43">
        <v>-2.1100000000000001E-4</v>
      </c>
      <c r="BR18" s="43">
        <v>-1.9599999999999999E-4</v>
      </c>
      <c r="BS18" s="43">
        <v>-6.8999999999999997E-5</v>
      </c>
      <c r="BT18" s="30">
        <v>8.3438553048786456E-3</v>
      </c>
      <c r="BU18" s="43">
        <v>-2.1699999999999999E-4</v>
      </c>
      <c r="BV18" s="43">
        <v>-2.0100000000000001E-4</v>
      </c>
      <c r="BW18" s="43">
        <v>-6.3999999999999997E-5</v>
      </c>
      <c r="BY18" s="30">
        <v>6.9532789715453106E-3</v>
      </c>
      <c r="BZ18" s="43">
        <v>-2.05E-4</v>
      </c>
      <c r="CA18" s="43">
        <v>-1.9100000000000001E-4</v>
      </c>
      <c r="CB18" s="43">
        <v>-6.9999999999999994E-5</v>
      </c>
      <c r="CC18" s="30">
        <v>8.3438553048786456E-3</v>
      </c>
      <c r="CD18" s="43">
        <v>-2.04E-4</v>
      </c>
      <c r="CE18" s="43">
        <v>-1.9000000000000001E-4</v>
      </c>
      <c r="CF18" s="43">
        <v>-7.1000000000000005E-5</v>
      </c>
      <c r="CH18" s="30">
        <v>6.9532789715453106E-3</v>
      </c>
      <c r="CI18" s="43">
        <v>-2.8400000000000002E-4</v>
      </c>
      <c r="CJ18" s="43">
        <v>-2.8400000000000002E-4</v>
      </c>
      <c r="CK18" s="43">
        <v>-1.46E-4</v>
      </c>
      <c r="CL18" s="30">
        <v>8.3438553048786456E-3</v>
      </c>
      <c r="CM18" s="43">
        <v>-2.9799999999999998E-4</v>
      </c>
      <c r="CN18" s="43">
        <v>-2.9799999999999998E-4</v>
      </c>
      <c r="CO18" s="43">
        <v>-1.3200000000000001E-4</v>
      </c>
      <c r="CQ18" s="30">
        <v>6.9532789715453106E-3</v>
      </c>
      <c r="CR18" s="43">
        <v>-2.4000000000000001E-4</v>
      </c>
      <c r="CS18" s="43">
        <v>-2.3900000000000001E-4</v>
      </c>
      <c r="CT18" s="43">
        <v>-1.85E-4</v>
      </c>
      <c r="CU18" s="30">
        <v>8.3438553048786456E-3</v>
      </c>
      <c r="CV18" s="43">
        <v>-2.4499999999999999E-4</v>
      </c>
      <c r="CW18" s="43">
        <v>-2.4499999999999999E-4</v>
      </c>
      <c r="CX18" s="43">
        <v>-1.8000000000000001E-4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7.6485673382119769E-3</v>
      </c>
      <c r="O19" s="43">
        <v>-2.4699999999999999E-4</v>
      </c>
      <c r="P19" s="43">
        <v>-2.34E-4</v>
      </c>
      <c r="Q19" s="43">
        <v>-1.08E-4</v>
      </c>
      <c r="R19" s="30">
        <v>8.3438553048786456E-3</v>
      </c>
      <c r="S19" s="43">
        <v>-2.43E-4</v>
      </c>
      <c r="T19" s="43">
        <v>-2.31E-4</v>
      </c>
      <c r="U19" s="43">
        <v>-1.11E-4</v>
      </c>
      <c r="W19" s="30">
        <v>7.6485673382119769E-3</v>
      </c>
      <c r="X19" s="43">
        <v>-3.5799999999999997E-4</v>
      </c>
      <c r="Y19" s="43">
        <v>-3.2499999999999999E-4</v>
      </c>
      <c r="Z19" s="43">
        <v>-1.5E-5</v>
      </c>
      <c r="AA19" s="30">
        <v>8.3438553048786456E-3</v>
      </c>
      <c r="AB19" s="43">
        <v>-3.5799999999999997E-4</v>
      </c>
      <c r="AC19" s="43">
        <v>-3.2499999999999999E-4</v>
      </c>
      <c r="AD19" s="43">
        <v>-1.4E-5</v>
      </c>
      <c r="AF19" s="30">
        <v>7.6485673382119769E-3</v>
      </c>
      <c r="AG19" s="43">
        <v>-2.52E-4</v>
      </c>
      <c r="AH19" s="43">
        <v>-2.4499999999999999E-4</v>
      </c>
      <c r="AI19" s="43">
        <v>-1.8200000000000001E-4</v>
      </c>
      <c r="AJ19" s="30">
        <v>8.3438553048786456E-3</v>
      </c>
      <c r="AK19" s="43">
        <v>-2.5599999999999999E-4</v>
      </c>
      <c r="AL19" s="43">
        <v>-2.4800000000000001E-4</v>
      </c>
      <c r="AM19" s="43">
        <v>-1.8000000000000001E-4</v>
      </c>
      <c r="AO19" s="30">
        <v>7.6485673382119769E-3</v>
      </c>
      <c r="AP19" s="43">
        <v>-2.1599999999999999E-4</v>
      </c>
      <c r="AQ19" s="43">
        <v>-2.1499999999999999E-4</v>
      </c>
      <c r="AR19" s="43">
        <v>-2.0699999999999999E-4</v>
      </c>
      <c r="AS19" s="30">
        <v>8.3438553048786456E-3</v>
      </c>
      <c r="AT19" s="43">
        <v>-2.1599999999999999E-4</v>
      </c>
      <c r="AU19" s="43">
        <v>-2.1599999999999999E-4</v>
      </c>
      <c r="AV19" s="43">
        <v>-2.0699999999999999E-4</v>
      </c>
      <c r="AX19" s="30">
        <v>7.6485673382119769E-3</v>
      </c>
      <c r="AY19" s="43">
        <v>-2.5399999999999999E-4</v>
      </c>
      <c r="AZ19" s="43">
        <v>-2.4600000000000002E-4</v>
      </c>
      <c r="BA19" s="43">
        <v>-1.8200000000000001E-4</v>
      </c>
      <c r="BB19" s="30">
        <v>8.3438553048786456E-3</v>
      </c>
      <c r="BC19" s="43">
        <v>-2.5700000000000001E-4</v>
      </c>
      <c r="BD19" s="43">
        <v>-2.4899999999999998E-4</v>
      </c>
      <c r="BE19" s="43">
        <v>-1.7899999999999999E-4</v>
      </c>
      <c r="BG19" s="30">
        <v>7.6485673382119769E-3</v>
      </c>
      <c r="BH19" s="43">
        <v>-2.14E-4</v>
      </c>
      <c r="BI19" s="43">
        <v>-2.14E-4</v>
      </c>
      <c r="BJ19" s="43">
        <v>-2.0900000000000001E-4</v>
      </c>
      <c r="BK19" s="30">
        <v>8.3438553048786456E-3</v>
      </c>
      <c r="BL19" s="43">
        <v>-2.14E-4</v>
      </c>
      <c r="BM19" s="43">
        <v>-2.14E-4</v>
      </c>
      <c r="BN19" s="43">
        <v>-2.0900000000000001E-4</v>
      </c>
      <c r="BP19" s="30">
        <v>7.6485673382119769E-3</v>
      </c>
      <c r="BQ19" s="43">
        <v>-2.14E-4</v>
      </c>
      <c r="BR19" s="43">
        <v>-1.9900000000000001E-4</v>
      </c>
      <c r="BS19" s="43">
        <v>-6.7000000000000002E-5</v>
      </c>
      <c r="BT19" s="30">
        <v>8.3438553048786456E-3</v>
      </c>
      <c r="BU19" s="43">
        <v>-2.1699999999999999E-4</v>
      </c>
      <c r="BV19" s="43">
        <v>-2.0100000000000001E-4</v>
      </c>
      <c r="BW19" s="43">
        <v>-6.3999999999999997E-5</v>
      </c>
      <c r="BY19" s="30">
        <v>7.6485673382119769E-3</v>
      </c>
      <c r="BZ19" s="43">
        <v>-2.05E-4</v>
      </c>
      <c r="CA19" s="43">
        <v>-1.9100000000000001E-4</v>
      </c>
      <c r="CB19" s="43">
        <v>-6.9999999999999994E-5</v>
      </c>
      <c r="CC19" s="30">
        <v>8.3438553048786456E-3</v>
      </c>
      <c r="CD19" s="43">
        <v>-2.04E-4</v>
      </c>
      <c r="CE19" s="43">
        <v>-1.9000000000000001E-4</v>
      </c>
      <c r="CF19" s="43">
        <v>-7.1000000000000005E-5</v>
      </c>
      <c r="CH19" s="30">
        <v>7.6485673382119769E-3</v>
      </c>
      <c r="CI19" s="43">
        <v>-2.9100000000000003E-4</v>
      </c>
      <c r="CJ19" s="43">
        <v>-2.9100000000000003E-4</v>
      </c>
      <c r="CK19" s="43">
        <v>-1.3899999999999999E-4</v>
      </c>
      <c r="CL19" s="30">
        <v>8.3438553048786456E-3</v>
      </c>
      <c r="CM19" s="43">
        <v>-2.9799999999999998E-4</v>
      </c>
      <c r="CN19" s="43">
        <v>-2.9799999999999998E-4</v>
      </c>
      <c r="CO19" s="43">
        <v>-1.3200000000000001E-4</v>
      </c>
      <c r="CQ19" s="30">
        <v>7.6485673382119769E-3</v>
      </c>
      <c r="CR19" s="43">
        <v>-2.42E-4</v>
      </c>
      <c r="CS19" s="43">
        <v>-2.42E-4</v>
      </c>
      <c r="CT19" s="43">
        <v>-1.83E-4</v>
      </c>
      <c r="CU19" s="30">
        <v>8.3438553048786456E-3</v>
      </c>
      <c r="CV19" s="43">
        <v>-2.4499999999999999E-4</v>
      </c>
      <c r="CW19" s="43">
        <v>-2.4499999999999999E-4</v>
      </c>
      <c r="CX19" s="43">
        <v>-1.8000000000000001E-4</v>
      </c>
    </row>
    <row r="20" spans="2:102" x14ac:dyDescent="0.25">
      <c r="H20" s="2">
        <v>4.1717697304878634E-2</v>
      </c>
      <c r="I20" s="1">
        <v>-2.5000000000000001E-3</v>
      </c>
      <c r="J20" s="2">
        <v>0.2292713866768068</v>
      </c>
      <c r="K20" s="1"/>
      <c r="N20" s="30">
        <v>8.343855704878644E-3</v>
      </c>
      <c r="O20" s="43">
        <v>-2.43E-4</v>
      </c>
      <c r="P20" s="43">
        <v>-2.31E-4</v>
      </c>
      <c r="Q20" s="43">
        <v>-1.11E-4</v>
      </c>
      <c r="R20" s="30">
        <v>9.1782013048786453E-3</v>
      </c>
      <c r="S20" s="43">
        <v>-2.3900000000000001E-4</v>
      </c>
      <c r="T20" s="43">
        <v>-2.2699999999999999E-4</v>
      </c>
      <c r="U20" s="43">
        <v>-1.13E-4</v>
      </c>
      <c r="W20" s="30">
        <v>8.343855704878644E-3</v>
      </c>
      <c r="X20" s="43">
        <v>-3.5799999999999997E-4</v>
      </c>
      <c r="Y20" s="43">
        <v>-3.2499999999999999E-4</v>
      </c>
      <c r="Z20" s="43">
        <v>-1.4E-5</v>
      </c>
      <c r="AA20" s="30">
        <v>9.1782013048786453E-3</v>
      </c>
      <c r="AB20" s="43">
        <v>-3.5799999999999997E-4</v>
      </c>
      <c r="AC20" s="43">
        <v>-3.2499999999999999E-4</v>
      </c>
      <c r="AD20" s="43">
        <v>-1.2999999999999999E-5</v>
      </c>
      <c r="AF20" s="30">
        <v>8.343855704878644E-3</v>
      </c>
      <c r="AG20" s="43">
        <v>-2.5599999999999999E-4</v>
      </c>
      <c r="AH20" s="43">
        <v>-2.4800000000000001E-4</v>
      </c>
      <c r="AI20" s="43">
        <v>-1.8000000000000001E-4</v>
      </c>
      <c r="AJ20" s="30">
        <v>9.1782013048786453E-3</v>
      </c>
      <c r="AK20" s="43">
        <v>-2.5999999999999998E-4</v>
      </c>
      <c r="AL20" s="43">
        <v>-2.52E-4</v>
      </c>
      <c r="AM20" s="43">
        <v>-1.76E-4</v>
      </c>
      <c r="AO20" s="30">
        <v>8.343855704878644E-3</v>
      </c>
      <c r="AP20" s="43">
        <v>-2.1599999999999999E-4</v>
      </c>
      <c r="AQ20" s="43">
        <v>-2.1599999999999999E-4</v>
      </c>
      <c r="AR20" s="43">
        <v>-2.0699999999999999E-4</v>
      </c>
      <c r="AS20" s="30">
        <v>9.1782013048786453E-3</v>
      </c>
      <c r="AT20" s="43">
        <v>-2.1699999999999999E-4</v>
      </c>
      <c r="AU20" s="43">
        <v>-2.1599999999999999E-4</v>
      </c>
      <c r="AV20" s="43">
        <v>-2.0599999999999999E-4</v>
      </c>
      <c r="AX20" s="30">
        <v>8.343855704878644E-3</v>
      </c>
      <c r="AY20" s="43">
        <v>-2.5700000000000001E-4</v>
      </c>
      <c r="AZ20" s="43">
        <v>-2.4899999999999998E-4</v>
      </c>
      <c r="BA20" s="43">
        <v>-1.7899999999999999E-4</v>
      </c>
      <c r="BB20" s="30">
        <v>9.1782013048786453E-3</v>
      </c>
      <c r="BC20" s="43">
        <v>-2.6200000000000003E-4</v>
      </c>
      <c r="BD20" s="43">
        <v>-2.5300000000000002E-4</v>
      </c>
      <c r="BE20" s="43">
        <v>-1.75E-4</v>
      </c>
      <c r="BG20" s="30">
        <v>8.343855704878644E-3</v>
      </c>
      <c r="BH20" s="43">
        <v>-2.14E-4</v>
      </c>
      <c r="BI20" s="43">
        <v>-2.14E-4</v>
      </c>
      <c r="BJ20" s="43">
        <v>-2.0900000000000001E-4</v>
      </c>
      <c r="BK20" s="30">
        <v>9.1782013048786453E-3</v>
      </c>
      <c r="BL20" s="43">
        <v>-2.1499999999999999E-4</v>
      </c>
      <c r="BM20" s="43">
        <v>-2.14E-4</v>
      </c>
      <c r="BN20" s="43">
        <v>-2.0900000000000001E-4</v>
      </c>
      <c r="BP20" s="30">
        <v>8.343855704878644E-3</v>
      </c>
      <c r="BQ20" s="43">
        <v>-2.1699999999999999E-4</v>
      </c>
      <c r="BR20" s="43">
        <v>-2.0100000000000001E-4</v>
      </c>
      <c r="BS20" s="43">
        <v>-6.3999999999999997E-5</v>
      </c>
      <c r="BT20" s="30">
        <v>9.1782013048786453E-3</v>
      </c>
      <c r="BU20" s="43">
        <v>-2.2100000000000001E-4</v>
      </c>
      <c r="BV20" s="43">
        <v>-2.05E-4</v>
      </c>
      <c r="BW20" s="43">
        <v>-6.2000000000000003E-5</v>
      </c>
      <c r="BY20" s="30">
        <v>8.343855704878644E-3</v>
      </c>
      <c r="BZ20" s="43">
        <v>-2.04E-4</v>
      </c>
      <c r="CA20" s="43">
        <v>-1.9000000000000001E-4</v>
      </c>
      <c r="CB20" s="43">
        <v>-7.1000000000000005E-5</v>
      </c>
      <c r="CC20" s="30">
        <v>9.1782013048786453E-3</v>
      </c>
      <c r="CD20" s="43">
        <v>-2.04E-4</v>
      </c>
      <c r="CE20" s="43">
        <v>-1.9000000000000001E-4</v>
      </c>
      <c r="CF20" s="43">
        <v>-7.2000000000000002E-5</v>
      </c>
      <c r="CH20" s="30">
        <v>8.343855704878644E-3</v>
      </c>
      <c r="CI20" s="43">
        <v>-2.9799999999999998E-4</v>
      </c>
      <c r="CJ20" s="43">
        <v>-2.9799999999999998E-4</v>
      </c>
      <c r="CK20" s="43">
        <v>-1.3200000000000001E-4</v>
      </c>
      <c r="CL20" s="30">
        <v>9.1782013048786453E-3</v>
      </c>
      <c r="CM20" s="43">
        <v>-3.0600000000000001E-4</v>
      </c>
      <c r="CN20" s="43">
        <v>-3.0600000000000001E-4</v>
      </c>
      <c r="CO20" s="43">
        <v>-1.2400000000000001E-4</v>
      </c>
      <c r="CQ20" s="30">
        <v>8.343855704878644E-3</v>
      </c>
      <c r="CR20" s="43">
        <v>-2.4499999999999999E-4</v>
      </c>
      <c r="CS20" s="43">
        <v>-2.4499999999999999E-4</v>
      </c>
      <c r="CT20" s="43">
        <v>-1.8000000000000001E-4</v>
      </c>
      <c r="CU20" s="30">
        <v>9.1782013048786453E-3</v>
      </c>
      <c r="CV20" s="43">
        <v>-2.4800000000000001E-4</v>
      </c>
      <c r="CW20" s="43">
        <v>-2.4800000000000001E-4</v>
      </c>
      <c r="CX20" s="43">
        <v>-1.7699999999999999E-4</v>
      </c>
    </row>
    <row r="21" spans="2:102" x14ac:dyDescent="0.25">
      <c r="H21" s="73" t="s">
        <v>85</v>
      </c>
      <c r="I21" s="73"/>
      <c r="J21" s="73" t="s">
        <v>85</v>
      </c>
      <c r="K21" s="73"/>
      <c r="N21" s="30">
        <v>9.0391440715453103E-3</v>
      </c>
      <c r="O21" s="43">
        <v>-2.3900000000000001E-4</v>
      </c>
      <c r="P21" s="43">
        <v>-2.2800000000000001E-4</v>
      </c>
      <c r="Q21" s="43">
        <v>-1.13E-4</v>
      </c>
      <c r="R21" s="30">
        <v>1.0012547304878645E-2</v>
      </c>
      <c r="S21" s="43">
        <v>-2.34E-4</v>
      </c>
      <c r="T21" s="43">
        <v>-2.23E-4</v>
      </c>
      <c r="U21" s="43">
        <v>-1.16E-4</v>
      </c>
      <c r="W21" s="30">
        <v>9.0391440715453103E-3</v>
      </c>
      <c r="X21" s="43">
        <v>-3.5799999999999997E-4</v>
      </c>
      <c r="Y21" s="43">
        <v>-3.2499999999999999E-4</v>
      </c>
      <c r="Z21" s="43">
        <v>-1.2999999999999999E-5</v>
      </c>
      <c r="AA21" s="30">
        <v>1.0012547304878645E-2</v>
      </c>
      <c r="AB21" s="43">
        <v>-3.5799999999999997E-4</v>
      </c>
      <c r="AC21" s="43">
        <v>-3.2499999999999999E-4</v>
      </c>
      <c r="AD21" s="43">
        <v>-1.2E-5</v>
      </c>
      <c r="AF21" s="30">
        <v>9.0391440715453103E-3</v>
      </c>
      <c r="AG21" s="43">
        <v>-2.5900000000000001E-4</v>
      </c>
      <c r="AH21" s="43">
        <v>-2.5099999999999998E-4</v>
      </c>
      <c r="AI21" s="43">
        <v>-1.7699999999999999E-4</v>
      </c>
      <c r="AJ21" s="30">
        <v>1.0012547304878645E-2</v>
      </c>
      <c r="AK21" s="43">
        <v>-2.6400000000000002E-4</v>
      </c>
      <c r="AL21" s="43">
        <v>-2.5500000000000002E-4</v>
      </c>
      <c r="AM21" s="43">
        <v>-1.73E-4</v>
      </c>
      <c r="AO21" s="30">
        <v>9.0391440715453103E-3</v>
      </c>
      <c r="AP21" s="43">
        <v>-2.1599999999999999E-4</v>
      </c>
      <c r="AQ21" s="43">
        <v>-2.1599999999999999E-4</v>
      </c>
      <c r="AR21" s="43">
        <v>-2.0699999999999999E-4</v>
      </c>
      <c r="AS21" s="30">
        <v>1.0012547304878645E-2</v>
      </c>
      <c r="AT21" s="43">
        <v>-2.1699999999999999E-4</v>
      </c>
      <c r="AU21" s="43">
        <v>-2.1599999999999999E-4</v>
      </c>
      <c r="AV21" s="43">
        <v>-2.0599999999999999E-4</v>
      </c>
      <c r="AX21" s="30">
        <v>9.0391440715453103E-3</v>
      </c>
      <c r="AY21" s="43">
        <v>-2.61E-4</v>
      </c>
      <c r="AZ21" s="43">
        <v>-2.52E-4</v>
      </c>
      <c r="BA21" s="43">
        <v>-1.76E-4</v>
      </c>
      <c r="BB21" s="30">
        <v>1.0012547304878645E-2</v>
      </c>
      <c r="BC21" s="43">
        <v>-2.6600000000000001E-4</v>
      </c>
      <c r="BD21" s="43">
        <v>-2.5599999999999999E-4</v>
      </c>
      <c r="BE21" s="43">
        <v>-1.7200000000000001E-4</v>
      </c>
      <c r="BG21" s="30">
        <v>9.0391440715453103E-3</v>
      </c>
      <c r="BH21" s="43">
        <v>-2.1499999999999999E-4</v>
      </c>
      <c r="BI21" s="43">
        <v>-2.14E-4</v>
      </c>
      <c r="BJ21" s="43">
        <v>-2.0900000000000001E-4</v>
      </c>
      <c r="BK21" s="30">
        <v>1.0012547304878645E-2</v>
      </c>
      <c r="BL21" s="43">
        <v>-2.1499999999999999E-4</v>
      </c>
      <c r="BM21" s="43">
        <v>-2.14E-4</v>
      </c>
      <c r="BN21" s="43">
        <v>-2.0799999999999999E-4</v>
      </c>
      <c r="BP21" s="30">
        <v>9.0391440715453103E-3</v>
      </c>
      <c r="BQ21" s="43">
        <v>-2.2100000000000001E-4</v>
      </c>
      <c r="BR21" s="43">
        <v>-2.04E-4</v>
      </c>
      <c r="BS21" s="43">
        <v>-6.2000000000000003E-5</v>
      </c>
      <c r="BT21" s="30">
        <v>1.0012547304878645E-2</v>
      </c>
      <c r="BU21" s="43">
        <v>-2.2599999999999999E-4</v>
      </c>
      <c r="BV21" s="43">
        <v>-2.0799999999999999E-4</v>
      </c>
      <c r="BW21" s="43">
        <v>-5.8999999999999998E-5</v>
      </c>
      <c r="BY21" s="30">
        <v>9.0391440715453103E-3</v>
      </c>
      <c r="BZ21" s="43">
        <v>-2.04E-4</v>
      </c>
      <c r="CA21" s="43">
        <v>-1.9000000000000001E-4</v>
      </c>
      <c r="CB21" s="43">
        <v>-7.2000000000000002E-5</v>
      </c>
      <c r="CC21" s="30">
        <v>1.0012547304878645E-2</v>
      </c>
      <c r="CD21" s="43">
        <v>-2.03E-4</v>
      </c>
      <c r="CE21" s="43">
        <v>-1.9000000000000001E-4</v>
      </c>
      <c r="CF21" s="43">
        <v>-7.2999999999999999E-5</v>
      </c>
      <c r="CH21" s="30">
        <v>9.0391440715453103E-3</v>
      </c>
      <c r="CI21" s="43">
        <v>-3.0499999999999999E-4</v>
      </c>
      <c r="CJ21" s="43">
        <v>-3.0499999999999999E-4</v>
      </c>
      <c r="CK21" s="43">
        <v>-1.26E-4</v>
      </c>
      <c r="CL21" s="30">
        <v>1.0012547304878645E-2</v>
      </c>
      <c r="CM21" s="43">
        <v>-3.1399999999999999E-4</v>
      </c>
      <c r="CN21" s="43">
        <v>-3.1399999999999999E-4</v>
      </c>
      <c r="CO21" s="43">
        <v>-1.16E-4</v>
      </c>
      <c r="CQ21" s="30">
        <v>9.0391440715453103E-3</v>
      </c>
      <c r="CR21" s="43">
        <v>-2.4800000000000001E-4</v>
      </c>
      <c r="CS21" s="43">
        <v>-2.4699999999999999E-4</v>
      </c>
      <c r="CT21" s="43">
        <v>-1.7699999999999999E-4</v>
      </c>
      <c r="CU21" s="30">
        <v>1.0012547304878645E-2</v>
      </c>
      <c r="CV21" s="43">
        <v>-2.5099999999999998E-4</v>
      </c>
      <c r="CW21" s="43">
        <v>-2.5099999999999998E-4</v>
      </c>
      <c r="CX21" s="43">
        <v>-1.74E-4</v>
      </c>
    </row>
    <row r="22" spans="2:102" x14ac:dyDescent="0.25">
      <c r="H22" s="2">
        <v>0</v>
      </c>
      <c r="I22" s="1">
        <v>-9.8528304427183775E-3</v>
      </c>
      <c r="J22" s="2">
        <v>0</v>
      </c>
      <c r="K22" s="1"/>
      <c r="N22" s="30">
        <v>9.7344324382119766E-3</v>
      </c>
      <c r="O22" s="43">
        <v>-2.3599999999999999E-4</v>
      </c>
      <c r="P22" s="43">
        <v>-2.2499999999999999E-4</v>
      </c>
      <c r="Q22" s="43">
        <v>-1.15E-4</v>
      </c>
      <c r="R22" s="30">
        <v>1.0846893304878645E-2</v>
      </c>
      <c r="S22" s="43">
        <v>-2.3000000000000001E-4</v>
      </c>
      <c r="T22" s="43">
        <v>-2.2000000000000001E-4</v>
      </c>
      <c r="U22" s="43">
        <v>-1.1900000000000001E-4</v>
      </c>
      <c r="W22" s="30">
        <v>9.7344324382119766E-3</v>
      </c>
      <c r="X22" s="43">
        <v>-3.5799999999999997E-4</v>
      </c>
      <c r="Y22" s="43">
        <v>-3.2499999999999999E-4</v>
      </c>
      <c r="Z22" s="43">
        <v>-1.2999999999999999E-5</v>
      </c>
      <c r="AA22" s="30">
        <v>1.0846893304878645E-2</v>
      </c>
      <c r="AB22" s="43">
        <v>-3.5799999999999997E-4</v>
      </c>
      <c r="AC22" s="43">
        <v>-3.2499999999999999E-4</v>
      </c>
      <c r="AD22" s="43">
        <v>-1.1E-5</v>
      </c>
      <c r="AF22" s="30">
        <v>9.7344324382119766E-3</v>
      </c>
      <c r="AG22" s="43">
        <v>-2.63E-4</v>
      </c>
      <c r="AH22" s="43">
        <v>-2.5399999999999999E-4</v>
      </c>
      <c r="AI22" s="43">
        <v>-1.74E-4</v>
      </c>
      <c r="AJ22" s="30">
        <v>1.0846893304878645E-2</v>
      </c>
      <c r="AK22" s="43">
        <v>-2.6899999999999998E-4</v>
      </c>
      <c r="AL22" s="43">
        <v>-2.5900000000000001E-4</v>
      </c>
      <c r="AM22" s="43">
        <v>-1.6899999999999999E-4</v>
      </c>
      <c r="AO22" s="30">
        <v>9.7344324382119766E-3</v>
      </c>
      <c r="AP22" s="43">
        <v>-2.1699999999999999E-4</v>
      </c>
      <c r="AQ22" s="43">
        <v>-2.1599999999999999E-4</v>
      </c>
      <c r="AR22" s="43">
        <v>-2.0599999999999999E-4</v>
      </c>
      <c r="AS22" s="30">
        <v>1.0846893304878645E-2</v>
      </c>
      <c r="AT22" s="43">
        <v>-2.1699999999999999E-4</v>
      </c>
      <c r="AU22" s="43">
        <v>-2.1599999999999999E-4</v>
      </c>
      <c r="AV22" s="43">
        <v>-2.0599999999999999E-4</v>
      </c>
      <c r="AX22" s="30">
        <v>9.7344324382119766E-3</v>
      </c>
      <c r="AY22" s="43">
        <v>-2.6499999999999999E-4</v>
      </c>
      <c r="AZ22" s="43">
        <v>-2.5500000000000002E-4</v>
      </c>
      <c r="BA22" s="43">
        <v>-1.73E-4</v>
      </c>
      <c r="BB22" s="30">
        <v>1.0846893304878645E-2</v>
      </c>
      <c r="BC22" s="43">
        <v>-2.7E-4</v>
      </c>
      <c r="BD22" s="43">
        <v>-2.5999999999999998E-4</v>
      </c>
      <c r="BE22" s="43">
        <v>-1.6899999999999999E-4</v>
      </c>
      <c r="BG22" s="30">
        <v>9.7344324382119766E-3</v>
      </c>
      <c r="BH22" s="43">
        <v>-2.1499999999999999E-4</v>
      </c>
      <c r="BI22" s="43">
        <v>-2.14E-4</v>
      </c>
      <c r="BJ22" s="43">
        <v>-2.0799999999999999E-4</v>
      </c>
      <c r="BK22" s="30">
        <v>1.0846893304878645E-2</v>
      </c>
      <c r="BL22" s="43">
        <v>-2.1499999999999999E-4</v>
      </c>
      <c r="BM22" s="43">
        <v>-2.1499999999999999E-4</v>
      </c>
      <c r="BN22" s="43">
        <v>-2.0799999999999999E-4</v>
      </c>
      <c r="BP22" s="30">
        <v>9.7344324382119766E-3</v>
      </c>
      <c r="BQ22" s="43">
        <v>-2.24E-4</v>
      </c>
      <c r="BR22" s="43">
        <v>-2.0699999999999999E-4</v>
      </c>
      <c r="BS22" s="43">
        <v>-6.0000000000000002E-5</v>
      </c>
      <c r="BT22" s="30">
        <v>1.0846893304878645E-2</v>
      </c>
      <c r="BU22" s="43">
        <v>-2.3000000000000001E-4</v>
      </c>
      <c r="BV22" s="43">
        <v>-2.12E-4</v>
      </c>
      <c r="BW22" s="43">
        <v>-5.5999999999999999E-5</v>
      </c>
      <c r="BY22" s="30">
        <v>9.7344324382119766E-3</v>
      </c>
      <c r="BZ22" s="43">
        <v>-2.03E-4</v>
      </c>
      <c r="CA22" s="43">
        <v>-1.9000000000000001E-4</v>
      </c>
      <c r="CB22" s="43">
        <v>-7.2999999999999999E-5</v>
      </c>
      <c r="CC22" s="30">
        <v>1.0846893304878645E-2</v>
      </c>
      <c r="CD22" s="43">
        <v>-2.02E-4</v>
      </c>
      <c r="CE22" s="43">
        <v>-1.8900000000000001E-4</v>
      </c>
      <c r="CF22" s="43">
        <v>-7.3999999999999996E-5</v>
      </c>
      <c r="CH22" s="30">
        <v>9.7344324382119766E-3</v>
      </c>
      <c r="CI22" s="43">
        <v>-3.1100000000000002E-4</v>
      </c>
      <c r="CJ22" s="43">
        <v>-3.1199999999999999E-4</v>
      </c>
      <c r="CK22" s="43">
        <v>-1.1900000000000001E-4</v>
      </c>
      <c r="CL22" s="30">
        <v>1.0846893304878645E-2</v>
      </c>
      <c r="CM22" s="43">
        <v>-3.2299999999999999E-4</v>
      </c>
      <c r="CN22" s="43">
        <v>-3.2299999999999999E-4</v>
      </c>
      <c r="CO22" s="43">
        <v>-1.08E-4</v>
      </c>
      <c r="CQ22" s="30">
        <v>9.7344324382119766E-3</v>
      </c>
      <c r="CR22" s="43">
        <v>-2.5000000000000001E-4</v>
      </c>
      <c r="CS22" s="43">
        <v>-2.5000000000000001E-4</v>
      </c>
      <c r="CT22" s="43">
        <v>-1.75E-4</v>
      </c>
      <c r="CU22" s="30">
        <v>1.0846893304878645E-2</v>
      </c>
      <c r="CV22" s="43">
        <v>-2.5399999999999999E-4</v>
      </c>
      <c r="CW22" s="43">
        <v>-2.5399999999999999E-4</v>
      </c>
      <c r="CX22" s="43">
        <v>-1.7100000000000001E-4</v>
      </c>
    </row>
    <row r="23" spans="2:102" x14ac:dyDescent="0.25">
      <c r="H23" s="2">
        <v>4.1717697304878634E-2</v>
      </c>
      <c r="I23" s="1">
        <v>-9.8528304427183775E-3</v>
      </c>
      <c r="J23" s="2">
        <v>0.2292713866768068</v>
      </c>
      <c r="K23" s="1"/>
      <c r="N23" s="30">
        <v>1.0429720804878643E-2</v>
      </c>
      <c r="O23" s="43">
        <v>-2.32E-4</v>
      </c>
      <c r="P23" s="43">
        <v>-2.2100000000000001E-4</v>
      </c>
      <c r="Q23" s="43">
        <v>-1.18E-4</v>
      </c>
      <c r="R23" s="30">
        <v>1.1681239304878644E-2</v>
      </c>
      <c r="S23" s="43">
        <v>-2.2599999999999999E-4</v>
      </c>
      <c r="T23" s="43">
        <v>-2.1599999999999999E-4</v>
      </c>
      <c r="U23" s="43">
        <v>-1.22E-4</v>
      </c>
      <c r="W23" s="30">
        <v>1.0429720804878643E-2</v>
      </c>
      <c r="X23" s="43">
        <v>-3.5799999999999997E-4</v>
      </c>
      <c r="Y23" s="43">
        <v>-3.2499999999999999E-4</v>
      </c>
      <c r="Z23" s="43">
        <v>-1.2E-5</v>
      </c>
      <c r="AA23" s="30">
        <v>1.1681239304878644E-2</v>
      </c>
      <c r="AB23" s="43">
        <v>-3.5799999999999997E-4</v>
      </c>
      <c r="AC23" s="43">
        <v>-3.2499999999999999E-4</v>
      </c>
      <c r="AD23" s="43">
        <v>-1.1E-5</v>
      </c>
      <c r="AF23" s="30">
        <v>1.0429720804878643E-2</v>
      </c>
      <c r="AG23" s="43">
        <v>-2.6699999999999998E-4</v>
      </c>
      <c r="AH23" s="43">
        <v>-2.5700000000000001E-4</v>
      </c>
      <c r="AI23" s="43">
        <v>-1.7100000000000001E-4</v>
      </c>
      <c r="AJ23" s="30">
        <v>1.1681239304878644E-2</v>
      </c>
      <c r="AK23" s="43">
        <v>-2.7300000000000002E-4</v>
      </c>
      <c r="AL23" s="43">
        <v>-2.6200000000000003E-4</v>
      </c>
      <c r="AM23" s="43">
        <v>-1.66E-4</v>
      </c>
      <c r="AO23" s="30">
        <v>1.0429720804878643E-2</v>
      </c>
      <c r="AP23" s="43">
        <v>-2.1699999999999999E-4</v>
      </c>
      <c r="AQ23" s="43">
        <v>-2.1599999999999999E-4</v>
      </c>
      <c r="AR23" s="43">
        <v>-2.0599999999999999E-4</v>
      </c>
      <c r="AS23" s="30">
        <v>1.1681239304878644E-2</v>
      </c>
      <c r="AT23" s="43">
        <v>-2.1699999999999999E-4</v>
      </c>
      <c r="AU23" s="43">
        <v>-2.1599999999999999E-4</v>
      </c>
      <c r="AV23" s="43">
        <v>-2.0599999999999999E-4</v>
      </c>
      <c r="AX23" s="30">
        <v>1.0429720804878643E-2</v>
      </c>
      <c r="AY23" s="43">
        <v>-2.6800000000000001E-4</v>
      </c>
      <c r="AZ23" s="43">
        <v>-2.5799999999999998E-4</v>
      </c>
      <c r="BA23" s="43">
        <v>-1.7000000000000001E-4</v>
      </c>
      <c r="BB23" s="30">
        <v>1.1681239304878644E-2</v>
      </c>
      <c r="BC23" s="43">
        <v>-2.7500000000000002E-4</v>
      </c>
      <c r="BD23" s="43">
        <v>-2.63E-4</v>
      </c>
      <c r="BE23" s="43">
        <v>-1.65E-4</v>
      </c>
      <c r="BG23" s="30">
        <v>1.0429720804878643E-2</v>
      </c>
      <c r="BH23" s="43">
        <v>-2.1499999999999999E-4</v>
      </c>
      <c r="BI23" s="43">
        <v>-2.1499999999999999E-4</v>
      </c>
      <c r="BJ23" s="43">
        <v>-2.0799999999999999E-4</v>
      </c>
      <c r="BK23" s="30">
        <v>1.1681239304878644E-2</v>
      </c>
      <c r="BL23" s="43">
        <v>-2.1499999999999999E-4</v>
      </c>
      <c r="BM23" s="43">
        <v>-2.1499999999999999E-4</v>
      </c>
      <c r="BN23" s="43">
        <v>-2.0799999999999999E-4</v>
      </c>
      <c r="BP23" s="30">
        <v>1.0429720804878643E-2</v>
      </c>
      <c r="BQ23" s="43">
        <v>-2.2800000000000001E-4</v>
      </c>
      <c r="BR23" s="43">
        <v>-2.1000000000000001E-4</v>
      </c>
      <c r="BS23" s="43">
        <v>-5.7000000000000003E-5</v>
      </c>
      <c r="BT23" s="30">
        <v>1.1681239304878644E-2</v>
      </c>
      <c r="BU23" s="43">
        <v>-2.34E-4</v>
      </c>
      <c r="BV23" s="43">
        <v>-2.1499999999999999E-4</v>
      </c>
      <c r="BW23" s="43">
        <v>-5.3000000000000001E-5</v>
      </c>
      <c r="BY23" s="30">
        <v>1.0429720804878643E-2</v>
      </c>
      <c r="BZ23" s="43">
        <v>-2.03E-4</v>
      </c>
      <c r="CA23" s="43">
        <v>-1.8900000000000001E-4</v>
      </c>
      <c r="CB23" s="43">
        <v>-7.3999999999999996E-5</v>
      </c>
      <c r="CC23" s="30">
        <v>1.1681239304878644E-2</v>
      </c>
      <c r="CD23" s="43">
        <v>-2.02E-4</v>
      </c>
      <c r="CE23" s="43">
        <v>-1.8900000000000001E-4</v>
      </c>
      <c r="CF23" s="43">
        <v>-7.4999999999999993E-5</v>
      </c>
      <c r="CH23" s="30">
        <v>1.0429720804878643E-2</v>
      </c>
      <c r="CI23" s="43">
        <v>-3.1799999999999998E-4</v>
      </c>
      <c r="CJ23" s="43">
        <v>-3.19E-4</v>
      </c>
      <c r="CK23" s="43">
        <v>-1.12E-4</v>
      </c>
      <c r="CL23" s="30">
        <v>1.1681239304878644E-2</v>
      </c>
      <c r="CM23" s="43">
        <v>-3.3100000000000002E-4</v>
      </c>
      <c r="CN23" s="43">
        <v>-3.3100000000000002E-4</v>
      </c>
      <c r="CO23" s="43">
        <v>-1E-4</v>
      </c>
      <c r="CQ23" s="30">
        <v>1.0429720804878643E-2</v>
      </c>
      <c r="CR23" s="43">
        <v>-2.5300000000000002E-4</v>
      </c>
      <c r="CS23" s="43">
        <v>-2.5300000000000002E-4</v>
      </c>
      <c r="CT23" s="43">
        <v>-1.7200000000000001E-4</v>
      </c>
      <c r="CU23" s="30">
        <v>1.1681239304878644E-2</v>
      </c>
      <c r="CV23" s="43">
        <v>-2.5799999999999998E-4</v>
      </c>
      <c r="CW23" s="43">
        <v>-2.5700000000000001E-4</v>
      </c>
      <c r="CX23" s="43">
        <v>-1.6799999999999999E-4</v>
      </c>
    </row>
    <row r="24" spans="2:102" x14ac:dyDescent="0.25">
      <c r="H24" s="73" t="s">
        <v>86</v>
      </c>
      <c r="I24" s="73"/>
      <c r="J24" s="73" t="s">
        <v>86</v>
      </c>
      <c r="K24" s="73"/>
      <c r="N24" s="30">
        <v>1.1125009171545311E-2</v>
      </c>
      <c r="O24" s="43">
        <v>-2.2900000000000001E-4</v>
      </c>
      <c r="P24" s="43">
        <v>-2.1800000000000001E-4</v>
      </c>
      <c r="Q24" s="43">
        <v>-1.2E-4</v>
      </c>
      <c r="R24" s="30">
        <v>1.2515585304878646E-2</v>
      </c>
      <c r="S24" s="43">
        <v>-2.2100000000000001E-4</v>
      </c>
      <c r="T24" s="43">
        <v>-2.12E-4</v>
      </c>
      <c r="U24" s="43">
        <v>-1.25E-4</v>
      </c>
      <c r="W24" s="30">
        <v>1.1125009171545311E-2</v>
      </c>
      <c r="X24" s="43">
        <v>-3.5799999999999997E-4</v>
      </c>
      <c r="Y24" s="43">
        <v>-3.2499999999999999E-4</v>
      </c>
      <c r="Z24" s="43">
        <v>-1.1E-5</v>
      </c>
      <c r="AA24" s="30">
        <v>1.2515585304878646E-2</v>
      </c>
      <c r="AB24" s="43">
        <v>-3.5799999999999997E-4</v>
      </c>
      <c r="AC24" s="43">
        <v>-3.2499999999999999E-4</v>
      </c>
      <c r="AD24" s="43">
        <v>-1.0000000000000001E-5</v>
      </c>
      <c r="AF24" s="30">
        <v>1.1125009171545311E-2</v>
      </c>
      <c r="AG24" s="43">
        <v>-2.7E-4</v>
      </c>
      <c r="AH24" s="43">
        <v>-2.5999999999999998E-4</v>
      </c>
      <c r="AI24" s="43">
        <v>-1.6799999999999999E-4</v>
      </c>
      <c r="AJ24" s="30">
        <v>1.2515585304878646E-2</v>
      </c>
      <c r="AK24" s="43">
        <v>-2.7700000000000001E-4</v>
      </c>
      <c r="AL24" s="43">
        <v>-2.6600000000000001E-4</v>
      </c>
      <c r="AM24" s="43">
        <v>-1.63E-4</v>
      </c>
      <c r="AO24" s="30">
        <v>1.1125009171545311E-2</v>
      </c>
      <c r="AP24" s="43">
        <v>-2.1699999999999999E-4</v>
      </c>
      <c r="AQ24" s="43">
        <v>-2.1599999999999999E-4</v>
      </c>
      <c r="AR24" s="43">
        <v>-2.0599999999999999E-4</v>
      </c>
      <c r="AS24" s="30">
        <v>1.2515585304878646E-2</v>
      </c>
      <c r="AT24" s="43">
        <v>-2.1800000000000001E-4</v>
      </c>
      <c r="AU24" s="43">
        <v>-2.1699999999999999E-4</v>
      </c>
      <c r="AV24" s="43">
        <v>-2.0599999999999999E-4</v>
      </c>
      <c r="AX24" s="30">
        <v>1.1125009171545311E-2</v>
      </c>
      <c r="AY24" s="43">
        <v>-2.72E-4</v>
      </c>
      <c r="AZ24" s="43">
        <v>-2.61E-4</v>
      </c>
      <c r="BA24" s="43">
        <v>-1.6799999999999999E-4</v>
      </c>
      <c r="BB24" s="30">
        <v>1.2515585304878646E-2</v>
      </c>
      <c r="BC24" s="43">
        <v>-2.7900000000000001E-4</v>
      </c>
      <c r="BD24" s="43">
        <v>-2.6699999999999998E-4</v>
      </c>
      <c r="BE24" s="43">
        <v>-1.6200000000000001E-4</v>
      </c>
      <c r="BG24" s="30">
        <v>1.1125009171545311E-2</v>
      </c>
      <c r="BH24" s="43">
        <v>-2.1499999999999999E-4</v>
      </c>
      <c r="BI24" s="43">
        <v>-2.1499999999999999E-4</v>
      </c>
      <c r="BJ24" s="43">
        <v>-2.0799999999999999E-4</v>
      </c>
      <c r="BK24" s="30">
        <v>1.2515585304878646E-2</v>
      </c>
      <c r="BL24" s="43">
        <v>-2.1599999999999999E-4</v>
      </c>
      <c r="BM24" s="43">
        <v>-2.1499999999999999E-4</v>
      </c>
      <c r="BN24" s="43">
        <v>-2.0799999999999999E-4</v>
      </c>
      <c r="BP24" s="30">
        <v>1.1125009171545311E-2</v>
      </c>
      <c r="BQ24" s="43">
        <v>-2.31E-4</v>
      </c>
      <c r="BR24" s="43">
        <v>-2.13E-4</v>
      </c>
      <c r="BS24" s="43">
        <v>-5.5000000000000002E-5</v>
      </c>
      <c r="BT24" s="30">
        <v>1.2515585304878646E-2</v>
      </c>
      <c r="BU24" s="43">
        <v>-2.3800000000000001E-4</v>
      </c>
      <c r="BV24" s="43">
        <v>-2.1900000000000001E-4</v>
      </c>
      <c r="BW24" s="43">
        <v>-5.0000000000000002E-5</v>
      </c>
      <c r="BY24" s="30">
        <v>1.1125009171545311E-2</v>
      </c>
      <c r="BZ24" s="43">
        <v>-2.02E-4</v>
      </c>
      <c r="CA24" s="43">
        <v>-1.8900000000000001E-4</v>
      </c>
      <c r="CB24" s="43">
        <v>-7.3999999999999996E-5</v>
      </c>
      <c r="CC24" s="30">
        <v>1.2515585304878646E-2</v>
      </c>
      <c r="CD24" s="43">
        <v>-2.0100000000000001E-4</v>
      </c>
      <c r="CE24" s="43">
        <v>-1.8799999999999999E-4</v>
      </c>
      <c r="CF24" s="43">
        <v>-7.6000000000000004E-5</v>
      </c>
      <c r="CH24" s="30">
        <v>1.1125009171545311E-2</v>
      </c>
      <c r="CI24" s="43">
        <v>-3.2499999999999999E-4</v>
      </c>
      <c r="CJ24" s="43">
        <v>-3.2499999999999999E-4</v>
      </c>
      <c r="CK24" s="43">
        <v>-1.05E-4</v>
      </c>
      <c r="CL24" s="30">
        <v>1.2515585304878646E-2</v>
      </c>
      <c r="CM24" s="43">
        <v>-3.39E-4</v>
      </c>
      <c r="CN24" s="43">
        <v>-3.39E-4</v>
      </c>
      <c r="CO24" s="43">
        <v>-9.2E-5</v>
      </c>
      <c r="CQ24" s="30">
        <v>1.1125009171545311E-2</v>
      </c>
      <c r="CR24" s="43">
        <v>-2.5599999999999999E-4</v>
      </c>
      <c r="CS24" s="43">
        <v>-2.5500000000000002E-4</v>
      </c>
      <c r="CT24" s="43">
        <v>-1.7000000000000001E-4</v>
      </c>
      <c r="CU24" s="30">
        <v>1.2515585304878646E-2</v>
      </c>
      <c r="CV24" s="43">
        <v>-2.61E-4</v>
      </c>
      <c r="CW24" s="43">
        <v>-2.61E-4</v>
      </c>
      <c r="CX24" s="43">
        <v>-1.64E-4</v>
      </c>
    </row>
    <row r="25" spans="2:102" x14ac:dyDescent="0.25">
      <c r="H25" s="2">
        <v>0</v>
      </c>
      <c r="I25" s="1">
        <v>-1.3137107256957837E-2</v>
      </c>
      <c r="J25" s="2">
        <v>0</v>
      </c>
      <c r="K25" s="1"/>
      <c r="N25" s="30">
        <v>1.1820297538211977E-2</v>
      </c>
      <c r="O25" s="43">
        <v>-2.2499999999999999E-4</v>
      </c>
      <c r="P25" s="43">
        <v>-2.1499999999999999E-4</v>
      </c>
      <c r="Q25" s="43">
        <v>-1.22E-4</v>
      </c>
      <c r="R25" s="30">
        <v>1.3349931304878646E-2</v>
      </c>
      <c r="S25" s="43">
        <v>-2.1699999999999999E-4</v>
      </c>
      <c r="T25" s="43">
        <v>-2.0900000000000001E-4</v>
      </c>
      <c r="U25" s="43">
        <v>-1.2799999999999999E-4</v>
      </c>
      <c r="W25" s="30">
        <v>1.1820297538211977E-2</v>
      </c>
      <c r="X25" s="43">
        <v>-3.5799999999999997E-4</v>
      </c>
      <c r="Y25" s="43">
        <v>-3.2499999999999999E-4</v>
      </c>
      <c r="Z25" s="43">
        <v>-1.0000000000000001E-5</v>
      </c>
      <c r="AA25" s="30">
        <v>1.3349931304878646E-2</v>
      </c>
      <c r="AB25" s="43">
        <v>-3.5799999999999997E-4</v>
      </c>
      <c r="AC25" s="43">
        <v>-3.2499999999999999E-4</v>
      </c>
      <c r="AD25" s="43">
        <v>-9.0000000000000002E-6</v>
      </c>
      <c r="AF25" s="30">
        <v>1.1820297538211977E-2</v>
      </c>
      <c r="AG25" s="43">
        <v>-2.7399999999999999E-4</v>
      </c>
      <c r="AH25" s="43">
        <v>-2.63E-4</v>
      </c>
      <c r="AI25" s="43">
        <v>-1.65E-4</v>
      </c>
      <c r="AJ25" s="30">
        <v>1.3349931304878646E-2</v>
      </c>
      <c r="AK25" s="43">
        <v>-2.8200000000000002E-4</v>
      </c>
      <c r="AL25" s="43">
        <v>-2.6899999999999998E-4</v>
      </c>
      <c r="AM25" s="43">
        <v>-1.5899999999999999E-4</v>
      </c>
      <c r="AO25" s="30">
        <v>1.1820297538211977E-2</v>
      </c>
      <c r="AP25" s="43">
        <v>-2.1699999999999999E-4</v>
      </c>
      <c r="AQ25" s="43">
        <v>-2.1599999999999999E-4</v>
      </c>
      <c r="AR25" s="43">
        <v>-2.0599999999999999E-4</v>
      </c>
      <c r="AS25" s="30">
        <v>1.3349931304878646E-2</v>
      </c>
      <c r="AT25" s="43">
        <v>-2.1800000000000001E-4</v>
      </c>
      <c r="AU25" s="43">
        <v>-2.1699999999999999E-4</v>
      </c>
      <c r="AV25" s="43">
        <v>-2.05E-4</v>
      </c>
      <c r="AX25" s="30">
        <v>1.1820297538211977E-2</v>
      </c>
      <c r="AY25" s="43">
        <v>-2.7500000000000002E-4</v>
      </c>
      <c r="AZ25" s="43">
        <v>-2.6400000000000002E-4</v>
      </c>
      <c r="BA25" s="43">
        <v>-1.65E-4</v>
      </c>
      <c r="BB25" s="30">
        <v>1.3349931304878646E-2</v>
      </c>
      <c r="BC25" s="43">
        <v>-2.8299999999999999E-4</v>
      </c>
      <c r="BD25" s="43">
        <v>-2.7099999999999997E-4</v>
      </c>
      <c r="BE25" s="43">
        <v>-1.5899999999999999E-4</v>
      </c>
      <c r="BG25" s="30">
        <v>1.1820297538211977E-2</v>
      </c>
      <c r="BH25" s="43">
        <v>-2.1499999999999999E-4</v>
      </c>
      <c r="BI25" s="43">
        <v>-2.1499999999999999E-4</v>
      </c>
      <c r="BJ25" s="43">
        <v>-2.0799999999999999E-4</v>
      </c>
      <c r="BK25" s="30">
        <v>1.3349931304878646E-2</v>
      </c>
      <c r="BL25" s="43">
        <v>-2.1599999999999999E-4</v>
      </c>
      <c r="BM25" s="43">
        <v>-2.1499999999999999E-4</v>
      </c>
      <c r="BN25" s="43">
        <v>-2.0799999999999999E-4</v>
      </c>
      <c r="BP25" s="30">
        <v>1.1820297538211977E-2</v>
      </c>
      <c r="BQ25" s="43">
        <v>-2.3499999999999999E-4</v>
      </c>
      <c r="BR25" s="43">
        <v>-2.1599999999999999E-4</v>
      </c>
      <c r="BS25" s="43">
        <v>-5.3000000000000001E-5</v>
      </c>
      <c r="BT25" s="30">
        <v>1.3349931304878646E-2</v>
      </c>
      <c r="BU25" s="43">
        <v>-2.43E-4</v>
      </c>
      <c r="BV25" s="43">
        <v>-2.22E-4</v>
      </c>
      <c r="BW25" s="43">
        <v>-4.8000000000000001E-5</v>
      </c>
      <c r="BY25" s="30">
        <v>1.1820297538211977E-2</v>
      </c>
      <c r="BZ25" s="43">
        <v>-2.02E-4</v>
      </c>
      <c r="CA25" s="43">
        <v>-1.8900000000000001E-4</v>
      </c>
      <c r="CB25" s="43">
        <v>-7.4999999999999993E-5</v>
      </c>
      <c r="CC25" s="30">
        <v>1.3349931304878646E-2</v>
      </c>
      <c r="CD25" s="43">
        <v>-2.0100000000000001E-4</v>
      </c>
      <c r="CE25" s="43">
        <v>-1.8799999999999999E-4</v>
      </c>
      <c r="CF25" s="43">
        <v>-7.7000000000000001E-5</v>
      </c>
      <c r="CH25" s="30">
        <v>1.1820297538211977E-2</v>
      </c>
      <c r="CI25" s="43">
        <v>-3.3199999999999999E-4</v>
      </c>
      <c r="CJ25" s="43">
        <v>-3.3199999999999999E-4</v>
      </c>
      <c r="CK25" s="43">
        <v>-9.8999999999999994E-5</v>
      </c>
      <c r="CL25" s="30">
        <v>1.3349931304878646E-2</v>
      </c>
      <c r="CM25" s="43">
        <v>-3.4699999999999998E-4</v>
      </c>
      <c r="CN25" s="43">
        <v>-3.48E-4</v>
      </c>
      <c r="CO25" s="43">
        <v>-8.3999999999999995E-5</v>
      </c>
      <c r="CQ25" s="30">
        <v>1.1820297538211977E-2</v>
      </c>
      <c r="CR25" s="43">
        <v>-2.5799999999999998E-4</v>
      </c>
      <c r="CS25" s="43">
        <v>-2.5799999999999998E-4</v>
      </c>
      <c r="CT25" s="43">
        <v>-1.6699999999999999E-4</v>
      </c>
      <c r="CU25" s="30">
        <v>1.3349931304878646E-2</v>
      </c>
      <c r="CV25" s="43">
        <v>-2.6400000000000002E-4</v>
      </c>
      <c r="CW25" s="43">
        <v>-2.6400000000000002E-4</v>
      </c>
      <c r="CX25" s="43">
        <v>-1.6100000000000001E-4</v>
      </c>
    </row>
    <row r="26" spans="2:102" ht="14.45" customHeight="1" x14ac:dyDescent="0.25">
      <c r="H26" s="2">
        <v>4.1717697304878634E-2</v>
      </c>
      <c r="I26" s="1">
        <v>-1.3137107256957837E-2</v>
      </c>
      <c r="J26" s="2">
        <v>0.2292713866768068</v>
      </c>
      <c r="K26" s="1"/>
      <c r="N26" s="30">
        <v>1.2515585904878643E-2</v>
      </c>
      <c r="O26" s="43">
        <v>-2.2100000000000001E-4</v>
      </c>
      <c r="P26" s="43">
        <v>-2.12E-4</v>
      </c>
      <c r="Q26" s="43">
        <v>-1.25E-4</v>
      </c>
      <c r="R26" s="30">
        <v>1.4184277304878645E-2</v>
      </c>
      <c r="S26" s="43">
        <v>-2.13E-4</v>
      </c>
      <c r="T26" s="43">
        <v>-2.05E-4</v>
      </c>
      <c r="U26" s="43">
        <v>-1.2999999999999999E-4</v>
      </c>
      <c r="W26" s="30">
        <v>1.2515585904878643E-2</v>
      </c>
      <c r="X26" s="43">
        <v>-3.5799999999999997E-4</v>
      </c>
      <c r="Y26" s="43">
        <v>-3.2499999999999999E-4</v>
      </c>
      <c r="Z26" s="43">
        <v>-1.0000000000000001E-5</v>
      </c>
      <c r="AA26" s="30">
        <v>1.4184277304878645E-2</v>
      </c>
      <c r="AB26" s="43">
        <v>-3.5799999999999997E-4</v>
      </c>
      <c r="AC26" s="43">
        <v>-3.2499999999999999E-4</v>
      </c>
      <c r="AD26" s="43">
        <v>-7.9999999999999996E-6</v>
      </c>
      <c r="AF26" s="30">
        <v>1.2515585904878643E-2</v>
      </c>
      <c r="AG26" s="43">
        <v>-2.7700000000000001E-4</v>
      </c>
      <c r="AH26" s="43">
        <v>-2.6600000000000001E-4</v>
      </c>
      <c r="AI26" s="43">
        <v>-1.63E-4</v>
      </c>
      <c r="AJ26" s="30">
        <v>1.4184277304878645E-2</v>
      </c>
      <c r="AK26" s="43">
        <v>-2.8600000000000001E-4</v>
      </c>
      <c r="AL26" s="43">
        <v>-2.7300000000000002E-4</v>
      </c>
      <c r="AM26" s="43">
        <v>-1.56E-4</v>
      </c>
      <c r="AO26" s="30">
        <v>1.2515585904878643E-2</v>
      </c>
      <c r="AP26" s="43">
        <v>-2.1800000000000001E-4</v>
      </c>
      <c r="AQ26" s="43">
        <v>-2.1699999999999999E-4</v>
      </c>
      <c r="AR26" s="43">
        <v>-2.0599999999999999E-4</v>
      </c>
      <c r="AS26" s="30">
        <v>1.4184277304878645E-2</v>
      </c>
      <c r="AT26" s="43">
        <v>-2.1800000000000001E-4</v>
      </c>
      <c r="AU26" s="43">
        <v>-2.1699999999999999E-4</v>
      </c>
      <c r="AV26" s="43">
        <v>-2.05E-4</v>
      </c>
      <c r="AX26" s="30">
        <v>1.2515585904878643E-2</v>
      </c>
      <c r="AY26" s="43">
        <v>-2.7900000000000001E-4</v>
      </c>
      <c r="AZ26" s="43">
        <v>-2.6699999999999998E-4</v>
      </c>
      <c r="BA26" s="43">
        <v>-1.6200000000000001E-4</v>
      </c>
      <c r="BB26" s="30">
        <v>1.4184277304878645E-2</v>
      </c>
      <c r="BC26" s="43">
        <v>-2.8800000000000001E-4</v>
      </c>
      <c r="BD26" s="43">
        <v>-2.7399999999999999E-4</v>
      </c>
      <c r="BE26" s="43">
        <v>-1.55E-4</v>
      </c>
      <c r="BG26" s="30">
        <v>1.2515585904878643E-2</v>
      </c>
      <c r="BH26" s="43">
        <v>-2.1599999999999999E-4</v>
      </c>
      <c r="BI26" s="43">
        <v>-2.1499999999999999E-4</v>
      </c>
      <c r="BJ26" s="43">
        <v>-2.0799999999999999E-4</v>
      </c>
      <c r="BK26" s="30">
        <v>1.4184277304878645E-2</v>
      </c>
      <c r="BL26" s="43">
        <v>-2.1599999999999999E-4</v>
      </c>
      <c r="BM26" s="43">
        <v>-2.1599999999999999E-4</v>
      </c>
      <c r="BN26" s="43">
        <v>-2.0699999999999999E-4</v>
      </c>
      <c r="BP26" s="30">
        <v>1.2515585904878643E-2</v>
      </c>
      <c r="BQ26" s="43">
        <v>-2.3800000000000001E-4</v>
      </c>
      <c r="BR26" s="43">
        <v>-2.1900000000000001E-4</v>
      </c>
      <c r="BS26" s="43">
        <v>-5.0000000000000002E-5</v>
      </c>
      <c r="BT26" s="30">
        <v>1.4184277304878645E-2</v>
      </c>
      <c r="BU26" s="43">
        <v>-2.4699999999999999E-4</v>
      </c>
      <c r="BV26" s="43">
        <v>-2.2599999999999999E-4</v>
      </c>
      <c r="BW26" s="43">
        <v>-4.5000000000000003E-5</v>
      </c>
      <c r="BY26" s="30">
        <v>1.2515585904878643E-2</v>
      </c>
      <c r="BZ26" s="43">
        <v>-2.0100000000000001E-4</v>
      </c>
      <c r="CA26" s="43">
        <v>-1.8799999999999999E-4</v>
      </c>
      <c r="CB26" s="43">
        <v>-7.6000000000000004E-5</v>
      </c>
      <c r="CC26" s="30">
        <v>1.4184277304878645E-2</v>
      </c>
      <c r="CD26" s="43">
        <v>-2.0000000000000001E-4</v>
      </c>
      <c r="CE26" s="43">
        <v>-1.8699999999999999E-4</v>
      </c>
      <c r="CF26" s="43">
        <v>-7.7999999999999999E-5</v>
      </c>
      <c r="CH26" s="30">
        <v>1.2515585904878643E-2</v>
      </c>
      <c r="CI26" s="43">
        <v>-3.39E-4</v>
      </c>
      <c r="CJ26" s="43">
        <v>-3.39E-4</v>
      </c>
      <c r="CK26" s="43">
        <v>-9.2E-5</v>
      </c>
      <c r="CL26" s="30">
        <v>1.4184277304878645E-2</v>
      </c>
      <c r="CM26" s="43">
        <v>-3.5599999999999998E-4</v>
      </c>
      <c r="CN26" s="43">
        <v>-3.5599999999999998E-4</v>
      </c>
      <c r="CO26" s="43">
        <v>-7.6000000000000004E-5</v>
      </c>
      <c r="CQ26" s="30">
        <v>1.2515585904878643E-2</v>
      </c>
      <c r="CR26" s="43">
        <v>-2.61E-4</v>
      </c>
      <c r="CS26" s="43">
        <v>-2.61E-4</v>
      </c>
      <c r="CT26" s="43">
        <v>-1.64E-4</v>
      </c>
      <c r="CU26" s="30">
        <v>1.4184277304878645E-2</v>
      </c>
      <c r="CV26" s="43">
        <v>-2.6699999999999998E-4</v>
      </c>
      <c r="CW26" s="43">
        <v>-2.6699999999999998E-4</v>
      </c>
      <c r="CX26" s="43">
        <v>-1.5799999999999999E-4</v>
      </c>
    </row>
    <row r="27" spans="2:102" x14ac:dyDescent="0.25">
      <c r="N27" s="30">
        <v>1.321087427154531E-2</v>
      </c>
      <c r="O27" s="43">
        <v>-2.1800000000000001E-4</v>
      </c>
      <c r="P27" s="43">
        <v>-2.0900000000000001E-4</v>
      </c>
      <c r="Q27" s="43">
        <v>-1.27E-4</v>
      </c>
      <c r="R27" s="30">
        <v>1.5018623304878645E-2</v>
      </c>
      <c r="S27" s="43">
        <v>-2.0799999999999999E-4</v>
      </c>
      <c r="T27" s="43">
        <v>-2.0100000000000001E-4</v>
      </c>
      <c r="U27" s="43">
        <v>-1.3300000000000001E-4</v>
      </c>
      <c r="W27" s="30">
        <v>1.321087427154531E-2</v>
      </c>
      <c r="X27" s="43">
        <v>-3.5799999999999997E-4</v>
      </c>
      <c r="Y27" s="43">
        <v>-3.2499999999999999E-4</v>
      </c>
      <c r="Z27" s="43">
        <v>-9.0000000000000002E-6</v>
      </c>
      <c r="AA27" s="30">
        <v>1.5018623304878645E-2</v>
      </c>
      <c r="AB27" s="43">
        <v>-3.5799999999999997E-4</v>
      </c>
      <c r="AC27" s="43">
        <v>-3.2499999999999999E-4</v>
      </c>
      <c r="AD27" s="43">
        <v>-6.9999999999999999E-6</v>
      </c>
      <c r="AF27" s="30">
        <v>1.321087427154531E-2</v>
      </c>
      <c r="AG27" s="43">
        <v>-2.81E-4</v>
      </c>
      <c r="AH27" s="43">
        <v>-2.6899999999999998E-4</v>
      </c>
      <c r="AI27" s="43">
        <v>-1.6000000000000001E-4</v>
      </c>
      <c r="AJ27" s="30">
        <v>1.5018623304878645E-2</v>
      </c>
      <c r="AK27" s="43">
        <v>-2.9E-4</v>
      </c>
      <c r="AL27" s="43">
        <v>-2.7599999999999999E-4</v>
      </c>
      <c r="AM27" s="43">
        <v>-1.5300000000000001E-4</v>
      </c>
      <c r="AO27" s="30">
        <v>1.321087427154531E-2</v>
      </c>
      <c r="AP27" s="43">
        <v>-2.1800000000000001E-4</v>
      </c>
      <c r="AQ27" s="43">
        <v>-2.1699999999999999E-4</v>
      </c>
      <c r="AR27" s="43">
        <v>-2.05E-4</v>
      </c>
      <c r="AS27" s="30">
        <v>1.5018623304878645E-2</v>
      </c>
      <c r="AT27" s="43">
        <v>-2.1800000000000001E-4</v>
      </c>
      <c r="AU27" s="43">
        <v>-2.1699999999999999E-4</v>
      </c>
      <c r="AV27" s="43">
        <v>-2.05E-4</v>
      </c>
      <c r="AX27" s="30">
        <v>1.321087427154531E-2</v>
      </c>
      <c r="AY27" s="43">
        <v>-2.8200000000000002E-4</v>
      </c>
      <c r="AZ27" s="43">
        <v>-2.7E-4</v>
      </c>
      <c r="BA27" s="43">
        <v>-1.5899999999999999E-4</v>
      </c>
      <c r="BB27" s="30">
        <v>1.5018623304878645E-2</v>
      </c>
      <c r="BC27" s="43">
        <v>-2.92E-4</v>
      </c>
      <c r="BD27" s="43">
        <v>-2.7799999999999998E-4</v>
      </c>
      <c r="BE27" s="43">
        <v>-1.5200000000000001E-4</v>
      </c>
      <c r="BG27" s="30">
        <v>1.321087427154531E-2</v>
      </c>
      <c r="BH27" s="43">
        <v>-2.1599999999999999E-4</v>
      </c>
      <c r="BI27" s="43">
        <v>-2.1499999999999999E-4</v>
      </c>
      <c r="BJ27" s="43">
        <v>-2.0799999999999999E-4</v>
      </c>
      <c r="BK27" s="30">
        <v>1.5018623304878645E-2</v>
      </c>
      <c r="BL27" s="43">
        <v>-2.1599999999999999E-4</v>
      </c>
      <c r="BM27" s="43">
        <v>-2.1599999999999999E-4</v>
      </c>
      <c r="BN27" s="43">
        <v>-2.0699999999999999E-4</v>
      </c>
      <c r="BP27" s="30">
        <v>1.321087427154531E-2</v>
      </c>
      <c r="BQ27" s="43">
        <v>-2.42E-4</v>
      </c>
      <c r="BR27" s="43">
        <v>-2.22E-4</v>
      </c>
      <c r="BS27" s="43">
        <v>-4.8000000000000001E-5</v>
      </c>
      <c r="BT27" s="30">
        <v>1.5018623304878645E-2</v>
      </c>
      <c r="BU27" s="43">
        <v>-2.5099999999999998E-4</v>
      </c>
      <c r="BV27" s="43">
        <v>-2.2900000000000001E-4</v>
      </c>
      <c r="BW27" s="43">
        <v>-4.1999999999999998E-5</v>
      </c>
      <c r="BY27" s="30">
        <v>1.321087427154531E-2</v>
      </c>
      <c r="BZ27" s="43">
        <v>-2.0100000000000001E-4</v>
      </c>
      <c r="CA27" s="43">
        <v>-1.8799999999999999E-4</v>
      </c>
      <c r="CB27" s="43">
        <v>-7.7000000000000001E-5</v>
      </c>
      <c r="CC27" s="30">
        <v>1.5018623304878645E-2</v>
      </c>
      <c r="CD27" s="43">
        <v>-1.9900000000000001E-4</v>
      </c>
      <c r="CE27" s="43">
        <v>-1.8699999999999999E-4</v>
      </c>
      <c r="CF27" s="43">
        <v>-7.8999999999999996E-5</v>
      </c>
      <c r="CH27" s="30">
        <v>1.321087427154531E-2</v>
      </c>
      <c r="CI27" s="43">
        <v>-3.4600000000000001E-4</v>
      </c>
      <c r="CJ27" s="43">
        <v>-3.4600000000000001E-4</v>
      </c>
      <c r="CK27" s="43">
        <v>-8.5000000000000006E-5</v>
      </c>
      <c r="CL27" s="30">
        <v>1.5018623304878645E-2</v>
      </c>
      <c r="CM27" s="43">
        <v>-3.6400000000000001E-4</v>
      </c>
      <c r="CN27" s="43">
        <v>-3.6400000000000001E-4</v>
      </c>
      <c r="CO27" s="43">
        <v>-6.7999999999999999E-5</v>
      </c>
      <c r="CQ27" s="30">
        <v>1.321087427154531E-2</v>
      </c>
      <c r="CR27" s="43">
        <v>-2.63E-4</v>
      </c>
      <c r="CS27" s="43">
        <v>-2.63E-4</v>
      </c>
      <c r="CT27" s="43">
        <v>-1.6200000000000001E-4</v>
      </c>
      <c r="CU27" s="30">
        <v>1.5018623304878645E-2</v>
      </c>
      <c r="CV27" s="43">
        <v>-2.7E-4</v>
      </c>
      <c r="CW27" s="43">
        <v>-2.7E-4</v>
      </c>
      <c r="CX27" s="43">
        <v>-1.55E-4</v>
      </c>
    </row>
    <row r="28" spans="2:102" x14ac:dyDescent="0.25">
      <c r="N28" s="30">
        <v>1.3906162638211976E-2</v>
      </c>
      <c r="O28" s="43">
        <v>-2.14E-4</v>
      </c>
      <c r="P28" s="43">
        <v>-2.0599999999999999E-4</v>
      </c>
      <c r="Q28" s="43">
        <v>-1.2899999999999999E-4</v>
      </c>
      <c r="R28" s="30">
        <v>1.5852969304878645E-2</v>
      </c>
      <c r="S28" s="43">
        <v>-2.0900000000000001E-4</v>
      </c>
      <c r="T28" s="43">
        <v>-2.02E-4</v>
      </c>
      <c r="U28" s="43">
        <v>-1.3200000000000001E-4</v>
      </c>
      <c r="W28" s="30">
        <v>1.3906162638211976E-2</v>
      </c>
      <c r="X28" s="43">
        <v>-3.5799999999999997E-4</v>
      </c>
      <c r="Y28" s="43">
        <v>-3.2499999999999999E-4</v>
      </c>
      <c r="Z28" s="43">
        <v>-7.9999999999999996E-6</v>
      </c>
      <c r="AA28" s="30">
        <v>1.5852969304878645E-2</v>
      </c>
      <c r="AB28" s="43">
        <v>-3.5799999999999997E-4</v>
      </c>
      <c r="AC28" s="43">
        <v>-3.2499999999999999E-4</v>
      </c>
      <c r="AD28" s="43">
        <v>-6.0000000000000002E-6</v>
      </c>
      <c r="AF28" s="30">
        <v>1.3906162638211976E-2</v>
      </c>
      <c r="AG28" s="43">
        <v>-2.8400000000000002E-4</v>
      </c>
      <c r="AH28" s="43">
        <v>-2.7099999999999997E-4</v>
      </c>
      <c r="AI28" s="43">
        <v>-1.5699999999999999E-4</v>
      </c>
      <c r="AJ28" s="30">
        <v>1.5852969304878645E-2</v>
      </c>
      <c r="AK28" s="43">
        <v>-2.9399999999999999E-4</v>
      </c>
      <c r="AL28" s="43">
        <v>-2.7900000000000001E-4</v>
      </c>
      <c r="AM28" s="43">
        <v>-1.4899999999999999E-4</v>
      </c>
      <c r="AO28" s="30">
        <v>1.3906162638211976E-2</v>
      </c>
      <c r="AP28" s="43">
        <v>-2.1800000000000001E-4</v>
      </c>
      <c r="AQ28" s="43">
        <v>-2.1699999999999999E-4</v>
      </c>
      <c r="AR28" s="43">
        <v>-2.05E-4</v>
      </c>
      <c r="AS28" s="30">
        <v>1.5852969304878645E-2</v>
      </c>
      <c r="AT28" s="43">
        <v>-2.1900000000000001E-4</v>
      </c>
      <c r="AU28" s="43">
        <v>-2.1699999999999999E-4</v>
      </c>
      <c r="AV28" s="43">
        <v>-2.05E-4</v>
      </c>
      <c r="AX28" s="30">
        <v>1.3906162638211976E-2</v>
      </c>
      <c r="AY28" s="43">
        <v>-2.8600000000000001E-4</v>
      </c>
      <c r="AZ28" s="43">
        <v>-2.7300000000000002E-4</v>
      </c>
      <c r="BA28" s="43">
        <v>-1.56E-4</v>
      </c>
      <c r="BB28" s="30">
        <v>1.5852969304878645E-2</v>
      </c>
      <c r="BC28" s="43">
        <v>-2.9599999999999998E-4</v>
      </c>
      <c r="BD28" s="43">
        <v>-2.81E-4</v>
      </c>
      <c r="BE28" s="43">
        <v>-1.4899999999999999E-4</v>
      </c>
      <c r="BG28" s="30">
        <v>1.3906162638211976E-2</v>
      </c>
      <c r="BH28" s="43">
        <v>-2.1599999999999999E-4</v>
      </c>
      <c r="BI28" s="43">
        <v>-2.1499999999999999E-4</v>
      </c>
      <c r="BJ28" s="43">
        <v>-2.0699999999999999E-4</v>
      </c>
      <c r="BK28" s="30">
        <v>1.5852969304878645E-2</v>
      </c>
      <c r="BL28" s="43">
        <v>-2.1699999999999999E-4</v>
      </c>
      <c r="BM28" s="43">
        <v>-2.1599999999999999E-4</v>
      </c>
      <c r="BN28" s="43">
        <v>-2.0699999999999999E-4</v>
      </c>
      <c r="BP28" s="30">
        <v>1.3906162638211976E-2</v>
      </c>
      <c r="BQ28" s="43">
        <v>-2.4499999999999999E-4</v>
      </c>
      <c r="BR28" s="43">
        <v>-2.2499999999999999E-4</v>
      </c>
      <c r="BS28" s="43">
        <v>-4.6E-5</v>
      </c>
      <c r="BT28" s="30">
        <v>1.5852969304878645E-2</v>
      </c>
      <c r="BU28" s="43">
        <v>-2.5500000000000002E-4</v>
      </c>
      <c r="BV28" s="43">
        <v>-2.33E-4</v>
      </c>
      <c r="BW28" s="43">
        <v>-3.8999999999999999E-5</v>
      </c>
      <c r="BY28" s="30">
        <v>1.3906162638211976E-2</v>
      </c>
      <c r="BZ28" s="43">
        <v>-2.0000000000000001E-4</v>
      </c>
      <c r="CA28" s="43">
        <v>-1.8799999999999999E-4</v>
      </c>
      <c r="CB28" s="43">
        <v>-7.7999999999999999E-5</v>
      </c>
      <c r="CC28" s="30">
        <v>1.5852969304878645E-2</v>
      </c>
      <c r="CD28" s="43">
        <v>-1.9900000000000001E-4</v>
      </c>
      <c r="CE28" s="43">
        <v>-1.8699999999999999E-4</v>
      </c>
      <c r="CF28" s="43">
        <v>-8.0000000000000007E-5</v>
      </c>
      <c r="CH28" s="30">
        <v>1.3906162638211976E-2</v>
      </c>
      <c r="CI28" s="43">
        <v>-3.5300000000000002E-4</v>
      </c>
      <c r="CJ28" s="43">
        <v>-3.5300000000000002E-4</v>
      </c>
      <c r="CK28" s="43">
        <v>-7.7999999999999999E-5</v>
      </c>
      <c r="CL28" s="30">
        <v>1.5852969304878645E-2</v>
      </c>
      <c r="CM28" s="43">
        <v>-3.7199999999999999E-4</v>
      </c>
      <c r="CN28" s="43">
        <v>-3.7300000000000001E-4</v>
      </c>
      <c r="CO28" s="43">
        <v>-5.8999999999999998E-5</v>
      </c>
      <c r="CQ28" s="30">
        <v>1.3906162638211976E-2</v>
      </c>
      <c r="CR28" s="43">
        <v>-2.6600000000000001E-4</v>
      </c>
      <c r="CS28" s="43">
        <v>-2.6600000000000001E-4</v>
      </c>
      <c r="CT28" s="43">
        <v>-1.5899999999999999E-4</v>
      </c>
      <c r="CU28" s="30">
        <v>1.5852969304878645E-2</v>
      </c>
      <c r="CV28" s="43">
        <v>-2.7300000000000002E-4</v>
      </c>
      <c r="CW28" s="43">
        <v>-2.7300000000000002E-4</v>
      </c>
      <c r="CX28" s="43">
        <v>-1.5200000000000001E-4</v>
      </c>
    </row>
    <row r="29" spans="2:102" x14ac:dyDescent="0.25">
      <c r="N29" s="30">
        <v>1.4601451004878642E-2</v>
      </c>
      <c r="O29" s="43">
        <v>-2.1100000000000001E-4</v>
      </c>
      <c r="P29" s="43">
        <v>-2.03E-4</v>
      </c>
      <c r="Q29" s="43">
        <v>-1.3200000000000001E-4</v>
      </c>
      <c r="R29" s="30">
        <v>1.6687315304878644E-2</v>
      </c>
      <c r="S29" s="43">
        <v>-2.13E-4</v>
      </c>
      <c r="T29" s="43">
        <v>-2.05E-4</v>
      </c>
      <c r="U29" s="43">
        <v>-1.2799999999999999E-4</v>
      </c>
      <c r="W29" s="30">
        <v>1.4601451004878642E-2</v>
      </c>
      <c r="X29" s="43">
        <v>-3.5799999999999997E-4</v>
      </c>
      <c r="Y29" s="43">
        <v>-3.2499999999999999E-4</v>
      </c>
      <c r="Z29" s="43">
        <v>-7.9999999999999996E-6</v>
      </c>
      <c r="AA29" s="30">
        <v>1.6687315304878644E-2</v>
      </c>
      <c r="AB29" s="43">
        <v>-3.5799999999999997E-4</v>
      </c>
      <c r="AC29" s="43">
        <v>-3.2499999999999999E-4</v>
      </c>
      <c r="AD29" s="43">
        <v>-6.0000000000000002E-6</v>
      </c>
      <c r="AF29" s="30">
        <v>1.4601451004878642E-2</v>
      </c>
      <c r="AG29" s="43">
        <v>-2.8800000000000001E-4</v>
      </c>
      <c r="AH29" s="43">
        <v>-2.7399999999999999E-4</v>
      </c>
      <c r="AI29" s="43">
        <v>-1.54E-4</v>
      </c>
      <c r="AJ29" s="30">
        <v>1.6687315304878644E-2</v>
      </c>
      <c r="AK29" s="43">
        <v>-2.99E-4</v>
      </c>
      <c r="AL29" s="43">
        <v>-2.8299999999999999E-4</v>
      </c>
      <c r="AM29" s="43">
        <v>-1.46E-4</v>
      </c>
      <c r="AO29" s="30">
        <v>1.4601451004878642E-2</v>
      </c>
      <c r="AP29" s="43">
        <v>-2.1800000000000001E-4</v>
      </c>
      <c r="AQ29" s="43">
        <v>-2.1699999999999999E-4</v>
      </c>
      <c r="AR29" s="43">
        <v>-2.05E-4</v>
      </c>
      <c r="AS29" s="30">
        <v>1.6687315304878644E-2</v>
      </c>
      <c r="AT29" s="43">
        <v>-2.1900000000000001E-4</v>
      </c>
      <c r="AU29" s="43">
        <v>-2.1800000000000001E-4</v>
      </c>
      <c r="AV29" s="43">
        <v>-2.04E-4</v>
      </c>
      <c r="AX29" s="30">
        <v>1.4601451004878642E-2</v>
      </c>
      <c r="AY29" s="43">
        <v>-2.9E-4</v>
      </c>
      <c r="AZ29" s="43">
        <v>-2.7599999999999999E-4</v>
      </c>
      <c r="BA29" s="43">
        <v>-1.54E-4</v>
      </c>
      <c r="BB29" s="30">
        <v>1.6687315304878644E-2</v>
      </c>
      <c r="BC29" s="43">
        <v>-3.01E-4</v>
      </c>
      <c r="BD29" s="43">
        <v>-2.8499999999999999E-4</v>
      </c>
      <c r="BE29" s="43">
        <v>-1.45E-4</v>
      </c>
      <c r="BG29" s="30">
        <v>1.4601451004878642E-2</v>
      </c>
      <c r="BH29" s="43">
        <v>-2.1599999999999999E-4</v>
      </c>
      <c r="BI29" s="43">
        <v>-2.1599999999999999E-4</v>
      </c>
      <c r="BJ29" s="43">
        <v>-2.0699999999999999E-4</v>
      </c>
      <c r="BK29" s="30">
        <v>1.6687315304878644E-2</v>
      </c>
      <c r="BL29" s="43">
        <v>-2.1699999999999999E-4</v>
      </c>
      <c r="BM29" s="43">
        <v>-2.1599999999999999E-4</v>
      </c>
      <c r="BN29" s="43">
        <v>-2.0699999999999999E-4</v>
      </c>
      <c r="BP29" s="30">
        <v>1.4601451004878642E-2</v>
      </c>
      <c r="BQ29" s="43">
        <v>-2.4899999999999998E-4</v>
      </c>
      <c r="BR29" s="43">
        <v>-2.2800000000000001E-4</v>
      </c>
      <c r="BS29" s="43">
        <v>-4.3000000000000002E-5</v>
      </c>
      <c r="BT29" s="30">
        <v>1.6687315304878644E-2</v>
      </c>
      <c r="BU29" s="43">
        <v>-2.5900000000000001E-4</v>
      </c>
      <c r="BV29" s="43">
        <v>-2.3599999999999999E-4</v>
      </c>
      <c r="BW29" s="43">
        <v>-3.6000000000000001E-5</v>
      </c>
      <c r="BY29" s="30">
        <v>1.4601451004878642E-2</v>
      </c>
      <c r="BZ29" s="43">
        <v>-2.0000000000000001E-4</v>
      </c>
      <c r="CA29" s="43">
        <v>-1.8699999999999999E-4</v>
      </c>
      <c r="CB29" s="43">
        <v>-7.7999999999999999E-5</v>
      </c>
      <c r="CC29" s="30">
        <v>1.6687315304878644E-2</v>
      </c>
      <c r="CD29" s="43">
        <v>-1.9799999999999999E-4</v>
      </c>
      <c r="CE29" s="43">
        <v>-1.8599999999999999E-4</v>
      </c>
      <c r="CF29" s="43">
        <v>-8.1000000000000004E-5</v>
      </c>
      <c r="CH29" s="30">
        <v>1.4601451004878642E-2</v>
      </c>
      <c r="CI29" s="43">
        <v>-3.6000000000000002E-4</v>
      </c>
      <c r="CJ29" s="43">
        <v>-3.6000000000000002E-4</v>
      </c>
      <c r="CK29" s="43">
        <v>-7.2000000000000002E-5</v>
      </c>
      <c r="CL29" s="30">
        <v>1.6687315304878644E-2</v>
      </c>
      <c r="CM29" s="43">
        <v>-3.8000000000000002E-4</v>
      </c>
      <c r="CN29" s="43">
        <v>-3.8099999999999999E-4</v>
      </c>
      <c r="CO29" s="43">
        <v>-5.1E-5</v>
      </c>
      <c r="CQ29" s="30">
        <v>1.4601451004878642E-2</v>
      </c>
      <c r="CR29" s="43">
        <v>-2.6899999999999998E-4</v>
      </c>
      <c r="CS29" s="43">
        <v>-2.6899999999999998E-4</v>
      </c>
      <c r="CT29" s="43">
        <v>-1.5699999999999999E-4</v>
      </c>
      <c r="CU29" s="30">
        <v>1.6687315304878644E-2</v>
      </c>
      <c r="CV29" s="43">
        <v>-2.7700000000000001E-4</v>
      </c>
      <c r="CW29" s="43">
        <v>-2.7700000000000001E-4</v>
      </c>
      <c r="CX29" s="43">
        <v>-1.4899999999999999E-4</v>
      </c>
    </row>
    <row r="30" spans="2:102" x14ac:dyDescent="0.25">
      <c r="N30" s="30">
        <v>1.5296739371545309E-2</v>
      </c>
      <c r="O30" s="43">
        <v>-2.0699999999999999E-4</v>
      </c>
      <c r="P30" s="43">
        <v>-2.0000000000000001E-4</v>
      </c>
      <c r="Q30" s="43">
        <v>-1.34E-4</v>
      </c>
      <c r="R30" s="30">
        <v>1.6687315304878644E-2</v>
      </c>
      <c r="S30" s="43">
        <v>-2.13E-4</v>
      </c>
      <c r="T30" s="43">
        <v>-2.05E-4</v>
      </c>
      <c r="U30" s="43">
        <v>-1.2799999999999999E-4</v>
      </c>
      <c r="W30" s="30">
        <v>1.5296739371545309E-2</v>
      </c>
      <c r="X30" s="43">
        <v>-3.5799999999999997E-4</v>
      </c>
      <c r="Y30" s="43">
        <v>-3.2499999999999999E-4</v>
      </c>
      <c r="Z30" s="43">
        <v>-6.9999999999999999E-6</v>
      </c>
      <c r="AA30" s="30">
        <v>1.6687315304878644E-2</v>
      </c>
      <c r="AB30" s="43">
        <v>-3.5799999999999997E-4</v>
      </c>
      <c r="AC30" s="43">
        <v>-3.2499999999999999E-4</v>
      </c>
      <c r="AD30" s="43">
        <v>-6.0000000000000002E-6</v>
      </c>
      <c r="AF30" s="30">
        <v>1.5296739371545309E-2</v>
      </c>
      <c r="AG30" s="43">
        <v>-2.92E-4</v>
      </c>
      <c r="AH30" s="43">
        <v>-2.7700000000000001E-4</v>
      </c>
      <c r="AI30" s="43">
        <v>-1.5100000000000001E-4</v>
      </c>
      <c r="AJ30" s="30">
        <v>1.6687315304878644E-2</v>
      </c>
      <c r="AK30" s="43">
        <v>-2.99E-4</v>
      </c>
      <c r="AL30" s="43">
        <v>-2.8299999999999999E-4</v>
      </c>
      <c r="AM30" s="43">
        <v>-1.46E-4</v>
      </c>
      <c r="AO30" s="30">
        <v>1.5296739371545309E-2</v>
      </c>
      <c r="AP30" s="43">
        <v>-2.1800000000000001E-4</v>
      </c>
      <c r="AQ30" s="43">
        <v>-2.1699999999999999E-4</v>
      </c>
      <c r="AR30" s="43">
        <v>-2.05E-4</v>
      </c>
      <c r="AS30" s="30">
        <v>1.6687315304878644E-2</v>
      </c>
      <c r="AT30" s="43">
        <v>-2.1900000000000001E-4</v>
      </c>
      <c r="AU30" s="43">
        <v>-2.1800000000000001E-4</v>
      </c>
      <c r="AV30" s="43">
        <v>-2.04E-4</v>
      </c>
      <c r="AX30" s="30">
        <v>1.5296739371545309E-2</v>
      </c>
      <c r="AY30" s="43">
        <v>-2.9300000000000002E-4</v>
      </c>
      <c r="AZ30" s="43">
        <v>-2.7900000000000001E-4</v>
      </c>
      <c r="BA30" s="43">
        <v>-1.5100000000000001E-4</v>
      </c>
      <c r="BB30" s="30">
        <v>1.6687315304878644E-2</v>
      </c>
      <c r="BC30" s="43">
        <v>-3.01E-4</v>
      </c>
      <c r="BD30" s="43">
        <v>-2.8499999999999999E-4</v>
      </c>
      <c r="BE30" s="43">
        <v>-1.45E-4</v>
      </c>
      <c r="BG30" s="30">
        <v>1.5296739371545309E-2</v>
      </c>
      <c r="BH30" s="43">
        <v>-2.1699999999999999E-4</v>
      </c>
      <c r="BI30" s="43">
        <v>-2.1599999999999999E-4</v>
      </c>
      <c r="BJ30" s="43">
        <v>-2.0699999999999999E-4</v>
      </c>
      <c r="BK30" s="30">
        <v>1.6687315304878644E-2</v>
      </c>
      <c r="BL30" s="43">
        <v>-2.1699999999999999E-4</v>
      </c>
      <c r="BM30" s="43">
        <v>-2.1599999999999999E-4</v>
      </c>
      <c r="BN30" s="43">
        <v>-2.0699999999999999E-4</v>
      </c>
      <c r="BP30" s="30">
        <v>1.5296739371545309E-2</v>
      </c>
      <c r="BQ30" s="43">
        <v>-2.52E-4</v>
      </c>
      <c r="BR30" s="43">
        <v>-2.31E-4</v>
      </c>
      <c r="BS30" s="43">
        <v>-4.1E-5</v>
      </c>
      <c r="BT30" s="30">
        <v>1.6687315304878644E-2</v>
      </c>
      <c r="BU30" s="43">
        <v>-2.5900000000000001E-4</v>
      </c>
      <c r="BV30" s="43">
        <v>-2.3599999999999999E-4</v>
      </c>
      <c r="BW30" s="43">
        <v>-3.6000000000000001E-5</v>
      </c>
      <c r="BY30" s="30">
        <v>1.5296739371545309E-2</v>
      </c>
      <c r="BZ30" s="43">
        <v>-1.9900000000000001E-4</v>
      </c>
      <c r="CA30" s="43">
        <v>-1.8699999999999999E-4</v>
      </c>
      <c r="CB30" s="43">
        <v>-7.8999999999999996E-5</v>
      </c>
      <c r="CC30" s="30">
        <v>1.6687315304878644E-2</v>
      </c>
      <c r="CD30" s="43">
        <v>-1.9799999999999999E-4</v>
      </c>
      <c r="CE30" s="43">
        <v>-1.8599999999999999E-4</v>
      </c>
      <c r="CF30" s="43">
        <v>-8.1000000000000004E-5</v>
      </c>
      <c r="CH30" s="30">
        <v>1.5296739371545309E-2</v>
      </c>
      <c r="CI30" s="43">
        <v>-3.6699999999999998E-4</v>
      </c>
      <c r="CJ30" s="43">
        <v>-3.6699999999999998E-4</v>
      </c>
      <c r="CK30" s="43">
        <v>-6.4999999999999994E-5</v>
      </c>
      <c r="CL30" s="30">
        <v>1.6687315304878644E-2</v>
      </c>
      <c r="CM30" s="43">
        <v>-3.8000000000000002E-4</v>
      </c>
      <c r="CN30" s="43">
        <v>-3.8099999999999999E-4</v>
      </c>
      <c r="CO30" s="43">
        <v>-5.1E-5</v>
      </c>
      <c r="CQ30" s="30">
        <v>1.5296739371545309E-2</v>
      </c>
      <c r="CR30" s="43">
        <v>-2.7099999999999997E-4</v>
      </c>
      <c r="CS30" s="43">
        <v>-2.7099999999999997E-4</v>
      </c>
      <c r="CT30" s="43">
        <v>-1.54E-4</v>
      </c>
      <c r="CU30" s="30">
        <v>1.6687315304878644E-2</v>
      </c>
      <c r="CV30" s="43">
        <v>-2.7700000000000001E-4</v>
      </c>
      <c r="CW30" s="43">
        <v>-2.7700000000000001E-4</v>
      </c>
      <c r="CX30" s="43">
        <v>-1.4899999999999999E-4</v>
      </c>
    </row>
    <row r="31" spans="2:102" x14ac:dyDescent="0.25">
      <c r="N31" s="30">
        <v>1.5992027738211977E-2</v>
      </c>
      <c r="O31" s="43">
        <v>-2.1000000000000001E-4</v>
      </c>
      <c r="P31" s="43">
        <v>-2.02E-4</v>
      </c>
      <c r="Q31" s="43">
        <v>-1.3100000000000001E-4</v>
      </c>
      <c r="R31" s="30">
        <v>1.7521661304878644E-2</v>
      </c>
      <c r="S31" s="43">
        <v>-2.1599999999999999E-4</v>
      </c>
      <c r="T31" s="43">
        <v>-2.0799999999999999E-4</v>
      </c>
      <c r="U31" s="43">
        <v>-1.2400000000000001E-4</v>
      </c>
      <c r="W31" s="30">
        <v>1.5992027738211977E-2</v>
      </c>
      <c r="X31" s="43">
        <v>-3.5799999999999997E-4</v>
      </c>
      <c r="Y31" s="43">
        <v>-3.2499999999999999E-4</v>
      </c>
      <c r="Z31" s="43">
        <v>-6.0000000000000002E-6</v>
      </c>
      <c r="AA31" s="30">
        <v>1.7521661304878644E-2</v>
      </c>
      <c r="AB31" s="43">
        <v>-3.5799999999999997E-4</v>
      </c>
      <c r="AC31" s="43">
        <v>-3.2499999999999999E-4</v>
      </c>
      <c r="AD31" s="43">
        <v>-5.0000000000000004E-6</v>
      </c>
      <c r="AF31" s="30">
        <v>1.5992027738211977E-2</v>
      </c>
      <c r="AG31" s="43">
        <v>-2.9500000000000001E-4</v>
      </c>
      <c r="AH31" s="43">
        <v>-2.7999999999999998E-4</v>
      </c>
      <c r="AI31" s="43">
        <v>-1.4899999999999999E-4</v>
      </c>
      <c r="AJ31" s="30">
        <v>1.7521661304878644E-2</v>
      </c>
      <c r="AK31" s="43">
        <v>-3.0299999999999999E-4</v>
      </c>
      <c r="AL31" s="43">
        <v>-2.8600000000000001E-4</v>
      </c>
      <c r="AM31" s="43">
        <v>-1.4200000000000001E-4</v>
      </c>
      <c r="AO31" s="30">
        <v>1.5992027738211977E-2</v>
      </c>
      <c r="AP31" s="43">
        <v>-2.1900000000000001E-4</v>
      </c>
      <c r="AQ31" s="43">
        <v>-2.1699999999999999E-4</v>
      </c>
      <c r="AR31" s="43">
        <v>-2.05E-4</v>
      </c>
      <c r="AS31" s="30">
        <v>1.7521661304878644E-2</v>
      </c>
      <c r="AT31" s="43">
        <v>-2.1900000000000001E-4</v>
      </c>
      <c r="AU31" s="43">
        <v>-2.1800000000000001E-4</v>
      </c>
      <c r="AV31" s="43">
        <v>-2.04E-4</v>
      </c>
      <c r="AX31" s="30">
        <v>1.5992027738211977E-2</v>
      </c>
      <c r="AY31" s="43">
        <v>-2.9700000000000001E-4</v>
      </c>
      <c r="AZ31" s="43">
        <v>-2.8200000000000002E-4</v>
      </c>
      <c r="BA31" s="43">
        <v>-1.4799999999999999E-4</v>
      </c>
      <c r="BB31" s="30">
        <v>1.7521661304878644E-2</v>
      </c>
      <c r="BC31" s="43">
        <v>-3.0499999999999999E-4</v>
      </c>
      <c r="BD31" s="43">
        <v>-2.8800000000000001E-4</v>
      </c>
      <c r="BE31" s="43">
        <v>-1.4200000000000001E-4</v>
      </c>
      <c r="BG31" s="30">
        <v>1.5992027738211977E-2</v>
      </c>
      <c r="BH31" s="43">
        <v>-2.1699999999999999E-4</v>
      </c>
      <c r="BI31" s="43">
        <v>-2.1599999999999999E-4</v>
      </c>
      <c r="BJ31" s="43">
        <v>-2.0699999999999999E-4</v>
      </c>
      <c r="BK31" s="30">
        <v>1.7521661304878644E-2</v>
      </c>
      <c r="BL31" s="43">
        <v>-2.1699999999999999E-4</v>
      </c>
      <c r="BM31" s="43">
        <v>-2.1599999999999999E-4</v>
      </c>
      <c r="BN31" s="43">
        <v>-2.0699999999999999E-4</v>
      </c>
      <c r="BP31" s="30">
        <v>1.5992027738211977E-2</v>
      </c>
      <c r="BQ31" s="43">
        <v>-2.5599999999999999E-4</v>
      </c>
      <c r="BR31" s="43">
        <v>-2.34E-4</v>
      </c>
      <c r="BS31" s="43">
        <v>-3.8999999999999999E-5</v>
      </c>
      <c r="BT31" s="30">
        <v>1.7521661304878644E-2</v>
      </c>
      <c r="BU31" s="43">
        <v>-2.6400000000000002E-4</v>
      </c>
      <c r="BV31" s="43">
        <v>-2.4000000000000001E-4</v>
      </c>
      <c r="BW31" s="43">
        <v>-3.4E-5</v>
      </c>
      <c r="BY31" s="30">
        <v>1.5992027738211977E-2</v>
      </c>
      <c r="BZ31" s="43">
        <v>-1.9900000000000001E-4</v>
      </c>
      <c r="CA31" s="43">
        <v>-1.8699999999999999E-4</v>
      </c>
      <c r="CB31" s="43">
        <v>-8.0000000000000007E-5</v>
      </c>
      <c r="CC31" s="30">
        <v>1.7521661304878644E-2</v>
      </c>
      <c r="CD31" s="43">
        <v>-1.9799999999999999E-4</v>
      </c>
      <c r="CE31" s="43">
        <v>-1.8599999999999999E-4</v>
      </c>
      <c r="CF31" s="43">
        <v>-8.2000000000000001E-5</v>
      </c>
      <c r="CH31" s="30">
        <v>1.5992027738211977E-2</v>
      </c>
      <c r="CI31" s="43">
        <v>-3.7300000000000001E-4</v>
      </c>
      <c r="CJ31" s="43">
        <v>-3.7399999999999998E-4</v>
      </c>
      <c r="CK31" s="43">
        <v>-5.8E-5</v>
      </c>
      <c r="CL31" s="30">
        <v>1.7521661304878644E-2</v>
      </c>
      <c r="CM31" s="43">
        <v>-3.8900000000000002E-4</v>
      </c>
      <c r="CN31" s="43">
        <v>-3.8900000000000002E-4</v>
      </c>
      <c r="CO31" s="43">
        <v>-4.3000000000000002E-5</v>
      </c>
      <c r="CQ31" s="30">
        <v>1.5992027738211977E-2</v>
      </c>
      <c r="CR31" s="43">
        <v>-2.7399999999999999E-4</v>
      </c>
      <c r="CS31" s="43">
        <v>-2.7399999999999999E-4</v>
      </c>
      <c r="CT31" s="43">
        <v>-1.5100000000000001E-4</v>
      </c>
      <c r="CU31" s="30">
        <v>1.7521661304878644E-2</v>
      </c>
      <c r="CV31" s="43">
        <v>-2.7999999999999998E-4</v>
      </c>
      <c r="CW31" s="43">
        <v>-2.7999999999999998E-4</v>
      </c>
      <c r="CX31" s="43">
        <v>-1.46E-4</v>
      </c>
    </row>
    <row r="32" spans="2:102" x14ac:dyDescent="0.25">
      <c r="H32" s="1"/>
      <c r="I32" s="1"/>
      <c r="N32" s="30">
        <v>1.6687316104878645E-2</v>
      </c>
      <c r="O32" s="43">
        <v>-2.13E-4</v>
      </c>
      <c r="P32" s="43">
        <v>-2.05E-4</v>
      </c>
      <c r="Q32" s="43">
        <v>-1.2799999999999999E-4</v>
      </c>
      <c r="R32" s="30">
        <v>1.8356007304878644E-2</v>
      </c>
      <c r="S32" s="43">
        <v>-2.2000000000000001E-4</v>
      </c>
      <c r="T32" s="43">
        <v>-2.1000000000000001E-4</v>
      </c>
      <c r="U32" s="43">
        <v>-1.21E-4</v>
      </c>
      <c r="W32" s="30">
        <v>1.6687316104878645E-2</v>
      </c>
      <c r="X32" s="43">
        <v>-3.5799999999999997E-4</v>
      </c>
      <c r="Y32" s="43">
        <v>-3.2499999999999999E-4</v>
      </c>
      <c r="Z32" s="43">
        <v>-6.0000000000000002E-6</v>
      </c>
      <c r="AA32" s="30">
        <v>1.8356007304878644E-2</v>
      </c>
      <c r="AB32" s="43">
        <v>-3.5799999999999997E-4</v>
      </c>
      <c r="AC32" s="43">
        <v>-3.2499999999999999E-4</v>
      </c>
      <c r="AD32" s="43">
        <v>-3.9999999999999998E-6</v>
      </c>
      <c r="AF32" s="30">
        <v>1.6687316104878645E-2</v>
      </c>
      <c r="AG32" s="43">
        <v>-2.99E-4</v>
      </c>
      <c r="AH32" s="43">
        <v>-2.8299999999999999E-4</v>
      </c>
      <c r="AI32" s="43">
        <v>-1.46E-4</v>
      </c>
      <c r="AJ32" s="30">
        <v>1.8356007304878644E-2</v>
      </c>
      <c r="AK32" s="43">
        <v>-3.0699999999999998E-4</v>
      </c>
      <c r="AL32" s="43">
        <v>-2.9E-4</v>
      </c>
      <c r="AM32" s="43">
        <v>-1.3899999999999999E-4</v>
      </c>
      <c r="AO32" s="30">
        <v>1.6687316104878645E-2</v>
      </c>
      <c r="AP32" s="43">
        <v>-2.1900000000000001E-4</v>
      </c>
      <c r="AQ32" s="43">
        <v>-2.1800000000000001E-4</v>
      </c>
      <c r="AR32" s="43">
        <v>-2.04E-4</v>
      </c>
      <c r="AS32" s="30">
        <v>1.8356007304878644E-2</v>
      </c>
      <c r="AT32" s="43">
        <v>-2.1900000000000001E-4</v>
      </c>
      <c r="AU32" s="43">
        <v>-2.1800000000000001E-4</v>
      </c>
      <c r="AV32" s="43">
        <v>-2.04E-4</v>
      </c>
      <c r="AX32" s="30">
        <v>1.6687316104878645E-2</v>
      </c>
      <c r="AY32" s="43">
        <v>-2.9999999999999997E-4</v>
      </c>
      <c r="AZ32" s="43">
        <v>-2.8499999999999999E-4</v>
      </c>
      <c r="BA32" s="43">
        <v>-1.45E-4</v>
      </c>
      <c r="BB32" s="30">
        <v>1.8356007304878644E-2</v>
      </c>
      <c r="BC32" s="43">
        <v>-3.0899999999999998E-4</v>
      </c>
      <c r="BD32" s="43">
        <v>-2.92E-4</v>
      </c>
      <c r="BE32" s="43">
        <v>-1.3799999999999999E-4</v>
      </c>
      <c r="BG32" s="30">
        <v>1.6687316104878645E-2</v>
      </c>
      <c r="BH32" s="43">
        <v>-2.1699999999999999E-4</v>
      </c>
      <c r="BI32" s="43">
        <v>-2.1599999999999999E-4</v>
      </c>
      <c r="BJ32" s="43">
        <v>-2.0699999999999999E-4</v>
      </c>
      <c r="BK32" s="30">
        <v>1.8356007304878644E-2</v>
      </c>
      <c r="BL32" s="43">
        <v>-2.1699999999999999E-4</v>
      </c>
      <c r="BM32" s="43">
        <v>-2.1699999999999999E-4</v>
      </c>
      <c r="BN32" s="43">
        <v>-2.0599999999999999E-4</v>
      </c>
      <c r="BP32" s="30">
        <v>1.6687316104878645E-2</v>
      </c>
      <c r="BQ32" s="43">
        <v>-2.5999999999999998E-4</v>
      </c>
      <c r="BR32" s="43">
        <v>-2.3599999999999999E-4</v>
      </c>
      <c r="BS32" s="43">
        <v>-3.6000000000000001E-5</v>
      </c>
      <c r="BT32" s="30">
        <v>1.8356007304878644E-2</v>
      </c>
      <c r="BU32" s="43">
        <v>-2.6800000000000001E-4</v>
      </c>
      <c r="BV32" s="43">
        <v>-2.43E-4</v>
      </c>
      <c r="BW32" s="43">
        <v>-3.1000000000000001E-5</v>
      </c>
      <c r="BY32" s="30">
        <v>1.6687316104878645E-2</v>
      </c>
      <c r="BZ32" s="43">
        <v>-1.9799999999999999E-4</v>
      </c>
      <c r="CA32" s="43">
        <v>-1.8599999999999999E-4</v>
      </c>
      <c r="CB32" s="43">
        <v>-8.1000000000000004E-5</v>
      </c>
      <c r="CC32" s="30">
        <v>1.8356007304878644E-2</v>
      </c>
      <c r="CD32" s="43">
        <v>-1.9699999999999999E-4</v>
      </c>
      <c r="CE32" s="43">
        <v>-1.85E-4</v>
      </c>
      <c r="CF32" s="43">
        <v>-8.2999999999999998E-5</v>
      </c>
      <c r="CH32" s="30">
        <v>1.6687316104878645E-2</v>
      </c>
      <c r="CI32" s="43">
        <v>-3.8000000000000002E-4</v>
      </c>
      <c r="CJ32" s="43">
        <v>-3.8099999999999999E-4</v>
      </c>
      <c r="CK32" s="43">
        <v>-5.1E-5</v>
      </c>
      <c r="CL32" s="30">
        <v>1.8356007304878644E-2</v>
      </c>
      <c r="CM32" s="43">
        <v>-3.97E-4</v>
      </c>
      <c r="CN32" s="43">
        <v>-3.97E-4</v>
      </c>
      <c r="CO32" s="43">
        <v>-3.4999999999999997E-5</v>
      </c>
      <c r="CQ32" s="30">
        <v>1.6687316104878645E-2</v>
      </c>
      <c r="CR32" s="43">
        <v>-2.7700000000000001E-4</v>
      </c>
      <c r="CS32" s="43">
        <v>-2.7700000000000001E-4</v>
      </c>
      <c r="CT32" s="43">
        <v>-1.4899999999999999E-4</v>
      </c>
      <c r="CU32" s="30">
        <v>1.8356007304878644E-2</v>
      </c>
      <c r="CV32" s="43">
        <v>-2.8299999999999999E-4</v>
      </c>
      <c r="CW32" s="43">
        <v>-2.8299999999999999E-4</v>
      </c>
      <c r="CX32" s="43">
        <v>-1.4300000000000001E-4</v>
      </c>
    </row>
    <row r="33" spans="2:102" x14ac:dyDescent="0.25">
      <c r="H33" s="73"/>
      <c r="I33" s="73"/>
      <c r="N33" s="30">
        <v>1.7382604471545309E-2</v>
      </c>
      <c r="O33" s="43">
        <v>-2.1599999999999999E-4</v>
      </c>
      <c r="P33" s="43">
        <v>-2.0699999999999999E-4</v>
      </c>
      <c r="Q33" s="43">
        <v>-1.25E-4</v>
      </c>
      <c r="R33" s="30">
        <v>1.9190353304878647E-2</v>
      </c>
      <c r="S33" s="43">
        <v>-2.23E-4</v>
      </c>
      <c r="T33" s="43">
        <v>-2.13E-4</v>
      </c>
      <c r="U33" s="43">
        <v>-1.17E-4</v>
      </c>
      <c r="W33" s="30">
        <v>1.7382604471545309E-2</v>
      </c>
      <c r="X33" s="43">
        <v>-3.5799999999999997E-4</v>
      </c>
      <c r="Y33" s="43">
        <v>-3.2499999999999999E-4</v>
      </c>
      <c r="Z33" s="43">
        <v>-5.0000000000000004E-6</v>
      </c>
      <c r="AA33" s="30">
        <v>1.9190353304878647E-2</v>
      </c>
      <c r="AB33" s="43">
        <v>-3.59E-4</v>
      </c>
      <c r="AC33" s="43">
        <v>-3.2499999999999999E-4</v>
      </c>
      <c r="AD33" s="43">
        <v>-3.0000000000000001E-6</v>
      </c>
      <c r="AF33" s="30">
        <v>1.7382604471545309E-2</v>
      </c>
      <c r="AG33" s="43">
        <v>-3.0200000000000002E-4</v>
      </c>
      <c r="AH33" s="43">
        <v>-2.8600000000000001E-4</v>
      </c>
      <c r="AI33" s="43">
        <v>-1.4300000000000001E-4</v>
      </c>
      <c r="AJ33" s="30">
        <v>1.9190353304878647E-2</v>
      </c>
      <c r="AK33" s="43">
        <v>-3.1199999999999999E-4</v>
      </c>
      <c r="AL33" s="43">
        <v>-2.9300000000000002E-4</v>
      </c>
      <c r="AM33" s="43">
        <v>-1.36E-4</v>
      </c>
      <c r="AO33" s="30">
        <v>1.7382604471545309E-2</v>
      </c>
      <c r="AP33" s="43">
        <v>-2.1900000000000001E-4</v>
      </c>
      <c r="AQ33" s="43">
        <v>-2.1800000000000001E-4</v>
      </c>
      <c r="AR33" s="43">
        <v>-2.04E-4</v>
      </c>
      <c r="AS33" s="30">
        <v>1.9190353304878647E-2</v>
      </c>
      <c r="AT33" s="43">
        <v>-2.2000000000000001E-4</v>
      </c>
      <c r="AU33" s="43">
        <v>-2.1800000000000001E-4</v>
      </c>
      <c r="AV33" s="43">
        <v>-2.04E-4</v>
      </c>
      <c r="AX33" s="30">
        <v>1.7382604471545309E-2</v>
      </c>
      <c r="AY33" s="43">
        <v>-3.0400000000000002E-4</v>
      </c>
      <c r="AZ33" s="43">
        <v>-2.8699999999999998E-4</v>
      </c>
      <c r="BA33" s="43">
        <v>-1.4300000000000001E-4</v>
      </c>
      <c r="BB33" s="30">
        <v>1.9190353304878647E-2</v>
      </c>
      <c r="BC33" s="43">
        <v>-3.1300000000000002E-4</v>
      </c>
      <c r="BD33" s="43">
        <v>-2.9500000000000001E-4</v>
      </c>
      <c r="BE33" s="43">
        <v>-1.35E-4</v>
      </c>
      <c r="BG33" s="30">
        <v>1.7382604471545309E-2</v>
      </c>
      <c r="BH33" s="43">
        <v>-2.1699999999999999E-4</v>
      </c>
      <c r="BI33" s="43">
        <v>-2.1599999999999999E-4</v>
      </c>
      <c r="BJ33" s="43">
        <v>-2.0699999999999999E-4</v>
      </c>
      <c r="BK33" s="30">
        <v>1.9190353304878647E-2</v>
      </c>
      <c r="BL33" s="43">
        <v>-2.1800000000000001E-4</v>
      </c>
      <c r="BM33" s="43">
        <v>-2.1699999999999999E-4</v>
      </c>
      <c r="BN33" s="43">
        <v>-2.0599999999999999E-4</v>
      </c>
      <c r="BP33" s="30">
        <v>1.7382604471545309E-2</v>
      </c>
      <c r="BQ33" s="43">
        <v>-2.63E-4</v>
      </c>
      <c r="BR33" s="43">
        <v>-2.3900000000000001E-4</v>
      </c>
      <c r="BS33" s="43">
        <v>-3.4E-5</v>
      </c>
      <c r="BT33" s="30">
        <v>1.9190353304878647E-2</v>
      </c>
      <c r="BU33" s="43">
        <v>-2.72E-4</v>
      </c>
      <c r="BV33" s="43">
        <v>-2.4699999999999999E-4</v>
      </c>
      <c r="BW33" s="43">
        <v>-2.8E-5</v>
      </c>
      <c r="BY33" s="30">
        <v>1.7382604471545309E-2</v>
      </c>
      <c r="BZ33" s="43">
        <v>-1.9799999999999999E-4</v>
      </c>
      <c r="CA33" s="43">
        <v>-1.8599999999999999E-4</v>
      </c>
      <c r="CB33" s="43">
        <v>-8.2000000000000001E-5</v>
      </c>
      <c r="CC33" s="30">
        <v>1.9190353304878647E-2</v>
      </c>
      <c r="CD33" s="43">
        <v>-1.9599999999999999E-4</v>
      </c>
      <c r="CE33" s="43">
        <v>-1.85E-4</v>
      </c>
      <c r="CF33" s="43">
        <v>-8.3999999999999995E-5</v>
      </c>
      <c r="CH33" s="30">
        <v>1.7382604471545309E-2</v>
      </c>
      <c r="CI33" s="43">
        <v>-3.8699999999999997E-4</v>
      </c>
      <c r="CJ33" s="43">
        <v>-3.88E-4</v>
      </c>
      <c r="CK33" s="43">
        <v>-4.5000000000000003E-5</v>
      </c>
      <c r="CL33" s="30">
        <v>1.9190353304878647E-2</v>
      </c>
      <c r="CM33" s="43">
        <v>-4.0499999999999998E-4</v>
      </c>
      <c r="CN33" s="43">
        <v>-4.06E-4</v>
      </c>
      <c r="CO33" s="43">
        <v>-2.6999999999999999E-5</v>
      </c>
      <c r="CQ33" s="30">
        <v>1.7382604471545309E-2</v>
      </c>
      <c r="CR33" s="43">
        <v>-2.7900000000000001E-4</v>
      </c>
      <c r="CS33" s="43">
        <v>-2.7900000000000001E-4</v>
      </c>
      <c r="CT33" s="43">
        <v>-1.46E-4</v>
      </c>
      <c r="CU33" s="30">
        <v>1.9190353304878647E-2</v>
      </c>
      <c r="CV33" s="43">
        <v>-2.8600000000000001E-4</v>
      </c>
      <c r="CW33" s="43">
        <v>-2.8600000000000001E-4</v>
      </c>
      <c r="CX33" s="43">
        <v>-1.3899999999999999E-4</v>
      </c>
    </row>
    <row r="34" spans="2:102" ht="14.45" customHeight="1" x14ac:dyDescent="0.25">
      <c r="B34" s="74" t="s">
        <v>80</v>
      </c>
      <c r="C34" s="74"/>
      <c r="H34" s="1"/>
      <c r="I34" s="1"/>
      <c r="N34" s="30">
        <v>1.8077892838211977E-2</v>
      </c>
      <c r="O34" s="43">
        <v>-2.1800000000000001E-4</v>
      </c>
      <c r="P34" s="43">
        <v>-2.0900000000000001E-4</v>
      </c>
      <c r="Q34" s="43">
        <v>-1.22E-4</v>
      </c>
      <c r="R34" s="30">
        <v>2.0024699304878647E-2</v>
      </c>
      <c r="S34" s="43">
        <v>-2.2699999999999999E-4</v>
      </c>
      <c r="T34" s="43">
        <v>-2.1599999999999999E-4</v>
      </c>
      <c r="U34" s="43">
        <v>-1.13E-4</v>
      </c>
      <c r="W34" s="30">
        <v>1.8077892838211977E-2</v>
      </c>
      <c r="X34" s="43">
        <v>-3.5799999999999997E-4</v>
      </c>
      <c r="Y34" s="43">
        <v>-3.2499999999999999E-4</v>
      </c>
      <c r="Z34" s="43">
        <v>-3.9999999999999998E-6</v>
      </c>
      <c r="AA34" s="30">
        <v>2.0024699304878647E-2</v>
      </c>
      <c r="AB34" s="43">
        <v>-3.59E-4</v>
      </c>
      <c r="AC34" s="43">
        <v>-3.2499999999999999E-4</v>
      </c>
      <c r="AD34" s="43">
        <v>-1.9999999999999999E-6</v>
      </c>
      <c r="AF34" s="30">
        <v>1.8077892838211977E-2</v>
      </c>
      <c r="AG34" s="43">
        <v>-3.0600000000000001E-4</v>
      </c>
      <c r="AH34" s="43">
        <v>-2.8899999999999998E-4</v>
      </c>
      <c r="AI34" s="43">
        <v>-1.3999999999999999E-4</v>
      </c>
      <c r="AJ34" s="30">
        <v>2.0024699304878647E-2</v>
      </c>
      <c r="AK34" s="43">
        <v>-3.1599999999999998E-4</v>
      </c>
      <c r="AL34" s="43">
        <v>-2.9700000000000001E-4</v>
      </c>
      <c r="AM34" s="43">
        <v>-1.3200000000000001E-4</v>
      </c>
      <c r="AO34" s="30">
        <v>1.8077892838211977E-2</v>
      </c>
      <c r="AP34" s="43">
        <v>-2.1900000000000001E-4</v>
      </c>
      <c r="AQ34" s="43">
        <v>-2.1800000000000001E-4</v>
      </c>
      <c r="AR34" s="43">
        <v>-2.04E-4</v>
      </c>
      <c r="AS34" s="30">
        <v>2.0024699304878647E-2</v>
      </c>
      <c r="AT34" s="43">
        <v>-2.2000000000000001E-4</v>
      </c>
      <c r="AU34" s="43">
        <v>-2.1800000000000001E-4</v>
      </c>
      <c r="AV34" s="43">
        <v>-2.04E-4</v>
      </c>
      <c r="AX34" s="30">
        <v>1.8077892838211977E-2</v>
      </c>
      <c r="AY34" s="43">
        <v>-3.0800000000000001E-4</v>
      </c>
      <c r="AZ34" s="43">
        <v>-2.9E-4</v>
      </c>
      <c r="BA34" s="43">
        <v>-1.3999999999999999E-4</v>
      </c>
      <c r="BB34" s="30">
        <v>2.0024699304878647E-2</v>
      </c>
      <c r="BC34" s="43">
        <v>-3.1799999999999998E-4</v>
      </c>
      <c r="BD34" s="43">
        <v>-2.99E-4</v>
      </c>
      <c r="BE34" s="43">
        <v>-1.3200000000000001E-4</v>
      </c>
      <c r="BG34" s="30">
        <v>1.8077892838211977E-2</v>
      </c>
      <c r="BH34" s="43">
        <v>-2.1699999999999999E-4</v>
      </c>
      <c r="BI34" s="43">
        <v>-2.1699999999999999E-4</v>
      </c>
      <c r="BJ34" s="43">
        <v>-2.0599999999999999E-4</v>
      </c>
      <c r="BK34" s="30">
        <v>2.0024699304878647E-2</v>
      </c>
      <c r="BL34" s="43">
        <v>-2.1800000000000001E-4</v>
      </c>
      <c r="BM34" s="43">
        <v>-2.1699999999999999E-4</v>
      </c>
      <c r="BN34" s="43">
        <v>-2.0599999999999999E-4</v>
      </c>
      <c r="BP34" s="30">
        <v>1.8077892838211977E-2</v>
      </c>
      <c r="BQ34" s="43">
        <v>-2.6699999999999998E-4</v>
      </c>
      <c r="BR34" s="43">
        <v>-2.42E-4</v>
      </c>
      <c r="BS34" s="43">
        <v>-3.1999999999999999E-5</v>
      </c>
      <c r="BT34" s="30">
        <v>2.0024699304878647E-2</v>
      </c>
      <c r="BU34" s="43">
        <v>-2.7599999999999999E-4</v>
      </c>
      <c r="BV34" s="43">
        <v>-2.5000000000000001E-4</v>
      </c>
      <c r="BW34" s="43">
        <v>-2.5000000000000001E-5</v>
      </c>
      <c r="BY34" s="30">
        <v>1.8077892838211977E-2</v>
      </c>
      <c r="BZ34" s="43">
        <v>-1.9699999999999999E-4</v>
      </c>
      <c r="CA34" s="43">
        <v>-1.85E-4</v>
      </c>
      <c r="CB34" s="43">
        <v>-8.2999999999999998E-5</v>
      </c>
      <c r="CC34" s="30">
        <v>2.0024699304878647E-2</v>
      </c>
      <c r="CD34" s="43">
        <v>-1.9599999999999999E-4</v>
      </c>
      <c r="CE34" s="43">
        <v>-1.84E-4</v>
      </c>
      <c r="CF34" s="43">
        <v>-8.5000000000000006E-5</v>
      </c>
      <c r="CH34" s="30">
        <v>1.8077892838211977E-2</v>
      </c>
      <c r="CI34" s="43">
        <v>-3.9399999999999998E-4</v>
      </c>
      <c r="CJ34" s="43">
        <v>-3.9500000000000001E-4</v>
      </c>
      <c r="CK34" s="43">
        <v>-3.8000000000000002E-5</v>
      </c>
      <c r="CL34" s="30">
        <v>2.0024699304878647E-2</v>
      </c>
      <c r="CM34" s="43">
        <v>-4.1300000000000001E-4</v>
      </c>
      <c r="CN34" s="43">
        <v>-4.1399999999999998E-4</v>
      </c>
      <c r="CO34" s="43">
        <v>-1.9000000000000001E-5</v>
      </c>
      <c r="CQ34" s="30">
        <v>1.8077892838211977E-2</v>
      </c>
      <c r="CR34" s="43">
        <v>-2.8200000000000002E-4</v>
      </c>
      <c r="CS34" s="43">
        <v>-2.8200000000000002E-4</v>
      </c>
      <c r="CT34" s="43">
        <v>-1.44E-4</v>
      </c>
      <c r="CU34" s="30">
        <v>2.0024699304878647E-2</v>
      </c>
      <c r="CV34" s="43">
        <v>-2.8899999999999998E-4</v>
      </c>
      <c r="CW34" s="43">
        <v>-2.8899999999999998E-4</v>
      </c>
      <c r="CX34" s="43">
        <v>-1.36E-4</v>
      </c>
    </row>
    <row r="35" spans="2:102" ht="14.45" customHeight="1" x14ac:dyDescent="0.25">
      <c r="B35" s="74" t="s">
        <v>45</v>
      </c>
      <c r="C35" s="74"/>
      <c r="H35" s="1"/>
      <c r="I35" s="1"/>
      <c r="N35" s="30">
        <v>1.8773181204878642E-2</v>
      </c>
      <c r="O35" s="43">
        <v>-2.2100000000000001E-4</v>
      </c>
      <c r="P35" s="43">
        <v>-2.12E-4</v>
      </c>
      <c r="Q35" s="43">
        <v>-1.1900000000000001E-4</v>
      </c>
      <c r="R35" s="30">
        <v>2.0859045304878646E-2</v>
      </c>
      <c r="S35" s="43">
        <v>-2.3000000000000001E-4</v>
      </c>
      <c r="T35" s="43">
        <v>-2.1900000000000001E-4</v>
      </c>
      <c r="U35" s="43">
        <v>-1.1E-4</v>
      </c>
      <c r="W35" s="30">
        <v>1.8773181204878642E-2</v>
      </c>
      <c r="X35" s="43">
        <v>-3.5799999999999997E-4</v>
      </c>
      <c r="Y35" s="43">
        <v>-3.2499999999999999E-4</v>
      </c>
      <c r="Z35" s="43">
        <v>-3.9999999999999998E-6</v>
      </c>
      <c r="AA35" s="30">
        <v>2.0859045304878646E-2</v>
      </c>
      <c r="AB35" s="43">
        <v>-3.59E-4</v>
      </c>
      <c r="AC35" s="43">
        <v>-3.2499999999999999E-4</v>
      </c>
      <c r="AD35" s="43">
        <v>-1.9999999999999999E-6</v>
      </c>
      <c r="AF35" s="30">
        <v>1.8773181204878642E-2</v>
      </c>
      <c r="AG35" s="43">
        <v>-3.0899999999999998E-4</v>
      </c>
      <c r="AH35" s="43">
        <v>-2.92E-4</v>
      </c>
      <c r="AI35" s="43">
        <v>-1.37E-4</v>
      </c>
      <c r="AJ35" s="30">
        <v>2.0859045304878646E-2</v>
      </c>
      <c r="AK35" s="43">
        <v>-3.2000000000000003E-4</v>
      </c>
      <c r="AL35" s="43">
        <v>-2.9999999999999997E-4</v>
      </c>
      <c r="AM35" s="43">
        <v>-1.2899999999999999E-4</v>
      </c>
      <c r="AO35" s="30">
        <v>1.8773181204878642E-2</v>
      </c>
      <c r="AP35" s="43">
        <v>-2.1900000000000001E-4</v>
      </c>
      <c r="AQ35" s="43">
        <v>-2.1800000000000001E-4</v>
      </c>
      <c r="AR35" s="43">
        <v>-2.04E-4</v>
      </c>
      <c r="AS35" s="30">
        <v>2.0859045304878646E-2</v>
      </c>
      <c r="AT35" s="43">
        <v>-2.2000000000000001E-4</v>
      </c>
      <c r="AU35" s="43">
        <v>-2.1900000000000001E-4</v>
      </c>
      <c r="AV35" s="43">
        <v>-2.03E-4</v>
      </c>
      <c r="AX35" s="30">
        <v>1.8773181204878642E-2</v>
      </c>
      <c r="AY35" s="43">
        <v>-3.1100000000000002E-4</v>
      </c>
      <c r="AZ35" s="43">
        <v>-2.9300000000000002E-4</v>
      </c>
      <c r="BA35" s="43">
        <v>-1.37E-4</v>
      </c>
      <c r="BB35" s="30">
        <v>2.0859045304878646E-2</v>
      </c>
      <c r="BC35" s="43">
        <v>-3.2200000000000002E-4</v>
      </c>
      <c r="BD35" s="43">
        <v>-3.0200000000000002E-4</v>
      </c>
      <c r="BE35" s="43">
        <v>-1.2799999999999999E-4</v>
      </c>
      <c r="BG35" s="30">
        <v>1.8773181204878642E-2</v>
      </c>
      <c r="BH35" s="43">
        <v>-2.1800000000000001E-4</v>
      </c>
      <c r="BI35" s="43">
        <v>-2.1699999999999999E-4</v>
      </c>
      <c r="BJ35" s="43">
        <v>-2.0599999999999999E-4</v>
      </c>
      <c r="BK35" s="30">
        <v>2.0859045304878646E-2</v>
      </c>
      <c r="BL35" s="43">
        <v>-2.1800000000000001E-4</v>
      </c>
      <c r="BM35" s="43">
        <v>-2.1699999999999999E-4</v>
      </c>
      <c r="BN35" s="43">
        <v>-2.0599999999999999E-4</v>
      </c>
      <c r="BP35" s="30">
        <v>1.8773181204878642E-2</v>
      </c>
      <c r="BQ35" s="43">
        <v>-2.7E-4</v>
      </c>
      <c r="BR35" s="43">
        <v>-2.4499999999999999E-4</v>
      </c>
      <c r="BS35" s="43">
        <v>-2.9E-5</v>
      </c>
      <c r="BT35" s="30">
        <v>2.0859045304878646E-2</v>
      </c>
      <c r="BU35" s="43">
        <v>-2.7999999999999998E-4</v>
      </c>
      <c r="BV35" s="43">
        <v>-2.5399999999999999E-4</v>
      </c>
      <c r="BW35" s="43">
        <v>-2.1999999999999999E-5</v>
      </c>
      <c r="BY35" s="30">
        <v>1.8773181204878642E-2</v>
      </c>
      <c r="BZ35" s="43">
        <v>-1.9699999999999999E-4</v>
      </c>
      <c r="CA35" s="43">
        <v>-1.85E-4</v>
      </c>
      <c r="CB35" s="43">
        <v>-8.2999999999999998E-5</v>
      </c>
      <c r="CC35" s="30">
        <v>2.0859045304878646E-2</v>
      </c>
      <c r="CD35" s="43">
        <v>-1.95E-4</v>
      </c>
      <c r="CE35" s="43">
        <v>-1.84E-4</v>
      </c>
      <c r="CF35" s="43">
        <v>-8.6000000000000003E-5</v>
      </c>
      <c r="CH35" s="30">
        <v>1.8773181204878642E-2</v>
      </c>
      <c r="CI35" s="43">
        <v>-4.0099999999999999E-4</v>
      </c>
      <c r="CJ35" s="43">
        <v>-4.0099999999999999E-4</v>
      </c>
      <c r="CK35" s="43">
        <v>-3.1000000000000001E-5</v>
      </c>
      <c r="CL35" s="30">
        <v>2.0859045304878646E-2</v>
      </c>
      <c r="CM35" s="43">
        <v>-4.2200000000000001E-4</v>
      </c>
      <c r="CN35" s="43">
        <v>-4.2200000000000001E-4</v>
      </c>
      <c r="CO35" s="43">
        <v>-1.1E-5</v>
      </c>
      <c r="CQ35" s="30">
        <v>1.8773181204878642E-2</v>
      </c>
      <c r="CR35" s="43">
        <v>-2.8499999999999999E-4</v>
      </c>
      <c r="CS35" s="43">
        <v>-2.8499999999999999E-4</v>
      </c>
      <c r="CT35" s="43">
        <v>-1.4100000000000001E-4</v>
      </c>
      <c r="CU35" s="30">
        <v>2.0859045304878646E-2</v>
      </c>
      <c r="CV35" s="43">
        <v>-2.92E-4</v>
      </c>
      <c r="CW35" s="43">
        <v>-2.92E-4</v>
      </c>
      <c r="CX35" s="43">
        <v>-1.3300000000000001E-4</v>
      </c>
    </row>
    <row r="36" spans="2:102" ht="14.45" customHeight="1" x14ac:dyDescent="0.25">
      <c r="B36" s="74" t="s">
        <v>81</v>
      </c>
      <c r="C36" s="74"/>
      <c r="H36" s="73"/>
      <c r="I36" s="73"/>
      <c r="N36" s="30">
        <v>1.946846957154531E-2</v>
      </c>
      <c r="O36" s="43">
        <v>-2.24E-4</v>
      </c>
      <c r="P36" s="43">
        <v>-2.14E-4</v>
      </c>
      <c r="Q36" s="43">
        <v>-1.16E-4</v>
      </c>
      <c r="R36" s="30">
        <v>2.1693391304878646E-2</v>
      </c>
      <c r="S36" s="43">
        <v>-2.34E-4</v>
      </c>
      <c r="T36" s="43">
        <v>-2.22E-4</v>
      </c>
      <c r="U36" s="43">
        <v>-1.06E-4</v>
      </c>
      <c r="W36" s="30">
        <v>1.946846957154531E-2</v>
      </c>
      <c r="X36" s="43">
        <v>-3.59E-4</v>
      </c>
      <c r="Y36" s="43">
        <v>-3.2499999999999999E-4</v>
      </c>
      <c r="Z36" s="43">
        <v>-3.0000000000000001E-6</v>
      </c>
      <c r="AA36" s="30">
        <v>2.1693391304878646E-2</v>
      </c>
      <c r="AB36" s="43">
        <v>-3.59E-4</v>
      </c>
      <c r="AC36" s="43">
        <v>-3.2499999999999999E-4</v>
      </c>
      <c r="AD36" s="43">
        <v>-9.9999999999999995E-7</v>
      </c>
      <c r="AF36" s="30">
        <v>1.946846957154531E-2</v>
      </c>
      <c r="AG36" s="43">
        <v>-3.1300000000000002E-4</v>
      </c>
      <c r="AH36" s="43">
        <v>-2.9500000000000001E-4</v>
      </c>
      <c r="AI36" s="43">
        <v>-1.35E-4</v>
      </c>
      <c r="AJ36" s="30">
        <v>2.1693391304878646E-2</v>
      </c>
      <c r="AK36" s="43">
        <v>-3.2400000000000001E-4</v>
      </c>
      <c r="AL36" s="43">
        <v>-3.0400000000000002E-4</v>
      </c>
      <c r="AM36" s="43">
        <v>-1.26E-4</v>
      </c>
      <c r="AO36" s="30">
        <v>1.946846957154531E-2</v>
      </c>
      <c r="AP36" s="43">
        <v>-2.2000000000000001E-4</v>
      </c>
      <c r="AQ36" s="43">
        <v>-2.1800000000000001E-4</v>
      </c>
      <c r="AR36" s="43">
        <v>-2.04E-4</v>
      </c>
      <c r="AS36" s="30">
        <v>2.1693391304878646E-2</v>
      </c>
      <c r="AT36" s="43">
        <v>-2.2000000000000001E-4</v>
      </c>
      <c r="AU36" s="43">
        <v>-2.1900000000000001E-4</v>
      </c>
      <c r="AV36" s="43">
        <v>-2.03E-4</v>
      </c>
      <c r="AX36" s="30">
        <v>1.946846957154531E-2</v>
      </c>
      <c r="AY36" s="43">
        <v>-3.1500000000000001E-4</v>
      </c>
      <c r="AZ36" s="43">
        <v>-2.9599999999999998E-4</v>
      </c>
      <c r="BA36" s="43">
        <v>-1.34E-4</v>
      </c>
      <c r="BB36" s="30">
        <v>2.1693391304878646E-2</v>
      </c>
      <c r="BC36" s="43">
        <v>-3.2600000000000001E-4</v>
      </c>
      <c r="BD36" s="43">
        <v>-3.0600000000000001E-4</v>
      </c>
      <c r="BE36" s="43">
        <v>-1.25E-4</v>
      </c>
      <c r="BG36" s="30">
        <v>1.946846957154531E-2</v>
      </c>
      <c r="BH36" s="43">
        <v>-2.1800000000000001E-4</v>
      </c>
      <c r="BI36" s="43">
        <v>-2.1699999999999999E-4</v>
      </c>
      <c r="BJ36" s="43">
        <v>-2.0599999999999999E-4</v>
      </c>
      <c r="BK36" s="30">
        <v>2.1693391304878646E-2</v>
      </c>
      <c r="BL36" s="43">
        <v>-2.1900000000000001E-4</v>
      </c>
      <c r="BM36" s="43">
        <v>-2.1699999999999999E-4</v>
      </c>
      <c r="BN36" s="43">
        <v>-2.0599999999999999E-4</v>
      </c>
      <c r="BP36" s="30">
        <v>1.946846957154531E-2</v>
      </c>
      <c r="BQ36" s="43">
        <v>-2.7399999999999999E-4</v>
      </c>
      <c r="BR36" s="43">
        <v>-2.4800000000000001E-4</v>
      </c>
      <c r="BS36" s="43">
        <v>-2.6999999999999999E-5</v>
      </c>
      <c r="BT36" s="30">
        <v>2.1693391304878646E-2</v>
      </c>
      <c r="BU36" s="43">
        <v>-2.8499999999999999E-4</v>
      </c>
      <c r="BV36" s="43">
        <v>-2.5700000000000001E-4</v>
      </c>
      <c r="BW36" s="43">
        <v>-2.0000000000000002E-5</v>
      </c>
      <c r="BY36" s="30">
        <v>1.946846957154531E-2</v>
      </c>
      <c r="BZ36" s="43">
        <v>-1.9599999999999999E-4</v>
      </c>
      <c r="CA36" s="43">
        <v>-1.85E-4</v>
      </c>
      <c r="CB36" s="43">
        <v>-8.3999999999999995E-5</v>
      </c>
      <c r="CC36" s="30">
        <v>2.1693391304878646E-2</v>
      </c>
      <c r="CD36" s="43">
        <v>-1.95E-4</v>
      </c>
      <c r="CE36" s="43">
        <v>-1.84E-4</v>
      </c>
      <c r="CF36" s="43">
        <v>-8.7000000000000001E-5</v>
      </c>
      <c r="CH36" s="30">
        <v>1.946846957154531E-2</v>
      </c>
      <c r="CI36" s="43">
        <v>-4.08E-4</v>
      </c>
      <c r="CJ36" s="43">
        <v>-4.08E-4</v>
      </c>
      <c r="CK36" s="43">
        <v>-2.4000000000000001E-5</v>
      </c>
      <c r="CL36" s="30">
        <v>2.1693391304878646E-2</v>
      </c>
      <c r="CM36" s="43">
        <v>-4.2999999999999999E-4</v>
      </c>
      <c r="CN36" s="43">
        <v>-4.2999999999999999E-4</v>
      </c>
      <c r="CO36" s="43">
        <v>-3.0000000000000001E-6</v>
      </c>
      <c r="CQ36" s="30">
        <v>1.946846957154531E-2</v>
      </c>
      <c r="CR36" s="43">
        <v>-2.8699999999999998E-4</v>
      </c>
      <c r="CS36" s="43">
        <v>-2.8699999999999998E-4</v>
      </c>
      <c r="CT36" s="43">
        <v>-1.3799999999999999E-4</v>
      </c>
      <c r="CU36" s="30">
        <v>2.1693391304878646E-2</v>
      </c>
      <c r="CV36" s="43">
        <v>-2.9599999999999998E-4</v>
      </c>
      <c r="CW36" s="43">
        <v>-2.9599999999999998E-4</v>
      </c>
      <c r="CX36" s="43">
        <v>-1.2999999999999999E-4</v>
      </c>
    </row>
    <row r="37" spans="2:102" ht="14.45" customHeight="1" x14ac:dyDescent="0.25">
      <c r="B37" s="74" t="s">
        <v>90</v>
      </c>
      <c r="C37" s="74"/>
      <c r="D37" s="74"/>
      <c r="E37" s="3"/>
      <c r="H37" s="1"/>
      <c r="I37" s="1"/>
      <c r="N37" s="30">
        <v>2.0163757938211978E-2</v>
      </c>
      <c r="O37" s="43">
        <v>-2.2699999999999999E-4</v>
      </c>
      <c r="P37" s="43">
        <v>-2.1699999999999999E-4</v>
      </c>
      <c r="Q37" s="43">
        <v>-1.13E-4</v>
      </c>
      <c r="R37" s="30">
        <v>2.2527737304878646E-2</v>
      </c>
      <c r="S37" s="43">
        <v>-2.3699999999999999E-4</v>
      </c>
      <c r="T37" s="43">
        <v>-2.2499999999999999E-4</v>
      </c>
      <c r="U37" s="43">
        <v>-1.02E-4</v>
      </c>
      <c r="W37" s="30">
        <v>2.0163757938211978E-2</v>
      </c>
      <c r="X37" s="43">
        <v>-3.59E-4</v>
      </c>
      <c r="Y37" s="43">
        <v>-3.2499999999999999E-4</v>
      </c>
      <c r="Z37" s="43">
        <v>-1.9999999999999999E-6</v>
      </c>
      <c r="AA37" s="30">
        <v>2.2527737304878646E-2</v>
      </c>
      <c r="AB37" s="43">
        <v>-3.59E-4</v>
      </c>
      <c r="AC37" s="43">
        <v>-3.2499999999999999E-4</v>
      </c>
      <c r="AD37" s="43">
        <v>8.0599999999999994E-8</v>
      </c>
      <c r="AF37" s="30">
        <v>2.0163757938211978E-2</v>
      </c>
      <c r="AG37" s="43">
        <v>-3.1700000000000001E-4</v>
      </c>
      <c r="AH37" s="43">
        <v>-2.9799999999999998E-4</v>
      </c>
      <c r="AI37" s="43">
        <v>-1.3200000000000001E-4</v>
      </c>
      <c r="AJ37" s="30">
        <v>2.2527737304878646E-2</v>
      </c>
      <c r="AK37" s="43">
        <v>-3.2899999999999997E-4</v>
      </c>
      <c r="AL37" s="43">
        <v>-3.0699999999999998E-4</v>
      </c>
      <c r="AM37" s="43">
        <v>-1.22E-4</v>
      </c>
      <c r="AO37" s="30">
        <v>2.0163757938211978E-2</v>
      </c>
      <c r="AP37" s="43">
        <v>-2.2000000000000001E-4</v>
      </c>
      <c r="AQ37" s="43">
        <v>-2.1800000000000001E-4</v>
      </c>
      <c r="AR37" s="43">
        <v>-2.04E-4</v>
      </c>
      <c r="AS37" s="30">
        <v>2.2527737304878646E-2</v>
      </c>
      <c r="AT37" s="43">
        <v>-2.2100000000000001E-4</v>
      </c>
      <c r="AU37" s="43">
        <v>-2.1900000000000001E-4</v>
      </c>
      <c r="AV37" s="43">
        <v>-2.03E-4</v>
      </c>
      <c r="AX37" s="30">
        <v>2.0163757938211978E-2</v>
      </c>
      <c r="AY37" s="43">
        <v>-3.1799999999999998E-4</v>
      </c>
      <c r="AZ37" s="43">
        <v>-2.99E-4</v>
      </c>
      <c r="BA37" s="43">
        <v>-1.3100000000000001E-4</v>
      </c>
      <c r="BB37" s="30">
        <v>2.2527737304878646E-2</v>
      </c>
      <c r="BC37" s="43">
        <v>-3.3100000000000002E-4</v>
      </c>
      <c r="BD37" s="43">
        <v>-3.0899999999999998E-4</v>
      </c>
      <c r="BE37" s="43">
        <v>-1.22E-4</v>
      </c>
      <c r="BG37" s="30">
        <v>2.0163757938211978E-2</v>
      </c>
      <c r="BH37" s="43">
        <v>-2.1800000000000001E-4</v>
      </c>
      <c r="BI37" s="43">
        <v>-2.1699999999999999E-4</v>
      </c>
      <c r="BJ37" s="43">
        <v>-2.0599999999999999E-4</v>
      </c>
      <c r="BK37" s="30">
        <v>2.2527737304878646E-2</v>
      </c>
      <c r="BL37" s="43">
        <v>-2.1900000000000001E-4</v>
      </c>
      <c r="BM37" s="43">
        <v>-2.1800000000000001E-4</v>
      </c>
      <c r="BN37" s="43">
        <v>-2.05E-4</v>
      </c>
      <c r="BP37" s="30">
        <v>2.0163757938211978E-2</v>
      </c>
      <c r="BQ37" s="43">
        <v>-2.7700000000000001E-4</v>
      </c>
      <c r="BR37" s="43">
        <v>-2.5099999999999998E-4</v>
      </c>
      <c r="BS37" s="43">
        <v>-2.5000000000000001E-5</v>
      </c>
      <c r="BT37" s="30">
        <v>2.2527737304878646E-2</v>
      </c>
      <c r="BU37" s="43">
        <v>-2.8899999999999998E-4</v>
      </c>
      <c r="BV37" s="43">
        <v>-2.61E-4</v>
      </c>
      <c r="BW37" s="43">
        <v>-1.7E-5</v>
      </c>
      <c r="BY37" s="30">
        <v>2.0163757938211978E-2</v>
      </c>
      <c r="BZ37" s="43">
        <v>-1.9599999999999999E-4</v>
      </c>
      <c r="CA37" s="43">
        <v>-1.84E-4</v>
      </c>
      <c r="CB37" s="43">
        <v>-8.5000000000000006E-5</v>
      </c>
      <c r="CC37" s="30">
        <v>2.2527737304878646E-2</v>
      </c>
      <c r="CD37" s="43">
        <v>-1.94E-4</v>
      </c>
      <c r="CE37" s="43">
        <v>-1.83E-4</v>
      </c>
      <c r="CF37" s="43">
        <v>-8.7999999999999998E-5</v>
      </c>
      <c r="CH37" s="30">
        <v>2.0163757938211978E-2</v>
      </c>
      <c r="CI37" s="43">
        <v>-4.15E-4</v>
      </c>
      <c r="CJ37" s="43">
        <v>-4.15E-4</v>
      </c>
      <c r="CK37" s="43">
        <v>-1.8E-5</v>
      </c>
      <c r="CL37" s="30">
        <v>2.2527737304878646E-2</v>
      </c>
      <c r="CM37" s="43">
        <v>-4.3800000000000002E-4</v>
      </c>
      <c r="CN37" s="43">
        <v>-4.3899999999999999E-4</v>
      </c>
      <c r="CO37" s="43">
        <v>5.0000000000000004E-6</v>
      </c>
      <c r="CQ37" s="30">
        <v>2.0163757938211978E-2</v>
      </c>
      <c r="CR37" s="43">
        <v>-2.9E-4</v>
      </c>
      <c r="CS37" s="43">
        <v>-2.9E-4</v>
      </c>
      <c r="CT37" s="43">
        <v>-1.36E-4</v>
      </c>
      <c r="CU37" s="30">
        <v>2.2527737304878646E-2</v>
      </c>
      <c r="CV37" s="43">
        <v>-2.99E-4</v>
      </c>
      <c r="CW37" s="43">
        <v>-2.99E-4</v>
      </c>
      <c r="CX37" s="43">
        <v>-1.27E-4</v>
      </c>
    </row>
    <row r="38" spans="2:102" x14ac:dyDescent="0.25">
      <c r="H38" s="1"/>
      <c r="I38" s="1"/>
      <c r="N38" s="30">
        <v>2.0859046304878642E-2</v>
      </c>
      <c r="O38" s="43">
        <v>-2.3000000000000001E-4</v>
      </c>
      <c r="P38" s="43">
        <v>-2.1900000000000001E-4</v>
      </c>
      <c r="Q38" s="43">
        <v>-1.1E-4</v>
      </c>
      <c r="R38" s="30">
        <v>2.3362083304878645E-2</v>
      </c>
      <c r="S38" s="43">
        <v>-2.41E-4</v>
      </c>
      <c r="T38" s="43">
        <v>-2.2699999999999999E-4</v>
      </c>
      <c r="U38" s="43">
        <v>-9.8999999999999994E-5</v>
      </c>
      <c r="W38" s="30">
        <v>2.0859046304878642E-2</v>
      </c>
      <c r="X38" s="43">
        <v>-3.59E-4</v>
      </c>
      <c r="Y38" s="43">
        <v>-3.2499999999999999E-4</v>
      </c>
      <c r="Z38" s="43">
        <v>-1.9999999999999999E-6</v>
      </c>
      <c r="AA38" s="30">
        <v>2.3362083304878645E-2</v>
      </c>
      <c r="AB38" s="43">
        <v>-3.59E-4</v>
      </c>
      <c r="AC38" s="43">
        <v>-3.2499999999999999E-4</v>
      </c>
      <c r="AD38" s="43">
        <v>9.9999999999999995E-7</v>
      </c>
      <c r="AF38" s="30">
        <v>2.0859046304878642E-2</v>
      </c>
      <c r="AG38" s="43">
        <v>-3.2000000000000003E-4</v>
      </c>
      <c r="AH38" s="43">
        <v>-3.01E-4</v>
      </c>
      <c r="AI38" s="43">
        <v>-1.2899999999999999E-4</v>
      </c>
      <c r="AJ38" s="30">
        <v>2.3362083304878645E-2</v>
      </c>
      <c r="AK38" s="43">
        <v>-3.3300000000000002E-4</v>
      </c>
      <c r="AL38" s="43">
        <v>-3.1100000000000002E-4</v>
      </c>
      <c r="AM38" s="43">
        <v>-1.1900000000000001E-4</v>
      </c>
      <c r="AO38" s="30">
        <v>2.0859046304878642E-2</v>
      </c>
      <c r="AP38" s="43">
        <v>-2.2000000000000001E-4</v>
      </c>
      <c r="AQ38" s="43">
        <v>-2.1900000000000001E-4</v>
      </c>
      <c r="AR38" s="43">
        <v>-2.03E-4</v>
      </c>
      <c r="AS38" s="30">
        <v>2.3362083304878645E-2</v>
      </c>
      <c r="AT38" s="43">
        <v>-2.2100000000000001E-4</v>
      </c>
      <c r="AU38" s="43">
        <v>-2.1900000000000001E-4</v>
      </c>
      <c r="AV38" s="43">
        <v>-2.03E-4</v>
      </c>
      <c r="AX38" s="30">
        <v>2.0859046304878642E-2</v>
      </c>
      <c r="AY38" s="43">
        <v>-3.2200000000000002E-4</v>
      </c>
      <c r="AZ38" s="43">
        <v>-3.0200000000000002E-4</v>
      </c>
      <c r="BA38" s="43">
        <v>-1.2899999999999999E-4</v>
      </c>
      <c r="BB38" s="30">
        <v>2.3362083304878645E-2</v>
      </c>
      <c r="BC38" s="43">
        <v>-3.3500000000000001E-4</v>
      </c>
      <c r="BD38" s="43">
        <v>-3.1300000000000002E-4</v>
      </c>
      <c r="BE38" s="43">
        <v>-1.18E-4</v>
      </c>
      <c r="BG38" s="30">
        <v>2.0859046304878642E-2</v>
      </c>
      <c r="BH38" s="43">
        <v>-2.1800000000000001E-4</v>
      </c>
      <c r="BI38" s="43">
        <v>-2.1699999999999999E-4</v>
      </c>
      <c r="BJ38" s="43">
        <v>-2.0599999999999999E-4</v>
      </c>
      <c r="BK38" s="30">
        <v>2.3362083304878645E-2</v>
      </c>
      <c r="BL38" s="43">
        <v>-2.1900000000000001E-4</v>
      </c>
      <c r="BM38" s="43">
        <v>-2.1800000000000001E-4</v>
      </c>
      <c r="BN38" s="43">
        <v>-2.05E-4</v>
      </c>
      <c r="BP38" s="30">
        <v>2.0859046304878642E-2</v>
      </c>
      <c r="BQ38" s="43">
        <v>-2.81E-4</v>
      </c>
      <c r="BR38" s="43">
        <v>-2.5399999999999999E-4</v>
      </c>
      <c r="BS38" s="43">
        <v>-2.1999999999999999E-5</v>
      </c>
      <c r="BT38" s="30">
        <v>2.3362083304878645E-2</v>
      </c>
      <c r="BU38" s="43">
        <v>-2.9300000000000002E-4</v>
      </c>
      <c r="BV38" s="43">
        <v>-2.6400000000000002E-4</v>
      </c>
      <c r="BW38" s="43">
        <v>-1.4E-5</v>
      </c>
      <c r="BY38" s="30">
        <v>2.0859046304878642E-2</v>
      </c>
      <c r="BZ38" s="43">
        <v>-1.95E-4</v>
      </c>
      <c r="CA38" s="43">
        <v>-1.84E-4</v>
      </c>
      <c r="CB38" s="43">
        <v>-8.6000000000000003E-5</v>
      </c>
      <c r="CC38" s="30">
        <v>2.3362083304878645E-2</v>
      </c>
      <c r="CD38" s="43">
        <v>-1.93E-4</v>
      </c>
      <c r="CE38" s="43">
        <v>-1.83E-4</v>
      </c>
      <c r="CF38" s="43">
        <v>-8.8999999999999995E-5</v>
      </c>
      <c r="CH38" s="30">
        <v>2.0859046304878642E-2</v>
      </c>
      <c r="CI38" s="43">
        <v>-4.2099999999999999E-4</v>
      </c>
      <c r="CJ38" s="43">
        <v>-4.2200000000000001E-4</v>
      </c>
      <c r="CK38" s="43">
        <v>-1.1E-5</v>
      </c>
      <c r="CL38" s="30">
        <v>2.3362083304878645E-2</v>
      </c>
      <c r="CM38" s="43">
        <v>-4.46E-4</v>
      </c>
      <c r="CN38" s="43">
        <v>-4.4700000000000002E-4</v>
      </c>
      <c r="CO38" s="43">
        <v>1.2999999999999999E-5</v>
      </c>
      <c r="CQ38" s="30">
        <v>2.0859046304878642E-2</v>
      </c>
      <c r="CR38" s="43">
        <v>-2.92E-4</v>
      </c>
      <c r="CS38" s="43">
        <v>-2.92E-4</v>
      </c>
      <c r="CT38" s="43">
        <v>-1.3300000000000001E-4</v>
      </c>
      <c r="CU38" s="30">
        <v>2.3362083304878645E-2</v>
      </c>
      <c r="CV38" s="43">
        <v>-3.0200000000000002E-4</v>
      </c>
      <c r="CW38" s="43">
        <v>-3.0200000000000002E-4</v>
      </c>
      <c r="CX38" s="43">
        <v>-1.2400000000000001E-4</v>
      </c>
    </row>
    <row r="39" spans="2:102" x14ac:dyDescent="0.25">
      <c r="H39" s="73"/>
      <c r="I39" s="73"/>
      <c r="N39" s="30">
        <v>2.155433467154531E-2</v>
      </c>
      <c r="O39" s="43">
        <v>-2.33E-4</v>
      </c>
      <c r="P39" s="43">
        <v>-2.2100000000000001E-4</v>
      </c>
      <c r="Q39" s="43">
        <v>-1.07E-4</v>
      </c>
      <c r="R39" s="30">
        <v>2.4196429304878645E-2</v>
      </c>
      <c r="S39" s="43">
        <v>-2.4399999999999999E-4</v>
      </c>
      <c r="T39" s="43">
        <v>-2.3000000000000001E-4</v>
      </c>
      <c r="U39" s="43">
        <v>-9.5000000000000005E-5</v>
      </c>
      <c r="W39" s="30">
        <v>2.155433467154531E-2</v>
      </c>
      <c r="X39" s="43">
        <v>-3.59E-4</v>
      </c>
      <c r="Y39" s="43">
        <v>-3.2499999999999999E-4</v>
      </c>
      <c r="Z39" s="43">
        <v>-9.9999999999999995E-7</v>
      </c>
      <c r="AA39" s="30">
        <v>2.4196429304878645E-2</v>
      </c>
      <c r="AB39" s="43">
        <v>-3.59E-4</v>
      </c>
      <c r="AC39" s="43">
        <v>-3.2499999999999999E-4</v>
      </c>
      <c r="AD39" s="43">
        <v>1.9999999999999999E-6</v>
      </c>
      <c r="AF39" s="30">
        <v>2.155433467154531E-2</v>
      </c>
      <c r="AG39" s="43">
        <v>-3.2400000000000001E-4</v>
      </c>
      <c r="AH39" s="43">
        <v>-3.0299999999999999E-4</v>
      </c>
      <c r="AI39" s="43">
        <v>-1.26E-4</v>
      </c>
      <c r="AJ39" s="30">
        <v>2.4196429304878645E-2</v>
      </c>
      <c r="AK39" s="43">
        <v>-3.3700000000000001E-4</v>
      </c>
      <c r="AL39" s="43">
        <v>-3.1399999999999999E-4</v>
      </c>
      <c r="AM39" s="43">
        <v>-1.16E-4</v>
      </c>
      <c r="AO39" s="30">
        <v>2.155433467154531E-2</v>
      </c>
      <c r="AP39" s="43">
        <v>-2.2000000000000001E-4</v>
      </c>
      <c r="AQ39" s="43">
        <v>-2.1900000000000001E-4</v>
      </c>
      <c r="AR39" s="43">
        <v>-2.03E-4</v>
      </c>
      <c r="AS39" s="30">
        <v>2.4196429304878645E-2</v>
      </c>
      <c r="AT39" s="43">
        <v>-2.2100000000000001E-4</v>
      </c>
      <c r="AU39" s="43">
        <v>-2.2000000000000001E-4</v>
      </c>
      <c r="AV39" s="43">
        <v>-2.02E-4</v>
      </c>
      <c r="AX39" s="30">
        <v>2.155433467154531E-2</v>
      </c>
      <c r="AY39" s="43">
        <v>-3.2499999999999999E-4</v>
      </c>
      <c r="AZ39" s="43">
        <v>-3.0499999999999999E-4</v>
      </c>
      <c r="BA39" s="43">
        <v>-1.26E-4</v>
      </c>
      <c r="BB39" s="30">
        <v>2.4196429304878645E-2</v>
      </c>
      <c r="BC39" s="43">
        <v>-3.39E-4</v>
      </c>
      <c r="BD39" s="43">
        <v>-3.1599999999999998E-4</v>
      </c>
      <c r="BE39" s="43">
        <v>-1.15E-4</v>
      </c>
      <c r="BG39" s="30">
        <v>2.155433467154531E-2</v>
      </c>
      <c r="BH39" s="43">
        <v>-2.1900000000000001E-4</v>
      </c>
      <c r="BI39" s="43">
        <v>-2.1699999999999999E-4</v>
      </c>
      <c r="BJ39" s="43">
        <v>-2.0599999999999999E-4</v>
      </c>
      <c r="BK39" s="30">
        <v>2.4196429304878645E-2</v>
      </c>
      <c r="BL39" s="43">
        <v>-2.1900000000000001E-4</v>
      </c>
      <c r="BM39" s="43">
        <v>-2.1800000000000001E-4</v>
      </c>
      <c r="BN39" s="43">
        <v>-2.05E-4</v>
      </c>
      <c r="BP39" s="30">
        <v>2.155433467154531E-2</v>
      </c>
      <c r="BQ39" s="43">
        <v>-2.8400000000000002E-4</v>
      </c>
      <c r="BR39" s="43">
        <v>-2.5700000000000001E-4</v>
      </c>
      <c r="BS39" s="43">
        <v>-2.0000000000000002E-5</v>
      </c>
      <c r="BT39" s="30">
        <v>2.4196429304878645E-2</v>
      </c>
      <c r="BU39" s="43">
        <v>-2.9700000000000001E-4</v>
      </c>
      <c r="BV39" s="43">
        <v>-2.6800000000000001E-4</v>
      </c>
      <c r="BW39" s="43">
        <v>-1.1E-5</v>
      </c>
      <c r="BY39" s="30">
        <v>2.155433467154531E-2</v>
      </c>
      <c r="BZ39" s="43">
        <v>-1.95E-4</v>
      </c>
      <c r="CA39" s="43">
        <v>-1.84E-4</v>
      </c>
      <c r="CB39" s="43">
        <v>-8.7000000000000001E-5</v>
      </c>
      <c r="CC39" s="30">
        <v>2.4196429304878645E-2</v>
      </c>
      <c r="CD39" s="43">
        <v>-1.93E-4</v>
      </c>
      <c r="CE39" s="43">
        <v>-1.8200000000000001E-4</v>
      </c>
      <c r="CF39" s="43">
        <v>-9.0000000000000006E-5</v>
      </c>
      <c r="CH39" s="30">
        <v>2.155433467154531E-2</v>
      </c>
      <c r="CI39" s="43">
        <v>-4.28E-4</v>
      </c>
      <c r="CJ39" s="43">
        <v>-4.2900000000000002E-4</v>
      </c>
      <c r="CK39" s="43">
        <v>-3.9999999999999998E-6</v>
      </c>
      <c r="CL39" s="30">
        <v>2.4196429304878645E-2</v>
      </c>
      <c r="CM39" s="43">
        <v>-4.55E-4</v>
      </c>
      <c r="CN39" s="43">
        <v>-4.55E-4</v>
      </c>
      <c r="CO39" s="43">
        <v>2.0999999999999999E-5</v>
      </c>
      <c r="CQ39" s="30">
        <v>2.155433467154531E-2</v>
      </c>
      <c r="CR39" s="43">
        <v>-2.9500000000000001E-4</v>
      </c>
      <c r="CS39" s="43">
        <v>-2.9500000000000001E-4</v>
      </c>
      <c r="CT39" s="43">
        <v>-1.3100000000000001E-4</v>
      </c>
      <c r="CU39" s="30">
        <v>2.4196429304878645E-2</v>
      </c>
      <c r="CV39" s="43">
        <v>-3.0499999999999999E-4</v>
      </c>
      <c r="CW39" s="43">
        <v>-3.0499999999999999E-4</v>
      </c>
      <c r="CX39" s="43">
        <v>-1.21E-4</v>
      </c>
    </row>
    <row r="40" spans="2:102" x14ac:dyDescent="0.25">
      <c r="H40" s="1"/>
      <c r="I40" s="1"/>
      <c r="N40" s="30">
        <v>2.2249623038211975E-2</v>
      </c>
      <c r="O40" s="43">
        <v>-2.3599999999999999E-4</v>
      </c>
      <c r="P40" s="43">
        <v>-2.24E-4</v>
      </c>
      <c r="Q40" s="43">
        <v>-1.0399999999999999E-4</v>
      </c>
      <c r="R40" s="30">
        <v>2.5030775304878645E-2</v>
      </c>
      <c r="S40" s="43">
        <v>-2.4800000000000001E-4</v>
      </c>
      <c r="T40" s="43">
        <v>-2.33E-4</v>
      </c>
      <c r="U40" s="43">
        <v>-9.2E-5</v>
      </c>
      <c r="W40" s="30">
        <v>2.2249623038211975E-2</v>
      </c>
      <c r="X40" s="43">
        <v>-3.59E-4</v>
      </c>
      <c r="Y40" s="43">
        <v>-3.2499999999999999E-4</v>
      </c>
      <c r="Z40" s="43">
        <v>-2.0599999999999999E-7</v>
      </c>
      <c r="AA40" s="30">
        <v>2.5030775304878645E-2</v>
      </c>
      <c r="AB40" s="43">
        <v>-3.59E-4</v>
      </c>
      <c r="AC40" s="43">
        <v>-3.2499999999999999E-4</v>
      </c>
      <c r="AD40" s="43">
        <v>3.0000000000000001E-6</v>
      </c>
      <c r="AF40" s="30">
        <v>2.2249623038211975E-2</v>
      </c>
      <c r="AG40" s="43">
        <v>-3.2699999999999998E-4</v>
      </c>
      <c r="AH40" s="43">
        <v>-3.0600000000000001E-4</v>
      </c>
      <c r="AI40" s="43">
        <v>-1.2300000000000001E-4</v>
      </c>
      <c r="AJ40" s="30">
        <v>2.5030775304878645E-2</v>
      </c>
      <c r="AK40" s="43">
        <v>-3.4099999999999999E-4</v>
      </c>
      <c r="AL40" s="43">
        <v>-3.1799999999999998E-4</v>
      </c>
      <c r="AM40" s="43">
        <v>-1.12E-4</v>
      </c>
      <c r="AO40" s="30">
        <v>2.2249623038211975E-2</v>
      </c>
      <c r="AP40" s="43">
        <v>-2.2100000000000001E-4</v>
      </c>
      <c r="AQ40" s="43">
        <v>-2.1900000000000001E-4</v>
      </c>
      <c r="AR40" s="43">
        <v>-2.03E-4</v>
      </c>
      <c r="AS40" s="30">
        <v>2.5030775304878645E-2</v>
      </c>
      <c r="AT40" s="43">
        <v>-2.2100000000000001E-4</v>
      </c>
      <c r="AU40" s="43">
        <v>-2.2000000000000001E-4</v>
      </c>
      <c r="AV40" s="43">
        <v>-2.02E-4</v>
      </c>
      <c r="AX40" s="30">
        <v>2.2249623038211975E-2</v>
      </c>
      <c r="AY40" s="43">
        <v>-3.2899999999999997E-4</v>
      </c>
      <c r="AZ40" s="43">
        <v>-3.0800000000000001E-4</v>
      </c>
      <c r="BA40" s="43">
        <v>-1.2300000000000001E-4</v>
      </c>
      <c r="BB40" s="30">
        <v>2.5030775304878645E-2</v>
      </c>
      <c r="BC40" s="43">
        <v>-3.4400000000000001E-4</v>
      </c>
      <c r="BD40" s="43">
        <v>-3.2000000000000003E-4</v>
      </c>
      <c r="BE40" s="43">
        <v>-1.12E-4</v>
      </c>
      <c r="BG40" s="30">
        <v>2.2249623038211975E-2</v>
      </c>
      <c r="BH40" s="43">
        <v>-2.1900000000000001E-4</v>
      </c>
      <c r="BI40" s="43">
        <v>-2.1800000000000001E-4</v>
      </c>
      <c r="BJ40" s="43">
        <v>-2.05E-4</v>
      </c>
      <c r="BK40" s="30">
        <v>2.5030775304878645E-2</v>
      </c>
      <c r="BL40" s="43">
        <v>-2.2000000000000001E-4</v>
      </c>
      <c r="BM40" s="43">
        <v>-2.1800000000000001E-4</v>
      </c>
      <c r="BN40" s="43">
        <v>-2.05E-4</v>
      </c>
      <c r="BP40" s="30">
        <v>2.2249623038211975E-2</v>
      </c>
      <c r="BQ40" s="43">
        <v>-2.8800000000000001E-4</v>
      </c>
      <c r="BR40" s="43">
        <v>-2.5999999999999998E-4</v>
      </c>
      <c r="BS40" s="43">
        <v>-1.8E-5</v>
      </c>
      <c r="BT40" s="30">
        <v>2.5030775304878645E-2</v>
      </c>
      <c r="BU40" s="43">
        <v>-3.01E-4</v>
      </c>
      <c r="BV40" s="43">
        <v>-2.7099999999999997E-4</v>
      </c>
      <c r="BW40" s="43">
        <v>-7.9999999999999996E-6</v>
      </c>
      <c r="BY40" s="30">
        <v>2.2249623038211975E-2</v>
      </c>
      <c r="BZ40" s="43">
        <v>-1.94E-4</v>
      </c>
      <c r="CA40" s="43">
        <v>-1.83E-4</v>
      </c>
      <c r="CB40" s="43">
        <v>-8.7000000000000001E-5</v>
      </c>
      <c r="CC40" s="30">
        <v>2.5030775304878645E-2</v>
      </c>
      <c r="CD40" s="43">
        <v>-1.92E-4</v>
      </c>
      <c r="CE40" s="43">
        <v>-1.8200000000000001E-4</v>
      </c>
      <c r="CF40" s="43">
        <v>-9.1000000000000003E-5</v>
      </c>
      <c r="CH40" s="30">
        <v>2.2249623038211975E-2</v>
      </c>
      <c r="CI40" s="43">
        <v>-4.35E-4</v>
      </c>
      <c r="CJ40" s="43">
        <v>-4.3600000000000003E-4</v>
      </c>
      <c r="CK40" s="43">
        <v>3.0000000000000001E-6</v>
      </c>
      <c r="CL40" s="30">
        <v>2.5030775304878645E-2</v>
      </c>
      <c r="CM40" s="43">
        <v>-4.6299999999999998E-4</v>
      </c>
      <c r="CN40" s="43">
        <v>-4.64E-4</v>
      </c>
      <c r="CO40" s="43">
        <v>3.0000000000000001E-5</v>
      </c>
      <c r="CQ40" s="30">
        <v>2.2249623038211975E-2</v>
      </c>
      <c r="CR40" s="43">
        <v>-2.9799999999999998E-4</v>
      </c>
      <c r="CS40" s="43">
        <v>-2.9799999999999998E-4</v>
      </c>
      <c r="CT40" s="43">
        <v>-1.2799999999999999E-4</v>
      </c>
      <c r="CU40" s="30">
        <v>2.5030775304878645E-2</v>
      </c>
      <c r="CV40" s="43">
        <v>-3.0800000000000001E-4</v>
      </c>
      <c r="CW40" s="43">
        <v>-3.0800000000000001E-4</v>
      </c>
      <c r="CX40" s="43">
        <v>-1.18E-4</v>
      </c>
    </row>
    <row r="41" spans="2:102" x14ac:dyDescent="0.25">
      <c r="H41" s="1"/>
      <c r="I41" s="1"/>
      <c r="N41" s="30">
        <v>2.2944911404878643E-2</v>
      </c>
      <c r="O41" s="43">
        <v>-2.3900000000000001E-4</v>
      </c>
      <c r="P41" s="43">
        <v>-2.2599999999999999E-4</v>
      </c>
      <c r="Q41" s="43">
        <v>-1.01E-4</v>
      </c>
      <c r="R41" s="30">
        <v>2.5030775304878645E-2</v>
      </c>
      <c r="S41" s="43">
        <v>-2.4800000000000001E-4</v>
      </c>
      <c r="T41" s="43">
        <v>-2.33E-4</v>
      </c>
      <c r="U41" s="43">
        <v>-9.2E-5</v>
      </c>
      <c r="W41" s="30">
        <v>2.2944911404878643E-2</v>
      </c>
      <c r="X41" s="43">
        <v>-3.59E-4</v>
      </c>
      <c r="Y41" s="43">
        <v>-3.2499999999999999E-4</v>
      </c>
      <c r="Z41" s="43">
        <v>4.82E-7</v>
      </c>
      <c r="AA41" s="30">
        <v>2.5030775304878645E-2</v>
      </c>
      <c r="AB41" s="43">
        <v>-3.59E-4</v>
      </c>
      <c r="AC41" s="43">
        <v>-3.2499999999999999E-4</v>
      </c>
      <c r="AD41" s="43">
        <v>3.0000000000000001E-6</v>
      </c>
      <c r="AF41" s="30">
        <v>2.2944911404878643E-2</v>
      </c>
      <c r="AG41" s="43">
        <v>-3.3100000000000002E-4</v>
      </c>
      <c r="AH41" s="43">
        <v>-3.0899999999999998E-4</v>
      </c>
      <c r="AI41" s="43">
        <v>-1.2E-4</v>
      </c>
      <c r="AJ41" s="30">
        <v>2.5030775304878645E-2</v>
      </c>
      <c r="AK41" s="43">
        <v>-3.4099999999999999E-4</v>
      </c>
      <c r="AL41" s="43">
        <v>-3.1799999999999998E-4</v>
      </c>
      <c r="AM41" s="43">
        <v>-1.12E-4</v>
      </c>
      <c r="AO41" s="30">
        <v>2.2944911404878643E-2</v>
      </c>
      <c r="AP41" s="43">
        <v>-2.2100000000000001E-4</v>
      </c>
      <c r="AQ41" s="43">
        <v>-2.1900000000000001E-4</v>
      </c>
      <c r="AR41" s="43">
        <v>-2.03E-4</v>
      </c>
      <c r="AS41" s="30">
        <v>2.5030775304878645E-2</v>
      </c>
      <c r="AT41" s="43">
        <v>-2.2100000000000001E-4</v>
      </c>
      <c r="AU41" s="43">
        <v>-2.2000000000000001E-4</v>
      </c>
      <c r="AV41" s="43">
        <v>-2.02E-4</v>
      </c>
      <c r="AX41" s="30">
        <v>2.2944911404878643E-2</v>
      </c>
      <c r="AY41" s="43">
        <v>-3.3300000000000002E-4</v>
      </c>
      <c r="AZ41" s="43">
        <v>-3.1100000000000002E-4</v>
      </c>
      <c r="BA41" s="43">
        <v>-1.2E-4</v>
      </c>
      <c r="BB41" s="30">
        <v>2.5030775304878645E-2</v>
      </c>
      <c r="BC41" s="43">
        <v>-3.4400000000000001E-4</v>
      </c>
      <c r="BD41" s="43">
        <v>-3.2000000000000003E-4</v>
      </c>
      <c r="BE41" s="43">
        <v>-1.12E-4</v>
      </c>
      <c r="BG41" s="30">
        <v>2.2944911404878643E-2</v>
      </c>
      <c r="BH41" s="43">
        <v>-2.1900000000000001E-4</v>
      </c>
      <c r="BI41" s="43">
        <v>-2.1800000000000001E-4</v>
      </c>
      <c r="BJ41" s="43">
        <v>-2.05E-4</v>
      </c>
      <c r="BK41" s="30">
        <v>2.5030775304878645E-2</v>
      </c>
      <c r="BL41" s="43">
        <v>-2.2000000000000001E-4</v>
      </c>
      <c r="BM41" s="43">
        <v>-2.1800000000000001E-4</v>
      </c>
      <c r="BN41" s="43">
        <v>-2.05E-4</v>
      </c>
      <c r="BP41" s="30">
        <v>2.2944911404878643E-2</v>
      </c>
      <c r="BQ41" s="43">
        <v>-2.9100000000000003E-4</v>
      </c>
      <c r="BR41" s="43">
        <v>-2.63E-4</v>
      </c>
      <c r="BS41" s="43">
        <v>-1.5E-5</v>
      </c>
      <c r="BT41" s="30">
        <v>2.5030775304878645E-2</v>
      </c>
      <c r="BU41" s="43">
        <v>-3.01E-4</v>
      </c>
      <c r="BV41" s="43">
        <v>-2.7099999999999997E-4</v>
      </c>
      <c r="BW41" s="43">
        <v>-7.9999999999999996E-6</v>
      </c>
      <c r="BY41" s="30">
        <v>2.2944911404878643E-2</v>
      </c>
      <c r="BZ41" s="43">
        <v>-1.94E-4</v>
      </c>
      <c r="CA41" s="43">
        <v>-1.83E-4</v>
      </c>
      <c r="CB41" s="43">
        <v>-8.7999999999999998E-5</v>
      </c>
      <c r="CC41" s="30">
        <v>2.5030775304878645E-2</v>
      </c>
      <c r="CD41" s="43">
        <v>-1.92E-4</v>
      </c>
      <c r="CE41" s="43">
        <v>-1.8200000000000001E-4</v>
      </c>
      <c r="CF41" s="43">
        <v>-9.1000000000000003E-5</v>
      </c>
      <c r="CH41" s="30">
        <v>2.2944911404878643E-2</v>
      </c>
      <c r="CI41" s="43">
        <v>-4.4200000000000001E-4</v>
      </c>
      <c r="CJ41" s="43">
        <v>-4.4299999999999998E-4</v>
      </c>
      <c r="CK41" s="43">
        <v>9.0000000000000002E-6</v>
      </c>
      <c r="CL41" s="30">
        <v>2.5030775304878645E-2</v>
      </c>
      <c r="CM41" s="43">
        <v>-4.6299999999999998E-4</v>
      </c>
      <c r="CN41" s="43">
        <v>-4.64E-4</v>
      </c>
      <c r="CO41" s="43">
        <v>3.0000000000000001E-5</v>
      </c>
      <c r="CQ41" s="30">
        <v>2.2944911404878643E-2</v>
      </c>
      <c r="CR41" s="43">
        <v>-2.9999999999999997E-4</v>
      </c>
      <c r="CS41" s="43">
        <v>-2.9999999999999997E-4</v>
      </c>
      <c r="CT41" s="43">
        <v>-1.25E-4</v>
      </c>
      <c r="CU41" s="30">
        <v>2.5030775304878645E-2</v>
      </c>
      <c r="CV41" s="43">
        <v>-3.0800000000000001E-4</v>
      </c>
      <c r="CW41" s="43">
        <v>-3.0800000000000001E-4</v>
      </c>
      <c r="CX41" s="43">
        <v>-1.18E-4</v>
      </c>
    </row>
    <row r="42" spans="2:102" x14ac:dyDescent="0.25">
      <c r="N42" s="30">
        <v>2.3640199771545307E-2</v>
      </c>
      <c r="O42" s="43">
        <v>-2.42E-4</v>
      </c>
      <c r="P42" s="43">
        <v>-2.2800000000000001E-4</v>
      </c>
      <c r="Q42" s="43">
        <v>-9.7999999999999997E-5</v>
      </c>
      <c r="R42" s="30">
        <v>2.5865121304878644E-2</v>
      </c>
      <c r="S42" s="43">
        <v>-2.5099999999999998E-4</v>
      </c>
      <c r="T42" s="43">
        <v>-2.3599999999999999E-4</v>
      </c>
      <c r="U42" s="43">
        <v>-8.7999999999999998E-5</v>
      </c>
      <c r="W42" s="30">
        <v>2.3640199771545307E-2</v>
      </c>
      <c r="X42" s="43">
        <v>-3.59E-4</v>
      </c>
      <c r="Y42" s="43">
        <v>-3.2499999999999999E-4</v>
      </c>
      <c r="Z42" s="43">
        <v>9.9999999999999995E-7</v>
      </c>
      <c r="AA42" s="30">
        <v>2.5865121304878644E-2</v>
      </c>
      <c r="AB42" s="43">
        <v>-3.59E-4</v>
      </c>
      <c r="AC42" s="43">
        <v>-3.2499999999999999E-4</v>
      </c>
      <c r="AD42" s="43">
        <v>3.0000000000000001E-6</v>
      </c>
      <c r="AF42" s="30">
        <v>2.3640199771545307E-2</v>
      </c>
      <c r="AG42" s="43">
        <v>-3.3399999999999999E-4</v>
      </c>
      <c r="AH42" s="43">
        <v>-3.1199999999999999E-4</v>
      </c>
      <c r="AI42" s="43">
        <v>-1.18E-4</v>
      </c>
      <c r="AJ42" s="30">
        <v>2.5865121304878644E-2</v>
      </c>
      <c r="AK42" s="43">
        <v>-3.4600000000000001E-4</v>
      </c>
      <c r="AL42" s="43">
        <v>-3.21E-4</v>
      </c>
      <c r="AM42" s="43">
        <v>-1.0900000000000001E-4</v>
      </c>
      <c r="AO42" s="30">
        <v>2.3640199771545307E-2</v>
      </c>
      <c r="AP42" s="43">
        <v>-2.2100000000000001E-4</v>
      </c>
      <c r="AQ42" s="43">
        <v>-2.1900000000000001E-4</v>
      </c>
      <c r="AR42" s="43">
        <v>-2.03E-4</v>
      </c>
      <c r="AS42" s="30">
        <v>2.5865121304878644E-2</v>
      </c>
      <c r="AT42" s="43">
        <v>-2.22E-4</v>
      </c>
      <c r="AU42" s="43">
        <v>-2.2000000000000001E-4</v>
      </c>
      <c r="AV42" s="43">
        <v>-2.02E-4</v>
      </c>
      <c r="AX42" s="30">
        <v>2.3640199771545307E-2</v>
      </c>
      <c r="AY42" s="43">
        <v>-3.3599999999999998E-4</v>
      </c>
      <c r="AZ42" s="43">
        <v>-3.1399999999999999E-4</v>
      </c>
      <c r="BA42" s="43">
        <v>-1.17E-4</v>
      </c>
      <c r="BB42" s="30">
        <v>2.5865121304878644E-2</v>
      </c>
      <c r="BC42" s="43">
        <v>-3.48E-4</v>
      </c>
      <c r="BD42" s="43">
        <v>-3.2299999999999999E-4</v>
      </c>
      <c r="BE42" s="43">
        <v>-1.08E-4</v>
      </c>
      <c r="BG42" s="30">
        <v>2.3640199771545307E-2</v>
      </c>
      <c r="BH42" s="43">
        <v>-2.1900000000000001E-4</v>
      </c>
      <c r="BI42" s="43">
        <v>-2.1800000000000001E-4</v>
      </c>
      <c r="BJ42" s="43">
        <v>-2.05E-4</v>
      </c>
      <c r="BK42" s="30">
        <v>2.5865121304878644E-2</v>
      </c>
      <c r="BL42" s="43">
        <v>-2.2000000000000001E-4</v>
      </c>
      <c r="BM42" s="43">
        <v>-2.1900000000000001E-4</v>
      </c>
      <c r="BN42" s="43">
        <v>-2.05E-4</v>
      </c>
      <c r="BP42" s="30">
        <v>2.3640199771545307E-2</v>
      </c>
      <c r="BQ42" s="43">
        <v>-2.9500000000000001E-4</v>
      </c>
      <c r="BR42" s="43">
        <v>-2.6600000000000001E-4</v>
      </c>
      <c r="BS42" s="43">
        <v>-1.2999999999999999E-5</v>
      </c>
      <c r="BT42" s="30">
        <v>2.5865121304878644E-2</v>
      </c>
      <c r="BU42" s="43">
        <v>-3.0600000000000001E-4</v>
      </c>
      <c r="BV42" s="43">
        <v>-2.7500000000000002E-4</v>
      </c>
      <c r="BW42" s="43">
        <v>-6.0000000000000002E-6</v>
      </c>
      <c r="BY42" s="30">
        <v>2.3640199771545307E-2</v>
      </c>
      <c r="BZ42" s="43">
        <v>-1.93E-4</v>
      </c>
      <c r="CA42" s="43">
        <v>-1.83E-4</v>
      </c>
      <c r="CB42" s="43">
        <v>-8.8999999999999995E-5</v>
      </c>
      <c r="CC42" s="30">
        <v>2.5865121304878644E-2</v>
      </c>
      <c r="CD42" s="43">
        <v>-1.92E-4</v>
      </c>
      <c r="CE42" s="43">
        <v>-1.8100000000000001E-4</v>
      </c>
      <c r="CF42" s="43">
        <v>-9.2E-5</v>
      </c>
      <c r="CH42" s="30">
        <v>2.3640199771545307E-2</v>
      </c>
      <c r="CI42" s="43">
        <v>-4.4900000000000002E-4</v>
      </c>
      <c r="CJ42" s="43">
        <v>-4.4999999999999999E-4</v>
      </c>
      <c r="CK42" s="43">
        <v>1.5999999999999999E-5</v>
      </c>
      <c r="CL42" s="30">
        <v>2.5865121304878644E-2</v>
      </c>
      <c r="CM42" s="43">
        <v>-4.7100000000000001E-4</v>
      </c>
      <c r="CN42" s="43">
        <v>-4.7199999999999998E-4</v>
      </c>
      <c r="CO42" s="43">
        <v>3.8000000000000002E-5</v>
      </c>
      <c r="CQ42" s="30">
        <v>2.3640199771545307E-2</v>
      </c>
      <c r="CR42" s="43">
        <v>-3.0299999999999999E-4</v>
      </c>
      <c r="CS42" s="43">
        <v>-3.0299999999999999E-4</v>
      </c>
      <c r="CT42" s="43">
        <v>-1.2300000000000001E-4</v>
      </c>
      <c r="CU42" s="30">
        <v>2.5865121304878644E-2</v>
      </c>
      <c r="CV42" s="43">
        <v>-3.1199999999999999E-4</v>
      </c>
      <c r="CW42" s="43">
        <v>-3.1199999999999999E-4</v>
      </c>
      <c r="CX42" s="43">
        <v>-1.1400000000000001E-4</v>
      </c>
    </row>
    <row r="43" spans="2:102" x14ac:dyDescent="0.25">
      <c r="N43" s="30">
        <v>2.4335488138211975E-2</v>
      </c>
      <c r="O43" s="43">
        <v>-2.4499999999999999E-4</v>
      </c>
      <c r="P43" s="43">
        <v>-2.31E-4</v>
      </c>
      <c r="Q43" s="43">
        <v>-9.5000000000000005E-5</v>
      </c>
      <c r="R43" s="30">
        <v>2.6699467304878644E-2</v>
      </c>
      <c r="S43" s="43">
        <v>-2.5500000000000002E-4</v>
      </c>
      <c r="T43" s="43">
        <v>-2.3900000000000001E-4</v>
      </c>
      <c r="U43" s="43">
        <v>-8.3999999999999995E-5</v>
      </c>
      <c r="W43" s="30">
        <v>2.4335488138211975E-2</v>
      </c>
      <c r="X43" s="43">
        <v>-3.59E-4</v>
      </c>
      <c r="Y43" s="43">
        <v>-3.2499999999999999E-4</v>
      </c>
      <c r="Z43" s="43">
        <v>1.9999999999999999E-6</v>
      </c>
      <c r="AA43" s="30">
        <v>2.6699467304878644E-2</v>
      </c>
      <c r="AB43" s="43">
        <v>-3.59E-4</v>
      </c>
      <c r="AC43" s="43">
        <v>-3.2499999999999999E-4</v>
      </c>
      <c r="AD43" s="43">
        <v>3.9999999999999998E-6</v>
      </c>
      <c r="AF43" s="30">
        <v>2.4335488138211975E-2</v>
      </c>
      <c r="AG43" s="43">
        <v>-3.3799999999999998E-4</v>
      </c>
      <c r="AH43" s="43">
        <v>-3.1500000000000001E-4</v>
      </c>
      <c r="AI43" s="43">
        <v>-1.15E-4</v>
      </c>
      <c r="AJ43" s="30">
        <v>2.6699467304878644E-2</v>
      </c>
      <c r="AK43" s="43">
        <v>-3.5E-4</v>
      </c>
      <c r="AL43" s="43">
        <v>-3.2499999999999999E-4</v>
      </c>
      <c r="AM43" s="43">
        <v>-1.06E-4</v>
      </c>
      <c r="AO43" s="30">
        <v>2.4335488138211975E-2</v>
      </c>
      <c r="AP43" s="43">
        <v>-2.2100000000000001E-4</v>
      </c>
      <c r="AQ43" s="43">
        <v>-2.2000000000000001E-4</v>
      </c>
      <c r="AR43" s="43">
        <v>-2.02E-4</v>
      </c>
      <c r="AS43" s="30">
        <v>2.6699467304878644E-2</v>
      </c>
      <c r="AT43" s="43">
        <v>-2.22E-4</v>
      </c>
      <c r="AU43" s="43">
        <v>-2.2000000000000001E-4</v>
      </c>
      <c r="AV43" s="43">
        <v>-2.02E-4</v>
      </c>
      <c r="AX43" s="30">
        <v>2.4335488138211975E-2</v>
      </c>
      <c r="AY43" s="43">
        <v>-3.4000000000000002E-4</v>
      </c>
      <c r="AZ43" s="43">
        <v>-3.1700000000000001E-4</v>
      </c>
      <c r="BA43" s="43">
        <v>-1.15E-4</v>
      </c>
      <c r="BB43" s="30">
        <v>2.6699467304878644E-2</v>
      </c>
      <c r="BC43" s="43">
        <v>-3.5199999999999999E-4</v>
      </c>
      <c r="BD43" s="43">
        <v>-3.2699999999999998E-4</v>
      </c>
      <c r="BE43" s="43">
        <v>-1.05E-4</v>
      </c>
      <c r="BG43" s="30">
        <v>2.4335488138211975E-2</v>
      </c>
      <c r="BH43" s="43">
        <v>-2.2000000000000001E-4</v>
      </c>
      <c r="BI43" s="43">
        <v>-2.1800000000000001E-4</v>
      </c>
      <c r="BJ43" s="43">
        <v>-2.05E-4</v>
      </c>
      <c r="BK43" s="30">
        <v>2.6699467304878644E-2</v>
      </c>
      <c r="BL43" s="43">
        <v>-2.2000000000000001E-4</v>
      </c>
      <c r="BM43" s="43">
        <v>-2.1900000000000001E-4</v>
      </c>
      <c r="BN43" s="43">
        <v>-2.04E-4</v>
      </c>
      <c r="BP43" s="30">
        <v>2.4335488138211975E-2</v>
      </c>
      <c r="BQ43" s="43">
        <v>-2.9799999999999998E-4</v>
      </c>
      <c r="BR43" s="43">
        <v>-2.6800000000000001E-4</v>
      </c>
      <c r="BS43" s="43">
        <v>-1.1E-5</v>
      </c>
      <c r="BT43" s="30">
        <v>2.6699467304878644E-2</v>
      </c>
      <c r="BU43" s="43">
        <v>-3.1E-4</v>
      </c>
      <c r="BV43" s="43">
        <v>-2.7799999999999998E-4</v>
      </c>
      <c r="BW43" s="43">
        <v>-3.0000000000000001E-6</v>
      </c>
      <c r="BY43" s="30">
        <v>2.4335488138211975E-2</v>
      </c>
      <c r="BZ43" s="43">
        <v>-1.93E-4</v>
      </c>
      <c r="CA43" s="43">
        <v>-1.8200000000000001E-4</v>
      </c>
      <c r="CB43" s="43">
        <v>-9.0000000000000006E-5</v>
      </c>
      <c r="CC43" s="30">
        <v>2.6699467304878644E-2</v>
      </c>
      <c r="CD43" s="43">
        <v>-1.9100000000000001E-4</v>
      </c>
      <c r="CE43" s="43">
        <v>-1.8100000000000001E-4</v>
      </c>
      <c r="CF43" s="43">
        <v>-9.2999999999999997E-5</v>
      </c>
      <c r="CH43" s="30">
        <v>2.4335488138211975E-2</v>
      </c>
      <c r="CI43" s="43">
        <v>-4.5600000000000003E-4</v>
      </c>
      <c r="CJ43" s="43">
        <v>-4.57E-4</v>
      </c>
      <c r="CK43" s="43">
        <v>2.3E-5</v>
      </c>
      <c r="CL43" s="30">
        <v>2.6699467304878644E-2</v>
      </c>
      <c r="CM43" s="43">
        <v>-4.7899999999999999E-4</v>
      </c>
      <c r="CN43" s="43">
        <v>-4.8000000000000001E-4</v>
      </c>
      <c r="CO43" s="43">
        <v>4.6E-5</v>
      </c>
      <c r="CQ43" s="30">
        <v>2.4335488138211975E-2</v>
      </c>
      <c r="CR43" s="43">
        <v>-3.0600000000000001E-4</v>
      </c>
      <c r="CS43" s="43">
        <v>-3.0600000000000001E-4</v>
      </c>
      <c r="CT43" s="43">
        <v>-1.2E-4</v>
      </c>
      <c r="CU43" s="30">
        <v>2.6699467304878644E-2</v>
      </c>
      <c r="CV43" s="43">
        <v>-3.1500000000000001E-4</v>
      </c>
      <c r="CW43" s="43">
        <v>-3.1500000000000001E-4</v>
      </c>
      <c r="CX43" s="43">
        <v>-1.11E-4</v>
      </c>
    </row>
    <row r="44" spans="2:102" x14ac:dyDescent="0.25">
      <c r="N44" s="30">
        <v>2.5030776504878643E-2</v>
      </c>
      <c r="O44" s="43">
        <v>-2.4800000000000001E-4</v>
      </c>
      <c r="P44" s="43">
        <v>-2.33E-4</v>
      </c>
      <c r="Q44" s="43">
        <v>-9.2E-5</v>
      </c>
      <c r="R44" s="30">
        <v>2.7533813304878647E-2</v>
      </c>
      <c r="S44" s="43">
        <v>-2.5799999999999998E-4</v>
      </c>
      <c r="T44" s="43">
        <v>-2.42E-4</v>
      </c>
      <c r="U44" s="43">
        <v>-8.1000000000000004E-5</v>
      </c>
      <c r="W44" s="30">
        <v>2.5030776504878643E-2</v>
      </c>
      <c r="X44" s="43">
        <v>-3.59E-4</v>
      </c>
      <c r="Y44" s="43">
        <v>-3.2499999999999999E-4</v>
      </c>
      <c r="Z44" s="43">
        <v>3.0000000000000001E-6</v>
      </c>
      <c r="AA44" s="30">
        <v>2.7533813304878647E-2</v>
      </c>
      <c r="AB44" s="43">
        <v>-3.59E-4</v>
      </c>
      <c r="AC44" s="43">
        <v>-3.2499999999999999E-4</v>
      </c>
      <c r="AD44" s="43">
        <v>5.0000000000000004E-6</v>
      </c>
      <c r="AF44" s="30">
        <v>2.5030776504878643E-2</v>
      </c>
      <c r="AG44" s="43">
        <v>-3.4200000000000002E-4</v>
      </c>
      <c r="AH44" s="43">
        <v>-3.1799999999999998E-4</v>
      </c>
      <c r="AI44" s="43">
        <v>-1.12E-4</v>
      </c>
      <c r="AJ44" s="30">
        <v>2.7533813304878647E-2</v>
      </c>
      <c r="AK44" s="43">
        <v>-3.5399999999999999E-4</v>
      </c>
      <c r="AL44" s="43">
        <v>-3.28E-4</v>
      </c>
      <c r="AM44" s="43">
        <v>-1.02E-4</v>
      </c>
      <c r="AO44" s="30">
        <v>2.5030776504878643E-2</v>
      </c>
      <c r="AP44" s="43">
        <v>-2.2100000000000001E-4</v>
      </c>
      <c r="AQ44" s="43">
        <v>-2.2000000000000001E-4</v>
      </c>
      <c r="AR44" s="43">
        <v>-2.02E-4</v>
      </c>
      <c r="AS44" s="30">
        <v>2.7533813304878647E-2</v>
      </c>
      <c r="AT44" s="43">
        <v>-2.22E-4</v>
      </c>
      <c r="AU44" s="43">
        <v>-2.2000000000000001E-4</v>
      </c>
      <c r="AV44" s="43">
        <v>-2.0100000000000001E-4</v>
      </c>
      <c r="AX44" s="30">
        <v>2.5030776504878643E-2</v>
      </c>
      <c r="AY44" s="43">
        <v>-3.4299999999999999E-4</v>
      </c>
      <c r="AZ44" s="43">
        <v>-3.2000000000000003E-4</v>
      </c>
      <c r="BA44" s="43">
        <v>-1.12E-4</v>
      </c>
      <c r="BB44" s="30">
        <v>2.7533813304878647E-2</v>
      </c>
      <c r="BC44" s="43">
        <v>-3.57E-4</v>
      </c>
      <c r="BD44" s="43">
        <v>-3.3100000000000002E-4</v>
      </c>
      <c r="BE44" s="43">
        <v>-1.01E-4</v>
      </c>
      <c r="BG44" s="30">
        <v>2.5030776504878643E-2</v>
      </c>
      <c r="BH44" s="43">
        <v>-2.2000000000000001E-4</v>
      </c>
      <c r="BI44" s="43">
        <v>-2.1800000000000001E-4</v>
      </c>
      <c r="BJ44" s="43">
        <v>-2.05E-4</v>
      </c>
      <c r="BK44" s="30">
        <v>2.7533813304878647E-2</v>
      </c>
      <c r="BL44" s="43">
        <v>-2.2000000000000001E-4</v>
      </c>
      <c r="BM44" s="43">
        <v>-2.1900000000000001E-4</v>
      </c>
      <c r="BN44" s="43">
        <v>-2.04E-4</v>
      </c>
      <c r="BP44" s="30">
        <v>2.5030776504878643E-2</v>
      </c>
      <c r="BQ44" s="43">
        <v>-3.0200000000000002E-4</v>
      </c>
      <c r="BR44" s="43">
        <v>-2.7099999999999997E-4</v>
      </c>
      <c r="BS44" s="43">
        <v>-7.9999999999999996E-6</v>
      </c>
      <c r="BT44" s="30">
        <v>2.7533813304878647E-2</v>
      </c>
      <c r="BU44" s="43">
        <v>-3.1399999999999999E-4</v>
      </c>
      <c r="BV44" s="43">
        <v>-2.8200000000000002E-4</v>
      </c>
      <c r="BW44" s="43">
        <v>3.439E-7</v>
      </c>
      <c r="BY44" s="30">
        <v>2.5030776504878643E-2</v>
      </c>
      <c r="BZ44" s="43">
        <v>-1.92E-4</v>
      </c>
      <c r="CA44" s="43">
        <v>-1.8200000000000001E-4</v>
      </c>
      <c r="CB44" s="43">
        <v>-9.1000000000000003E-5</v>
      </c>
      <c r="CC44" s="30">
        <v>2.7533813304878647E-2</v>
      </c>
      <c r="CD44" s="43">
        <v>-1.9100000000000001E-4</v>
      </c>
      <c r="CE44" s="43">
        <v>-1.8100000000000001E-4</v>
      </c>
      <c r="CF44" s="43">
        <v>-9.2999999999999997E-5</v>
      </c>
      <c r="CH44" s="30">
        <v>2.5030776504878643E-2</v>
      </c>
      <c r="CI44" s="43">
        <v>-4.6299999999999998E-4</v>
      </c>
      <c r="CJ44" s="43">
        <v>-4.6299999999999998E-4</v>
      </c>
      <c r="CK44" s="43">
        <v>2.9E-5</v>
      </c>
      <c r="CL44" s="30">
        <v>2.7533813304878647E-2</v>
      </c>
      <c r="CM44" s="43">
        <v>-4.8799999999999999E-4</v>
      </c>
      <c r="CN44" s="43">
        <v>-4.8899999999999996E-4</v>
      </c>
      <c r="CO44" s="43">
        <v>5.3999999999999998E-5</v>
      </c>
      <c r="CQ44" s="30">
        <v>2.5030776504878643E-2</v>
      </c>
      <c r="CR44" s="43">
        <v>-3.0800000000000001E-4</v>
      </c>
      <c r="CS44" s="43">
        <v>-3.0800000000000001E-4</v>
      </c>
      <c r="CT44" s="43">
        <v>-1.18E-4</v>
      </c>
      <c r="CU44" s="30">
        <v>2.7533813304878647E-2</v>
      </c>
      <c r="CV44" s="43">
        <v>-3.1799999999999998E-4</v>
      </c>
      <c r="CW44" s="43">
        <v>-3.1799999999999998E-4</v>
      </c>
      <c r="CX44" s="43">
        <v>-1.08E-4</v>
      </c>
    </row>
    <row r="45" spans="2:102" x14ac:dyDescent="0.25">
      <c r="N45" s="30">
        <v>2.5726064871545308E-2</v>
      </c>
      <c r="O45" s="43">
        <v>-2.5099999999999998E-4</v>
      </c>
      <c r="P45" s="43">
        <v>-2.3499999999999999E-4</v>
      </c>
      <c r="Q45" s="43">
        <v>-8.7999999999999998E-5</v>
      </c>
      <c r="R45" s="30">
        <v>2.8368159304878647E-2</v>
      </c>
      <c r="S45" s="43">
        <v>-2.6200000000000003E-4</v>
      </c>
      <c r="T45" s="43">
        <v>-2.4499999999999999E-4</v>
      </c>
      <c r="U45" s="43">
        <v>-7.7000000000000001E-5</v>
      </c>
      <c r="W45" s="30">
        <v>2.5726064871545308E-2</v>
      </c>
      <c r="X45" s="43">
        <v>-3.59E-4</v>
      </c>
      <c r="Y45" s="43">
        <v>-3.2499999999999999E-4</v>
      </c>
      <c r="Z45" s="43">
        <v>3.0000000000000001E-6</v>
      </c>
      <c r="AA45" s="30">
        <v>2.8368159304878647E-2</v>
      </c>
      <c r="AB45" s="43">
        <v>-3.59E-4</v>
      </c>
      <c r="AC45" s="43">
        <v>-3.2499999999999999E-4</v>
      </c>
      <c r="AD45" s="43">
        <v>6.0000000000000002E-6</v>
      </c>
      <c r="AF45" s="30">
        <v>2.5726064871545308E-2</v>
      </c>
      <c r="AG45" s="43">
        <v>-3.4499999999999998E-4</v>
      </c>
      <c r="AH45" s="43">
        <v>-3.21E-4</v>
      </c>
      <c r="AI45" s="43">
        <v>-1.0900000000000001E-4</v>
      </c>
      <c r="AJ45" s="30">
        <v>2.8368159304878647E-2</v>
      </c>
      <c r="AK45" s="43">
        <v>-3.5799999999999997E-4</v>
      </c>
      <c r="AL45" s="43">
        <v>-3.3199999999999999E-4</v>
      </c>
      <c r="AM45" s="43">
        <v>-9.8999999999999994E-5</v>
      </c>
      <c r="AO45" s="30">
        <v>2.5726064871545308E-2</v>
      </c>
      <c r="AP45" s="43">
        <v>-2.22E-4</v>
      </c>
      <c r="AQ45" s="43">
        <v>-2.2000000000000001E-4</v>
      </c>
      <c r="AR45" s="43">
        <v>-2.02E-4</v>
      </c>
      <c r="AS45" s="30">
        <v>2.8368159304878647E-2</v>
      </c>
      <c r="AT45" s="43">
        <v>-2.23E-4</v>
      </c>
      <c r="AU45" s="43">
        <v>-2.2100000000000001E-4</v>
      </c>
      <c r="AV45" s="43">
        <v>-2.0100000000000001E-4</v>
      </c>
      <c r="AX45" s="30">
        <v>2.5726064871545308E-2</v>
      </c>
      <c r="AY45" s="43">
        <v>-3.4699999999999998E-4</v>
      </c>
      <c r="AZ45" s="43">
        <v>-3.2299999999999999E-4</v>
      </c>
      <c r="BA45" s="43">
        <v>-1.0900000000000001E-4</v>
      </c>
      <c r="BB45" s="30">
        <v>2.8368159304878647E-2</v>
      </c>
      <c r="BC45" s="43">
        <v>-3.6099999999999999E-4</v>
      </c>
      <c r="BD45" s="43">
        <v>-3.3399999999999999E-4</v>
      </c>
      <c r="BE45" s="43">
        <v>-9.7999999999999997E-5</v>
      </c>
      <c r="BG45" s="30">
        <v>2.5726064871545308E-2</v>
      </c>
      <c r="BH45" s="43">
        <v>-2.2000000000000001E-4</v>
      </c>
      <c r="BI45" s="43">
        <v>-2.1900000000000001E-4</v>
      </c>
      <c r="BJ45" s="43">
        <v>-2.05E-4</v>
      </c>
      <c r="BK45" s="30">
        <v>2.8368159304878647E-2</v>
      </c>
      <c r="BL45" s="43">
        <v>-2.2100000000000001E-4</v>
      </c>
      <c r="BM45" s="43">
        <v>-2.1900000000000001E-4</v>
      </c>
      <c r="BN45" s="43">
        <v>-2.04E-4</v>
      </c>
      <c r="BP45" s="30">
        <v>2.5726064871545308E-2</v>
      </c>
      <c r="BQ45" s="43">
        <v>-3.0499999999999999E-4</v>
      </c>
      <c r="BR45" s="43">
        <v>-2.7399999999999999E-4</v>
      </c>
      <c r="BS45" s="43">
        <v>-6.0000000000000002E-6</v>
      </c>
      <c r="BT45" s="30">
        <v>2.8368159304878647E-2</v>
      </c>
      <c r="BU45" s="43">
        <v>-3.19E-4</v>
      </c>
      <c r="BV45" s="43">
        <v>-2.8600000000000001E-4</v>
      </c>
      <c r="BW45" s="43">
        <v>3.0000000000000001E-6</v>
      </c>
      <c r="BY45" s="30">
        <v>2.5726064871545308E-2</v>
      </c>
      <c r="BZ45" s="43">
        <v>-1.92E-4</v>
      </c>
      <c r="CA45" s="43">
        <v>-1.8200000000000001E-4</v>
      </c>
      <c r="CB45" s="43">
        <v>-9.1000000000000003E-5</v>
      </c>
      <c r="CC45" s="30">
        <v>2.8368159304878647E-2</v>
      </c>
      <c r="CD45" s="43">
        <v>-1.9000000000000001E-4</v>
      </c>
      <c r="CE45" s="43">
        <v>-1.8100000000000001E-4</v>
      </c>
      <c r="CF45" s="43">
        <v>-9.3999999999999994E-5</v>
      </c>
      <c r="CH45" s="30">
        <v>2.5726064871545308E-2</v>
      </c>
      <c r="CI45" s="43">
        <v>-4.6999999999999999E-4</v>
      </c>
      <c r="CJ45" s="43">
        <v>-4.6999999999999999E-4</v>
      </c>
      <c r="CK45" s="43">
        <v>3.6000000000000001E-5</v>
      </c>
      <c r="CL45" s="30">
        <v>2.8368159304878647E-2</v>
      </c>
      <c r="CM45" s="43">
        <v>-4.9600000000000002E-4</v>
      </c>
      <c r="CN45" s="43">
        <v>-4.9700000000000005E-4</v>
      </c>
      <c r="CO45" s="43">
        <v>6.2000000000000003E-5</v>
      </c>
      <c r="CQ45" s="30">
        <v>2.5726064871545308E-2</v>
      </c>
      <c r="CR45" s="43">
        <v>-3.1100000000000002E-4</v>
      </c>
      <c r="CS45" s="43">
        <v>-3.1100000000000002E-4</v>
      </c>
      <c r="CT45" s="43">
        <v>-1.15E-4</v>
      </c>
      <c r="CU45" s="30">
        <v>2.8368159304878647E-2</v>
      </c>
      <c r="CV45" s="43">
        <v>-3.21E-4</v>
      </c>
      <c r="CW45" s="43">
        <v>-3.21E-4</v>
      </c>
      <c r="CX45" s="43">
        <v>-1.05E-4</v>
      </c>
    </row>
    <row r="46" spans="2:102" x14ac:dyDescent="0.25">
      <c r="N46" s="30">
        <v>2.6421353238211976E-2</v>
      </c>
      <c r="O46" s="43">
        <v>-2.5399999999999999E-4</v>
      </c>
      <c r="P46" s="43">
        <v>-2.3800000000000001E-4</v>
      </c>
      <c r="Q46" s="43">
        <v>-8.5000000000000006E-5</v>
      </c>
      <c r="R46" s="30">
        <v>2.9202505304878647E-2</v>
      </c>
      <c r="S46" s="43">
        <v>-2.6600000000000001E-4</v>
      </c>
      <c r="T46" s="43">
        <v>-2.4800000000000001E-4</v>
      </c>
      <c r="U46" s="43">
        <v>-7.2999999999999999E-5</v>
      </c>
      <c r="W46" s="30">
        <v>2.6421353238211976E-2</v>
      </c>
      <c r="X46" s="43">
        <v>-3.59E-4</v>
      </c>
      <c r="Y46" s="43">
        <v>-3.2499999999999999E-4</v>
      </c>
      <c r="Z46" s="43">
        <v>3.9999999999999998E-6</v>
      </c>
      <c r="AA46" s="30">
        <v>2.9202505304878647E-2</v>
      </c>
      <c r="AB46" s="43">
        <v>-3.59E-4</v>
      </c>
      <c r="AC46" s="43">
        <v>-3.2499999999999999E-4</v>
      </c>
      <c r="AD46" s="43">
        <v>6.9999999999999999E-6</v>
      </c>
      <c r="AF46" s="30">
        <v>2.6421353238211976E-2</v>
      </c>
      <c r="AG46" s="43">
        <v>-3.4900000000000003E-4</v>
      </c>
      <c r="AH46" s="43">
        <v>-3.2400000000000001E-4</v>
      </c>
      <c r="AI46" s="43">
        <v>-1.06E-4</v>
      </c>
      <c r="AJ46" s="30">
        <v>2.9202505304878647E-2</v>
      </c>
      <c r="AK46" s="43">
        <v>-3.6299999999999999E-4</v>
      </c>
      <c r="AL46" s="43">
        <v>-3.3500000000000001E-4</v>
      </c>
      <c r="AM46" s="43">
        <v>-9.5000000000000005E-5</v>
      </c>
      <c r="AO46" s="30">
        <v>2.6421353238211976E-2</v>
      </c>
      <c r="AP46" s="43">
        <v>-2.22E-4</v>
      </c>
      <c r="AQ46" s="43">
        <v>-2.2000000000000001E-4</v>
      </c>
      <c r="AR46" s="43">
        <v>-2.02E-4</v>
      </c>
      <c r="AS46" s="30">
        <v>2.9202505304878647E-2</v>
      </c>
      <c r="AT46" s="43">
        <v>-2.23E-4</v>
      </c>
      <c r="AU46" s="43">
        <v>-2.2100000000000001E-4</v>
      </c>
      <c r="AV46" s="43">
        <v>-2.0100000000000001E-4</v>
      </c>
      <c r="AX46" s="30">
        <v>2.6421353238211976E-2</v>
      </c>
      <c r="AY46" s="43">
        <v>-3.5100000000000002E-4</v>
      </c>
      <c r="AZ46" s="43">
        <v>-3.2499999999999999E-4</v>
      </c>
      <c r="BA46" s="43">
        <v>-1.06E-4</v>
      </c>
      <c r="BB46" s="30">
        <v>2.9202505304878647E-2</v>
      </c>
      <c r="BC46" s="43">
        <v>-3.6600000000000001E-4</v>
      </c>
      <c r="BD46" s="43">
        <v>-3.3799999999999998E-4</v>
      </c>
      <c r="BE46" s="43">
        <v>-9.3999999999999994E-5</v>
      </c>
      <c r="BG46" s="30">
        <v>2.6421353238211976E-2</v>
      </c>
      <c r="BH46" s="43">
        <v>-2.2000000000000001E-4</v>
      </c>
      <c r="BI46" s="43">
        <v>-2.1900000000000001E-4</v>
      </c>
      <c r="BJ46" s="43">
        <v>-2.04E-4</v>
      </c>
      <c r="BK46" s="30">
        <v>2.9202505304878647E-2</v>
      </c>
      <c r="BL46" s="43">
        <v>-2.2100000000000001E-4</v>
      </c>
      <c r="BM46" s="43">
        <v>-2.1900000000000001E-4</v>
      </c>
      <c r="BN46" s="43">
        <v>-2.04E-4</v>
      </c>
      <c r="BP46" s="30">
        <v>2.6421353238211976E-2</v>
      </c>
      <c r="BQ46" s="43">
        <v>-3.0899999999999998E-4</v>
      </c>
      <c r="BR46" s="43">
        <v>-2.7700000000000001E-4</v>
      </c>
      <c r="BS46" s="43">
        <v>-3.0000000000000001E-6</v>
      </c>
      <c r="BT46" s="30">
        <v>2.9202505304878647E-2</v>
      </c>
      <c r="BU46" s="43">
        <v>-3.2299999999999999E-4</v>
      </c>
      <c r="BV46" s="43">
        <v>-2.8899999999999998E-4</v>
      </c>
      <c r="BW46" s="43">
        <v>6.0000000000000002E-6</v>
      </c>
      <c r="BY46" s="30">
        <v>2.6421353238211976E-2</v>
      </c>
      <c r="BZ46" s="43">
        <v>-1.92E-4</v>
      </c>
      <c r="CA46" s="43">
        <v>-1.8100000000000001E-4</v>
      </c>
      <c r="CB46" s="43">
        <v>-9.2E-5</v>
      </c>
      <c r="CC46" s="30">
        <v>2.9202505304878647E-2</v>
      </c>
      <c r="CD46" s="43">
        <v>-1.9000000000000001E-4</v>
      </c>
      <c r="CE46" s="43">
        <v>-1.8000000000000001E-4</v>
      </c>
      <c r="CF46" s="43">
        <v>-9.5000000000000005E-5</v>
      </c>
      <c r="CH46" s="30">
        <v>2.6421353238211976E-2</v>
      </c>
      <c r="CI46" s="43">
        <v>-4.7600000000000002E-4</v>
      </c>
      <c r="CJ46" s="43">
        <v>-4.7699999999999999E-4</v>
      </c>
      <c r="CK46" s="43">
        <v>4.3000000000000002E-5</v>
      </c>
      <c r="CL46" s="30">
        <v>2.9202505304878647E-2</v>
      </c>
      <c r="CM46" s="43">
        <v>-5.0500000000000002E-4</v>
      </c>
      <c r="CN46" s="43">
        <v>-5.0500000000000002E-4</v>
      </c>
      <c r="CO46" s="43">
        <v>7.1000000000000005E-5</v>
      </c>
      <c r="CQ46" s="30">
        <v>2.6421353238211976E-2</v>
      </c>
      <c r="CR46" s="43">
        <v>-3.1399999999999999E-4</v>
      </c>
      <c r="CS46" s="43">
        <v>-3.1399999999999999E-4</v>
      </c>
      <c r="CT46" s="43">
        <v>-1.12E-4</v>
      </c>
      <c r="CU46" s="30">
        <v>2.9202505304878647E-2</v>
      </c>
      <c r="CV46" s="43">
        <v>-3.2400000000000001E-4</v>
      </c>
      <c r="CW46" s="43">
        <v>-3.2400000000000001E-4</v>
      </c>
      <c r="CX46" s="43">
        <v>-1.02E-4</v>
      </c>
    </row>
    <row r="47" spans="2:102" x14ac:dyDescent="0.25">
      <c r="N47" s="30">
        <v>2.7116641604878641E-2</v>
      </c>
      <c r="O47" s="43">
        <v>-2.5700000000000001E-4</v>
      </c>
      <c r="P47" s="43">
        <v>-2.4000000000000001E-4</v>
      </c>
      <c r="Q47" s="43">
        <v>-8.2000000000000001E-5</v>
      </c>
      <c r="R47" s="30">
        <v>3.0036851304878646E-2</v>
      </c>
      <c r="S47" s="43">
        <v>-2.6899999999999998E-4</v>
      </c>
      <c r="T47" s="43">
        <v>-2.5099999999999998E-4</v>
      </c>
      <c r="U47" s="43">
        <v>-6.8999999999999997E-5</v>
      </c>
      <c r="W47" s="30">
        <v>2.7116641604878641E-2</v>
      </c>
      <c r="X47" s="43">
        <v>-3.59E-4</v>
      </c>
      <c r="Y47" s="43">
        <v>-3.2499999999999999E-4</v>
      </c>
      <c r="Z47" s="43">
        <v>5.0000000000000004E-6</v>
      </c>
      <c r="AA47" s="30">
        <v>3.0036851304878646E-2</v>
      </c>
      <c r="AB47" s="43">
        <v>-3.59E-4</v>
      </c>
      <c r="AC47" s="43">
        <v>-3.2499999999999999E-4</v>
      </c>
      <c r="AD47" s="43">
        <v>6.9999999999999999E-6</v>
      </c>
      <c r="AF47" s="30">
        <v>2.7116641604878641E-2</v>
      </c>
      <c r="AG47" s="43">
        <v>-3.5199999999999999E-4</v>
      </c>
      <c r="AH47" s="43">
        <v>-3.2699999999999998E-4</v>
      </c>
      <c r="AI47" s="43">
        <v>-1.0399999999999999E-4</v>
      </c>
      <c r="AJ47" s="30">
        <v>3.0036851304878646E-2</v>
      </c>
      <c r="AK47" s="43">
        <v>-3.6699999999999998E-4</v>
      </c>
      <c r="AL47" s="43">
        <v>-3.39E-4</v>
      </c>
      <c r="AM47" s="43">
        <v>-9.2E-5</v>
      </c>
      <c r="AO47" s="30">
        <v>2.7116641604878641E-2</v>
      </c>
      <c r="AP47" s="43">
        <v>-2.22E-4</v>
      </c>
      <c r="AQ47" s="43">
        <v>-2.2000000000000001E-4</v>
      </c>
      <c r="AR47" s="43">
        <v>-2.02E-4</v>
      </c>
      <c r="AS47" s="30">
        <v>3.0036851304878646E-2</v>
      </c>
      <c r="AT47" s="43">
        <v>-2.23E-4</v>
      </c>
      <c r="AU47" s="43">
        <v>-2.2100000000000001E-4</v>
      </c>
      <c r="AV47" s="43">
        <v>-2.0100000000000001E-4</v>
      </c>
      <c r="AX47" s="30">
        <v>2.7116641604878641E-2</v>
      </c>
      <c r="AY47" s="43">
        <v>-3.5399999999999999E-4</v>
      </c>
      <c r="AZ47" s="43">
        <v>-3.28E-4</v>
      </c>
      <c r="BA47" s="43">
        <v>-1.03E-4</v>
      </c>
      <c r="BB47" s="30">
        <v>3.0036851304878646E-2</v>
      </c>
      <c r="BC47" s="43">
        <v>-3.6999999999999999E-4</v>
      </c>
      <c r="BD47" s="43">
        <v>-3.4099999999999999E-4</v>
      </c>
      <c r="BE47" s="43">
        <v>-9.1000000000000003E-5</v>
      </c>
      <c r="BG47" s="30">
        <v>2.7116641604878641E-2</v>
      </c>
      <c r="BH47" s="43">
        <v>-2.2000000000000001E-4</v>
      </c>
      <c r="BI47" s="43">
        <v>-2.1900000000000001E-4</v>
      </c>
      <c r="BJ47" s="43">
        <v>-2.04E-4</v>
      </c>
      <c r="BK47" s="30">
        <v>3.0036851304878646E-2</v>
      </c>
      <c r="BL47" s="43">
        <v>-2.2100000000000001E-4</v>
      </c>
      <c r="BM47" s="43">
        <v>-2.2000000000000001E-4</v>
      </c>
      <c r="BN47" s="43">
        <v>-2.04E-4</v>
      </c>
      <c r="BP47" s="30">
        <v>2.7116641604878641E-2</v>
      </c>
      <c r="BQ47" s="43">
        <v>-3.1199999999999999E-4</v>
      </c>
      <c r="BR47" s="43">
        <v>-2.7999999999999998E-4</v>
      </c>
      <c r="BS47" s="43">
        <v>-9.9999999999999995E-7</v>
      </c>
      <c r="BT47" s="30">
        <v>3.0036851304878646E-2</v>
      </c>
      <c r="BU47" s="43">
        <v>-3.28E-4</v>
      </c>
      <c r="BV47" s="43">
        <v>-2.9300000000000002E-4</v>
      </c>
      <c r="BW47" s="43">
        <v>9.0000000000000002E-6</v>
      </c>
      <c r="BY47" s="30">
        <v>2.7116641604878641E-2</v>
      </c>
      <c r="BZ47" s="43">
        <v>-1.9100000000000001E-4</v>
      </c>
      <c r="CA47" s="43">
        <v>-1.8100000000000001E-4</v>
      </c>
      <c r="CB47" s="43">
        <v>-9.2999999999999997E-5</v>
      </c>
      <c r="CC47" s="30">
        <v>3.0036851304878646E-2</v>
      </c>
      <c r="CD47" s="43">
        <v>-1.8900000000000001E-4</v>
      </c>
      <c r="CE47" s="43">
        <v>-1.8000000000000001E-4</v>
      </c>
      <c r="CF47" s="43">
        <v>-9.6000000000000002E-5</v>
      </c>
      <c r="CH47" s="30">
        <v>2.7116641604878641E-2</v>
      </c>
      <c r="CI47" s="43">
        <v>-4.8299999999999998E-4</v>
      </c>
      <c r="CJ47" s="43">
        <v>-4.84E-4</v>
      </c>
      <c r="CK47" s="43">
        <v>5.0000000000000002E-5</v>
      </c>
      <c r="CL47" s="30">
        <v>3.0036851304878646E-2</v>
      </c>
      <c r="CM47" s="43">
        <v>-5.13E-4</v>
      </c>
      <c r="CN47" s="43">
        <v>-5.1400000000000003E-4</v>
      </c>
      <c r="CO47" s="43">
        <v>7.7999999999999999E-5</v>
      </c>
      <c r="CQ47" s="30">
        <v>2.7116641604878641E-2</v>
      </c>
      <c r="CR47" s="43">
        <v>-3.1599999999999998E-4</v>
      </c>
      <c r="CS47" s="43">
        <v>-3.1599999999999998E-4</v>
      </c>
      <c r="CT47" s="43">
        <v>-1.1E-4</v>
      </c>
      <c r="CU47" s="30">
        <v>3.0036851304878646E-2</v>
      </c>
      <c r="CV47" s="43">
        <v>-3.2699999999999998E-4</v>
      </c>
      <c r="CW47" s="43">
        <v>-3.2699999999999998E-4</v>
      </c>
      <c r="CX47" s="43">
        <v>-9.8999999999999994E-5</v>
      </c>
    </row>
    <row r="48" spans="2:102" x14ac:dyDescent="0.25">
      <c r="N48" s="30">
        <v>2.7811929971545309E-2</v>
      </c>
      <c r="O48" s="43">
        <v>-2.5999999999999998E-4</v>
      </c>
      <c r="P48" s="43">
        <v>-2.43E-4</v>
      </c>
      <c r="Q48" s="43">
        <v>-7.8999999999999996E-5</v>
      </c>
      <c r="R48" s="30">
        <v>3.0871197304878646E-2</v>
      </c>
      <c r="S48" s="43">
        <v>-2.7300000000000002E-4</v>
      </c>
      <c r="T48" s="43">
        <v>-2.5300000000000002E-4</v>
      </c>
      <c r="U48" s="43">
        <v>-6.6000000000000005E-5</v>
      </c>
      <c r="W48" s="30">
        <v>2.7811929971545309E-2</v>
      </c>
      <c r="X48" s="43">
        <v>-3.59E-4</v>
      </c>
      <c r="Y48" s="43">
        <v>-3.2499999999999999E-4</v>
      </c>
      <c r="Z48" s="43">
        <v>5.0000000000000004E-6</v>
      </c>
      <c r="AA48" s="30">
        <v>3.0871197304878646E-2</v>
      </c>
      <c r="AB48" s="43">
        <v>-3.59E-4</v>
      </c>
      <c r="AC48" s="43">
        <v>-3.2499999999999999E-4</v>
      </c>
      <c r="AD48" s="43">
        <v>7.9999999999999996E-6</v>
      </c>
      <c r="AF48" s="30">
        <v>2.7811929971545309E-2</v>
      </c>
      <c r="AG48" s="43">
        <v>-3.5599999999999998E-4</v>
      </c>
      <c r="AH48" s="43">
        <v>-3.3E-4</v>
      </c>
      <c r="AI48" s="43">
        <v>-1.01E-4</v>
      </c>
      <c r="AJ48" s="30">
        <v>3.0871197304878646E-2</v>
      </c>
      <c r="AK48" s="43">
        <v>-3.7100000000000002E-4</v>
      </c>
      <c r="AL48" s="43">
        <v>-3.4200000000000002E-4</v>
      </c>
      <c r="AM48" s="43">
        <v>-8.8999999999999995E-5</v>
      </c>
      <c r="AO48" s="30">
        <v>2.7811929971545309E-2</v>
      </c>
      <c r="AP48" s="43">
        <v>-2.22E-4</v>
      </c>
      <c r="AQ48" s="43">
        <v>-2.2000000000000001E-4</v>
      </c>
      <c r="AR48" s="43">
        <v>-2.02E-4</v>
      </c>
      <c r="AS48" s="30">
        <v>3.0871197304878646E-2</v>
      </c>
      <c r="AT48" s="43">
        <v>-2.23E-4</v>
      </c>
      <c r="AU48" s="43">
        <v>-2.2100000000000001E-4</v>
      </c>
      <c r="AV48" s="43">
        <v>-2.0100000000000001E-4</v>
      </c>
      <c r="AX48" s="30">
        <v>2.7811929971545309E-2</v>
      </c>
      <c r="AY48" s="43">
        <v>-3.5799999999999997E-4</v>
      </c>
      <c r="AZ48" s="43">
        <v>-3.3100000000000002E-4</v>
      </c>
      <c r="BA48" s="43">
        <v>-1.01E-4</v>
      </c>
      <c r="BB48" s="30">
        <v>3.0871197304878646E-2</v>
      </c>
      <c r="BC48" s="43">
        <v>-3.7399999999999998E-4</v>
      </c>
      <c r="BD48" s="43">
        <v>-3.4499999999999998E-4</v>
      </c>
      <c r="BE48" s="43">
        <v>-8.7999999999999998E-5</v>
      </c>
      <c r="BG48" s="30">
        <v>2.7811929971545309E-2</v>
      </c>
      <c r="BH48" s="43">
        <v>-2.2100000000000001E-4</v>
      </c>
      <c r="BI48" s="43">
        <v>-2.1900000000000001E-4</v>
      </c>
      <c r="BJ48" s="43">
        <v>-2.04E-4</v>
      </c>
      <c r="BK48" s="30">
        <v>3.0871197304878646E-2</v>
      </c>
      <c r="BL48" s="43">
        <v>-2.2100000000000001E-4</v>
      </c>
      <c r="BM48" s="43">
        <v>-2.2000000000000001E-4</v>
      </c>
      <c r="BN48" s="43">
        <v>-2.04E-4</v>
      </c>
      <c r="BP48" s="30">
        <v>2.7811929971545309E-2</v>
      </c>
      <c r="BQ48" s="43">
        <v>-3.1599999999999998E-4</v>
      </c>
      <c r="BR48" s="43">
        <v>-2.8299999999999999E-4</v>
      </c>
      <c r="BS48" s="43">
        <v>9.9999999999999995E-7</v>
      </c>
      <c r="BT48" s="30">
        <v>3.0871197304878646E-2</v>
      </c>
      <c r="BU48" s="43">
        <v>-3.3199999999999999E-4</v>
      </c>
      <c r="BV48" s="43">
        <v>-2.9599999999999998E-4</v>
      </c>
      <c r="BW48" s="43">
        <v>1.2E-5</v>
      </c>
      <c r="BY48" s="30">
        <v>2.7811929971545309E-2</v>
      </c>
      <c r="BZ48" s="43">
        <v>-1.9100000000000001E-4</v>
      </c>
      <c r="CA48" s="43">
        <v>-1.8100000000000001E-4</v>
      </c>
      <c r="CB48" s="43">
        <v>-9.2999999999999997E-5</v>
      </c>
      <c r="CC48" s="30">
        <v>3.0871197304878646E-2</v>
      </c>
      <c r="CD48" s="43">
        <v>-1.8900000000000001E-4</v>
      </c>
      <c r="CE48" s="43">
        <v>-1.8000000000000001E-4</v>
      </c>
      <c r="CF48" s="43">
        <v>-9.7E-5</v>
      </c>
      <c r="CH48" s="30">
        <v>2.7811929971545309E-2</v>
      </c>
      <c r="CI48" s="43">
        <v>-4.8999999999999998E-4</v>
      </c>
      <c r="CJ48" s="43">
        <v>-4.9100000000000001E-4</v>
      </c>
      <c r="CK48" s="43">
        <v>5.7000000000000003E-5</v>
      </c>
      <c r="CL48" s="30">
        <v>3.0871197304878646E-2</v>
      </c>
      <c r="CM48" s="43">
        <v>-5.2099999999999998E-4</v>
      </c>
      <c r="CN48" s="43">
        <v>-5.22E-4</v>
      </c>
      <c r="CO48" s="43">
        <v>8.6000000000000003E-5</v>
      </c>
      <c r="CQ48" s="30">
        <v>2.7811929971545309E-2</v>
      </c>
      <c r="CR48" s="43">
        <v>-3.19E-4</v>
      </c>
      <c r="CS48" s="43">
        <v>-3.19E-4</v>
      </c>
      <c r="CT48" s="43">
        <v>-1.07E-4</v>
      </c>
      <c r="CU48" s="30">
        <v>3.0871197304878646E-2</v>
      </c>
      <c r="CV48" s="43">
        <v>-3.3E-4</v>
      </c>
      <c r="CW48" s="43">
        <v>-3.3E-4</v>
      </c>
      <c r="CX48" s="43">
        <v>-9.6000000000000002E-5</v>
      </c>
    </row>
    <row r="49" spans="14:102" x14ac:dyDescent="0.25">
      <c r="N49" s="30">
        <v>2.8507218338211973E-2</v>
      </c>
      <c r="O49" s="43">
        <v>-2.63E-4</v>
      </c>
      <c r="P49" s="43">
        <v>-2.4499999999999999E-4</v>
      </c>
      <c r="Q49" s="43">
        <v>-7.6000000000000004E-5</v>
      </c>
      <c r="R49" s="30">
        <v>3.1705543304878646E-2</v>
      </c>
      <c r="S49" s="43">
        <v>-2.7700000000000001E-4</v>
      </c>
      <c r="T49" s="43">
        <v>-2.5599999999999999E-4</v>
      </c>
      <c r="U49" s="43">
        <v>-6.2000000000000003E-5</v>
      </c>
      <c r="W49" s="30">
        <v>2.8507218338211973E-2</v>
      </c>
      <c r="X49" s="43">
        <v>-3.59E-4</v>
      </c>
      <c r="Y49" s="43">
        <v>-3.2499999999999999E-4</v>
      </c>
      <c r="Z49" s="43">
        <v>6.0000000000000002E-6</v>
      </c>
      <c r="AA49" s="30">
        <v>3.1705543304878646E-2</v>
      </c>
      <c r="AB49" s="43">
        <v>-3.59E-4</v>
      </c>
      <c r="AC49" s="43">
        <v>-3.2499999999999999E-4</v>
      </c>
      <c r="AD49" s="43">
        <v>9.0000000000000002E-6</v>
      </c>
      <c r="AF49" s="30">
        <v>2.8507218338211973E-2</v>
      </c>
      <c r="AG49" s="43">
        <v>-3.6000000000000002E-4</v>
      </c>
      <c r="AH49" s="43">
        <v>-3.3300000000000002E-4</v>
      </c>
      <c r="AI49" s="43">
        <v>-9.7999999999999997E-5</v>
      </c>
      <c r="AJ49" s="30">
        <v>3.1705543304878646E-2</v>
      </c>
      <c r="AK49" s="43">
        <v>-3.7599999999999998E-4</v>
      </c>
      <c r="AL49" s="43">
        <v>-3.4600000000000001E-4</v>
      </c>
      <c r="AM49" s="43">
        <v>-8.5000000000000006E-5</v>
      </c>
      <c r="AO49" s="30">
        <v>2.8507218338211973E-2</v>
      </c>
      <c r="AP49" s="43">
        <v>-2.22E-4</v>
      </c>
      <c r="AQ49" s="43">
        <v>-2.2100000000000001E-4</v>
      </c>
      <c r="AR49" s="43">
        <v>-2.0100000000000001E-4</v>
      </c>
      <c r="AS49" s="30">
        <v>3.1705543304878646E-2</v>
      </c>
      <c r="AT49" s="43">
        <v>-2.23E-4</v>
      </c>
      <c r="AU49" s="43">
        <v>-2.2100000000000001E-4</v>
      </c>
      <c r="AV49" s="43">
        <v>-2.0000000000000001E-4</v>
      </c>
      <c r="AX49" s="30">
        <v>2.8507218338211973E-2</v>
      </c>
      <c r="AY49" s="43">
        <v>-3.6099999999999999E-4</v>
      </c>
      <c r="AZ49" s="43">
        <v>-3.3399999999999999E-4</v>
      </c>
      <c r="BA49" s="43">
        <v>-9.7999999999999997E-5</v>
      </c>
      <c r="BB49" s="30">
        <v>3.1705543304878646E-2</v>
      </c>
      <c r="BC49" s="43">
        <v>-3.79E-4</v>
      </c>
      <c r="BD49" s="43">
        <v>-3.4900000000000003E-4</v>
      </c>
      <c r="BE49" s="43">
        <v>-8.3999999999999995E-5</v>
      </c>
      <c r="BG49" s="30">
        <v>2.8507218338211973E-2</v>
      </c>
      <c r="BH49" s="43">
        <v>-2.2100000000000001E-4</v>
      </c>
      <c r="BI49" s="43">
        <v>-2.1900000000000001E-4</v>
      </c>
      <c r="BJ49" s="43">
        <v>-2.04E-4</v>
      </c>
      <c r="BK49" s="30">
        <v>3.1705543304878646E-2</v>
      </c>
      <c r="BL49" s="43">
        <v>-2.22E-4</v>
      </c>
      <c r="BM49" s="43">
        <v>-2.2000000000000001E-4</v>
      </c>
      <c r="BN49" s="43">
        <v>-2.04E-4</v>
      </c>
      <c r="BP49" s="30">
        <v>2.8507218338211973E-2</v>
      </c>
      <c r="BQ49" s="43">
        <v>-3.2000000000000003E-4</v>
      </c>
      <c r="BR49" s="43">
        <v>-2.8600000000000001E-4</v>
      </c>
      <c r="BS49" s="43">
        <v>3.9999999999999998E-6</v>
      </c>
      <c r="BT49" s="30">
        <v>3.1705543304878646E-2</v>
      </c>
      <c r="BU49" s="43">
        <v>-3.3700000000000001E-4</v>
      </c>
      <c r="BV49" s="43">
        <v>-2.9999999999999997E-4</v>
      </c>
      <c r="BW49" s="43">
        <v>1.5E-5</v>
      </c>
      <c r="BY49" s="30">
        <v>2.8507218338211973E-2</v>
      </c>
      <c r="BZ49" s="43">
        <v>-1.9100000000000001E-4</v>
      </c>
      <c r="CA49" s="43">
        <v>-1.8100000000000001E-4</v>
      </c>
      <c r="CB49" s="43">
        <v>-9.3999999999999994E-5</v>
      </c>
      <c r="CC49" s="30">
        <v>3.1705543304878646E-2</v>
      </c>
      <c r="CD49" s="43">
        <v>-1.8900000000000001E-4</v>
      </c>
      <c r="CE49" s="43">
        <v>-1.7899999999999999E-4</v>
      </c>
      <c r="CF49" s="43">
        <v>-9.7999999999999997E-5</v>
      </c>
      <c r="CH49" s="30">
        <v>2.8507218338211973E-2</v>
      </c>
      <c r="CI49" s="43">
        <v>-4.9700000000000005E-4</v>
      </c>
      <c r="CJ49" s="43">
        <v>-4.9799999999999996E-4</v>
      </c>
      <c r="CK49" s="43">
        <v>6.3E-5</v>
      </c>
      <c r="CL49" s="30">
        <v>3.1705543304878646E-2</v>
      </c>
      <c r="CM49" s="43">
        <v>-5.2999999999999998E-4</v>
      </c>
      <c r="CN49" s="43">
        <v>-5.31E-4</v>
      </c>
      <c r="CO49" s="43">
        <v>9.5000000000000005E-5</v>
      </c>
      <c r="CQ49" s="30">
        <v>2.8507218338211973E-2</v>
      </c>
      <c r="CR49" s="43">
        <v>-3.21E-4</v>
      </c>
      <c r="CS49" s="43">
        <v>-3.2200000000000002E-4</v>
      </c>
      <c r="CT49" s="43">
        <v>-1.05E-4</v>
      </c>
      <c r="CU49" s="30">
        <v>3.1705543304878646E-2</v>
      </c>
      <c r="CV49" s="43">
        <v>-3.3300000000000002E-4</v>
      </c>
      <c r="CW49" s="43">
        <v>-3.3399999999999999E-4</v>
      </c>
      <c r="CX49" s="43">
        <v>-9.2999999999999997E-5</v>
      </c>
    </row>
    <row r="50" spans="14:102" x14ac:dyDescent="0.25">
      <c r="N50" s="30">
        <v>2.9202506704878641E-2</v>
      </c>
      <c r="O50" s="43">
        <v>-2.6600000000000001E-4</v>
      </c>
      <c r="P50" s="43">
        <v>-2.4800000000000001E-4</v>
      </c>
      <c r="Q50" s="43">
        <v>-7.2999999999999999E-5</v>
      </c>
      <c r="R50" s="30">
        <v>3.2539889304878646E-2</v>
      </c>
      <c r="S50" s="43">
        <v>-2.7999999999999998E-4</v>
      </c>
      <c r="T50" s="43">
        <v>-2.5900000000000001E-4</v>
      </c>
      <c r="U50" s="43">
        <v>-5.8E-5</v>
      </c>
      <c r="W50" s="30">
        <v>2.9202506704878641E-2</v>
      </c>
      <c r="X50" s="43">
        <v>-3.59E-4</v>
      </c>
      <c r="Y50" s="43">
        <v>-3.2499999999999999E-4</v>
      </c>
      <c r="Z50" s="43">
        <v>6.9999999999999999E-6</v>
      </c>
      <c r="AA50" s="30">
        <v>3.2539889304878646E-2</v>
      </c>
      <c r="AB50" s="43">
        <v>-3.59E-4</v>
      </c>
      <c r="AC50" s="43">
        <v>-3.2400000000000001E-4</v>
      </c>
      <c r="AD50" s="43">
        <v>1.0000000000000001E-5</v>
      </c>
      <c r="AF50" s="30">
        <v>2.9202506704878641E-2</v>
      </c>
      <c r="AG50" s="43">
        <v>-3.6299999999999999E-4</v>
      </c>
      <c r="AH50" s="43">
        <v>-3.3599999999999998E-4</v>
      </c>
      <c r="AI50" s="43">
        <v>-9.5000000000000005E-5</v>
      </c>
      <c r="AJ50" s="30">
        <v>3.2539889304878646E-2</v>
      </c>
      <c r="AK50" s="43">
        <v>-3.8000000000000002E-4</v>
      </c>
      <c r="AL50" s="43">
        <v>-3.4900000000000003E-4</v>
      </c>
      <c r="AM50" s="43">
        <v>-8.2000000000000001E-5</v>
      </c>
      <c r="AO50" s="30">
        <v>2.9202506704878641E-2</v>
      </c>
      <c r="AP50" s="43">
        <v>-2.23E-4</v>
      </c>
      <c r="AQ50" s="43">
        <v>-2.2100000000000001E-4</v>
      </c>
      <c r="AR50" s="43">
        <v>-2.0100000000000001E-4</v>
      </c>
      <c r="AS50" s="30">
        <v>3.2539889304878646E-2</v>
      </c>
      <c r="AT50" s="43">
        <v>-2.24E-4</v>
      </c>
      <c r="AU50" s="43">
        <v>-2.22E-4</v>
      </c>
      <c r="AV50" s="43">
        <v>-2.0000000000000001E-4</v>
      </c>
      <c r="AX50" s="30">
        <v>2.9202506704878641E-2</v>
      </c>
      <c r="AY50" s="43">
        <v>-3.6499999999999998E-4</v>
      </c>
      <c r="AZ50" s="43">
        <v>-3.3700000000000001E-4</v>
      </c>
      <c r="BA50" s="43">
        <v>-9.5000000000000005E-5</v>
      </c>
      <c r="BB50" s="30">
        <v>3.2539889304878646E-2</v>
      </c>
      <c r="BC50" s="43">
        <v>-3.8400000000000001E-4</v>
      </c>
      <c r="BD50" s="43">
        <v>-3.5199999999999999E-4</v>
      </c>
      <c r="BE50" s="43">
        <v>-8.0000000000000007E-5</v>
      </c>
      <c r="BG50" s="30">
        <v>2.9202506704878641E-2</v>
      </c>
      <c r="BH50" s="43">
        <v>-2.2100000000000001E-4</v>
      </c>
      <c r="BI50" s="43">
        <v>-2.2000000000000001E-4</v>
      </c>
      <c r="BJ50" s="43">
        <v>-2.04E-4</v>
      </c>
      <c r="BK50" s="30">
        <v>3.2539889304878646E-2</v>
      </c>
      <c r="BL50" s="43">
        <v>-2.22E-4</v>
      </c>
      <c r="BM50" s="43">
        <v>-2.2000000000000001E-4</v>
      </c>
      <c r="BN50" s="43">
        <v>-2.03E-4</v>
      </c>
      <c r="BP50" s="30">
        <v>2.9202506704878641E-2</v>
      </c>
      <c r="BQ50" s="43">
        <v>-3.2299999999999999E-4</v>
      </c>
      <c r="BR50" s="43">
        <v>-2.8899999999999998E-4</v>
      </c>
      <c r="BS50" s="43">
        <v>6.0000000000000002E-6</v>
      </c>
      <c r="BT50" s="30">
        <v>3.2539889304878646E-2</v>
      </c>
      <c r="BU50" s="43">
        <v>-3.4099999999999999E-4</v>
      </c>
      <c r="BV50" s="43">
        <v>-3.0400000000000002E-4</v>
      </c>
      <c r="BW50" s="43">
        <v>1.8E-5</v>
      </c>
      <c r="BY50" s="30">
        <v>2.9202506704878641E-2</v>
      </c>
      <c r="BZ50" s="43">
        <v>-1.9000000000000001E-4</v>
      </c>
      <c r="CA50" s="43">
        <v>-1.8000000000000001E-4</v>
      </c>
      <c r="CB50" s="43">
        <v>-9.5000000000000005E-5</v>
      </c>
      <c r="CC50" s="30">
        <v>3.2539889304878646E-2</v>
      </c>
      <c r="CD50" s="43">
        <v>-1.8799999999999999E-4</v>
      </c>
      <c r="CE50" s="43">
        <v>-1.7899999999999999E-4</v>
      </c>
      <c r="CF50" s="43">
        <v>-9.8999999999999994E-5</v>
      </c>
      <c r="CH50" s="30">
        <v>2.9202506704878641E-2</v>
      </c>
      <c r="CI50" s="43">
        <v>-5.04E-4</v>
      </c>
      <c r="CJ50" s="43">
        <v>-5.0500000000000002E-4</v>
      </c>
      <c r="CK50" s="43">
        <v>6.9999999999999994E-5</v>
      </c>
      <c r="CL50" s="30">
        <v>3.2539889304878646E-2</v>
      </c>
      <c r="CM50" s="43">
        <v>-5.3899999999999998E-4</v>
      </c>
      <c r="CN50" s="43">
        <v>-5.4000000000000001E-4</v>
      </c>
      <c r="CO50" s="43">
        <v>1.03E-4</v>
      </c>
      <c r="CQ50" s="30">
        <v>2.9202506704878641E-2</v>
      </c>
      <c r="CR50" s="43">
        <v>-3.2400000000000001E-4</v>
      </c>
      <c r="CS50" s="43">
        <v>-3.2400000000000001E-4</v>
      </c>
      <c r="CT50" s="43">
        <v>-1.02E-4</v>
      </c>
      <c r="CU50" s="30">
        <v>3.2539889304878646E-2</v>
      </c>
      <c r="CV50" s="43">
        <v>-3.3599999999999998E-4</v>
      </c>
      <c r="CW50" s="43">
        <v>-3.3700000000000001E-4</v>
      </c>
      <c r="CX50" s="43">
        <v>-9.0000000000000006E-5</v>
      </c>
    </row>
    <row r="51" spans="14:102" x14ac:dyDescent="0.25">
      <c r="N51" s="30">
        <v>2.9897795071545309E-2</v>
      </c>
      <c r="O51" s="43">
        <v>-2.6899999999999998E-4</v>
      </c>
      <c r="P51" s="43">
        <v>-2.5000000000000001E-4</v>
      </c>
      <c r="Q51" s="43">
        <v>-6.9999999999999994E-5</v>
      </c>
      <c r="R51" s="30">
        <v>3.3374235304878638E-2</v>
      </c>
      <c r="S51" s="43">
        <v>-2.8400000000000002E-4</v>
      </c>
      <c r="T51" s="43">
        <v>-2.63E-4</v>
      </c>
      <c r="U51" s="43">
        <v>-5.3999999999999998E-5</v>
      </c>
      <c r="W51" s="30">
        <v>2.9897795071545309E-2</v>
      </c>
      <c r="X51" s="43">
        <v>-3.59E-4</v>
      </c>
      <c r="Y51" s="43">
        <v>-3.2499999999999999E-4</v>
      </c>
      <c r="Z51" s="43">
        <v>6.9999999999999999E-6</v>
      </c>
      <c r="AA51" s="30">
        <v>3.3374235304878638E-2</v>
      </c>
      <c r="AB51" s="43">
        <v>-3.59E-4</v>
      </c>
      <c r="AC51" s="43">
        <v>-3.2400000000000001E-4</v>
      </c>
      <c r="AD51" s="43">
        <v>1.0000000000000001E-5</v>
      </c>
      <c r="AF51" s="30">
        <v>2.9897795071545309E-2</v>
      </c>
      <c r="AG51" s="43">
        <v>-3.6699999999999998E-4</v>
      </c>
      <c r="AH51" s="43">
        <v>-3.39E-4</v>
      </c>
      <c r="AI51" s="43">
        <v>-9.2E-5</v>
      </c>
      <c r="AJ51" s="30">
        <v>3.3374235304878638E-2</v>
      </c>
      <c r="AK51" s="43">
        <v>-3.8499999999999998E-4</v>
      </c>
      <c r="AL51" s="43">
        <v>-3.5300000000000002E-4</v>
      </c>
      <c r="AM51" s="43">
        <v>-7.7999999999999999E-5</v>
      </c>
      <c r="AO51" s="30">
        <v>2.9897795071545309E-2</v>
      </c>
      <c r="AP51" s="43">
        <v>-2.23E-4</v>
      </c>
      <c r="AQ51" s="43">
        <v>-2.2100000000000001E-4</v>
      </c>
      <c r="AR51" s="43">
        <v>-2.0100000000000001E-4</v>
      </c>
      <c r="AS51" s="30">
        <v>3.3374235304878638E-2</v>
      </c>
      <c r="AT51" s="43">
        <v>-2.24E-4</v>
      </c>
      <c r="AU51" s="43">
        <v>-2.22E-4</v>
      </c>
      <c r="AV51" s="43">
        <v>-2.0000000000000001E-4</v>
      </c>
      <c r="AX51" s="30">
        <v>2.9897795071545309E-2</v>
      </c>
      <c r="AY51" s="43">
        <v>-3.6900000000000002E-4</v>
      </c>
      <c r="AZ51" s="43">
        <v>-3.4000000000000002E-4</v>
      </c>
      <c r="BA51" s="43">
        <v>-9.2E-5</v>
      </c>
      <c r="BB51" s="30">
        <v>3.3374235304878638E-2</v>
      </c>
      <c r="BC51" s="43">
        <v>-3.88E-4</v>
      </c>
      <c r="BD51" s="43">
        <v>-3.5599999999999998E-4</v>
      </c>
      <c r="BE51" s="43">
        <v>-7.7000000000000001E-5</v>
      </c>
      <c r="BG51" s="30">
        <v>2.9897795071545309E-2</v>
      </c>
      <c r="BH51" s="43">
        <v>-2.2100000000000001E-4</v>
      </c>
      <c r="BI51" s="43">
        <v>-2.2000000000000001E-4</v>
      </c>
      <c r="BJ51" s="43">
        <v>-2.04E-4</v>
      </c>
      <c r="BK51" s="30">
        <v>3.3374235304878638E-2</v>
      </c>
      <c r="BL51" s="43">
        <v>-2.22E-4</v>
      </c>
      <c r="BM51" s="43">
        <v>-2.2000000000000001E-4</v>
      </c>
      <c r="BN51" s="43">
        <v>-2.03E-4</v>
      </c>
      <c r="BP51" s="30">
        <v>2.9897795071545309E-2</v>
      </c>
      <c r="BQ51" s="43">
        <v>-3.2699999999999998E-4</v>
      </c>
      <c r="BR51" s="43">
        <v>-2.92E-4</v>
      </c>
      <c r="BS51" s="43">
        <v>9.0000000000000002E-6</v>
      </c>
      <c r="BT51" s="30">
        <v>3.3374235304878638E-2</v>
      </c>
      <c r="BU51" s="43">
        <v>-3.4600000000000001E-4</v>
      </c>
      <c r="BV51" s="43">
        <v>-3.0800000000000001E-4</v>
      </c>
      <c r="BW51" s="43">
        <v>2.0999999999999999E-5</v>
      </c>
      <c r="BY51" s="30">
        <v>2.9897795071545309E-2</v>
      </c>
      <c r="BZ51" s="43">
        <v>-1.9000000000000001E-4</v>
      </c>
      <c r="CA51" s="43">
        <v>-1.8000000000000001E-4</v>
      </c>
      <c r="CB51" s="43">
        <v>-9.6000000000000002E-5</v>
      </c>
      <c r="CC51" s="30">
        <v>3.3374235304878638E-2</v>
      </c>
      <c r="CD51" s="43">
        <v>-1.8799999999999999E-4</v>
      </c>
      <c r="CE51" s="43">
        <v>-1.7899999999999999E-4</v>
      </c>
      <c r="CF51" s="43">
        <v>-9.8999999999999994E-5</v>
      </c>
      <c r="CH51" s="30">
        <v>2.9897795071545309E-2</v>
      </c>
      <c r="CI51" s="43">
        <v>-5.1099999999999995E-4</v>
      </c>
      <c r="CJ51" s="43">
        <v>-5.1199999999999998E-4</v>
      </c>
      <c r="CK51" s="43">
        <v>7.7000000000000001E-5</v>
      </c>
      <c r="CL51" s="30">
        <v>3.3374235304878638E-2</v>
      </c>
      <c r="CM51" s="43">
        <v>-5.4799999999999998E-4</v>
      </c>
      <c r="CN51" s="43">
        <v>-5.4900000000000001E-4</v>
      </c>
      <c r="CO51" s="43">
        <v>1.11E-4</v>
      </c>
      <c r="CQ51" s="30">
        <v>2.9897795071545309E-2</v>
      </c>
      <c r="CR51" s="43">
        <v>-3.2699999999999998E-4</v>
      </c>
      <c r="CS51" s="43">
        <v>-3.2699999999999998E-4</v>
      </c>
      <c r="CT51" s="43">
        <v>-1E-4</v>
      </c>
      <c r="CU51" s="30">
        <v>3.3374235304878638E-2</v>
      </c>
      <c r="CV51" s="43">
        <v>-3.39E-4</v>
      </c>
      <c r="CW51" s="43">
        <v>-3.39E-4</v>
      </c>
      <c r="CX51" s="43">
        <v>-8.7000000000000001E-5</v>
      </c>
    </row>
    <row r="52" spans="14:102" x14ac:dyDescent="0.25">
      <c r="N52" s="30">
        <v>3.0593083438211974E-2</v>
      </c>
      <c r="O52" s="43">
        <v>-2.72E-4</v>
      </c>
      <c r="P52" s="43">
        <v>-2.5300000000000002E-4</v>
      </c>
      <c r="Q52" s="43">
        <v>-6.7000000000000002E-5</v>
      </c>
      <c r="R52" s="30">
        <v>3.3374235304878638E-2</v>
      </c>
      <c r="S52" s="43">
        <v>-2.8400000000000002E-4</v>
      </c>
      <c r="T52" s="43">
        <v>-2.63E-4</v>
      </c>
      <c r="U52" s="43">
        <v>-5.3999999999999998E-5</v>
      </c>
      <c r="W52" s="30">
        <v>3.0593083438211974E-2</v>
      </c>
      <c r="X52" s="43">
        <v>-3.59E-4</v>
      </c>
      <c r="Y52" s="43">
        <v>-3.2499999999999999E-4</v>
      </c>
      <c r="Z52" s="43">
        <v>7.9999999999999996E-6</v>
      </c>
      <c r="AA52" s="30">
        <v>3.3374235304878638E-2</v>
      </c>
      <c r="AB52" s="43">
        <v>-3.59E-4</v>
      </c>
      <c r="AC52" s="43">
        <v>-3.2400000000000001E-4</v>
      </c>
      <c r="AD52" s="43">
        <v>1.0000000000000001E-5</v>
      </c>
      <c r="AF52" s="30">
        <v>3.0593083438211974E-2</v>
      </c>
      <c r="AG52" s="43">
        <v>-3.7100000000000002E-4</v>
      </c>
      <c r="AH52" s="43">
        <v>-3.4200000000000002E-4</v>
      </c>
      <c r="AI52" s="43">
        <v>-8.8999999999999995E-5</v>
      </c>
      <c r="AJ52" s="30">
        <v>3.3374235304878638E-2</v>
      </c>
      <c r="AK52" s="43">
        <v>-3.8499999999999998E-4</v>
      </c>
      <c r="AL52" s="43">
        <v>-3.5300000000000002E-4</v>
      </c>
      <c r="AM52" s="43">
        <v>-7.7999999999999999E-5</v>
      </c>
      <c r="AO52" s="30">
        <v>3.0593083438211974E-2</v>
      </c>
      <c r="AP52" s="43">
        <v>-2.23E-4</v>
      </c>
      <c r="AQ52" s="43">
        <v>-2.2100000000000001E-4</v>
      </c>
      <c r="AR52" s="43">
        <v>-2.0100000000000001E-4</v>
      </c>
      <c r="AS52" s="30">
        <v>3.3374235304878638E-2</v>
      </c>
      <c r="AT52" s="43">
        <v>-2.24E-4</v>
      </c>
      <c r="AU52" s="43">
        <v>-2.22E-4</v>
      </c>
      <c r="AV52" s="43">
        <v>-2.0000000000000001E-4</v>
      </c>
      <c r="AX52" s="30">
        <v>3.0593083438211974E-2</v>
      </c>
      <c r="AY52" s="43">
        <v>-3.7199999999999999E-4</v>
      </c>
      <c r="AZ52" s="43">
        <v>-3.4299999999999999E-4</v>
      </c>
      <c r="BA52" s="43">
        <v>-8.8999999999999995E-5</v>
      </c>
      <c r="BB52" s="30">
        <v>3.3374235304878638E-2</v>
      </c>
      <c r="BC52" s="43">
        <v>-3.88E-4</v>
      </c>
      <c r="BD52" s="43">
        <v>-3.5599999999999998E-4</v>
      </c>
      <c r="BE52" s="43">
        <v>-7.7000000000000001E-5</v>
      </c>
      <c r="BG52" s="30">
        <v>3.0593083438211974E-2</v>
      </c>
      <c r="BH52" s="43">
        <v>-2.2100000000000001E-4</v>
      </c>
      <c r="BI52" s="43">
        <v>-2.2000000000000001E-4</v>
      </c>
      <c r="BJ52" s="43">
        <v>-2.04E-4</v>
      </c>
      <c r="BK52" s="30">
        <v>3.3374235304878638E-2</v>
      </c>
      <c r="BL52" s="43">
        <v>-2.22E-4</v>
      </c>
      <c r="BM52" s="43">
        <v>-2.2000000000000001E-4</v>
      </c>
      <c r="BN52" s="43">
        <v>-2.03E-4</v>
      </c>
      <c r="BP52" s="30">
        <v>3.0593083438211974E-2</v>
      </c>
      <c r="BQ52" s="43">
        <v>-3.3100000000000002E-4</v>
      </c>
      <c r="BR52" s="43">
        <v>-2.9500000000000001E-4</v>
      </c>
      <c r="BS52" s="43">
        <v>1.1E-5</v>
      </c>
      <c r="BT52" s="30">
        <v>3.3374235304878638E-2</v>
      </c>
      <c r="BU52" s="43">
        <v>-3.4600000000000001E-4</v>
      </c>
      <c r="BV52" s="43">
        <v>-3.0800000000000001E-4</v>
      </c>
      <c r="BW52" s="43">
        <v>2.0999999999999999E-5</v>
      </c>
      <c r="BY52" s="30">
        <v>3.0593083438211974E-2</v>
      </c>
      <c r="BZ52" s="43">
        <v>-1.8900000000000001E-4</v>
      </c>
      <c r="CA52" s="43">
        <v>-1.8000000000000001E-4</v>
      </c>
      <c r="CB52" s="43">
        <v>-9.6000000000000002E-5</v>
      </c>
      <c r="CC52" s="30">
        <v>3.3374235304878638E-2</v>
      </c>
      <c r="CD52" s="43">
        <v>-1.8799999999999999E-4</v>
      </c>
      <c r="CE52" s="43">
        <v>-1.7899999999999999E-4</v>
      </c>
      <c r="CF52" s="43">
        <v>-9.8999999999999994E-5</v>
      </c>
      <c r="CH52" s="30">
        <v>3.0593083438211974E-2</v>
      </c>
      <c r="CI52" s="43">
        <v>-5.1800000000000001E-4</v>
      </c>
      <c r="CJ52" s="43">
        <v>-5.1900000000000004E-4</v>
      </c>
      <c r="CK52" s="43">
        <v>8.2999999999999998E-5</v>
      </c>
      <c r="CL52" s="30">
        <v>3.3374235304878638E-2</v>
      </c>
      <c r="CM52" s="43">
        <v>-5.4799999999999998E-4</v>
      </c>
      <c r="CN52" s="43">
        <v>-5.4900000000000001E-4</v>
      </c>
      <c r="CO52" s="43">
        <v>1.11E-4</v>
      </c>
      <c r="CQ52" s="30">
        <v>3.0593083438211974E-2</v>
      </c>
      <c r="CR52" s="43">
        <v>-3.2899999999999997E-4</v>
      </c>
      <c r="CS52" s="43">
        <v>-3.2899999999999997E-4</v>
      </c>
      <c r="CT52" s="43">
        <v>-9.7E-5</v>
      </c>
      <c r="CU52" s="30">
        <v>3.3374235304878638E-2</v>
      </c>
      <c r="CV52" s="43">
        <v>-3.39E-4</v>
      </c>
      <c r="CW52" s="43">
        <v>-3.39E-4</v>
      </c>
      <c r="CX52" s="43">
        <v>-8.7000000000000001E-5</v>
      </c>
    </row>
    <row r="53" spans="14:102" x14ac:dyDescent="0.25">
      <c r="N53" s="30">
        <v>3.1288371804878638E-2</v>
      </c>
      <c r="O53" s="43">
        <v>-2.7500000000000002E-4</v>
      </c>
      <c r="P53" s="43">
        <v>-2.5500000000000002E-4</v>
      </c>
      <c r="Q53" s="43">
        <v>-6.3999999999999997E-5</v>
      </c>
      <c r="R53" s="30">
        <v>3.4208581304878638E-2</v>
      </c>
      <c r="S53" s="43">
        <v>-2.8899999999999998E-4</v>
      </c>
      <c r="T53" s="43">
        <v>-2.6600000000000001E-4</v>
      </c>
      <c r="U53" s="43">
        <v>-5.0000000000000002E-5</v>
      </c>
      <c r="W53" s="30">
        <v>3.1288371804878638E-2</v>
      </c>
      <c r="X53" s="43">
        <v>-3.59E-4</v>
      </c>
      <c r="Y53" s="43">
        <v>-3.2499999999999999E-4</v>
      </c>
      <c r="Z53" s="43">
        <v>9.0000000000000002E-6</v>
      </c>
      <c r="AA53" s="30">
        <v>3.4208581304878638E-2</v>
      </c>
      <c r="AB53" s="43">
        <v>-3.59E-4</v>
      </c>
      <c r="AC53" s="43">
        <v>-3.2400000000000001E-4</v>
      </c>
      <c r="AD53" s="43">
        <v>1.1E-5</v>
      </c>
      <c r="AF53" s="30">
        <v>3.1288371804878638E-2</v>
      </c>
      <c r="AG53" s="43">
        <v>-3.7399999999999998E-4</v>
      </c>
      <c r="AH53" s="43">
        <v>-3.4499999999999998E-4</v>
      </c>
      <c r="AI53" s="43">
        <v>-8.6000000000000003E-5</v>
      </c>
      <c r="AJ53" s="30">
        <v>3.4208581304878638E-2</v>
      </c>
      <c r="AK53" s="43">
        <v>-3.8999999999999999E-4</v>
      </c>
      <c r="AL53" s="43">
        <v>-3.57E-4</v>
      </c>
      <c r="AM53" s="43">
        <v>-7.3999999999999996E-5</v>
      </c>
      <c r="AO53" s="30">
        <v>3.1288371804878638E-2</v>
      </c>
      <c r="AP53" s="43">
        <v>-2.23E-4</v>
      </c>
      <c r="AQ53" s="43">
        <v>-2.2100000000000001E-4</v>
      </c>
      <c r="AR53" s="43">
        <v>-2.0100000000000001E-4</v>
      </c>
      <c r="AS53" s="30">
        <v>3.4208581304878638E-2</v>
      </c>
      <c r="AT53" s="43">
        <v>-2.24E-4</v>
      </c>
      <c r="AU53" s="43">
        <v>-2.22E-4</v>
      </c>
      <c r="AV53" s="43">
        <v>-2.0000000000000001E-4</v>
      </c>
      <c r="AX53" s="30">
        <v>3.1288371804878638E-2</v>
      </c>
      <c r="AY53" s="43">
        <v>-3.7599999999999998E-4</v>
      </c>
      <c r="AZ53" s="43">
        <v>-3.4600000000000001E-4</v>
      </c>
      <c r="BA53" s="43">
        <v>-8.6000000000000003E-5</v>
      </c>
      <c r="BB53" s="30">
        <v>3.4208581304878638E-2</v>
      </c>
      <c r="BC53" s="43">
        <v>-3.9300000000000001E-4</v>
      </c>
      <c r="BD53" s="43">
        <v>-3.6000000000000002E-4</v>
      </c>
      <c r="BE53" s="43">
        <v>-7.2999999999999999E-5</v>
      </c>
      <c r="BG53" s="30">
        <v>3.1288371804878638E-2</v>
      </c>
      <c r="BH53" s="43">
        <v>-2.22E-4</v>
      </c>
      <c r="BI53" s="43">
        <v>-2.2000000000000001E-4</v>
      </c>
      <c r="BJ53" s="43">
        <v>-2.03E-4</v>
      </c>
      <c r="BK53" s="30">
        <v>3.4208581304878638E-2</v>
      </c>
      <c r="BL53" s="43">
        <v>-2.22E-4</v>
      </c>
      <c r="BM53" s="43">
        <v>-2.2000000000000001E-4</v>
      </c>
      <c r="BN53" s="43">
        <v>-2.03E-4</v>
      </c>
      <c r="BP53" s="30">
        <v>3.1288371804878638E-2</v>
      </c>
      <c r="BQ53" s="43">
        <v>-3.3399999999999999E-4</v>
      </c>
      <c r="BR53" s="43">
        <v>-2.9799999999999998E-4</v>
      </c>
      <c r="BS53" s="43">
        <v>1.4E-5</v>
      </c>
      <c r="BT53" s="30">
        <v>3.4208581304878638E-2</v>
      </c>
      <c r="BU53" s="43">
        <v>-3.5E-4</v>
      </c>
      <c r="BV53" s="43">
        <v>-3.1199999999999999E-4</v>
      </c>
      <c r="BW53" s="43">
        <v>2.5000000000000001E-5</v>
      </c>
      <c r="BY53" s="30">
        <v>3.1288371804878638E-2</v>
      </c>
      <c r="BZ53" s="43">
        <v>-1.8900000000000001E-4</v>
      </c>
      <c r="CA53" s="43">
        <v>-1.8000000000000001E-4</v>
      </c>
      <c r="CB53" s="43">
        <v>-9.7E-5</v>
      </c>
      <c r="CC53" s="30">
        <v>3.4208581304878638E-2</v>
      </c>
      <c r="CD53" s="43">
        <v>-1.8799999999999999E-4</v>
      </c>
      <c r="CE53" s="43">
        <v>-1.7899999999999999E-4</v>
      </c>
      <c r="CF53" s="43">
        <v>-1E-4</v>
      </c>
      <c r="CH53" s="30">
        <v>3.1288371804878638E-2</v>
      </c>
      <c r="CI53" s="43">
        <v>-5.2499999999999997E-4</v>
      </c>
      <c r="CJ53" s="43">
        <v>-5.2599999999999999E-4</v>
      </c>
      <c r="CK53" s="43">
        <v>9.0000000000000006E-5</v>
      </c>
      <c r="CL53" s="30">
        <v>3.4208581304878638E-2</v>
      </c>
      <c r="CM53" s="43">
        <v>-5.5699999999999999E-4</v>
      </c>
      <c r="CN53" s="43">
        <v>-5.5800000000000001E-4</v>
      </c>
      <c r="CO53" s="43">
        <v>1.2E-4</v>
      </c>
      <c r="CQ53" s="30">
        <v>3.1288371804878638E-2</v>
      </c>
      <c r="CR53" s="43">
        <v>-3.3199999999999999E-4</v>
      </c>
      <c r="CS53" s="43">
        <v>-3.3199999999999999E-4</v>
      </c>
      <c r="CT53" s="43">
        <v>-9.3999999999999994E-5</v>
      </c>
      <c r="CU53" s="30">
        <v>3.4208581304878638E-2</v>
      </c>
      <c r="CV53" s="43">
        <v>-3.4200000000000002E-4</v>
      </c>
      <c r="CW53" s="43">
        <v>-3.4200000000000002E-4</v>
      </c>
      <c r="CX53" s="43">
        <v>-8.3999999999999995E-5</v>
      </c>
    </row>
    <row r="54" spans="14:102" x14ac:dyDescent="0.25">
      <c r="N54" s="30">
        <v>3.198366017154531E-2</v>
      </c>
      <c r="O54" s="43">
        <v>-2.7799999999999998E-4</v>
      </c>
      <c r="P54" s="43">
        <v>-2.5799999999999998E-4</v>
      </c>
      <c r="Q54" s="43">
        <v>-6.0000000000000002E-5</v>
      </c>
      <c r="R54" s="30">
        <v>3.5042927304878631E-2</v>
      </c>
      <c r="S54" s="43">
        <v>-2.9300000000000002E-4</v>
      </c>
      <c r="T54" s="43">
        <v>-2.6899999999999998E-4</v>
      </c>
      <c r="U54" s="43">
        <v>-4.6E-5</v>
      </c>
      <c r="W54" s="30">
        <v>3.198366017154531E-2</v>
      </c>
      <c r="X54" s="43">
        <v>-3.59E-4</v>
      </c>
      <c r="Y54" s="43">
        <v>-3.2499999999999999E-4</v>
      </c>
      <c r="Z54" s="43">
        <v>9.0000000000000002E-6</v>
      </c>
      <c r="AA54" s="30">
        <v>3.5042927304878631E-2</v>
      </c>
      <c r="AB54" s="43">
        <v>-3.59E-4</v>
      </c>
      <c r="AC54" s="43">
        <v>-3.2400000000000001E-4</v>
      </c>
      <c r="AD54" s="43">
        <v>1.2E-5</v>
      </c>
      <c r="AF54" s="30">
        <v>3.198366017154531E-2</v>
      </c>
      <c r="AG54" s="43">
        <v>-3.7800000000000003E-4</v>
      </c>
      <c r="AH54" s="43">
        <v>-3.48E-4</v>
      </c>
      <c r="AI54" s="43">
        <v>-8.2999999999999998E-5</v>
      </c>
      <c r="AJ54" s="30">
        <v>3.5042927304878631E-2</v>
      </c>
      <c r="AK54" s="43">
        <v>-3.9500000000000001E-4</v>
      </c>
      <c r="AL54" s="43">
        <v>-3.6099999999999999E-4</v>
      </c>
      <c r="AM54" s="43">
        <v>-6.9999999999999994E-5</v>
      </c>
      <c r="AO54" s="30">
        <v>3.198366017154531E-2</v>
      </c>
      <c r="AP54" s="43">
        <v>-2.23E-4</v>
      </c>
      <c r="AQ54" s="43">
        <v>-2.2100000000000001E-4</v>
      </c>
      <c r="AR54" s="43">
        <v>-2.0100000000000001E-4</v>
      </c>
      <c r="AS54" s="30">
        <v>3.5042927304878631E-2</v>
      </c>
      <c r="AT54" s="43">
        <v>-2.24E-4</v>
      </c>
      <c r="AU54" s="43">
        <v>-2.22E-4</v>
      </c>
      <c r="AV54" s="43">
        <v>-2.0000000000000001E-4</v>
      </c>
      <c r="AX54" s="30">
        <v>3.198366017154531E-2</v>
      </c>
      <c r="AY54" s="43">
        <v>-3.8000000000000002E-4</v>
      </c>
      <c r="AZ54" s="43">
        <v>-3.4900000000000003E-4</v>
      </c>
      <c r="BA54" s="43">
        <v>-8.3999999999999995E-5</v>
      </c>
      <c r="BB54" s="30">
        <v>3.5042927304878631E-2</v>
      </c>
      <c r="BC54" s="43">
        <v>-3.9800000000000002E-4</v>
      </c>
      <c r="BD54" s="43">
        <v>-3.6400000000000001E-4</v>
      </c>
      <c r="BE54" s="43">
        <v>-6.8999999999999997E-5</v>
      </c>
      <c r="BG54" s="30">
        <v>3.198366017154531E-2</v>
      </c>
      <c r="BH54" s="43">
        <v>-2.22E-4</v>
      </c>
      <c r="BI54" s="43">
        <v>-2.2000000000000001E-4</v>
      </c>
      <c r="BJ54" s="43">
        <v>-2.03E-4</v>
      </c>
      <c r="BK54" s="30">
        <v>3.5042927304878631E-2</v>
      </c>
      <c r="BL54" s="43">
        <v>-2.22E-4</v>
      </c>
      <c r="BM54" s="43">
        <v>-2.2000000000000001E-4</v>
      </c>
      <c r="BN54" s="43">
        <v>-2.03E-4</v>
      </c>
      <c r="BP54" s="30">
        <v>3.198366017154531E-2</v>
      </c>
      <c r="BQ54" s="43">
        <v>-3.3799999999999998E-4</v>
      </c>
      <c r="BR54" s="43">
        <v>-3.01E-4</v>
      </c>
      <c r="BS54" s="43">
        <v>1.5999999999999999E-5</v>
      </c>
      <c r="BT54" s="30">
        <v>3.5042927304878631E-2</v>
      </c>
      <c r="BU54" s="43">
        <v>-3.5500000000000001E-4</v>
      </c>
      <c r="BV54" s="43">
        <v>-3.1599999999999998E-4</v>
      </c>
      <c r="BW54" s="43">
        <v>2.8E-5</v>
      </c>
      <c r="BY54" s="30">
        <v>3.198366017154531E-2</v>
      </c>
      <c r="BZ54" s="43">
        <v>-1.8900000000000001E-4</v>
      </c>
      <c r="CA54" s="43">
        <v>-1.7899999999999999E-4</v>
      </c>
      <c r="CB54" s="43">
        <v>-9.7999999999999997E-5</v>
      </c>
      <c r="CC54" s="30">
        <v>3.5042927304878631E-2</v>
      </c>
      <c r="CD54" s="43">
        <v>-1.8699999999999999E-4</v>
      </c>
      <c r="CE54" s="43">
        <v>-1.7799999999999999E-4</v>
      </c>
      <c r="CF54" s="43">
        <v>-1.01E-4</v>
      </c>
      <c r="CH54" s="30">
        <v>3.198366017154531E-2</v>
      </c>
      <c r="CI54" s="43">
        <v>-5.3200000000000003E-4</v>
      </c>
      <c r="CJ54" s="43">
        <v>-5.3300000000000005E-4</v>
      </c>
      <c r="CK54" s="43">
        <v>9.7E-5</v>
      </c>
      <c r="CL54" s="30">
        <v>3.5042927304878631E-2</v>
      </c>
      <c r="CM54" s="43">
        <v>-5.6700000000000001E-4</v>
      </c>
      <c r="CN54" s="43">
        <v>-5.6800000000000004E-4</v>
      </c>
      <c r="CO54" s="43">
        <v>1.3100000000000001E-4</v>
      </c>
      <c r="CQ54" s="30">
        <v>3.198366017154531E-2</v>
      </c>
      <c r="CR54" s="43">
        <v>-3.3399999999999999E-4</v>
      </c>
      <c r="CS54" s="43">
        <v>-3.3500000000000001E-4</v>
      </c>
      <c r="CT54" s="43">
        <v>-9.2E-5</v>
      </c>
      <c r="CU54" s="30">
        <v>3.5042927304878631E-2</v>
      </c>
      <c r="CV54" s="43">
        <v>-3.4499999999999998E-4</v>
      </c>
      <c r="CW54" s="43">
        <v>-3.4499999999999998E-4</v>
      </c>
      <c r="CX54" s="43">
        <v>-8.2000000000000001E-5</v>
      </c>
    </row>
    <row r="55" spans="14:102" x14ac:dyDescent="0.25">
      <c r="N55" s="30">
        <v>3.2678948538211967E-2</v>
      </c>
      <c r="O55" s="43">
        <v>-2.81E-4</v>
      </c>
      <c r="P55" s="43">
        <v>-2.5999999999999998E-4</v>
      </c>
      <c r="Q55" s="43">
        <v>-5.7000000000000003E-5</v>
      </c>
      <c r="R55" s="30">
        <v>3.587727330487863E-2</v>
      </c>
      <c r="S55" s="43">
        <v>-2.9799999999999998E-4</v>
      </c>
      <c r="T55" s="43">
        <v>-2.7399999999999999E-4</v>
      </c>
      <c r="U55" s="43">
        <v>-4.1E-5</v>
      </c>
      <c r="W55" s="30">
        <v>3.2678948538211967E-2</v>
      </c>
      <c r="X55" s="43">
        <v>-3.59E-4</v>
      </c>
      <c r="Y55" s="43">
        <v>-3.2400000000000001E-4</v>
      </c>
      <c r="Z55" s="43">
        <v>1.0000000000000001E-5</v>
      </c>
      <c r="AA55" s="30">
        <v>3.587727330487863E-2</v>
      </c>
      <c r="AB55" s="43">
        <v>-3.5799999999999997E-4</v>
      </c>
      <c r="AC55" s="43">
        <v>-3.2299999999999999E-4</v>
      </c>
      <c r="AD55" s="43">
        <v>1.2E-5</v>
      </c>
      <c r="AF55" s="30">
        <v>3.2678948538211967E-2</v>
      </c>
      <c r="AG55" s="43">
        <v>-3.8200000000000002E-4</v>
      </c>
      <c r="AH55" s="43">
        <v>-3.5100000000000002E-4</v>
      </c>
      <c r="AI55" s="43">
        <v>-8.1000000000000004E-5</v>
      </c>
      <c r="AJ55" s="30">
        <v>3.587727330487863E-2</v>
      </c>
      <c r="AK55" s="43">
        <v>-4.0000000000000002E-4</v>
      </c>
      <c r="AL55" s="43">
        <v>-3.6600000000000001E-4</v>
      </c>
      <c r="AM55" s="43">
        <v>-6.6000000000000005E-5</v>
      </c>
      <c r="AO55" s="30">
        <v>3.2678948538211967E-2</v>
      </c>
      <c r="AP55" s="43">
        <v>-2.23E-4</v>
      </c>
      <c r="AQ55" s="43">
        <v>-2.2100000000000001E-4</v>
      </c>
      <c r="AR55" s="43">
        <v>-2.0000000000000001E-4</v>
      </c>
      <c r="AS55" s="30">
        <v>3.587727330487863E-2</v>
      </c>
      <c r="AT55" s="43">
        <v>-2.23E-4</v>
      </c>
      <c r="AU55" s="43">
        <v>-2.2100000000000001E-4</v>
      </c>
      <c r="AV55" s="43">
        <v>-2.0000000000000001E-4</v>
      </c>
      <c r="AX55" s="30">
        <v>3.2678948538211967E-2</v>
      </c>
      <c r="AY55" s="43">
        <v>-3.8400000000000001E-4</v>
      </c>
      <c r="AZ55" s="43">
        <v>-3.5199999999999999E-4</v>
      </c>
      <c r="BA55" s="43">
        <v>-8.1000000000000004E-5</v>
      </c>
      <c r="BB55" s="30">
        <v>3.587727330487863E-2</v>
      </c>
      <c r="BC55" s="43">
        <v>-4.0400000000000001E-4</v>
      </c>
      <c r="BD55" s="43">
        <v>-3.6900000000000002E-4</v>
      </c>
      <c r="BE55" s="43">
        <v>-6.4999999999999994E-5</v>
      </c>
      <c r="BG55" s="30">
        <v>3.2678948538211967E-2</v>
      </c>
      <c r="BH55" s="43">
        <v>-2.22E-4</v>
      </c>
      <c r="BI55" s="43">
        <v>-2.2000000000000001E-4</v>
      </c>
      <c r="BJ55" s="43">
        <v>-2.03E-4</v>
      </c>
      <c r="BK55" s="30">
        <v>3.587727330487863E-2</v>
      </c>
      <c r="BL55" s="43">
        <v>-2.22E-4</v>
      </c>
      <c r="BM55" s="43">
        <v>-2.2000000000000001E-4</v>
      </c>
      <c r="BN55" s="43">
        <v>-2.04E-4</v>
      </c>
      <c r="BP55" s="30">
        <v>3.2678948538211967E-2</v>
      </c>
      <c r="BQ55" s="43">
        <v>-3.4200000000000002E-4</v>
      </c>
      <c r="BR55" s="43">
        <v>-3.0499999999999999E-4</v>
      </c>
      <c r="BS55" s="43">
        <v>1.9000000000000001E-5</v>
      </c>
      <c r="BT55" s="30">
        <v>3.587727330487863E-2</v>
      </c>
      <c r="BU55" s="43">
        <v>-3.6099999999999999E-4</v>
      </c>
      <c r="BV55" s="43">
        <v>-3.2000000000000003E-4</v>
      </c>
      <c r="BW55" s="43">
        <v>3.1999999999999999E-5</v>
      </c>
      <c r="BY55" s="30">
        <v>3.2678948538211967E-2</v>
      </c>
      <c r="BZ55" s="43">
        <v>-1.8799999999999999E-4</v>
      </c>
      <c r="CA55" s="43">
        <v>-1.7899999999999999E-4</v>
      </c>
      <c r="CB55" s="43">
        <v>-9.7999999999999997E-5</v>
      </c>
      <c r="CC55" s="30">
        <v>3.587727330487863E-2</v>
      </c>
      <c r="CD55" s="43">
        <v>-1.8699999999999999E-4</v>
      </c>
      <c r="CE55" s="43">
        <v>-1.7799999999999999E-4</v>
      </c>
      <c r="CF55" s="43">
        <v>-1.01E-4</v>
      </c>
      <c r="CH55" s="30">
        <v>3.2678948538211967E-2</v>
      </c>
      <c r="CI55" s="43">
        <v>-5.4000000000000001E-4</v>
      </c>
      <c r="CJ55" s="43">
        <v>-5.4100000000000003E-4</v>
      </c>
      <c r="CK55" s="43">
        <v>1.0399999999999999E-4</v>
      </c>
      <c r="CL55" s="30">
        <v>3.587727330487863E-2</v>
      </c>
      <c r="CM55" s="43">
        <v>-5.7899999999999998E-4</v>
      </c>
      <c r="CN55" s="43">
        <v>-5.8E-4</v>
      </c>
      <c r="CO55" s="43">
        <v>1.45E-4</v>
      </c>
      <c r="CQ55" s="30">
        <v>3.2678948538211967E-2</v>
      </c>
      <c r="CR55" s="43">
        <v>-3.3700000000000001E-4</v>
      </c>
      <c r="CS55" s="43">
        <v>-3.3700000000000001E-4</v>
      </c>
      <c r="CT55" s="43">
        <v>-8.8999999999999995E-5</v>
      </c>
      <c r="CU55" s="30">
        <v>3.587727330487863E-2</v>
      </c>
      <c r="CV55" s="43">
        <v>-3.4699999999999998E-4</v>
      </c>
      <c r="CW55" s="43">
        <v>-3.4699999999999998E-4</v>
      </c>
      <c r="CX55" s="43">
        <v>-7.8999999999999996E-5</v>
      </c>
    </row>
    <row r="56" spans="14:102" x14ac:dyDescent="0.25">
      <c r="N56" s="30">
        <v>3.3374236904878639E-2</v>
      </c>
      <c r="O56" s="43">
        <v>-2.8499999999999999E-4</v>
      </c>
      <c r="P56" s="43">
        <v>-2.63E-4</v>
      </c>
      <c r="Q56" s="43">
        <v>-5.3999999999999998E-5</v>
      </c>
      <c r="R56" s="30">
        <v>3.6711619304878623E-2</v>
      </c>
      <c r="S56" s="43">
        <v>-3.0200000000000002E-4</v>
      </c>
      <c r="T56" s="43">
        <v>-2.7700000000000001E-4</v>
      </c>
      <c r="U56" s="43">
        <v>-3.6999999999999998E-5</v>
      </c>
      <c r="W56" s="30">
        <v>3.3374236904878639E-2</v>
      </c>
      <c r="X56" s="43">
        <v>-3.59E-4</v>
      </c>
      <c r="Y56" s="43">
        <v>-3.2400000000000001E-4</v>
      </c>
      <c r="Z56" s="43">
        <v>1.0000000000000001E-5</v>
      </c>
      <c r="AA56" s="30">
        <v>3.6711619304878623E-2</v>
      </c>
      <c r="AB56" s="43">
        <v>-3.5799999999999997E-4</v>
      </c>
      <c r="AC56" s="43">
        <v>-3.2299999999999999E-4</v>
      </c>
      <c r="AD56" s="43">
        <v>1.2E-5</v>
      </c>
      <c r="AF56" s="30">
        <v>3.3374236904878639E-2</v>
      </c>
      <c r="AG56" s="43">
        <v>-3.86E-4</v>
      </c>
      <c r="AH56" s="43">
        <v>-3.5399999999999999E-4</v>
      </c>
      <c r="AI56" s="43">
        <v>-7.7000000000000001E-5</v>
      </c>
      <c r="AJ56" s="30">
        <v>3.6711619304878623E-2</v>
      </c>
      <c r="AK56" s="43">
        <v>-4.06E-4</v>
      </c>
      <c r="AL56" s="43">
        <v>-3.6999999999999999E-4</v>
      </c>
      <c r="AM56" s="43">
        <v>-6.2000000000000003E-5</v>
      </c>
      <c r="AO56" s="30">
        <v>3.3374236904878639E-2</v>
      </c>
      <c r="AP56" s="43">
        <v>-2.24E-4</v>
      </c>
      <c r="AQ56" s="43">
        <v>-2.2100000000000001E-4</v>
      </c>
      <c r="AR56" s="43">
        <v>-2.0000000000000001E-4</v>
      </c>
      <c r="AS56" s="30">
        <v>3.6711619304878623E-2</v>
      </c>
      <c r="AT56" s="43">
        <v>-2.23E-4</v>
      </c>
      <c r="AU56" s="43">
        <v>-2.2100000000000001E-4</v>
      </c>
      <c r="AV56" s="43">
        <v>-2.0000000000000001E-4</v>
      </c>
      <c r="AX56" s="30">
        <v>3.3374236904878639E-2</v>
      </c>
      <c r="AY56" s="43">
        <v>-3.88E-4</v>
      </c>
      <c r="AZ56" s="43">
        <v>-3.5599999999999998E-4</v>
      </c>
      <c r="BA56" s="43">
        <v>-7.7000000000000001E-5</v>
      </c>
      <c r="BB56" s="30">
        <v>3.6711619304878623E-2</v>
      </c>
      <c r="BC56" s="43">
        <v>-4.0900000000000002E-4</v>
      </c>
      <c r="BD56" s="43">
        <v>-3.7300000000000001E-4</v>
      </c>
      <c r="BE56" s="43">
        <v>-6.0999999999999999E-5</v>
      </c>
      <c r="BG56" s="30">
        <v>3.3374236904878639E-2</v>
      </c>
      <c r="BH56" s="43">
        <v>-2.22E-4</v>
      </c>
      <c r="BI56" s="43">
        <v>-2.2000000000000001E-4</v>
      </c>
      <c r="BJ56" s="43">
        <v>-2.03E-4</v>
      </c>
      <c r="BK56" s="30">
        <v>3.6711619304878623E-2</v>
      </c>
      <c r="BL56" s="43">
        <v>-2.2100000000000001E-4</v>
      </c>
      <c r="BM56" s="43">
        <v>-2.2000000000000001E-4</v>
      </c>
      <c r="BN56" s="43">
        <v>-2.04E-4</v>
      </c>
      <c r="BP56" s="30">
        <v>3.3374236904878639E-2</v>
      </c>
      <c r="BQ56" s="43">
        <v>-3.4600000000000001E-4</v>
      </c>
      <c r="BR56" s="43">
        <v>-3.0800000000000001E-4</v>
      </c>
      <c r="BS56" s="43">
        <v>2.0999999999999999E-5</v>
      </c>
      <c r="BT56" s="30">
        <v>3.6711619304878623E-2</v>
      </c>
      <c r="BU56" s="43">
        <v>-3.6600000000000001E-4</v>
      </c>
      <c r="BV56" s="43">
        <v>-3.2499999999999999E-4</v>
      </c>
      <c r="BW56" s="43">
        <v>3.4999999999999997E-5</v>
      </c>
      <c r="BY56" s="30">
        <v>3.3374236904878639E-2</v>
      </c>
      <c r="BZ56" s="43">
        <v>-1.8799999999999999E-4</v>
      </c>
      <c r="CA56" s="43">
        <v>-1.7899999999999999E-4</v>
      </c>
      <c r="CB56" s="43">
        <v>-9.8999999999999994E-5</v>
      </c>
      <c r="CC56" s="30">
        <v>3.6711619304878623E-2</v>
      </c>
      <c r="CD56" s="43">
        <v>-1.8699999999999999E-4</v>
      </c>
      <c r="CE56" s="43">
        <v>-1.7799999999999999E-4</v>
      </c>
      <c r="CF56" s="43">
        <v>-1.02E-4</v>
      </c>
      <c r="CH56" s="30">
        <v>3.3374236904878639E-2</v>
      </c>
      <c r="CI56" s="43">
        <v>-5.4699999999999996E-4</v>
      </c>
      <c r="CJ56" s="43">
        <v>-5.4799999999999998E-4</v>
      </c>
      <c r="CK56" s="43">
        <v>1.11E-4</v>
      </c>
      <c r="CL56" s="30">
        <v>3.6711619304878623E-2</v>
      </c>
      <c r="CM56" s="43">
        <v>-5.9000000000000003E-4</v>
      </c>
      <c r="CN56" s="43">
        <v>-5.9100000000000005E-4</v>
      </c>
      <c r="CO56" s="43">
        <v>1.5799999999999999E-4</v>
      </c>
      <c r="CQ56" s="30">
        <v>3.3374236904878639E-2</v>
      </c>
      <c r="CR56" s="43">
        <v>-3.39E-4</v>
      </c>
      <c r="CS56" s="43">
        <v>-3.39E-4</v>
      </c>
      <c r="CT56" s="43">
        <v>-8.7000000000000001E-5</v>
      </c>
      <c r="CU56" s="30">
        <v>3.6711619304878623E-2</v>
      </c>
      <c r="CV56" s="43">
        <v>-3.5E-4</v>
      </c>
      <c r="CW56" s="43">
        <v>-3.5E-4</v>
      </c>
      <c r="CX56" s="43">
        <v>-7.7000000000000001E-5</v>
      </c>
    </row>
    <row r="57" spans="14:102" x14ac:dyDescent="0.25">
      <c r="N57" s="30">
        <v>3.4069525271545303E-2</v>
      </c>
      <c r="O57" s="43">
        <v>-2.8800000000000001E-4</v>
      </c>
      <c r="P57" s="43">
        <v>-2.6600000000000001E-4</v>
      </c>
      <c r="Q57" s="43">
        <v>-5.1E-5</v>
      </c>
      <c r="R57" s="30">
        <v>3.7545965304878623E-2</v>
      </c>
      <c r="S57" s="43">
        <v>-3.0699999999999998E-4</v>
      </c>
      <c r="T57" s="43">
        <v>-2.81E-4</v>
      </c>
      <c r="U57" s="43">
        <v>-3.1999999999999999E-5</v>
      </c>
      <c r="W57" s="30">
        <v>3.4069525271545303E-2</v>
      </c>
      <c r="X57" s="43">
        <v>-3.59E-4</v>
      </c>
      <c r="Y57" s="43">
        <v>-3.2400000000000001E-4</v>
      </c>
      <c r="Z57" s="43">
        <v>1.1E-5</v>
      </c>
      <c r="AA57" s="30">
        <v>3.7545965304878623E-2</v>
      </c>
      <c r="AB57" s="43">
        <v>-3.57E-4</v>
      </c>
      <c r="AC57" s="43">
        <v>-3.2200000000000002E-4</v>
      </c>
      <c r="AD57" s="43">
        <v>1.2999999999999999E-5</v>
      </c>
      <c r="AF57" s="30">
        <v>3.4069525271545303E-2</v>
      </c>
      <c r="AG57" s="43">
        <v>-3.8999999999999999E-4</v>
      </c>
      <c r="AH57" s="43">
        <v>-3.57E-4</v>
      </c>
      <c r="AI57" s="43">
        <v>-7.3999999999999996E-5</v>
      </c>
      <c r="AJ57" s="30">
        <v>3.7545965304878623E-2</v>
      </c>
      <c r="AK57" s="43">
        <v>-4.1100000000000002E-4</v>
      </c>
      <c r="AL57" s="43">
        <v>-3.7399999999999998E-4</v>
      </c>
      <c r="AM57" s="43">
        <v>-5.8E-5</v>
      </c>
      <c r="AO57" s="30">
        <v>3.4069525271545303E-2</v>
      </c>
      <c r="AP57" s="43">
        <v>-2.24E-4</v>
      </c>
      <c r="AQ57" s="43">
        <v>-2.2100000000000001E-4</v>
      </c>
      <c r="AR57" s="43">
        <v>-2.0000000000000001E-4</v>
      </c>
      <c r="AS57" s="30">
        <v>3.7545965304878623E-2</v>
      </c>
      <c r="AT57" s="43">
        <v>-2.23E-4</v>
      </c>
      <c r="AU57" s="43">
        <v>-2.2100000000000001E-4</v>
      </c>
      <c r="AV57" s="43">
        <v>-2.0100000000000001E-4</v>
      </c>
      <c r="AX57" s="30">
        <v>3.4069525271545303E-2</v>
      </c>
      <c r="AY57" s="43">
        <v>-3.9100000000000002E-4</v>
      </c>
      <c r="AZ57" s="43">
        <v>-3.59E-4</v>
      </c>
      <c r="BA57" s="43">
        <v>-7.3999999999999996E-5</v>
      </c>
      <c r="BB57" s="30">
        <v>3.7545965304878623E-2</v>
      </c>
      <c r="BC57" s="43">
        <v>-4.1399999999999998E-4</v>
      </c>
      <c r="BD57" s="43">
        <v>-3.7800000000000003E-4</v>
      </c>
      <c r="BE57" s="43">
        <v>-5.5999999999999999E-5</v>
      </c>
      <c r="BG57" s="30">
        <v>3.4069525271545303E-2</v>
      </c>
      <c r="BH57" s="43">
        <v>-2.22E-4</v>
      </c>
      <c r="BI57" s="43">
        <v>-2.2000000000000001E-4</v>
      </c>
      <c r="BJ57" s="43">
        <v>-2.03E-4</v>
      </c>
      <c r="BK57" s="30">
        <v>3.7545965304878623E-2</v>
      </c>
      <c r="BL57" s="43">
        <v>-2.2100000000000001E-4</v>
      </c>
      <c r="BM57" s="43">
        <v>-2.2000000000000001E-4</v>
      </c>
      <c r="BN57" s="43">
        <v>-2.04E-4</v>
      </c>
      <c r="BP57" s="30">
        <v>3.4069525271545303E-2</v>
      </c>
      <c r="BQ57" s="43">
        <v>-3.5E-4</v>
      </c>
      <c r="BR57" s="43">
        <v>-3.1100000000000002E-4</v>
      </c>
      <c r="BS57" s="43">
        <v>2.4000000000000001E-5</v>
      </c>
      <c r="BT57" s="30">
        <v>3.7545965304878623E-2</v>
      </c>
      <c r="BU57" s="43">
        <v>-3.7100000000000002E-4</v>
      </c>
      <c r="BV57" s="43">
        <v>-3.2899999999999997E-4</v>
      </c>
      <c r="BW57" s="43">
        <v>3.8999999999999999E-5</v>
      </c>
      <c r="BY57" s="30">
        <v>3.4069525271545303E-2</v>
      </c>
      <c r="BZ57" s="43">
        <v>-1.8799999999999999E-4</v>
      </c>
      <c r="CA57" s="43">
        <v>-1.7899999999999999E-4</v>
      </c>
      <c r="CB57" s="43">
        <v>-1E-4</v>
      </c>
      <c r="CC57" s="30">
        <v>3.7545965304878623E-2</v>
      </c>
      <c r="CD57" s="43">
        <v>-1.8699999999999999E-4</v>
      </c>
      <c r="CE57" s="43">
        <v>-1.7799999999999999E-4</v>
      </c>
      <c r="CF57" s="43">
        <v>-1.02E-4</v>
      </c>
      <c r="CH57" s="30">
        <v>3.4069525271545303E-2</v>
      </c>
      <c r="CI57" s="43">
        <v>-5.5500000000000005E-4</v>
      </c>
      <c r="CJ57" s="43">
        <v>-5.5599999999999996E-4</v>
      </c>
      <c r="CK57" s="43">
        <v>1.18E-4</v>
      </c>
      <c r="CL57" s="30">
        <v>3.7545965304878623E-2</v>
      </c>
      <c r="CM57" s="43">
        <v>-6.0099999999999997E-4</v>
      </c>
      <c r="CN57" s="43">
        <v>-6.02E-4</v>
      </c>
      <c r="CO57" s="43">
        <v>1.7000000000000001E-4</v>
      </c>
      <c r="CQ57" s="30">
        <v>3.4069525271545303E-2</v>
      </c>
      <c r="CR57" s="43">
        <v>-3.4200000000000002E-4</v>
      </c>
      <c r="CS57" s="43">
        <v>-3.4200000000000002E-4</v>
      </c>
      <c r="CT57" s="43">
        <v>-8.5000000000000006E-5</v>
      </c>
      <c r="CU57" s="30">
        <v>3.7545965304878623E-2</v>
      </c>
      <c r="CV57" s="43">
        <v>-3.5199999999999999E-4</v>
      </c>
      <c r="CW57" s="43">
        <v>-3.5199999999999999E-4</v>
      </c>
      <c r="CX57" s="43">
        <v>-7.3999999999999996E-5</v>
      </c>
    </row>
    <row r="58" spans="14:102" x14ac:dyDescent="0.25">
      <c r="N58" s="30">
        <v>3.4764813638211968E-2</v>
      </c>
      <c r="O58" s="43">
        <v>-2.92E-4</v>
      </c>
      <c r="P58" s="43">
        <v>-2.6899999999999998E-4</v>
      </c>
      <c r="Q58" s="43">
        <v>-4.6999999999999997E-5</v>
      </c>
      <c r="R58" s="30">
        <v>3.8380311304878616E-2</v>
      </c>
      <c r="S58" s="43">
        <v>-3.1199999999999999E-4</v>
      </c>
      <c r="T58" s="43">
        <v>-2.8499999999999999E-4</v>
      </c>
      <c r="U58" s="43">
        <v>-2.8E-5</v>
      </c>
      <c r="W58" s="30">
        <v>3.4764813638211968E-2</v>
      </c>
      <c r="X58" s="43">
        <v>-3.59E-4</v>
      </c>
      <c r="Y58" s="43">
        <v>-3.2400000000000001E-4</v>
      </c>
      <c r="Z58" s="43">
        <v>1.2E-5</v>
      </c>
      <c r="AA58" s="30">
        <v>3.8380311304878616E-2</v>
      </c>
      <c r="AB58" s="43">
        <v>-3.57E-4</v>
      </c>
      <c r="AC58" s="43">
        <v>-3.2200000000000002E-4</v>
      </c>
      <c r="AD58" s="43">
        <v>1.2999999999999999E-5</v>
      </c>
      <c r="AF58" s="30">
        <v>3.4764813638211968E-2</v>
      </c>
      <c r="AG58" s="43">
        <v>-3.9399999999999998E-4</v>
      </c>
      <c r="AH58" s="43">
        <v>-3.6000000000000002E-4</v>
      </c>
      <c r="AI58" s="43">
        <v>-7.1000000000000005E-5</v>
      </c>
      <c r="AJ58" s="30">
        <v>3.8380311304878616E-2</v>
      </c>
      <c r="AK58" s="43">
        <v>-4.1599999999999997E-4</v>
      </c>
      <c r="AL58" s="43">
        <v>-3.79E-4</v>
      </c>
      <c r="AM58" s="43">
        <v>-5.3000000000000001E-5</v>
      </c>
      <c r="AO58" s="30">
        <v>3.4764813638211968E-2</v>
      </c>
      <c r="AP58" s="43">
        <v>-2.24E-4</v>
      </c>
      <c r="AQ58" s="43">
        <v>-2.2100000000000001E-4</v>
      </c>
      <c r="AR58" s="43">
        <v>-2.0000000000000001E-4</v>
      </c>
      <c r="AS58" s="30">
        <v>3.8380311304878616E-2</v>
      </c>
      <c r="AT58" s="43">
        <v>-2.23E-4</v>
      </c>
      <c r="AU58" s="43">
        <v>-2.2100000000000001E-4</v>
      </c>
      <c r="AV58" s="43">
        <v>-2.0100000000000001E-4</v>
      </c>
      <c r="AX58" s="30">
        <v>3.4764813638211968E-2</v>
      </c>
      <c r="AY58" s="43">
        <v>-3.9599999999999998E-4</v>
      </c>
      <c r="AZ58" s="43">
        <v>-3.6200000000000002E-4</v>
      </c>
      <c r="BA58" s="43">
        <v>-7.1000000000000005E-5</v>
      </c>
      <c r="BB58" s="30">
        <v>3.8380311304878616E-2</v>
      </c>
      <c r="BC58" s="43">
        <v>-4.2000000000000002E-4</v>
      </c>
      <c r="BD58" s="43">
        <v>-3.8200000000000002E-4</v>
      </c>
      <c r="BE58" s="43">
        <v>-5.1999999999999997E-5</v>
      </c>
      <c r="BG58" s="30">
        <v>3.4764813638211968E-2</v>
      </c>
      <c r="BH58" s="43">
        <v>-2.22E-4</v>
      </c>
      <c r="BI58" s="43">
        <v>-2.2000000000000001E-4</v>
      </c>
      <c r="BJ58" s="43">
        <v>-2.03E-4</v>
      </c>
      <c r="BK58" s="30">
        <v>3.8380311304878616E-2</v>
      </c>
      <c r="BL58" s="43">
        <v>-2.2100000000000001E-4</v>
      </c>
      <c r="BM58" s="43">
        <v>-2.1900000000000001E-4</v>
      </c>
      <c r="BN58" s="43">
        <v>-2.04E-4</v>
      </c>
      <c r="BP58" s="30">
        <v>3.4764813638211968E-2</v>
      </c>
      <c r="BQ58" s="43">
        <v>-3.5399999999999999E-4</v>
      </c>
      <c r="BR58" s="43">
        <v>-3.1399999999999999E-4</v>
      </c>
      <c r="BS58" s="43">
        <v>2.6999999999999999E-5</v>
      </c>
      <c r="BT58" s="30">
        <v>3.8380311304878616E-2</v>
      </c>
      <c r="BU58" s="43">
        <v>-3.77E-4</v>
      </c>
      <c r="BV58" s="43">
        <v>-3.3300000000000002E-4</v>
      </c>
      <c r="BW58" s="43">
        <v>4.1999999999999998E-5</v>
      </c>
      <c r="BY58" s="30">
        <v>3.4764813638211968E-2</v>
      </c>
      <c r="BZ58" s="43">
        <v>-1.8799999999999999E-4</v>
      </c>
      <c r="CA58" s="43">
        <v>-1.7899999999999999E-4</v>
      </c>
      <c r="CB58" s="43">
        <v>-1E-4</v>
      </c>
      <c r="CC58" s="30">
        <v>3.8380311304878616E-2</v>
      </c>
      <c r="CD58" s="43">
        <v>-1.8699999999999999E-4</v>
      </c>
      <c r="CE58" s="43">
        <v>-1.7799999999999999E-4</v>
      </c>
      <c r="CF58" s="43">
        <v>-1.03E-4</v>
      </c>
      <c r="CH58" s="30">
        <v>3.4764813638211968E-2</v>
      </c>
      <c r="CI58" s="43">
        <v>-5.6300000000000002E-4</v>
      </c>
      <c r="CJ58" s="43">
        <v>-5.6400000000000005E-4</v>
      </c>
      <c r="CK58" s="43">
        <v>1.26E-4</v>
      </c>
      <c r="CL58" s="30">
        <v>3.8380311304878616E-2</v>
      </c>
      <c r="CM58" s="43">
        <v>-6.1200000000000002E-4</v>
      </c>
      <c r="CN58" s="43">
        <v>-6.1300000000000005E-4</v>
      </c>
      <c r="CO58" s="43">
        <v>1.83E-4</v>
      </c>
      <c r="CQ58" s="30">
        <v>3.4764813638211968E-2</v>
      </c>
      <c r="CR58" s="43">
        <v>-3.4400000000000001E-4</v>
      </c>
      <c r="CS58" s="43">
        <v>-3.4400000000000001E-4</v>
      </c>
      <c r="CT58" s="43">
        <v>-8.2000000000000001E-5</v>
      </c>
      <c r="CU58" s="30">
        <v>3.8380311304878616E-2</v>
      </c>
      <c r="CV58" s="43">
        <v>-3.5500000000000001E-4</v>
      </c>
      <c r="CW58" s="43">
        <v>-3.5500000000000001E-4</v>
      </c>
      <c r="CX58" s="43">
        <v>-7.2000000000000002E-5</v>
      </c>
    </row>
    <row r="59" spans="14:102" x14ac:dyDescent="0.25">
      <c r="N59" s="30">
        <v>3.5460102004878639E-2</v>
      </c>
      <c r="O59" s="43">
        <v>-2.9599999999999998E-4</v>
      </c>
      <c r="P59" s="43">
        <v>-2.72E-4</v>
      </c>
      <c r="Q59" s="43">
        <v>-4.3000000000000002E-5</v>
      </c>
      <c r="R59" s="30">
        <v>3.9214657304878615E-2</v>
      </c>
      <c r="S59" s="43">
        <v>-3.1700000000000001E-4</v>
      </c>
      <c r="T59" s="43">
        <v>-2.8899999999999998E-4</v>
      </c>
      <c r="U59" s="43">
        <v>-2.3E-5</v>
      </c>
      <c r="W59" s="30">
        <v>3.5460102004878639E-2</v>
      </c>
      <c r="X59" s="43">
        <v>-3.59E-4</v>
      </c>
      <c r="Y59" s="43">
        <v>-3.2400000000000001E-4</v>
      </c>
      <c r="Z59" s="43">
        <v>1.2E-5</v>
      </c>
      <c r="AA59" s="30">
        <v>3.9214657304878615E-2</v>
      </c>
      <c r="AB59" s="43">
        <v>-3.5599999999999998E-4</v>
      </c>
      <c r="AC59" s="43">
        <v>-3.2200000000000002E-4</v>
      </c>
      <c r="AD59" s="43">
        <v>1.4E-5</v>
      </c>
      <c r="AF59" s="30">
        <v>3.5460102004878639E-2</v>
      </c>
      <c r="AG59" s="43">
        <v>-3.9800000000000002E-4</v>
      </c>
      <c r="AH59" s="43">
        <v>-3.6400000000000001E-4</v>
      </c>
      <c r="AI59" s="43">
        <v>-6.7000000000000002E-5</v>
      </c>
      <c r="AJ59" s="30">
        <v>3.9214657304878615E-2</v>
      </c>
      <c r="AK59" s="43">
        <v>-4.2200000000000001E-4</v>
      </c>
      <c r="AL59" s="43">
        <v>-3.8299999999999999E-4</v>
      </c>
      <c r="AM59" s="43">
        <v>-4.8999999999999998E-5</v>
      </c>
      <c r="AO59" s="30">
        <v>3.5460102004878639E-2</v>
      </c>
      <c r="AP59" s="43">
        <v>-2.23E-4</v>
      </c>
      <c r="AQ59" s="43">
        <v>-2.2100000000000001E-4</v>
      </c>
      <c r="AR59" s="43">
        <v>-2.0000000000000001E-4</v>
      </c>
      <c r="AS59" s="30">
        <v>3.9214657304878615E-2</v>
      </c>
      <c r="AT59" s="43">
        <v>-2.23E-4</v>
      </c>
      <c r="AU59" s="43">
        <v>-2.2100000000000001E-4</v>
      </c>
      <c r="AV59" s="43">
        <v>-2.0100000000000001E-4</v>
      </c>
      <c r="AX59" s="30">
        <v>3.5460102004878639E-2</v>
      </c>
      <c r="AY59" s="43">
        <v>-4.0000000000000002E-4</v>
      </c>
      <c r="AZ59" s="43">
        <v>-3.6600000000000001E-4</v>
      </c>
      <c r="BA59" s="43">
        <v>-6.7999999999999999E-5</v>
      </c>
      <c r="BB59" s="30">
        <v>3.9214657304878615E-2</v>
      </c>
      <c r="BC59" s="43">
        <v>-4.2499999999999998E-4</v>
      </c>
      <c r="BD59" s="43">
        <v>-3.8699999999999997E-4</v>
      </c>
      <c r="BE59" s="43">
        <v>-4.8000000000000001E-5</v>
      </c>
      <c r="BG59" s="30">
        <v>3.5460102004878639E-2</v>
      </c>
      <c r="BH59" s="43">
        <v>-2.22E-4</v>
      </c>
      <c r="BI59" s="43">
        <v>-2.2000000000000001E-4</v>
      </c>
      <c r="BJ59" s="43">
        <v>-2.03E-4</v>
      </c>
      <c r="BK59" s="30">
        <v>3.9214657304878615E-2</v>
      </c>
      <c r="BL59" s="43">
        <v>-2.2100000000000001E-4</v>
      </c>
      <c r="BM59" s="43">
        <v>-2.1900000000000001E-4</v>
      </c>
      <c r="BN59" s="43">
        <v>-2.04E-4</v>
      </c>
      <c r="BP59" s="30">
        <v>3.5460102004878639E-2</v>
      </c>
      <c r="BQ59" s="43">
        <v>-3.5799999999999997E-4</v>
      </c>
      <c r="BR59" s="43">
        <v>-3.1799999999999998E-4</v>
      </c>
      <c r="BS59" s="43">
        <v>3.0000000000000001E-5</v>
      </c>
      <c r="BT59" s="30">
        <v>3.9214657304878615E-2</v>
      </c>
      <c r="BU59" s="43">
        <v>-3.8200000000000002E-4</v>
      </c>
      <c r="BV59" s="43">
        <v>-3.3799999999999998E-4</v>
      </c>
      <c r="BW59" s="43">
        <v>4.6E-5</v>
      </c>
      <c r="BY59" s="30">
        <v>3.5460102004878639E-2</v>
      </c>
      <c r="BZ59" s="43">
        <v>-1.8799999999999999E-4</v>
      </c>
      <c r="CA59" s="43">
        <v>-1.7899999999999999E-4</v>
      </c>
      <c r="CB59" s="43">
        <v>-1.01E-4</v>
      </c>
      <c r="CC59" s="30">
        <v>3.9214657304878615E-2</v>
      </c>
      <c r="CD59" s="43">
        <v>-1.8699999999999999E-4</v>
      </c>
      <c r="CE59" s="43">
        <v>-1.7799999999999999E-4</v>
      </c>
      <c r="CF59" s="43">
        <v>-1.03E-4</v>
      </c>
      <c r="CH59" s="30">
        <v>3.5460102004878639E-2</v>
      </c>
      <c r="CI59" s="43">
        <v>-5.7200000000000003E-4</v>
      </c>
      <c r="CJ59" s="43">
        <v>-5.7399999999999997E-4</v>
      </c>
      <c r="CK59" s="43">
        <v>1.3799999999999999E-4</v>
      </c>
      <c r="CL59" s="30">
        <v>3.9214657304878615E-2</v>
      </c>
      <c r="CM59" s="43">
        <v>-6.2299999999999996E-4</v>
      </c>
      <c r="CN59" s="43">
        <v>-6.2399999999999999E-4</v>
      </c>
      <c r="CO59" s="43">
        <v>1.9599999999999999E-4</v>
      </c>
      <c r="CQ59" s="30">
        <v>3.5460102004878639E-2</v>
      </c>
      <c r="CR59" s="43">
        <v>-3.4600000000000001E-4</v>
      </c>
      <c r="CS59" s="43">
        <v>-3.4600000000000001E-4</v>
      </c>
      <c r="CT59" s="43">
        <v>-8.1000000000000004E-5</v>
      </c>
      <c r="CU59" s="30">
        <v>3.9214657304878615E-2</v>
      </c>
      <c r="CV59" s="43">
        <v>-3.57E-4</v>
      </c>
      <c r="CW59" s="43">
        <v>-3.57E-4</v>
      </c>
      <c r="CX59" s="43">
        <v>-6.9999999999999994E-5</v>
      </c>
    </row>
    <row r="60" spans="14:102" x14ac:dyDescent="0.25">
      <c r="N60" s="30">
        <v>3.6155390371545304E-2</v>
      </c>
      <c r="O60" s="43">
        <v>-2.9999999999999997E-4</v>
      </c>
      <c r="P60" s="43">
        <v>-2.7500000000000002E-4</v>
      </c>
      <c r="Q60" s="43">
        <v>-3.8999999999999999E-5</v>
      </c>
      <c r="R60" s="30">
        <v>4.0049003304878608E-2</v>
      </c>
      <c r="S60" s="43">
        <v>-3.21E-4</v>
      </c>
      <c r="T60" s="43">
        <v>-2.9300000000000002E-4</v>
      </c>
      <c r="U60" s="43">
        <v>-1.8E-5</v>
      </c>
      <c r="W60" s="30">
        <v>3.6155390371545304E-2</v>
      </c>
      <c r="X60" s="43">
        <v>-3.5799999999999997E-4</v>
      </c>
      <c r="Y60" s="43">
        <v>-3.2299999999999999E-4</v>
      </c>
      <c r="Z60" s="43">
        <v>1.2E-5</v>
      </c>
      <c r="AA60" s="30">
        <v>4.0049003304878608E-2</v>
      </c>
      <c r="AB60" s="43">
        <v>-3.5599999999999998E-4</v>
      </c>
      <c r="AC60" s="43">
        <v>-3.21E-4</v>
      </c>
      <c r="AD60" s="43">
        <v>1.4E-5</v>
      </c>
      <c r="AF60" s="30">
        <v>3.6155390371545304E-2</v>
      </c>
      <c r="AG60" s="43">
        <v>-4.0299999999999998E-4</v>
      </c>
      <c r="AH60" s="43">
        <v>-3.68E-4</v>
      </c>
      <c r="AI60" s="43">
        <v>-6.3999999999999997E-5</v>
      </c>
      <c r="AJ60" s="30">
        <v>4.0049003304878608E-2</v>
      </c>
      <c r="AK60" s="43">
        <v>-4.2700000000000002E-4</v>
      </c>
      <c r="AL60" s="43">
        <v>-3.88E-4</v>
      </c>
      <c r="AM60" s="43">
        <v>-4.5000000000000003E-5</v>
      </c>
      <c r="AO60" s="30">
        <v>3.6155390371545304E-2</v>
      </c>
      <c r="AP60" s="43">
        <v>-2.23E-4</v>
      </c>
      <c r="AQ60" s="43">
        <v>-2.2100000000000001E-4</v>
      </c>
      <c r="AR60" s="43">
        <v>-2.0100000000000001E-4</v>
      </c>
      <c r="AS60" s="30">
        <v>4.0049003304878608E-2</v>
      </c>
      <c r="AT60" s="43">
        <v>-2.22E-4</v>
      </c>
      <c r="AU60" s="43">
        <v>-2.2000000000000001E-4</v>
      </c>
      <c r="AV60" s="43">
        <v>-2.0100000000000001E-4</v>
      </c>
      <c r="AX60" s="30">
        <v>3.6155390371545304E-2</v>
      </c>
      <c r="AY60" s="43">
        <v>-4.0499999999999998E-4</v>
      </c>
      <c r="AZ60" s="43">
        <v>-3.6999999999999999E-4</v>
      </c>
      <c r="BA60" s="43">
        <v>-6.3999999999999997E-5</v>
      </c>
      <c r="BB60" s="30">
        <v>4.0049003304878608E-2</v>
      </c>
      <c r="BC60" s="43">
        <v>-4.3100000000000001E-4</v>
      </c>
      <c r="BD60" s="43">
        <v>-3.9100000000000002E-4</v>
      </c>
      <c r="BE60" s="43">
        <v>-4.3999999999999999E-5</v>
      </c>
      <c r="BG60" s="30">
        <v>3.6155390371545304E-2</v>
      </c>
      <c r="BH60" s="43">
        <v>-2.22E-4</v>
      </c>
      <c r="BI60" s="43">
        <v>-2.2000000000000001E-4</v>
      </c>
      <c r="BJ60" s="43">
        <v>-2.03E-4</v>
      </c>
      <c r="BK60" s="30">
        <v>4.0049003304878608E-2</v>
      </c>
      <c r="BL60" s="43">
        <v>-2.2100000000000001E-4</v>
      </c>
      <c r="BM60" s="43">
        <v>-2.1900000000000001E-4</v>
      </c>
      <c r="BN60" s="43">
        <v>-2.04E-4</v>
      </c>
      <c r="BP60" s="30">
        <v>3.6155390371545304E-2</v>
      </c>
      <c r="BQ60" s="43">
        <v>-3.6299999999999999E-4</v>
      </c>
      <c r="BR60" s="43">
        <v>-3.2200000000000002E-4</v>
      </c>
      <c r="BS60" s="43">
        <v>3.3000000000000003E-5</v>
      </c>
      <c r="BT60" s="30">
        <v>4.0049003304878608E-2</v>
      </c>
      <c r="BU60" s="43">
        <v>-3.8699999999999997E-4</v>
      </c>
      <c r="BV60" s="43">
        <v>-3.4200000000000002E-4</v>
      </c>
      <c r="BW60" s="43">
        <v>5.0000000000000002E-5</v>
      </c>
      <c r="BY60" s="30">
        <v>3.6155390371545304E-2</v>
      </c>
      <c r="BZ60" s="43">
        <v>-1.8799999999999999E-4</v>
      </c>
      <c r="CA60" s="43">
        <v>-1.7899999999999999E-4</v>
      </c>
      <c r="CB60" s="43">
        <v>-1.01E-4</v>
      </c>
      <c r="CC60" s="30">
        <v>4.0049003304878608E-2</v>
      </c>
      <c r="CD60" s="43">
        <v>-1.8699999999999999E-4</v>
      </c>
      <c r="CE60" s="43">
        <v>-1.7799999999999999E-4</v>
      </c>
      <c r="CF60" s="43">
        <v>-1.0399999999999999E-4</v>
      </c>
      <c r="CH60" s="30">
        <v>3.6155390371545304E-2</v>
      </c>
      <c r="CI60" s="43">
        <v>-5.8200000000000005E-4</v>
      </c>
      <c r="CJ60" s="43">
        <v>-5.8299999999999997E-4</v>
      </c>
      <c r="CK60" s="43">
        <v>1.4899999999999999E-4</v>
      </c>
      <c r="CL60" s="30">
        <v>4.0049003304878608E-2</v>
      </c>
      <c r="CM60" s="43">
        <v>-6.3299999999999999E-4</v>
      </c>
      <c r="CN60" s="43">
        <v>-6.3500000000000004E-4</v>
      </c>
      <c r="CO60" s="43">
        <v>2.0900000000000001E-4</v>
      </c>
      <c r="CQ60" s="30">
        <v>3.6155390371545304E-2</v>
      </c>
      <c r="CR60" s="43">
        <v>-3.48E-4</v>
      </c>
      <c r="CS60" s="43">
        <v>-3.48E-4</v>
      </c>
      <c r="CT60" s="43">
        <v>-7.8999999999999996E-5</v>
      </c>
      <c r="CU60" s="30">
        <v>4.0049003304878608E-2</v>
      </c>
      <c r="CV60" s="43">
        <v>-3.6000000000000002E-4</v>
      </c>
      <c r="CW60" s="43">
        <v>-3.6000000000000002E-4</v>
      </c>
      <c r="CX60" s="43">
        <v>-6.7000000000000002E-5</v>
      </c>
    </row>
    <row r="61" spans="14:102" x14ac:dyDescent="0.25">
      <c r="N61" s="30">
        <v>3.6850678738211969E-2</v>
      </c>
      <c r="O61" s="43">
        <v>-3.0299999999999999E-4</v>
      </c>
      <c r="P61" s="43">
        <v>-2.7799999999999998E-4</v>
      </c>
      <c r="Q61" s="43">
        <v>-3.6000000000000001E-5</v>
      </c>
      <c r="R61" s="30">
        <v>4.0883349304878608E-2</v>
      </c>
      <c r="S61" s="43">
        <v>-3.2600000000000001E-4</v>
      </c>
      <c r="T61" s="43">
        <v>-2.9700000000000001E-4</v>
      </c>
      <c r="U61" s="43">
        <v>-1.4E-5</v>
      </c>
      <c r="W61" s="30">
        <v>3.6850678738211969E-2</v>
      </c>
      <c r="X61" s="43">
        <v>-3.5799999999999997E-4</v>
      </c>
      <c r="Y61" s="43">
        <v>-3.2299999999999999E-4</v>
      </c>
      <c r="Z61" s="43">
        <v>1.2E-5</v>
      </c>
      <c r="AA61" s="30">
        <v>4.0883349304878608E-2</v>
      </c>
      <c r="AB61" s="43">
        <v>-3.5599999999999998E-4</v>
      </c>
      <c r="AC61" s="43">
        <v>-3.21E-4</v>
      </c>
      <c r="AD61" s="43">
        <v>1.5E-5</v>
      </c>
      <c r="AF61" s="30">
        <v>3.6850678738211969E-2</v>
      </c>
      <c r="AG61" s="43">
        <v>-4.0700000000000003E-4</v>
      </c>
      <c r="AH61" s="43">
        <v>-3.7100000000000002E-4</v>
      </c>
      <c r="AI61" s="43">
        <v>-6.0000000000000002E-5</v>
      </c>
      <c r="AJ61" s="30">
        <v>4.0883349304878608E-2</v>
      </c>
      <c r="AK61" s="43">
        <v>-4.3199999999999998E-4</v>
      </c>
      <c r="AL61" s="43">
        <v>-3.9199999999999999E-4</v>
      </c>
      <c r="AM61" s="43">
        <v>-4.1E-5</v>
      </c>
      <c r="AO61" s="30">
        <v>3.6850678738211969E-2</v>
      </c>
      <c r="AP61" s="43">
        <v>-2.23E-4</v>
      </c>
      <c r="AQ61" s="43">
        <v>-2.2100000000000001E-4</v>
      </c>
      <c r="AR61" s="43">
        <v>-2.0100000000000001E-4</v>
      </c>
      <c r="AS61" s="30">
        <v>4.0883349304878608E-2</v>
      </c>
      <c r="AT61" s="43">
        <v>-2.22E-4</v>
      </c>
      <c r="AU61" s="43">
        <v>-2.2000000000000001E-4</v>
      </c>
      <c r="AV61" s="43">
        <v>-2.0100000000000001E-4</v>
      </c>
      <c r="AX61" s="30">
        <v>3.6850678738211969E-2</v>
      </c>
      <c r="AY61" s="43">
        <v>-4.0900000000000002E-4</v>
      </c>
      <c r="AZ61" s="43">
        <v>-3.7300000000000001E-4</v>
      </c>
      <c r="BA61" s="43">
        <v>-6.0999999999999999E-5</v>
      </c>
      <c r="BB61" s="30">
        <v>4.0883349304878608E-2</v>
      </c>
      <c r="BC61" s="43">
        <v>-4.3600000000000003E-4</v>
      </c>
      <c r="BD61" s="43">
        <v>-3.9500000000000001E-4</v>
      </c>
      <c r="BE61" s="43">
        <v>-4.0000000000000003E-5</v>
      </c>
      <c r="BG61" s="30">
        <v>3.6850678738211969E-2</v>
      </c>
      <c r="BH61" s="43">
        <v>-2.22E-4</v>
      </c>
      <c r="BI61" s="43">
        <v>-2.2000000000000001E-4</v>
      </c>
      <c r="BJ61" s="43">
        <v>-2.04E-4</v>
      </c>
      <c r="BK61" s="30">
        <v>4.0883349304878608E-2</v>
      </c>
      <c r="BL61" s="43">
        <v>-2.2000000000000001E-4</v>
      </c>
      <c r="BM61" s="43">
        <v>-2.1900000000000001E-4</v>
      </c>
      <c r="BN61" s="43">
        <v>-2.05E-4</v>
      </c>
      <c r="BP61" s="30">
        <v>3.6850678738211969E-2</v>
      </c>
      <c r="BQ61" s="43">
        <v>-3.6699999999999998E-4</v>
      </c>
      <c r="BR61" s="43">
        <v>-3.2600000000000001E-4</v>
      </c>
      <c r="BS61" s="43">
        <v>3.6000000000000001E-5</v>
      </c>
      <c r="BT61" s="30">
        <v>4.0883349304878608E-2</v>
      </c>
      <c r="BU61" s="43">
        <v>-3.9300000000000001E-4</v>
      </c>
      <c r="BV61" s="43">
        <v>-3.4699999999999998E-4</v>
      </c>
      <c r="BW61" s="43">
        <v>5.3000000000000001E-5</v>
      </c>
      <c r="BY61" s="30">
        <v>3.6850678738211969E-2</v>
      </c>
      <c r="BZ61" s="43">
        <v>-1.8699999999999999E-4</v>
      </c>
      <c r="CA61" s="43">
        <v>-1.7899999999999999E-4</v>
      </c>
      <c r="CB61" s="43">
        <v>-1.02E-4</v>
      </c>
      <c r="CC61" s="30">
        <v>4.0883349304878608E-2</v>
      </c>
      <c r="CD61" s="43">
        <v>-1.8699999999999999E-4</v>
      </c>
      <c r="CE61" s="43">
        <v>-1.7799999999999999E-4</v>
      </c>
      <c r="CF61" s="43">
        <v>-1.05E-4</v>
      </c>
      <c r="CH61" s="30">
        <v>3.6850678738211969E-2</v>
      </c>
      <c r="CI61" s="43">
        <v>-5.9100000000000005E-4</v>
      </c>
      <c r="CJ61" s="43">
        <v>-5.9199999999999997E-4</v>
      </c>
      <c r="CK61" s="43">
        <v>1.5899999999999999E-4</v>
      </c>
      <c r="CL61" s="30">
        <v>4.0883349304878608E-2</v>
      </c>
      <c r="CM61" s="43">
        <v>-6.4400000000000004E-4</v>
      </c>
      <c r="CN61" s="43">
        <v>-6.4599999999999998E-4</v>
      </c>
      <c r="CO61" s="43">
        <v>2.2100000000000001E-4</v>
      </c>
      <c r="CQ61" s="30">
        <v>3.6850678738211969E-2</v>
      </c>
      <c r="CR61" s="43">
        <v>-3.5E-4</v>
      </c>
      <c r="CS61" s="43">
        <v>-3.5E-4</v>
      </c>
      <c r="CT61" s="43">
        <v>-7.7000000000000001E-5</v>
      </c>
      <c r="CU61" s="30">
        <v>4.0883349304878608E-2</v>
      </c>
      <c r="CV61" s="43">
        <v>-3.6200000000000002E-4</v>
      </c>
      <c r="CW61" s="43">
        <v>-3.6200000000000002E-4</v>
      </c>
      <c r="CX61" s="43">
        <v>-6.4999999999999994E-5</v>
      </c>
    </row>
    <row r="62" spans="14:102" x14ac:dyDescent="0.25">
      <c r="N62" s="30">
        <v>3.7545967104878633E-2</v>
      </c>
      <c r="O62" s="43">
        <v>-3.0699999999999998E-4</v>
      </c>
      <c r="P62" s="43">
        <v>-2.81E-4</v>
      </c>
      <c r="Q62" s="43">
        <v>-3.1999999999999999E-5</v>
      </c>
      <c r="R62" s="30">
        <v>4.1717695304878608E-2</v>
      </c>
      <c r="S62" s="43">
        <v>-3.3199999999999999E-4</v>
      </c>
      <c r="T62" s="43">
        <v>-3.01E-4</v>
      </c>
      <c r="U62" s="43">
        <v>-9.0000000000000002E-6</v>
      </c>
      <c r="W62" s="30">
        <v>3.7545967104878633E-2</v>
      </c>
      <c r="X62" s="43">
        <v>-3.57E-4</v>
      </c>
      <c r="Y62" s="43">
        <v>-3.2200000000000002E-4</v>
      </c>
      <c r="Z62" s="43">
        <v>1.2999999999999999E-5</v>
      </c>
      <c r="AA62" s="30">
        <v>4.1717695304878608E-2</v>
      </c>
      <c r="AB62" s="43">
        <v>-3.5500000000000001E-4</v>
      </c>
      <c r="AC62" s="43">
        <v>-3.2000000000000003E-4</v>
      </c>
      <c r="AD62" s="43">
        <v>1.5E-5</v>
      </c>
      <c r="AF62" s="30">
        <v>3.7545967104878633E-2</v>
      </c>
      <c r="AG62" s="43">
        <v>-4.1199999999999999E-4</v>
      </c>
      <c r="AH62" s="43">
        <v>-3.7500000000000001E-4</v>
      </c>
      <c r="AI62" s="43">
        <v>-5.7000000000000003E-5</v>
      </c>
      <c r="AJ62" s="30">
        <v>4.1717695304878608E-2</v>
      </c>
      <c r="AK62" s="43">
        <v>-4.3899999999999999E-4</v>
      </c>
      <c r="AL62" s="43">
        <v>-3.97E-4</v>
      </c>
      <c r="AM62" s="43">
        <v>-3.6000000000000001E-5</v>
      </c>
      <c r="AO62" s="30">
        <v>3.7545967104878633E-2</v>
      </c>
      <c r="AP62" s="43">
        <v>-2.23E-4</v>
      </c>
      <c r="AQ62" s="43">
        <v>-2.2100000000000001E-4</v>
      </c>
      <c r="AR62" s="43">
        <v>-2.0100000000000001E-4</v>
      </c>
      <c r="AS62" s="30">
        <v>4.1717695304878608E-2</v>
      </c>
      <c r="AT62" s="43">
        <v>-2.22E-4</v>
      </c>
      <c r="AU62" s="43">
        <v>-2.2000000000000001E-4</v>
      </c>
      <c r="AV62" s="43">
        <v>-2.02E-4</v>
      </c>
      <c r="AX62" s="30">
        <v>3.7545967104878633E-2</v>
      </c>
      <c r="AY62" s="43">
        <v>-4.1399999999999998E-4</v>
      </c>
      <c r="AZ62" s="43">
        <v>-3.77E-4</v>
      </c>
      <c r="BA62" s="43">
        <v>-5.7000000000000003E-5</v>
      </c>
      <c r="BB62" s="30">
        <v>4.1717695304878608E-2</v>
      </c>
      <c r="BC62" s="43">
        <v>-4.4200000000000001E-4</v>
      </c>
      <c r="BD62" s="43">
        <v>-4.0000000000000002E-4</v>
      </c>
      <c r="BE62" s="43">
        <v>-3.4999999999999997E-5</v>
      </c>
      <c r="BG62" s="30">
        <v>3.7545967104878633E-2</v>
      </c>
      <c r="BH62" s="43">
        <v>-2.2100000000000001E-4</v>
      </c>
      <c r="BI62" s="43">
        <v>-2.2000000000000001E-4</v>
      </c>
      <c r="BJ62" s="43">
        <v>-2.04E-4</v>
      </c>
      <c r="BK62" s="30">
        <v>4.1717695304878608E-2</v>
      </c>
      <c r="BL62" s="43">
        <v>-2.2000000000000001E-4</v>
      </c>
      <c r="BM62" s="43">
        <v>-2.1900000000000001E-4</v>
      </c>
      <c r="BN62" s="43">
        <v>-2.05E-4</v>
      </c>
      <c r="BP62" s="30">
        <v>3.7545967104878633E-2</v>
      </c>
      <c r="BQ62" s="43">
        <v>-3.7199999999999999E-4</v>
      </c>
      <c r="BR62" s="43">
        <v>-3.2899999999999997E-4</v>
      </c>
      <c r="BS62" s="43">
        <v>3.8999999999999999E-5</v>
      </c>
      <c r="BT62" s="30">
        <v>4.1717695304878608E-2</v>
      </c>
      <c r="BU62" s="43">
        <v>-3.9899999999999999E-4</v>
      </c>
      <c r="BV62" s="43">
        <v>-3.5100000000000002E-4</v>
      </c>
      <c r="BW62" s="43">
        <v>5.7000000000000003E-5</v>
      </c>
      <c r="BY62" s="30">
        <v>3.7545967104878633E-2</v>
      </c>
      <c r="BZ62" s="43">
        <v>-1.8699999999999999E-4</v>
      </c>
      <c r="CA62" s="43">
        <v>-1.7899999999999999E-4</v>
      </c>
      <c r="CB62" s="43">
        <v>-1.02E-4</v>
      </c>
      <c r="CC62" s="30">
        <v>4.1717695304878608E-2</v>
      </c>
      <c r="CD62" s="43">
        <v>-1.8699999999999999E-4</v>
      </c>
      <c r="CE62" s="43">
        <v>-1.7799999999999999E-4</v>
      </c>
      <c r="CF62" s="43">
        <v>-1.05E-4</v>
      </c>
      <c r="CH62" s="30">
        <v>3.7545967104878633E-2</v>
      </c>
      <c r="CI62" s="43">
        <v>-5.9999999999999995E-4</v>
      </c>
      <c r="CJ62" s="43">
        <v>-6.0099999999999997E-4</v>
      </c>
      <c r="CK62" s="43">
        <v>1.7000000000000001E-4</v>
      </c>
      <c r="CL62" s="30">
        <v>4.1717695304878608E-2</v>
      </c>
      <c r="CM62" s="43">
        <v>-6.5899999999999997E-4</v>
      </c>
      <c r="CN62" s="43">
        <v>-6.6E-4</v>
      </c>
      <c r="CO62" s="43">
        <v>2.5599999999999999E-4</v>
      </c>
      <c r="CQ62" s="30">
        <v>3.7545967104878633E-2</v>
      </c>
      <c r="CR62" s="43">
        <v>-3.5199999999999999E-4</v>
      </c>
      <c r="CS62" s="43">
        <v>-3.5199999999999999E-4</v>
      </c>
      <c r="CT62" s="43">
        <v>-7.3999999999999996E-5</v>
      </c>
      <c r="CU62" s="30">
        <v>4.1717695304878608E-2</v>
      </c>
      <c r="CV62" s="43">
        <v>-3.6400000000000001E-4</v>
      </c>
      <c r="CW62" s="43">
        <v>-3.6400000000000001E-4</v>
      </c>
      <c r="CX62" s="43">
        <v>-6.3E-5</v>
      </c>
    </row>
    <row r="63" spans="14:102" x14ac:dyDescent="0.25">
      <c r="N63" s="30">
        <v>3.8241255471545305E-2</v>
      </c>
      <c r="O63" s="43">
        <v>-3.1100000000000002E-4</v>
      </c>
      <c r="P63" s="43">
        <v>-2.8499999999999999E-4</v>
      </c>
      <c r="Q63" s="43">
        <v>-2.8E-5</v>
      </c>
      <c r="R63" s="30"/>
      <c r="W63" s="30">
        <v>3.8241255471545305E-2</v>
      </c>
      <c r="X63" s="43">
        <v>-3.57E-4</v>
      </c>
      <c r="Y63" s="43">
        <v>-3.2200000000000002E-4</v>
      </c>
      <c r="Z63" s="43">
        <v>1.2999999999999999E-5</v>
      </c>
      <c r="AA63" s="30"/>
      <c r="AF63" s="30">
        <v>3.8241255471545305E-2</v>
      </c>
      <c r="AG63" s="43">
        <v>-4.1599999999999997E-4</v>
      </c>
      <c r="AH63" s="43">
        <v>-3.79E-4</v>
      </c>
      <c r="AI63" s="43">
        <v>-5.3000000000000001E-5</v>
      </c>
      <c r="AJ63" s="30"/>
      <c r="AO63" s="30">
        <v>3.8241255471545305E-2</v>
      </c>
      <c r="AP63" s="43">
        <v>-2.23E-4</v>
      </c>
      <c r="AQ63" s="43">
        <v>-2.2100000000000001E-4</v>
      </c>
      <c r="AR63" s="43">
        <v>-2.0100000000000001E-4</v>
      </c>
      <c r="AS63" s="30"/>
      <c r="AX63" s="30">
        <v>3.8241255471545305E-2</v>
      </c>
      <c r="AY63" s="43">
        <v>-4.1800000000000002E-4</v>
      </c>
      <c r="AZ63" s="43">
        <v>-3.8099999999999999E-4</v>
      </c>
      <c r="BA63" s="43">
        <v>-5.3999999999999998E-5</v>
      </c>
      <c r="BB63" s="30"/>
      <c r="BG63" s="30">
        <v>3.8241255471545305E-2</v>
      </c>
      <c r="BH63" s="43">
        <v>-2.2100000000000001E-4</v>
      </c>
      <c r="BI63" s="43">
        <v>-2.2000000000000001E-4</v>
      </c>
      <c r="BJ63" s="43">
        <v>-2.04E-4</v>
      </c>
      <c r="BK63" s="30"/>
      <c r="BP63" s="30">
        <v>3.8241255471545305E-2</v>
      </c>
      <c r="BQ63" s="43">
        <v>-3.7599999999999998E-4</v>
      </c>
      <c r="BR63" s="43">
        <v>-3.3300000000000002E-4</v>
      </c>
      <c r="BS63" s="43">
        <v>4.1999999999999998E-5</v>
      </c>
      <c r="BT63" s="30"/>
      <c r="BY63" s="30">
        <v>3.8241255471545305E-2</v>
      </c>
      <c r="BZ63" s="43">
        <v>-1.8699999999999999E-4</v>
      </c>
      <c r="CA63" s="43">
        <v>-1.7899999999999999E-4</v>
      </c>
      <c r="CB63" s="43">
        <v>-1.02E-4</v>
      </c>
      <c r="CC63" s="30"/>
      <c r="CH63" s="30">
        <v>3.8241255471545305E-2</v>
      </c>
      <c r="CI63" s="43">
        <v>-6.0899999999999995E-4</v>
      </c>
      <c r="CJ63" s="43">
        <v>-6.0999999999999997E-4</v>
      </c>
      <c r="CK63" s="43">
        <v>1.8000000000000001E-4</v>
      </c>
      <c r="CL63" s="30"/>
      <c r="CQ63" s="30">
        <v>3.8241255471545305E-2</v>
      </c>
      <c r="CR63" s="43">
        <v>-3.5399999999999999E-4</v>
      </c>
      <c r="CS63" s="43">
        <v>-3.5399999999999999E-4</v>
      </c>
      <c r="CT63" s="43">
        <v>-7.2000000000000002E-5</v>
      </c>
      <c r="CU63" s="30"/>
    </row>
    <row r="64" spans="14:102" x14ac:dyDescent="0.25">
      <c r="N64" s="30">
        <v>3.8936543838211969E-2</v>
      </c>
      <c r="O64" s="43">
        <v>-3.1500000000000001E-4</v>
      </c>
      <c r="P64" s="43">
        <v>-2.8800000000000001E-4</v>
      </c>
      <c r="Q64" s="43">
        <v>-2.4000000000000001E-5</v>
      </c>
      <c r="R64" s="30"/>
      <c r="W64" s="30">
        <v>3.8936543838211969E-2</v>
      </c>
      <c r="X64" s="43">
        <v>-3.57E-4</v>
      </c>
      <c r="Y64" s="43">
        <v>-3.2200000000000002E-4</v>
      </c>
      <c r="Z64" s="43">
        <v>1.4E-5</v>
      </c>
      <c r="AA64" s="30"/>
      <c r="AF64" s="30">
        <v>3.8936543838211969E-2</v>
      </c>
      <c r="AG64" s="43">
        <v>-4.2099999999999999E-4</v>
      </c>
      <c r="AH64" s="43">
        <v>-3.8200000000000002E-4</v>
      </c>
      <c r="AI64" s="43">
        <v>-5.0000000000000002E-5</v>
      </c>
      <c r="AJ64" s="30"/>
      <c r="AO64" s="30">
        <v>3.8936543838211969E-2</v>
      </c>
      <c r="AP64" s="43">
        <v>-2.22E-4</v>
      </c>
      <c r="AQ64" s="43">
        <v>-2.2000000000000001E-4</v>
      </c>
      <c r="AR64" s="43">
        <v>-2.0100000000000001E-4</v>
      </c>
      <c r="AS64" s="30"/>
      <c r="AX64" s="30">
        <v>3.8936543838211969E-2</v>
      </c>
      <c r="AY64" s="43">
        <v>-4.2200000000000001E-4</v>
      </c>
      <c r="AZ64" s="43">
        <v>-3.8400000000000001E-4</v>
      </c>
      <c r="BA64" s="43">
        <v>-5.0000000000000002E-5</v>
      </c>
      <c r="BB64" s="30"/>
      <c r="BG64" s="30">
        <v>3.8936543838211969E-2</v>
      </c>
      <c r="BH64" s="43">
        <v>-2.2100000000000001E-4</v>
      </c>
      <c r="BI64" s="43">
        <v>-2.2000000000000001E-4</v>
      </c>
      <c r="BJ64" s="43">
        <v>-2.04E-4</v>
      </c>
      <c r="BK64" s="30"/>
      <c r="BP64" s="30">
        <v>3.8936543838211969E-2</v>
      </c>
      <c r="BQ64" s="43">
        <v>-3.8000000000000002E-4</v>
      </c>
      <c r="BR64" s="43">
        <v>-3.3700000000000001E-4</v>
      </c>
      <c r="BS64" s="43">
        <v>4.5000000000000003E-5</v>
      </c>
      <c r="BT64" s="30"/>
      <c r="BY64" s="30">
        <v>3.8936543838211969E-2</v>
      </c>
      <c r="BZ64" s="43">
        <v>-1.8699999999999999E-4</v>
      </c>
      <c r="CA64" s="43">
        <v>-1.7899999999999999E-4</v>
      </c>
      <c r="CB64" s="43">
        <v>-1.03E-4</v>
      </c>
      <c r="CC64" s="30"/>
      <c r="CH64" s="30">
        <v>3.8936543838211969E-2</v>
      </c>
      <c r="CI64" s="43">
        <v>-6.1799999999999995E-4</v>
      </c>
      <c r="CJ64" s="43">
        <v>-6.1899999999999998E-4</v>
      </c>
      <c r="CK64" s="43">
        <v>1.9100000000000001E-4</v>
      </c>
      <c r="CL64" s="30"/>
      <c r="CQ64" s="30">
        <v>3.8936543838211969E-2</v>
      </c>
      <c r="CR64" s="43">
        <v>-3.5599999999999998E-4</v>
      </c>
      <c r="CS64" s="43">
        <v>-3.5599999999999998E-4</v>
      </c>
      <c r="CT64" s="43">
        <v>-6.9999999999999994E-5</v>
      </c>
      <c r="CU64" s="30"/>
    </row>
    <row r="65" spans="14:99" x14ac:dyDescent="0.25">
      <c r="N65" s="30">
        <v>3.9631832204878634E-2</v>
      </c>
      <c r="O65" s="43">
        <v>-3.19E-4</v>
      </c>
      <c r="P65" s="43">
        <v>-2.9100000000000003E-4</v>
      </c>
      <c r="Q65" s="43">
        <v>-2.0999999999999999E-5</v>
      </c>
      <c r="R65" s="30"/>
      <c r="W65" s="30">
        <v>3.9631832204878634E-2</v>
      </c>
      <c r="X65" s="43">
        <v>-3.5599999999999998E-4</v>
      </c>
      <c r="Y65" s="43">
        <v>-3.21E-4</v>
      </c>
      <c r="Z65" s="43">
        <v>1.4E-5</v>
      </c>
      <c r="AA65" s="30"/>
      <c r="AF65" s="30">
        <v>3.9631832204878634E-2</v>
      </c>
      <c r="AG65" s="43">
        <v>-4.2499999999999998E-4</v>
      </c>
      <c r="AH65" s="43">
        <v>-3.86E-4</v>
      </c>
      <c r="AI65" s="43">
        <v>-4.6E-5</v>
      </c>
      <c r="AJ65" s="30"/>
      <c r="AO65" s="30">
        <v>3.9631832204878634E-2</v>
      </c>
      <c r="AP65" s="43">
        <v>-2.22E-4</v>
      </c>
      <c r="AQ65" s="43">
        <v>-2.2000000000000001E-4</v>
      </c>
      <c r="AR65" s="43">
        <v>-2.0100000000000001E-4</v>
      </c>
      <c r="AS65" s="30"/>
      <c r="AX65" s="30">
        <v>3.9631832204878634E-2</v>
      </c>
      <c r="AY65" s="43">
        <v>-4.2700000000000002E-4</v>
      </c>
      <c r="AZ65" s="43">
        <v>-3.88E-4</v>
      </c>
      <c r="BA65" s="43">
        <v>-4.6999999999999997E-5</v>
      </c>
      <c r="BB65" s="30"/>
      <c r="BG65" s="30">
        <v>3.9631832204878634E-2</v>
      </c>
      <c r="BH65" s="43">
        <v>-2.2100000000000001E-4</v>
      </c>
      <c r="BI65" s="43">
        <v>-2.1900000000000001E-4</v>
      </c>
      <c r="BJ65" s="43">
        <v>-2.04E-4</v>
      </c>
      <c r="BK65" s="30"/>
      <c r="BP65" s="30">
        <v>3.9631832204878634E-2</v>
      </c>
      <c r="BQ65" s="43">
        <v>-3.8499999999999998E-4</v>
      </c>
      <c r="BR65" s="43">
        <v>-3.4000000000000002E-4</v>
      </c>
      <c r="BS65" s="43">
        <v>4.8000000000000001E-5</v>
      </c>
      <c r="BT65" s="30"/>
      <c r="BY65" s="30">
        <v>3.9631832204878634E-2</v>
      </c>
      <c r="BZ65" s="43">
        <v>-1.8699999999999999E-4</v>
      </c>
      <c r="CA65" s="43">
        <v>-1.7899999999999999E-4</v>
      </c>
      <c r="CB65" s="43">
        <v>-1.03E-4</v>
      </c>
      <c r="CC65" s="30"/>
      <c r="CH65" s="30">
        <v>3.9631832204878634E-2</v>
      </c>
      <c r="CI65" s="43">
        <v>-6.2699999999999995E-4</v>
      </c>
      <c r="CJ65" s="43">
        <v>-6.29E-4</v>
      </c>
      <c r="CK65" s="43">
        <v>2.0100000000000001E-4</v>
      </c>
      <c r="CL65" s="30"/>
      <c r="CQ65" s="30">
        <v>3.9631832204878634E-2</v>
      </c>
      <c r="CR65" s="43">
        <v>-3.5799999999999997E-4</v>
      </c>
      <c r="CS65" s="43">
        <v>-3.59E-4</v>
      </c>
      <c r="CT65" s="43">
        <v>-6.7999999999999999E-5</v>
      </c>
      <c r="CU65" s="30"/>
    </row>
    <row r="66" spans="14:99" x14ac:dyDescent="0.25">
      <c r="N66" s="30">
        <v>4.0327120571545298E-2</v>
      </c>
      <c r="O66" s="43">
        <v>-3.2299999999999999E-4</v>
      </c>
      <c r="P66" s="43">
        <v>-2.9399999999999999E-4</v>
      </c>
      <c r="Q66" s="43">
        <v>-1.7E-5</v>
      </c>
      <c r="R66" s="30"/>
      <c r="W66" s="30">
        <v>4.0327120571545298E-2</v>
      </c>
      <c r="X66" s="43">
        <v>-3.5599999999999998E-4</v>
      </c>
      <c r="Y66" s="43">
        <v>-3.21E-4</v>
      </c>
      <c r="Z66" s="43">
        <v>1.4E-5</v>
      </c>
      <c r="AA66" s="30"/>
      <c r="AF66" s="30">
        <v>4.0327120571545298E-2</v>
      </c>
      <c r="AG66" s="43">
        <v>-4.2900000000000002E-4</v>
      </c>
      <c r="AH66" s="43">
        <v>-3.8999999999999999E-4</v>
      </c>
      <c r="AI66" s="43">
        <v>-4.3000000000000002E-5</v>
      </c>
      <c r="AJ66" s="30"/>
      <c r="AO66" s="30">
        <v>4.0327120571545298E-2</v>
      </c>
      <c r="AP66" s="43">
        <v>-2.22E-4</v>
      </c>
      <c r="AQ66" s="43">
        <v>-2.2000000000000001E-4</v>
      </c>
      <c r="AR66" s="43">
        <v>-2.0100000000000001E-4</v>
      </c>
      <c r="AS66" s="30"/>
      <c r="AX66" s="30">
        <v>4.0327120571545298E-2</v>
      </c>
      <c r="AY66" s="43">
        <v>-4.3100000000000001E-4</v>
      </c>
      <c r="AZ66" s="43">
        <v>-3.9100000000000002E-4</v>
      </c>
      <c r="BA66" s="43">
        <v>-4.3000000000000002E-5</v>
      </c>
      <c r="BB66" s="30"/>
      <c r="BG66" s="30">
        <v>4.0327120571545298E-2</v>
      </c>
      <c r="BH66" s="43">
        <v>-2.2100000000000001E-4</v>
      </c>
      <c r="BI66" s="43">
        <v>-2.1900000000000001E-4</v>
      </c>
      <c r="BJ66" s="43">
        <v>-2.04E-4</v>
      </c>
      <c r="BK66" s="30"/>
      <c r="BP66" s="30">
        <v>4.0327120571545298E-2</v>
      </c>
      <c r="BQ66" s="43">
        <v>-3.8900000000000002E-4</v>
      </c>
      <c r="BR66" s="43">
        <v>-3.4400000000000001E-4</v>
      </c>
      <c r="BS66" s="43">
        <v>5.1E-5</v>
      </c>
      <c r="BT66" s="30"/>
      <c r="BY66" s="30">
        <v>4.0327120571545298E-2</v>
      </c>
      <c r="BZ66" s="43">
        <v>-1.8699999999999999E-4</v>
      </c>
      <c r="CA66" s="43">
        <v>-1.7899999999999999E-4</v>
      </c>
      <c r="CB66" s="43">
        <v>-1.0399999999999999E-4</v>
      </c>
      <c r="CC66" s="30"/>
      <c r="CH66" s="30">
        <v>4.0327120571545298E-2</v>
      </c>
      <c r="CI66" s="43">
        <v>-6.3599999999999996E-4</v>
      </c>
      <c r="CJ66" s="43">
        <v>-6.38E-4</v>
      </c>
      <c r="CK66" s="43">
        <v>2.12E-4</v>
      </c>
      <c r="CL66" s="30"/>
      <c r="CQ66" s="30">
        <v>4.0327120571545298E-2</v>
      </c>
      <c r="CR66" s="43">
        <v>-3.6000000000000002E-4</v>
      </c>
      <c r="CS66" s="43">
        <v>-3.6099999999999999E-4</v>
      </c>
      <c r="CT66" s="43">
        <v>-6.6000000000000005E-5</v>
      </c>
      <c r="CU66" s="30"/>
    </row>
    <row r="67" spans="14:99" x14ac:dyDescent="0.25">
      <c r="N67" s="30">
        <v>4.102240893821197E-2</v>
      </c>
      <c r="O67" s="43">
        <v>-3.2699999999999998E-4</v>
      </c>
      <c r="P67" s="43">
        <v>-2.9700000000000001E-4</v>
      </c>
      <c r="Q67" s="43">
        <v>-1.2999999999999999E-5</v>
      </c>
      <c r="R67" s="30"/>
      <c r="W67" s="30">
        <v>4.102240893821197E-2</v>
      </c>
      <c r="X67" s="43">
        <v>-3.5599999999999998E-4</v>
      </c>
      <c r="Y67" s="43">
        <v>-3.21E-4</v>
      </c>
      <c r="Z67" s="43">
        <v>1.5E-5</v>
      </c>
      <c r="AA67" s="30"/>
      <c r="AF67" s="30">
        <v>4.102240893821197E-2</v>
      </c>
      <c r="AG67" s="43">
        <v>-4.3399999999999998E-4</v>
      </c>
      <c r="AH67" s="43">
        <v>-3.9300000000000001E-4</v>
      </c>
      <c r="AI67" s="43">
        <v>-3.8999999999999999E-5</v>
      </c>
      <c r="AJ67" s="30"/>
      <c r="AO67" s="30">
        <v>4.102240893821197E-2</v>
      </c>
      <c r="AP67" s="43">
        <v>-2.22E-4</v>
      </c>
      <c r="AQ67" s="43">
        <v>-2.2000000000000001E-4</v>
      </c>
      <c r="AR67" s="43">
        <v>-2.0100000000000001E-4</v>
      </c>
      <c r="AS67" s="30"/>
      <c r="AX67" s="30">
        <v>4.102240893821197E-2</v>
      </c>
      <c r="AY67" s="43">
        <v>-4.3600000000000003E-4</v>
      </c>
      <c r="AZ67" s="43">
        <v>-3.9500000000000001E-4</v>
      </c>
      <c r="BA67" s="43">
        <v>-4.0000000000000003E-5</v>
      </c>
      <c r="BB67" s="30"/>
      <c r="BG67" s="30">
        <v>4.102240893821197E-2</v>
      </c>
      <c r="BH67" s="43">
        <v>-2.2100000000000001E-4</v>
      </c>
      <c r="BI67" s="43">
        <v>-2.1900000000000001E-4</v>
      </c>
      <c r="BJ67" s="43">
        <v>-2.04E-4</v>
      </c>
      <c r="BK67" s="30"/>
      <c r="BP67" s="30">
        <v>4.102240893821197E-2</v>
      </c>
      <c r="BQ67" s="43">
        <v>-3.9399999999999998E-4</v>
      </c>
      <c r="BR67" s="43">
        <v>-3.4699999999999998E-4</v>
      </c>
      <c r="BS67" s="43">
        <v>5.3999999999999998E-5</v>
      </c>
      <c r="BT67" s="30"/>
      <c r="BY67" s="30">
        <v>4.102240893821197E-2</v>
      </c>
      <c r="BZ67" s="43">
        <v>-1.8699999999999999E-4</v>
      </c>
      <c r="CA67" s="43">
        <v>-1.7899999999999999E-4</v>
      </c>
      <c r="CB67" s="43">
        <v>-1.0399999999999999E-4</v>
      </c>
      <c r="CC67" s="30"/>
      <c r="CH67" s="30">
        <v>4.102240893821197E-2</v>
      </c>
      <c r="CI67" s="43">
        <v>-6.4499999999999996E-4</v>
      </c>
      <c r="CJ67" s="43">
        <v>-6.4700000000000001E-4</v>
      </c>
      <c r="CK67" s="43">
        <v>2.23E-4</v>
      </c>
      <c r="CL67" s="30"/>
      <c r="CQ67" s="30">
        <v>4.102240893821197E-2</v>
      </c>
      <c r="CR67" s="43">
        <v>-3.6200000000000002E-4</v>
      </c>
      <c r="CS67" s="43">
        <v>-3.6299999999999999E-4</v>
      </c>
      <c r="CT67" s="43">
        <v>-6.3999999999999997E-5</v>
      </c>
      <c r="CU67" s="30"/>
    </row>
    <row r="68" spans="14:99" x14ac:dyDescent="0.25">
      <c r="N68" s="30">
        <v>4.1717697304878634E-2</v>
      </c>
      <c r="O68" s="43">
        <v>-3.3199999999999999E-4</v>
      </c>
      <c r="P68" s="43">
        <v>-3.01E-4</v>
      </c>
      <c r="Q68" s="43">
        <v>-9.0000000000000002E-6</v>
      </c>
      <c r="R68" s="30"/>
      <c r="W68" s="30">
        <v>4.1717697304878634E-2</v>
      </c>
      <c r="X68" s="43">
        <v>-3.5500000000000001E-4</v>
      </c>
      <c r="Y68" s="43">
        <v>-3.2000000000000003E-4</v>
      </c>
      <c r="Z68" s="43">
        <v>1.5E-5</v>
      </c>
      <c r="AA68" s="30"/>
      <c r="AF68" s="30">
        <v>4.1717697304878634E-2</v>
      </c>
      <c r="AG68" s="43">
        <v>-4.3899999999999999E-4</v>
      </c>
      <c r="AH68" s="43">
        <v>-3.97E-4</v>
      </c>
      <c r="AI68" s="43">
        <v>-3.4999999999999997E-5</v>
      </c>
      <c r="AJ68" s="30"/>
      <c r="AO68" s="30">
        <v>4.1717697304878634E-2</v>
      </c>
      <c r="AP68" s="43">
        <v>-2.2100000000000001E-4</v>
      </c>
      <c r="AQ68" s="43">
        <v>-2.2000000000000001E-4</v>
      </c>
      <c r="AR68" s="43">
        <v>-2.02E-4</v>
      </c>
      <c r="AS68" s="30"/>
      <c r="AX68" s="30">
        <v>4.1717697304878634E-2</v>
      </c>
      <c r="AY68" s="43">
        <v>-4.4099999999999999E-4</v>
      </c>
      <c r="AZ68" s="43">
        <v>-3.9899999999999999E-4</v>
      </c>
      <c r="BA68" s="43">
        <v>-3.6000000000000001E-5</v>
      </c>
      <c r="BB68" s="30"/>
      <c r="BG68" s="30">
        <v>4.1717697304878634E-2</v>
      </c>
      <c r="BH68" s="43">
        <v>-2.2000000000000001E-4</v>
      </c>
      <c r="BI68" s="43">
        <v>-2.1900000000000001E-4</v>
      </c>
      <c r="BJ68" s="43">
        <v>-2.05E-4</v>
      </c>
      <c r="BK68" s="30"/>
      <c r="BP68" s="30">
        <v>4.1717697304878634E-2</v>
      </c>
      <c r="BQ68" s="43">
        <v>-3.9899999999999999E-4</v>
      </c>
      <c r="BR68" s="43">
        <v>-3.5199999999999999E-4</v>
      </c>
      <c r="BS68" s="43">
        <v>5.7000000000000003E-5</v>
      </c>
      <c r="BT68" s="30"/>
      <c r="BY68" s="30">
        <v>4.1717697304878634E-2</v>
      </c>
      <c r="BZ68" s="43">
        <v>-1.8699999999999999E-4</v>
      </c>
      <c r="CA68" s="43">
        <v>-1.7899999999999999E-4</v>
      </c>
      <c r="CB68" s="43">
        <v>-1.05E-4</v>
      </c>
      <c r="CC68" s="30"/>
      <c r="CH68" s="30">
        <v>4.1717697304878634E-2</v>
      </c>
      <c r="CI68" s="43">
        <v>-6.5799999999999995E-4</v>
      </c>
      <c r="CJ68" s="43">
        <v>-6.6E-4</v>
      </c>
      <c r="CK68" s="43">
        <v>2.5500000000000002E-4</v>
      </c>
      <c r="CL68" s="30"/>
      <c r="CQ68" s="30">
        <v>4.1717697304878634E-2</v>
      </c>
      <c r="CR68" s="43">
        <v>-3.6400000000000001E-4</v>
      </c>
      <c r="CS68" s="43">
        <v>-3.6400000000000001E-4</v>
      </c>
      <c r="CT68" s="43">
        <v>-6.3E-5</v>
      </c>
      <c r="CU68" s="30"/>
    </row>
    <row r="69" spans="14:99" x14ac:dyDescent="0.25">
      <c r="N69" s="30"/>
      <c r="R69" s="30"/>
      <c r="W69" s="30"/>
      <c r="AA69" s="30"/>
      <c r="AF69" s="30"/>
      <c r="AJ69" s="30"/>
      <c r="AO69" s="30"/>
      <c r="AS69" s="30"/>
      <c r="AX69" s="30"/>
      <c r="BB69" s="30"/>
      <c r="BG69" s="30"/>
      <c r="BK69" s="30"/>
      <c r="BP69" s="30"/>
      <c r="BT69" s="30"/>
      <c r="BY69" s="30"/>
      <c r="CC69" s="30"/>
      <c r="CH69" s="30"/>
      <c r="CL69" s="30"/>
      <c r="CQ69" s="30"/>
      <c r="CU69" s="30"/>
    </row>
    <row r="70" spans="14:99" x14ac:dyDescent="0.25">
      <c r="N70" s="30"/>
      <c r="R70" s="30"/>
      <c r="W70" s="30"/>
      <c r="AA70" s="30"/>
      <c r="AF70" s="30"/>
      <c r="AJ70" s="30"/>
      <c r="AO70" s="30"/>
      <c r="AS70" s="30"/>
      <c r="AX70" s="30"/>
      <c r="BB70" s="30"/>
      <c r="BG70" s="30"/>
      <c r="BK70" s="30"/>
      <c r="BP70" s="30"/>
      <c r="BT70" s="30"/>
      <c r="BY70" s="30"/>
      <c r="CC70" s="30"/>
      <c r="CH70" s="30"/>
      <c r="CL70" s="30"/>
      <c r="CQ70" s="30"/>
      <c r="CU70" s="30"/>
    </row>
    <row r="71" spans="14:99" x14ac:dyDescent="0.25">
      <c r="N71" s="30"/>
      <c r="R71" s="30"/>
      <c r="W71" s="30"/>
      <c r="AA71" s="30"/>
      <c r="AF71" s="30"/>
      <c r="AJ71" s="30"/>
      <c r="AO71" s="30"/>
      <c r="AS71" s="30"/>
      <c r="AX71" s="30"/>
      <c r="BB71" s="30"/>
      <c r="BG71" s="30"/>
      <c r="BK71" s="30"/>
      <c r="BP71" s="30"/>
      <c r="BT71" s="30"/>
      <c r="BY71" s="30"/>
      <c r="CC71" s="30"/>
      <c r="CH71" s="30"/>
      <c r="CL71" s="30"/>
      <c r="CQ71" s="30"/>
      <c r="CU71" s="30"/>
    </row>
    <row r="72" spans="14:99" x14ac:dyDescent="0.25">
      <c r="N72" s="30"/>
      <c r="R72" s="30"/>
      <c r="W72" s="30"/>
      <c r="AA72" s="30"/>
      <c r="AF72" s="30"/>
      <c r="AJ72" s="30"/>
      <c r="AO72" s="30"/>
      <c r="AS72" s="30"/>
      <c r="AX72" s="30"/>
      <c r="BB72" s="30"/>
      <c r="BG72" s="30"/>
      <c r="BK72" s="30"/>
      <c r="BP72" s="30"/>
      <c r="BT72" s="30"/>
      <c r="BY72" s="30"/>
      <c r="CC72" s="30"/>
      <c r="CH72" s="30"/>
      <c r="CL72" s="30"/>
      <c r="CQ72" s="30"/>
      <c r="CU72" s="30"/>
    </row>
    <row r="73" spans="14:99" x14ac:dyDescent="0.25">
      <c r="N73" s="30"/>
      <c r="R73" s="30"/>
      <c r="W73" s="30"/>
      <c r="AA73" s="30"/>
      <c r="AF73" s="30"/>
      <c r="AJ73" s="30"/>
      <c r="AO73" s="30"/>
      <c r="AS73" s="30"/>
      <c r="AX73" s="30"/>
      <c r="BB73" s="30"/>
      <c r="BG73" s="30"/>
      <c r="BK73" s="30"/>
      <c r="BP73" s="30"/>
      <c r="BT73" s="30"/>
      <c r="BY73" s="30"/>
      <c r="CC73" s="30"/>
      <c r="CH73" s="30"/>
      <c r="CL73" s="30"/>
      <c r="CQ73" s="30"/>
      <c r="CU73" s="30"/>
    </row>
    <row r="74" spans="14:99" x14ac:dyDescent="0.25">
      <c r="N74" s="30"/>
      <c r="R74" s="30"/>
      <c r="W74" s="30"/>
      <c r="AA74" s="30"/>
      <c r="AF74" s="30"/>
      <c r="AJ74" s="30"/>
      <c r="AO74" s="30"/>
      <c r="AS74" s="30"/>
      <c r="AX74" s="30"/>
      <c r="BB74" s="30"/>
      <c r="BG74" s="30"/>
      <c r="BK74" s="30"/>
      <c r="BP74" s="30"/>
      <c r="BT74" s="30"/>
      <c r="BY74" s="30"/>
      <c r="CC74" s="30"/>
      <c r="CH74" s="30"/>
      <c r="CL74" s="30"/>
      <c r="CQ74" s="30"/>
      <c r="CU74" s="30"/>
    </row>
    <row r="75" spans="14:99" x14ac:dyDescent="0.25">
      <c r="N75" s="30"/>
      <c r="R75" s="30"/>
      <c r="W75" s="30"/>
      <c r="AA75" s="30"/>
      <c r="AF75" s="30"/>
      <c r="AJ75" s="30"/>
      <c r="AO75" s="30"/>
      <c r="AS75" s="30"/>
      <c r="AX75" s="30"/>
      <c r="BB75" s="30"/>
      <c r="BG75" s="30"/>
      <c r="BK75" s="30"/>
      <c r="BP75" s="30"/>
      <c r="BT75" s="30"/>
      <c r="BY75" s="30"/>
      <c r="CC75" s="30"/>
      <c r="CH75" s="30"/>
      <c r="CL75" s="30"/>
      <c r="CQ75" s="30"/>
      <c r="CU75" s="30"/>
    </row>
    <row r="76" spans="14:99" x14ac:dyDescent="0.25">
      <c r="N76" s="30"/>
      <c r="R76" s="30"/>
      <c r="W76" s="30"/>
      <c r="AA76" s="30"/>
      <c r="AF76" s="30"/>
      <c r="AJ76" s="30"/>
      <c r="AO76" s="30"/>
      <c r="AS76" s="30"/>
      <c r="AX76" s="30"/>
      <c r="BB76" s="30"/>
      <c r="BG76" s="30"/>
      <c r="BK76" s="30"/>
      <c r="BP76" s="30"/>
      <c r="BT76" s="30"/>
      <c r="BY76" s="30"/>
      <c r="CC76" s="30"/>
      <c r="CH76" s="30"/>
      <c r="CL76" s="30"/>
      <c r="CQ76" s="30"/>
      <c r="CU76" s="30"/>
    </row>
    <row r="77" spans="14:99" x14ac:dyDescent="0.25">
      <c r="N77" s="30"/>
      <c r="R77" s="30"/>
      <c r="W77" s="30"/>
      <c r="AA77" s="30"/>
      <c r="AF77" s="30"/>
      <c r="AJ77" s="30"/>
      <c r="AO77" s="30"/>
      <c r="AS77" s="30"/>
      <c r="AX77" s="30"/>
      <c r="BB77" s="30"/>
      <c r="BG77" s="30"/>
      <c r="BK77" s="30"/>
      <c r="BP77" s="30"/>
      <c r="BT77" s="30"/>
      <c r="BY77" s="30"/>
      <c r="CC77" s="30"/>
      <c r="CH77" s="30"/>
      <c r="CL77" s="30"/>
      <c r="CQ77" s="30"/>
      <c r="CU77" s="30"/>
    </row>
    <row r="78" spans="14:99" x14ac:dyDescent="0.25">
      <c r="N78" s="30"/>
      <c r="R78" s="30"/>
      <c r="W78" s="30"/>
      <c r="AA78" s="30"/>
      <c r="AF78" s="30"/>
      <c r="AJ78" s="30"/>
      <c r="AO78" s="30"/>
      <c r="AS78" s="30"/>
      <c r="AX78" s="30"/>
      <c r="BB78" s="30"/>
      <c r="BG78" s="30"/>
      <c r="BK78" s="30"/>
      <c r="BP78" s="30"/>
      <c r="BT78" s="30"/>
      <c r="BY78" s="30"/>
      <c r="CC78" s="30"/>
      <c r="CH78" s="30"/>
      <c r="CL78" s="30"/>
      <c r="CQ78" s="30"/>
      <c r="CU78" s="30"/>
    </row>
    <row r="79" spans="14:99" x14ac:dyDescent="0.25">
      <c r="N79" s="30"/>
      <c r="R79" s="30"/>
      <c r="W79" s="30"/>
      <c r="AA79" s="30"/>
      <c r="AF79" s="30"/>
      <c r="AJ79" s="30"/>
      <c r="AO79" s="30"/>
      <c r="AS79" s="30"/>
      <c r="AX79" s="30"/>
      <c r="BB79" s="30"/>
      <c r="BG79" s="30"/>
      <c r="BK79" s="30"/>
      <c r="BP79" s="30"/>
      <c r="BT79" s="30"/>
      <c r="BY79" s="30"/>
      <c r="CC79" s="30"/>
      <c r="CH79" s="30"/>
      <c r="CL79" s="30"/>
      <c r="CQ79" s="30"/>
      <c r="CU79" s="30"/>
    </row>
    <row r="80" spans="14:99" x14ac:dyDescent="0.25">
      <c r="N80" s="30"/>
      <c r="R80" s="30"/>
      <c r="W80" s="30"/>
      <c r="AA80" s="30"/>
      <c r="AF80" s="30"/>
      <c r="AJ80" s="30"/>
      <c r="AO80" s="30"/>
      <c r="AS80" s="30"/>
      <c r="AX80" s="30"/>
      <c r="BB80" s="30"/>
      <c r="BG80" s="30"/>
      <c r="BK80" s="30"/>
      <c r="BP80" s="30"/>
      <c r="BT80" s="30"/>
      <c r="BY80" s="30"/>
      <c r="CC80" s="30"/>
      <c r="CH80" s="30"/>
      <c r="CL80" s="30"/>
      <c r="CQ80" s="30"/>
      <c r="CU80" s="30"/>
    </row>
    <row r="81" spans="14:99" x14ac:dyDescent="0.25">
      <c r="N81" s="30"/>
      <c r="R81" s="30"/>
      <c r="W81" s="30"/>
      <c r="AA81" s="30"/>
      <c r="AF81" s="30"/>
      <c r="AJ81" s="30"/>
      <c r="AO81" s="30"/>
      <c r="AS81" s="30"/>
      <c r="AX81" s="30"/>
      <c r="BB81" s="30"/>
      <c r="BG81" s="30"/>
      <c r="BK81" s="30"/>
      <c r="BP81" s="30"/>
      <c r="BT81" s="30"/>
      <c r="BY81" s="30"/>
      <c r="CC81" s="30"/>
      <c r="CH81" s="30"/>
      <c r="CL81" s="30"/>
      <c r="CQ81" s="30"/>
      <c r="CU81" s="30"/>
    </row>
    <row r="82" spans="14:99" x14ac:dyDescent="0.25">
      <c r="N82" s="30"/>
      <c r="R82" s="30"/>
      <c r="W82" s="30"/>
      <c r="AA82" s="30"/>
      <c r="AF82" s="30"/>
      <c r="AJ82" s="30"/>
      <c r="AO82" s="30"/>
      <c r="AS82" s="30"/>
      <c r="AX82" s="30"/>
      <c r="BB82" s="30"/>
      <c r="BG82" s="30"/>
      <c r="BK82" s="30"/>
      <c r="BP82" s="30"/>
      <c r="BT82" s="30"/>
      <c r="BY82" s="30"/>
      <c r="CC82" s="30"/>
      <c r="CH82" s="30"/>
      <c r="CL82" s="30"/>
      <c r="CQ82" s="30"/>
      <c r="CU82" s="30"/>
    </row>
    <row r="83" spans="14:99" x14ac:dyDescent="0.25">
      <c r="N83" s="30"/>
      <c r="R83" s="30"/>
      <c r="W83" s="30"/>
      <c r="AA83" s="30"/>
      <c r="AF83" s="30"/>
      <c r="AJ83" s="30"/>
      <c r="AO83" s="30"/>
      <c r="AS83" s="30"/>
      <c r="AX83" s="30"/>
      <c r="BB83" s="30"/>
      <c r="BG83" s="30"/>
      <c r="BK83" s="30"/>
      <c r="BP83" s="30"/>
      <c r="BT83" s="30"/>
      <c r="BY83" s="30"/>
      <c r="CC83" s="30"/>
      <c r="CH83" s="30"/>
      <c r="CL83" s="30"/>
      <c r="CQ83" s="30"/>
      <c r="CU83" s="30"/>
    </row>
    <row r="84" spans="14:99" x14ac:dyDescent="0.25">
      <c r="N84" s="30"/>
      <c r="R84" s="30"/>
      <c r="W84" s="30"/>
      <c r="AA84" s="30"/>
      <c r="AF84" s="30"/>
      <c r="AJ84" s="30"/>
      <c r="AO84" s="30"/>
      <c r="AS84" s="30"/>
      <c r="AX84" s="30"/>
      <c r="BB84" s="30"/>
      <c r="BG84" s="30"/>
      <c r="BK84" s="30"/>
      <c r="BP84" s="30"/>
      <c r="BT84" s="30"/>
      <c r="BY84" s="30"/>
      <c r="CC84" s="30"/>
      <c r="CH84" s="30"/>
      <c r="CL84" s="30"/>
      <c r="CQ84" s="30"/>
      <c r="CU84" s="30"/>
    </row>
    <row r="85" spans="14:99" x14ac:dyDescent="0.25">
      <c r="N85" s="30"/>
      <c r="R85" s="30"/>
      <c r="W85" s="30"/>
      <c r="AA85" s="30"/>
      <c r="AF85" s="30"/>
      <c r="AJ85" s="30"/>
      <c r="AO85" s="30"/>
      <c r="AS85" s="30"/>
      <c r="AX85" s="30"/>
      <c r="BB85" s="30"/>
      <c r="BG85" s="30"/>
      <c r="BK85" s="30"/>
      <c r="BP85" s="30"/>
      <c r="BT85" s="30"/>
      <c r="BY85" s="30"/>
      <c r="CC85" s="30"/>
      <c r="CH85" s="30"/>
      <c r="CL85" s="30"/>
      <c r="CQ85" s="30"/>
      <c r="CU85" s="30"/>
    </row>
    <row r="86" spans="14:99" x14ac:dyDescent="0.25">
      <c r="N86" s="30"/>
      <c r="R86" s="30"/>
      <c r="W86" s="30"/>
      <c r="AA86" s="30"/>
      <c r="AF86" s="30"/>
      <c r="AJ86" s="30"/>
      <c r="AO86" s="30"/>
      <c r="AS86" s="30"/>
      <c r="AX86" s="30"/>
      <c r="BB86" s="30"/>
      <c r="BG86" s="30"/>
      <c r="BK86" s="30"/>
      <c r="BP86" s="30"/>
      <c r="BT86" s="30"/>
      <c r="BY86" s="30"/>
      <c r="CC86" s="30"/>
      <c r="CH86" s="30"/>
      <c r="CL86" s="30"/>
      <c r="CQ86" s="30"/>
      <c r="CU86" s="30"/>
    </row>
    <row r="87" spans="14:99" x14ac:dyDescent="0.25">
      <c r="N87" s="30"/>
      <c r="R87" s="30"/>
      <c r="W87" s="30"/>
      <c r="AA87" s="30"/>
      <c r="AF87" s="30"/>
      <c r="AJ87" s="30"/>
      <c r="AO87" s="30"/>
      <c r="AS87" s="30"/>
      <c r="AX87" s="30"/>
      <c r="BB87" s="30"/>
      <c r="BG87" s="30"/>
      <c r="BK87" s="30"/>
      <c r="BP87" s="30"/>
      <c r="BT87" s="30"/>
      <c r="BY87" s="30"/>
      <c r="CC87" s="30"/>
      <c r="CH87" s="30"/>
      <c r="CL87" s="30"/>
      <c r="CQ87" s="30"/>
      <c r="CU87" s="30"/>
    </row>
    <row r="88" spans="14:99" x14ac:dyDescent="0.25">
      <c r="N88" s="30"/>
      <c r="R88" s="30"/>
      <c r="W88" s="30"/>
      <c r="AA88" s="30"/>
      <c r="AF88" s="30"/>
      <c r="AJ88" s="30"/>
      <c r="AO88" s="30"/>
      <c r="AS88" s="30"/>
      <c r="AX88" s="30"/>
      <c r="BB88" s="30"/>
      <c r="BG88" s="30"/>
      <c r="BK88" s="30"/>
      <c r="BP88" s="30"/>
      <c r="BT88" s="30"/>
      <c r="BY88" s="30"/>
      <c r="CC88" s="30"/>
      <c r="CH88" s="30"/>
      <c r="CL88" s="30"/>
      <c r="CQ88" s="30"/>
      <c r="CU88" s="30"/>
    </row>
    <row r="89" spans="14:99" x14ac:dyDescent="0.25">
      <c r="N89" s="30"/>
      <c r="R89" s="30"/>
      <c r="W89" s="30"/>
      <c r="AA89" s="30"/>
      <c r="AF89" s="30"/>
      <c r="AJ89" s="30"/>
      <c r="AO89" s="30"/>
      <c r="AS89" s="30"/>
      <c r="AX89" s="30"/>
      <c r="BB89" s="30"/>
      <c r="BG89" s="30"/>
      <c r="BK89" s="30"/>
      <c r="BP89" s="30"/>
      <c r="BT89" s="30"/>
      <c r="BY89" s="30"/>
      <c r="CC89" s="30"/>
      <c r="CH89" s="30"/>
      <c r="CL89" s="30"/>
      <c r="CQ89" s="30"/>
      <c r="CU89" s="30"/>
    </row>
    <row r="90" spans="14:99" x14ac:dyDescent="0.25">
      <c r="N90" s="30"/>
      <c r="R90" s="30"/>
      <c r="W90" s="30"/>
      <c r="AA90" s="30"/>
      <c r="AF90" s="30"/>
      <c r="AJ90" s="30"/>
      <c r="AO90" s="30"/>
      <c r="AS90" s="30"/>
      <c r="AX90" s="30"/>
      <c r="BB90" s="30"/>
      <c r="BG90" s="30"/>
      <c r="BK90" s="30"/>
      <c r="BP90" s="30"/>
      <c r="BT90" s="30"/>
      <c r="BY90" s="30"/>
      <c r="CC90" s="30"/>
      <c r="CH90" s="30"/>
      <c r="CL90" s="30"/>
      <c r="CQ90" s="30"/>
      <c r="CU90" s="30"/>
    </row>
    <row r="91" spans="14:99" x14ac:dyDescent="0.25">
      <c r="N91" s="30"/>
      <c r="R91" s="30"/>
      <c r="W91" s="30"/>
      <c r="AA91" s="30"/>
      <c r="AF91" s="30"/>
      <c r="AJ91" s="30"/>
      <c r="AO91" s="30"/>
      <c r="AS91" s="30"/>
      <c r="AX91" s="30"/>
      <c r="BB91" s="30"/>
      <c r="BG91" s="30"/>
      <c r="BK91" s="30"/>
      <c r="BP91" s="30"/>
      <c r="BT91" s="30"/>
      <c r="BY91" s="30"/>
      <c r="CC91" s="30"/>
      <c r="CH91" s="30"/>
      <c r="CL91" s="30"/>
      <c r="CQ91" s="30"/>
      <c r="CU91" s="30"/>
    </row>
    <row r="92" spans="14:99" x14ac:dyDescent="0.25">
      <c r="N92" s="30"/>
      <c r="R92" s="30"/>
      <c r="W92" s="30"/>
      <c r="AA92" s="30"/>
      <c r="AF92" s="30"/>
      <c r="AJ92" s="30"/>
      <c r="AO92" s="30"/>
      <c r="AS92" s="30"/>
      <c r="AX92" s="30"/>
      <c r="BB92" s="30"/>
      <c r="BG92" s="30"/>
      <c r="BK92" s="30"/>
      <c r="BP92" s="30"/>
      <c r="BT92" s="30"/>
      <c r="BY92" s="30"/>
      <c r="CC92" s="30"/>
      <c r="CH92" s="30"/>
      <c r="CL92" s="30"/>
      <c r="CQ92" s="30"/>
      <c r="CU92" s="30"/>
    </row>
    <row r="93" spans="14:99" x14ac:dyDescent="0.25">
      <c r="N93" s="30"/>
      <c r="R93" s="30"/>
      <c r="W93" s="30"/>
      <c r="AA93" s="30"/>
      <c r="AF93" s="30"/>
      <c r="AJ93" s="30"/>
      <c r="AO93" s="30"/>
      <c r="AS93" s="30"/>
      <c r="AX93" s="30"/>
      <c r="BB93" s="30"/>
      <c r="BG93" s="30"/>
      <c r="BK93" s="30"/>
      <c r="BP93" s="30"/>
      <c r="BT93" s="30"/>
      <c r="BY93" s="30"/>
      <c r="CC93" s="30"/>
      <c r="CH93" s="30"/>
      <c r="CL93" s="30"/>
      <c r="CQ93" s="30"/>
      <c r="CU93" s="30"/>
    </row>
    <row r="94" spans="14:99" x14ac:dyDescent="0.25">
      <c r="N94" s="30"/>
      <c r="R94" s="30"/>
      <c r="W94" s="30"/>
      <c r="AA94" s="30"/>
      <c r="AF94" s="30"/>
      <c r="AJ94" s="30"/>
      <c r="AO94" s="30"/>
      <c r="AS94" s="30"/>
      <c r="AX94" s="30"/>
      <c r="BB94" s="30"/>
      <c r="BG94" s="30"/>
      <c r="BK94" s="30"/>
      <c r="BP94" s="30"/>
      <c r="BT94" s="30"/>
      <c r="BY94" s="30"/>
      <c r="CC94" s="30"/>
      <c r="CH94" s="30"/>
      <c r="CL94" s="30"/>
      <c r="CQ94" s="30"/>
      <c r="CU94" s="30"/>
    </row>
    <row r="95" spans="14:99" x14ac:dyDescent="0.25">
      <c r="N95" s="30"/>
      <c r="R95" s="30"/>
      <c r="W95" s="30"/>
      <c r="AA95" s="30"/>
      <c r="AF95" s="30"/>
      <c r="AJ95" s="30"/>
      <c r="AO95" s="30"/>
      <c r="AS95" s="30"/>
      <c r="AX95" s="30"/>
      <c r="BB95" s="30"/>
      <c r="BG95" s="30"/>
      <c r="BK95" s="30"/>
      <c r="BP95" s="30"/>
      <c r="BT95" s="30"/>
      <c r="BY95" s="30"/>
      <c r="CC95" s="30"/>
      <c r="CH95" s="30"/>
      <c r="CL95" s="30"/>
      <c r="CQ95" s="30"/>
      <c r="CU95" s="30"/>
    </row>
  </sheetData>
  <mergeCells count="131"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5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9525</xdr:colOff>
                    <xdr:row>35</xdr:row>
                    <xdr:rowOff>19050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219075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RowHeight="15" customHeight="1" x14ac:dyDescent="0.2"/>
  <cols>
    <col min="1" max="1" width="9.140625" style="11"/>
    <col min="2" max="3" width="12.7109375" style="43" customWidth="1"/>
    <col min="4" max="4" width="5.7109375" style="4" customWidth="1"/>
    <col min="5" max="6" width="12.7109375" style="43" customWidth="1"/>
    <col min="7" max="7" width="5.7109375" style="4" customWidth="1"/>
    <col min="8" max="8" width="12.7109375" style="43" customWidth="1"/>
    <col min="9" max="9" width="18.7109375" style="43" customWidth="1"/>
    <col min="10" max="10" width="8.85546875" style="4"/>
    <col min="11" max="12" width="12.7109375" style="43" customWidth="1"/>
    <col min="13" max="13" width="5.7109375" style="4" customWidth="1"/>
    <col min="14" max="15" width="12.7109375" style="43" customWidth="1"/>
    <col min="16" max="16" width="5.7109375" style="4" customWidth="1"/>
    <col min="17" max="18" width="12.7109375" style="43" customWidth="1"/>
    <col min="19" max="16384" width="9.140625" style="11"/>
  </cols>
  <sheetData>
    <row r="1" spans="2:18" ht="15" customHeight="1" x14ac:dyDescent="0.2">
      <c r="B1" s="58" t="s">
        <v>48</v>
      </c>
      <c r="C1" s="59"/>
      <c r="D1" s="59"/>
      <c r="E1" s="59"/>
      <c r="F1" s="59"/>
      <c r="G1" s="59"/>
      <c r="H1" s="59"/>
      <c r="I1" s="60"/>
      <c r="K1" s="58" t="s">
        <v>95</v>
      </c>
      <c r="L1" s="59"/>
      <c r="M1" s="59"/>
      <c r="N1" s="59"/>
      <c r="O1" s="59"/>
      <c r="P1" s="59"/>
      <c r="Q1" s="59"/>
      <c r="R1" s="60"/>
    </row>
    <row r="2" spans="2:18" ht="15" customHeight="1" x14ac:dyDescent="0.2">
      <c r="B2" s="55" t="s">
        <v>93</v>
      </c>
      <c r="C2" s="55"/>
      <c r="E2" s="55" t="s">
        <v>94</v>
      </c>
      <c r="F2" s="55"/>
      <c r="H2" s="55" t="s">
        <v>91</v>
      </c>
      <c r="I2" s="55"/>
      <c r="K2" s="55" t="s">
        <v>93</v>
      </c>
      <c r="L2" s="55"/>
      <c r="N2" s="55" t="s">
        <v>94</v>
      </c>
      <c r="O2" s="55"/>
      <c r="Q2" s="55" t="s">
        <v>91</v>
      </c>
      <c r="R2" s="55"/>
    </row>
    <row r="3" spans="2:18" ht="15" customHeight="1" x14ac:dyDescent="0.2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2">
      <c r="B4" s="43">
        <v>189</v>
      </c>
      <c r="C4" s="43" t="s">
        <v>65</v>
      </c>
      <c r="E4" s="43">
        <v>189</v>
      </c>
      <c r="F4" s="43" t="s">
        <v>65</v>
      </c>
      <c r="H4" s="43">
        <v>189</v>
      </c>
      <c r="I4" s="43" t="s">
        <v>104</v>
      </c>
      <c r="K4" s="43">
        <v>189</v>
      </c>
      <c r="L4" s="43" t="s">
        <v>65</v>
      </c>
      <c r="N4" s="43">
        <v>189</v>
      </c>
      <c r="O4" s="43" t="s">
        <v>65</v>
      </c>
      <c r="P4" s="11"/>
      <c r="Q4" s="43">
        <v>189</v>
      </c>
      <c r="R4" s="43" t="s">
        <v>123</v>
      </c>
    </row>
    <row r="5" spans="2:18" ht="15" customHeight="1" x14ac:dyDescent="0.2">
      <c r="B5" s="43">
        <v>201</v>
      </c>
      <c r="C5" s="43" t="s">
        <v>65</v>
      </c>
      <c r="E5" s="43">
        <v>201</v>
      </c>
      <c r="F5" s="43" t="s">
        <v>65</v>
      </c>
      <c r="H5" s="43">
        <v>201</v>
      </c>
      <c r="I5" s="43" t="s">
        <v>104</v>
      </c>
      <c r="K5" s="43">
        <v>201</v>
      </c>
      <c r="L5" s="43" t="s">
        <v>65</v>
      </c>
      <c r="N5" s="43">
        <v>201</v>
      </c>
      <c r="O5" s="43" t="s">
        <v>65</v>
      </c>
      <c r="P5" s="11"/>
      <c r="Q5" s="43">
        <v>201</v>
      </c>
      <c r="R5" s="43" t="s">
        <v>123</v>
      </c>
    </row>
    <row r="6" spans="2:18" ht="15" customHeight="1" x14ac:dyDescent="0.2">
      <c r="B6" s="43">
        <v>197</v>
      </c>
      <c r="C6" s="43" t="s">
        <v>65</v>
      </c>
      <c r="E6" s="43">
        <v>197</v>
      </c>
      <c r="F6" s="43" t="s">
        <v>65</v>
      </c>
      <c r="H6" s="43">
        <v>197</v>
      </c>
      <c r="I6" s="43" t="s">
        <v>104</v>
      </c>
      <c r="K6" s="43">
        <v>197</v>
      </c>
      <c r="L6" s="43" t="s">
        <v>65</v>
      </c>
      <c r="N6" s="43">
        <v>197</v>
      </c>
      <c r="O6" s="43" t="s">
        <v>65</v>
      </c>
      <c r="P6" s="11"/>
      <c r="Q6" s="43">
        <v>197</v>
      </c>
      <c r="R6" s="43" t="s">
        <v>123</v>
      </c>
    </row>
    <row r="7" spans="2:18" ht="15" customHeight="1" x14ac:dyDescent="0.2">
      <c r="B7" s="43">
        <v>198</v>
      </c>
      <c r="C7" s="43" t="s">
        <v>65</v>
      </c>
      <c r="E7" s="43">
        <v>198</v>
      </c>
      <c r="F7" s="43" t="s">
        <v>65</v>
      </c>
      <c r="H7" s="43">
        <v>198</v>
      </c>
      <c r="I7" s="43" t="s">
        <v>104</v>
      </c>
      <c r="K7" s="43">
        <v>198</v>
      </c>
      <c r="L7" s="43" t="s">
        <v>65</v>
      </c>
      <c r="N7" s="43">
        <v>198</v>
      </c>
      <c r="O7" s="43" t="s">
        <v>65</v>
      </c>
      <c r="P7" s="11"/>
      <c r="Q7" s="43">
        <v>198</v>
      </c>
      <c r="R7" s="43" t="s">
        <v>123</v>
      </c>
    </row>
    <row r="8" spans="2:18" ht="15" customHeight="1" x14ac:dyDescent="0.2">
      <c r="B8" s="43">
        <v>202</v>
      </c>
      <c r="C8" s="43" t="s">
        <v>65</v>
      </c>
      <c r="E8" s="43">
        <v>202</v>
      </c>
      <c r="F8" s="43" t="s">
        <v>65</v>
      </c>
      <c r="H8" s="43">
        <v>202</v>
      </c>
      <c r="I8" s="43" t="s">
        <v>104</v>
      </c>
      <c r="K8" s="43">
        <v>202</v>
      </c>
      <c r="L8" s="43" t="s">
        <v>65</v>
      </c>
      <c r="N8" s="43">
        <v>202</v>
      </c>
      <c r="O8" s="43" t="s">
        <v>65</v>
      </c>
      <c r="P8" s="11"/>
      <c r="Q8" s="43">
        <v>202</v>
      </c>
      <c r="R8" s="43" t="s">
        <v>123</v>
      </c>
    </row>
    <row r="9" spans="2:18" ht="15" customHeight="1" x14ac:dyDescent="0.2">
      <c r="B9" s="43">
        <v>190</v>
      </c>
      <c r="C9" s="43" t="s">
        <v>65</v>
      </c>
      <c r="E9" s="43">
        <v>190</v>
      </c>
      <c r="F9" s="43" t="s">
        <v>65</v>
      </c>
      <c r="H9" s="43">
        <v>190</v>
      </c>
      <c r="I9" s="43" t="s">
        <v>104</v>
      </c>
      <c r="K9" s="43">
        <v>190</v>
      </c>
      <c r="L9" s="43" t="s">
        <v>65</v>
      </c>
      <c r="N9" s="43">
        <v>190</v>
      </c>
      <c r="O9" s="43" t="s">
        <v>65</v>
      </c>
      <c r="P9" s="11"/>
      <c r="Q9" s="43">
        <v>190</v>
      </c>
      <c r="R9" s="43" t="s">
        <v>123</v>
      </c>
    </row>
    <row r="10" spans="2:18" ht="15" customHeight="1" x14ac:dyDescent="0.2">
      <c r="B10" s="43">
        <v>206</v>
      </c>
      <c r="C10" s="43" t="s">
        <v>65</v>
      </c>
      <c r="E10" s="43">
        <v>206</v>
      </c>
      <c r="F10" s="43" t="s">
        <v>65</v>
      </c>
      <c r="H10" s="43">
        <v>206</v>
      </c>
      <c r="I10" s="43" t="s">
        <v>104</v>
      </c>
      <c r="K10" s="43">
        <v>206</v>
      </c>
      <c r="L10" s="43" t="s">
        <v>65</v>
      </c>
      <c r="N10" s="43">
        <v>206</v>
      </c>
      <c r="O10" s="43" t="s">
        <v>65</v>
      </c>
      <c r="P10" s="11"/>
      <c r="Q10" s="43">
        <v>206</v>
      </c>
      <c r="R10" s="43" t="s">
        <v>123</v>
      </c>
    </row>
    <row r="11" spans="2:18" ht="15" customHeight="1" x14ac:dyDescent="0.2">
      <c r="B11" s="43">
        <v>191</v>
      </c>
      <c r="C11" s="43" t="s">
        <v>65</v>
      </c>
      <c r="E11" s="43">
        <v>191</v>
      </c>
      <c r="F11" s="43" t="s">
        <v>65</v>
      </c>
      <c r="H11" s="43">
        <v>191</v>
      </c>
      <c r="I11" s="43" t="s">
        <v>104</v>
      </c>
      <c r="K11" s="43">
        <v>191</v>
      </c>
      <c r="L11" s="43" t="s">
        <v>65</v>
      </c>
      <c r="N11" s="43">
        <v>191</v>
      </c>
      <c r="O11" s="43" t="s">
        <v>65</v>
      </c>
      <c r="P11" s="11"/>
      <c r="Q11" s="43">
        <v>191</v>
      </c>
      <c r="R11" s="43" t="s">
        <v>123</v>
      </c>
    </row>
    <row r="12" spans="2:18" ht="15" customHeight="1" x14ac:dyDescent="0.2">
      <c r="B12" s="43">
        <v>209</v>
      </c>
      <c r="C12" s="43" t="s">
        <v>65</v>
      </c>
      <c r="E12" s="43">
        <v>209</v>
      </c>
      <c r="F12" s="43" t="s">
        <v>65</v>
      </c>
      <c r="H12" s="43">
        <v>209</v>
      </c>
      <c r="I12" s="43" t="s">
        <v>104</v>
      </c>
      <c r="K12" s="43">
        <v>209</v>
      </c>
      <c r="L12" s="43" t="s">
        <v>65</v>
      </c>
      <c r="N12" s="43">
        <v>209</v>
      </c>
      <c r="O12" s="43" t="s">
        <v>65</v>
      </c>
      <c r="P12" s="11"/>
      <c r="Q12" s="43">
        <v>209</v>
      </c>
      <c r="R12" s="43" t="s">
        <v>123</v>
      </c>
    </row>
    <row r="13" spans="2:18" ht="15" customHeight="1" x14ac:dyDescent="0.2">
      <c r="B13" s="43">
        <v>210</v>
      </c>
      <c r="C13" s="43" t="s">
        <v>65</v>
      </c>
      <c r="E13" s="43">
        <v>210</v>
      </c>
      <c r="F13" s="43" t="s">
        <v>65</v>
      </c>
      <c r="H13" s="43">
        <v>210</v>
      </c>
      <c r="I13" s="43" t="s">
        <v>104</v>
      </c>
      <c r="K13" s="43">
        <v>210</v>
      </c>
      <c r="L13" s="43" t="s">
        <v>65</v>
      </c>
      <c r="N13" s="43">
        <v>210</v>
      </c>
      <c r="O13" s="43" t="s">
        <v>65</v>
      </c>
      <c r="P13" s="11"/>
      <c r="Q13" s="43">
        <v>210</v>
      </c>
      <c r="R13" s="43" t="s">
        <v>123</v>
      </c>
    </row>
    <row r="14" spans="2:18" ht="15" customHeight="1" x14ac:dyDescent="0.2">
      <c r="B14" s="43">
        <v>193</v>
      </c>
      <c r="C14" s="43" t="s">
        <v>65</v>
      </c>
      <c r="E14" s="43">
        <v>193</v>
      </c>
      <c r="F14" s="43" t="s">
        <v>65</v>
      </c>
      <c r="H14" s="43">
        <v>193</v>
      </c>
      <c r="I14" s="43" t="s">
        <v>104</v>
      </c>
      <c r="K14" s="43">
        <v>193</v>
      </c>
      <c r="L14" s="43" t="s">
        <v>65</v>
      </c>
      <c r="N14" s="43">
        <v>193</v>
      </c>
      <c r="O14" s="43" t="s">
        <v>65</v>
      </c>
      <c r="P14" s="11"/>
      <c r="Q14" s="43">
        <v>193</v>
      </c>
      <c r="R14" s="43" t="s">
        <v>123</v>
      </c>
    </row>
    <row r="15" spans="2:18" ht="15" customHeight="1" x14ac:dyDescent="0.2">
      <c r="B15" s="43">
        <v>204</v>
      </c>
      <c r="C15" s="43" t="s">
        <v>65</v>
      </c>
      <c r="E15" s="43">
        <v>204</v>
      </c>
      <c r="F15" s="43" t="s">
        <v>65</v>
      </c>
      <c r="H15" s="43">
        <v>204</v>
      </c>
      <c r="I15" s="43" t="s">
        <v>104</v>
      </c>
      <c r="K15" s="43">
        <v>204</v>
      </c>
      <c r="L15" s="43" t="s">
        <v>65</v>
      </c>
      <c r="N15" s="43">
        <v>204</v>
      </c>
      <c r="O15" s="43" t="s">
        <v>65</v>
      </c>
      <c r="P15" s="11"/>
      <c r="Q15" s="43">
        <v>204</v>
      </c>
      <c r="R15" s="43" t="s">
        <v>123</v>
      </c>
    </row>
    <row r="16" spans="2:18" ht="15" customHeight="1" x14ac:dyDescent="0.2">
      <c r="B16" s="43">
        <v>205</v>
      </c>
      <c r="C16" s="43" t="s">
        <v>65</v>
      </c>
      <c r="E16" s="43">
        <v>205</v>
      </c>
      <c r="F16" s="43" t="s">
        <v>65</v>
      </c>
      <c r="H16" s="43">
        <v>205</v>
      </c>
      <c r="I16" s="43" t="s">
        <v>104</v>
      </c>
      <c r="K16" s="43">
        <v>205</v>
      </c>
      <c r="L16" s="43" t="s">
        <v>65</v>
      </c>
      <c r="N16" s="43">
        <v>205</v>
      </c>
      <c r="O16" s="43" t="s">
        <v>65</v>
      </c>
      <c r="P16" s="11"/>
      <c r="Q16" s="43">
        <v>205</v>
      </c>
      <c r="R16" s="43" t="s">
        <v>123</v>
      </c>
    </row>
    <row r="17" spans="2:18" ht="15" customHeight="1" x14ac:dyDescent="0.2">
      <c r="B17" s="43">
        <v>192</v>
      </c>
      <c r="C17" s="43" t="s">
        <v>65</v>
      </c>
      <c r="E17" s="43">
        <v>192</v>
      </c>
      <c r="F17" s="43" t="s">
        <v>65</v>
      </c>
      <c r="H17" s="43">
        <v>192</v>
      </c>
      <c r="I17" s="43" t="s">
        <v>104</v>
      </c>
      <c r="K17" s="43">
        <v>192</v>
      </c>
      <c r="L17" s="43" t="s">
        <v>65</v>
      </c>
      <c r="N17" s="43">
        <v>192</v>
      </c>
      <c r="O17" s="43" t="s">
        <v>65</v>
      </c>
      <c r="P17" s="11"/>
      <c r="Q17" s="43">
        <v>192</v>
      </c>
      <c r="R17" s="43" t="s">
        <v>123</v>
      </c>
    </row>
    <row r="18" spans="2:18" ht="15" customHeight="1" x14ac:dyDescent="0.2">
      <c r="B18" s="43">
        <v>207</v>
      </c>
      <c r="C18" s="43" t="s">
        <v>65</v>
      </c>
      <c r="E18" s="43">
        <v>207</v>
      </c>
      <c r="F18" s="43" t="s">
        <v>65</v>
      </c>
      <c r="H18" s="43">
        <v>207</v>
      </c>
      <c r="I18" s="43" t="s">
        <v>104</v>
      </c>
      <c r="K18" s="43">
        <v>207</v>
      </c>
      <c r="L18" s="43" t="s">
        <v>65</v>
      </c>
      <c r="N18" s="43">
        <v>207</v>
      </c>
      <c r="O18" s="43" t="s">
        <v>65</v>
      </c>
      <c r="P18" s="11"/>
      <c r="Q18" s="43">
        <v>207</v>
      </c>
      <c r="R18" s="43" t="s">
        <v>123</v>
      </c>
    </row>
    <row r="19" spans="2:18" ht="15" customHeight="1" x14ac:dyDescent="0.2">
      <c r="B19" s="43">
        <v>208</v>
      </c>
      <c r="C19" s="43" t="s">
        <v>65</v>
      </c>
      <c r="E19" s="43">
        <v>208</v>
      </c>
      <c r="F19" s="43" t="s">
        <v>65</v>
      </c>
      <c r="H19" s="43">
        <v>208</v>
      </c>
      <c r="I19" s="43" t="s">
        <v>104</v>
      </c>
      <c r="K19" s="43">
        <v>208</v>
      </c>
      <c r="L19" s="43" t="s">
        <v>65</v>
      </c>
      <c r="N19" s="43">
        <v>208</v>
      </c>
      <c r="O19" s="43" t="s">
        <v>65</v>
      </c>
      <c r="P19" s="11"/>
      <c r="Q19" s="43">
        <v>208</v>
      </c>
      <c r="R19" s="43" t="s">
        <v>123</v>
      </c>
    </row>
    <row r="20" spans="2:18" ht="15" customHeight="1" x14ac:dyDescent="0.2">
      <c r="B20" s="43">
        <v>194</v>
      </c>
      <c r="C20" s="43" t="s">
        <v>65</v>
      </c>
      <c r="E20" s="43">
        <v>194</v>
      </c>
      <c r="F20" s="43" t="s">
        <v>65</v>
      </c>
      <c r="H20" s="43">
        <v>194</v>
      </c>
      <c r="I20" s="43" t="s">
        <v>104</v>
      </c>
      <c r="K20" s="43">
        <v>194</v>
      </c>
      <c r="L20" s="43" t="s">
        <v>65</v>
      </c>
      <c r="N20" s="43">
        <v>194</v>
      </c>
      <c r="O20" s="43" t="s">
        <v>65</v>
      </c>
      <c r="P20" s="11"/>
      <c r="Q20" s="43">
        <v>194</v>
      </c>
      <c r="R20" s="43" t="s">
        <v>123</v>
      </c>
    </row>
    <row r="21" spans="2:18" ht="15" customHeight="1" x14ac:dyDescent="0.2">
      <c r="B21" s="43">
        <v>203</v>
      </c>
      <c r="C21" s="43" t="s">
        <v>65</v>
      </c>
      <c r="E21" s="43">
        <v>203</v>
      </c>
      <c r="F21" s="43" t="s">
        <v>65</v>
      </c>
      <c r="H21" s="43">
        <v>203</v>
      </c>
      <c r="I21" s="43" t="s">
        <v>104</v>
      </c>
      <c r="K21" s="43">
        <v>203</v>
      </c>
      <c r="L21" s="43" t="s">
        <v>65</v>
      </c>
      <c r="N21" s="43">
        <v>203</v>
      </c>
      <c r="O21" s="43" t="s">
        <v>65</v>
      </c>
      <c r="P21" s="11"/>
      <c r="Q21" s="43">
        <v>203</v>
      </c>
      <c r="R21" s="43" t="s">
        <v>123</v>
      </c>
    </row>
    <row r="22" spans="2:18" ht="15" customHeight="1" x14ac:dyDescent="0.2">
      <c r="B22" s="43">
        <v>187</v>
      </c>
      <c r="C22" s="43" t="s">
        <v>65</v>
      </c>
      <c r="E22" s="43">
        <v>187</v>
      </c>
      <c r="F22" s="43" t="s">
        <v>65</v>
      </c>
      <c r="H22" s="43">
        <v>187</v>
      </c>
      <c r="I22" s="43" t="s">
        <v>104</v>
      </c>
      <c r="K22" s="43">
        <v>187</v>
      </c>
      <c r="L22" s="43" t="s">
        <v>65</v>
      </c>
      <c r="N22" s="43">
        <v>187</v>
      </c>
      <c r="O22" s="43" t="s">
        <v>65</v>
      </c>
      <c r="P22" s="11"/>
      <c r="Q22" s="43">
        <v>187</v>
      </c>
      <c r="R22" s="43" t="s">
        <v>123</v>
      </c>
    </row>
    <row r="23" spans="2:18" ht="15" customHeight="1" x14ac:dyDescent="0.2">
      <c r="B23" s="43">
        <v>199</v>
      </c>
      <c r="C23" s="43" t="s">
        <v>65</v>
      </c>
      <c r="E23" s="43">
        <v>199</v>
      </c>
      <c r="F23" s="43" t="s">
        <v>65</v>
      </c>
      <c r="H23" s="43">
        <v>199</v>
      </c>
      <c r="I23" s="43" t="s">
        <v>104</v>
      </c>
      <c r="K23" s="43">
        <v>199</v>
      </c>
      <c r="L23" s="43" t="s">
        <v>65</v>
      </c>
      <c r="N23" s="43">
        <v>199</v>
      </c>
      <c r="O23" s="43" t="s">
        <v>65</v>
      </c>
      <c r="P23" s="11"/>
      <c r="Q23" s="43">
        <v>199</v>
      </c>
      <c r="R23" s="43" t="s">
        <v>123</v>
      </c>
    </row>
    <row r="24" spans="2:18" ht="15" customHeight="1" x14ac:dyDescent="0.2">
      <c r="B24" s="43">
        <v>195</v>
      </c>
      <c r="C24" s="43" t="s">
        <v>65</v>
      </c>
      <c r="E24" s="43">
        <v>195</v>
      </c>
      <c r="F24" s="43" t="s">
        <v>65</v>
      </c>
      <c r="H24" s="43">
        <v>195</v>
      </c>
      <c r="I24" s="43" t="s">
        <v>104</v>
      </c>
      <c r="K24" s="43">
        <v>195</v>
      </c>
      <c r="L24" s="43" t="s">
        <v>65</v>
      </c>
      <c r="N24" s="43">
        <v>195</v>
      </c>
      <c r="O24" s="43" t="s">
        <v>65</v>
      </c>
      <c r="P24" s="11"/>
      <c r="Q24" s="43">
        <v>195</v>
      </c>
      <c r="R24" s="43" t="s">
        <v>123</v>
      </c>
    </row>
    <row r="25" spans="2:18" ht="15" customHeight="1" x14ac:dyDescent="0.2">
      <c r="B25" s="43">
        <v>196</v>
      </c>
      <c r="C25" s="43" t="s">
        <v>65</v>
      </c>
      <c r="E25" s="43">
        <v>196</v>
      </c>
      <c r="F25" s="43" t="s">
        <v>65</v>
      </c>
      <c r="H25" s="43">
        <v>196</v>
      </c>
      <c r="I25" s="43" t="s">
        <v>104</v>
      </c>
      <c r="K25" s="43">
        <v>196</v>
      </c>
      <c r="L25" s="43" t="s">
        <v>65</v>
      </c>
      <c r="N25" s="43">
        <v>196</v>
      </c>
      <c r="O25" s="43" t="s">
        <v>65</v>
      </c>
      <c r="P25" s="11"/>
      <c r="Q25" s="43">
        <v>196</v>
      </c>
      <c r="R25" s="43" t="s">
        <v>123</v>
      </c>
    </row>
    <row r="26" spans="2:18" ht="15" customHeight="1" x14ac:dyDescent="0.2">
      <c r="B26" s="43">
        <v>200</v>
      </c>
      <c r="C26" s="43" t="s">
        <v>65</v>
      </c>
      <c r="E26" s="43">
        <v>200</v>
      </c>
      <c r="F26" s="43" t="s">
        <v>65</v>
      </c>
      <c r="H26" s="43">
        <v>200</v>
      </c>
      <c r="I26" s="43" t="s">
        <v>104</v>
      </c>
      <c r="K26" s="43">
        <v>200</v>
      </c>
      <c r="L26" s="43" t="s">
        <v>65</v>
      </c>
      <c r="N26" s="43">
        <v>200</v>
      </c>
      <c r="O26" s="43" t="s">
        <v>65</v>
      </c>
      <c r="P26" s="11"/>
      <c r="Q26" s="43">
        <v>200</v>
      </c>
      <c r="R26" s="43" t="s">
        <v>123</v>
      </c>
    </row>
    <row r="27" spans="2:18" ht="15" customHeight="1" x14ac:dyDescent="0.2">
      <c r="B27" s="43">
        <v>188</v>
      </c>
      <c r="C27" s="43" t="s">
        <v>65</v>
      </c>
      <c r="E27" s="43">
        <v>188</v>
      </c>
      <c r="F27" s="43" t="s">
        <v>65</v>
      </c>
      <c r="H27" s="43">
        <v>188</v>
      </c>
      <c r="I27" s="43" t="s">
        <v>104</v>
      </c>
      <c r="K27" s="43">
        <v>188</v>
      </c>
      <c r="L27" s="43" t="s">
        <v>65</v>
      </c>
      <c r="N27" s="43">
        <v>188</v>
      </c>
      <c r="O27" s="43" t="s">
        <v>65</v>
      </c>
      <c r="P27" s="11"/>
      <c r="Q27" s="43">
        <v>188</v>
      </c>
      <c r="R27" s="43" t="s">
        <v>123</v>
      </c>
    </row>
    <row r="28" spans="2:18" ht="15" customHeight="1" x14ac:dyDescent="0.2">
      <c r="B28" s="43">
        <v>251</v>
      </c>
      <c r="C28" s="43" t="s">
        <v>65</v>
      </c>
      <c r="E28" s="43">
        <v>251</v>
      </c>
      <c r="F28" s="43" t="s">
        <v>65</v>
      </c>
      <c r="H28" s="43">
        <v>251</v>
      </c>
      <c r="I28" s="43" t="s">
        <v>104</v>
      </c>
      <c r="K28" s="43">
        <v>251</v>
      </c>
      <c r="L28" s="43" t="s">
        <v>65</v>
      </c>
      <c r="N28" s="43">
        <v>251</v>
      </c>
      <c r="O28" s="43" t="s">
        <v>65</v>
      </c>
      <c r="P28" s="11"/>
      <c r="Q28" s="43">
        <v>251</v>
      </c>
      <c r="R28" s="43" t="s">
        <v>123</v>
      </c>
    </row>
    <row r="29" spans="2:18" ht="15" customHeight="1" x14ac:dyDescent="0.2">
      <c r="B29" s="43">
        <v>263</v>
      </c>
      <c r="C29" s="43" t="s">
        <v>65</v>
      </c>
      <c r="E29" s="43">
        <v>263</v>
      </c>
      <c r="F29" s="43" t="s">
        <v>65</v>
      </c>
      <c r="H29" s="43">
        <v>263</v>
      </c>
      <c r="I29" s="43" t="s">
        <v>104</v>
      </c>
      <c r="K29" s="43">
        <v>263</v>
      </c>
      <c r="L29" s="43" t="s">
        <v>65</v>
      </c>
      <c r="N29" s="43">
        <v>263</v>
      </c>
      <c r="O29" s="43" t="s">
        <v>65</v>
      </c>
      <c r="P29" s="11"/>
      <c r="Q29" s="43">
        <v>263</v>
      </c>
      <c r="R29" s="43" t="s">
        <v>123</v>
      </c>
    </row>
    <row r="30" spans="2:18" ht="15" customHeight="1" x14ac:dyDescent="0.2">
      <c r="B30" s="43">
        <v>259</v>
      </c>
      <c r="C30" s="43" t="s">
        <v>65</v>
      </c>
      <c r="E30" s="43">
        <v>259</v>
      </c>
      <c r="F30" s="43" t="s">
        <v>65</v>
      </c>
      <c r="H30" s="43">
        <v>259</v>
      </c>
      <c r="I30" s="43" t="s">
        <v>104</v>
      </c>
      <c r="K30" s="43">
        <v>259</v>
      </c>
      <c r="L30" s="43" t="s">
        <v>65</v>
      </c>
      <c r="N30" s="43">
        <v>259</v>
      </c>
      <c r="O30" s="43" t="s">
        <v>65</v>
      </c>
      <c r="P30" s="11"/>
      <c r="Q30" s="43">
        <v>259</v>
      </c>
      <c r="R30" s="43" t="s">
        <v>123</v>
      </c>
    </row>
    <row r="31" spans="2:18" ht="15" customHeight="1" x14ac:dyDescent="0.2">
      <c r="B31" s="43">
        <v>260</v>
      </c>
      <c r="C31" s="43" t="s">
        <v>65</v>
      </c>
      <c r="E31" s="43">
        <v>260</v>
      </c>
      <c r="F31" s="43" t="s">
        <v>65</v>
      </c>
      <c r="H31" s="43">
        <v>260</v>
      </c>
      <c r="I31" s="43" t="s">
        <v>104</v>
      </c>
      <c r="K31" s="43">
        <v>260</v>
      </c>
      <c r="L31" s="43" t="s">
        <v>65</v>
      </c>
      <c r="N31" s="43">
        <v>260</v>
      </c>
      <c r="O31" s="43" t="s">
        <v>65</v>
      </c>
      <c r="P31" s="11"/>
      <c r="Q31" s="43">
        <v>260</v>
      </c>
      <c r="R31" s="43" t="s">
        <v>123</v>
      </c>
    </row>
    <row r="32" spans="2:18" ht="15" customHeight="1" x14ac:dyDescent="0.2">
      <c r="B32" s="43">
        <v>264</v>
      </c>
      <c r="C32" s="43" t="s">
        <v>65</v>
      </c>
      <c r="E32" s="43">
        <v>264</v>
      </c>
      <c r="F32" s="43" t="s">
        <v>65</v>
      </c>
      <c r="H32" s="43">
        <v>264</v>
      </c>
      <c r="I32" s="43" t="s">
        <v>104</v>
      </c>
      <c r="K32" s="43">
        <v>264</v>
      </c>
      <c r="L32" s="43" t="s">
        <v>65</v>
      </c>
      <c r="N32" s="43">
        <v>264</v>
      </c>
      <c r="O32" s="43" t="s">
        <v>65</v>
      </c>
      <c r="P32" s="11"/>
      <c r="Q32" s="43">
        <v>264</v>
      </c>
      <c r="R32" s="43" t="s">
        <v>123</v>
      </c>
    </row>
    <row r="33" spans="2:18" ht="15" customHeight="1" x14ac:dyDescent="0.2">
      <c r="B33" s="43">
        <v>252</v>
      </c>
      <c r="C33" s="43" t="s">
        <v>65</v>
      </c>
      <c r="E33" s="43">
        <v>252</v>
      </c>
      <c r="F33" s="43" t="s">
        <v>65</v>
      </c>
      <c r="H33" s="43">
        <v>252</v>
      </c>
      <c r="I33" s="43" t="s">
        <v>104</v>
      </c>
      <c r="K33" s="43">
        <v>252</v>
      </c>
      <c r="L33" s="43" t="s">
        <v>65</v>
      </c>
      <c r="N33" s="43">
        <v>252</v>
      </c>
      <c r="O33" s="43" t="s">
        <v>65</v>
      </c>
      <c r="P33" s="11"/>
      <c r="Q33" s="43">
        <v>252</v>
      </c>
      <c r="R33" s="43" t="s">
        <v>123</v>
      </c>
    </row>
    <row r="34" spans="2:18" ht="15" customHeight="1" x14ac:dyDescent="0.2">
      <c r="B34" s="43">
        <v>268</v>
      </c>
      <c r="C34" s="43" t="s">
        <v>65</v>
      </c>
      <c r="E34" s="43">
        <v>268</v>
      </c>
      <c r="F34" s="43" t="s">
        <v>65</v>
      </c>
      <c r="H34" s="43">
        <v>268</v>
      </c>
      <c r="I34" s="43" t="s">
        <v>104</v>
      </c>
      <c r="K34" s="43">
        <v>268</v>
      </c>
      <c r="L34" s="43" t="s">
        <v>65</v>
      </c>
      <c r="N34" s="43">
        <v>268</v>
      </c>
      <c r="O34" s="43" t="s">
        <v>65</v>
      </c>
      <c r="P34" s="11"/>
      <c r="Q34" s="43">
        <v>268</v>
      </c>
      <c r="R34" s="43" t="s">
        <v>123</v>
      </c>
    </row>
    <row r="35" spans="2:18" ht="15" customHeight="1" x14ac:dyDescent="0.2">
      <c r="B35" s="43">
        <v>253</v>
      </c>
      <c r="C35" s="43" t="s">
        <v>65</v>
      </c>
      <c r="E35" s="43">
        <v>253</v>
      </c>
      <c r="F35" s="43" t="s">
        <v>65</v>
      </c>
      <c r="H35" s="43">
        <v>253</v>
      </c>
      <c r="I35" s="43" t="s">
        <v>104</v>
      </c>
      <c r="K35" s="43">
        <v>253</v>
      </c>
      <c r="L35" s="43" t="s">
        <v>65</v>
      </c>
      <c r="N35" s="43">
        <v>253</v>
      </c>
      <c r="O35" s="43" t="s">
        <v>65</v>
      </c>
      <c r="P35" s="11"/>
      <c r="Q35" s="43">
        <v>253</v>
      </c>
      <c r="R35" s="43" t="s">
        <v>123</v>
      </c>
    </row>
    <row r="36" spans="2:18" ht="15" customHeight="1" x14ac:dyDescent="0.2">
      <c r="B36" s="43">
        <v>271</v>
      </c>
      <c r="C36" s="43" t="s">
        <v>65</v>
      </c>
      <c r="E36" s="43">
        <v>271</v>
      </c>
      <c r="F36" s="43" t="s">
        <v>65</v>
      </c>
      <c r="H36" s="43">
        <v>271</v>
      </c>
      <c r="I36" s="43" t="s">
        <v>104</v>
      </c>
      <c r="K36" s="43">
        <v>271</v>
      </c>
      <c r="L36" s="43" t="s">
        <v>65</v>
      </c>
      <c r="N36" s="43">
        <v>271</v>
      </c>
      <c r="O36" s="43" t="s">
        <v>65</v>
      </c>
      <c r="P36" s="11"/>
      <c r="Q36" s="43">
        <v>271</v>
      </c>
      <c r="R36" s="43" t="s">
        <v>123</v>
      </c>
    </row>
    <row r="37" spans="2:18" ht="15" customHeight="1" x14ac:dyDescent="0.2">
      <c r="B37" s="43">
        <v>272</v>
      </c>
      <c r="C37" s="43" t="s">
        <v>65</v>
      </c>
      <c r="E37" s="43">
        <v>272</v>
      </c>
      <c r="F37" s="43" t="s">
        <v>65</v>
      </c>
      <c r="H37" s="43">
        <v>272</v>
      </c>
      <c r="I37" s="43" t="s">
        <v>104</v>
      </c>
      <c r="K37" s="43">
        <v>272</v>
      </c>
      <c r="L37" s="43" t="s">
        <v>65</v>
      </c>
      <c r="N37" s="43">
        <v>272</v>
      </c>
      <c r="O37" s="43" t="s">
        <v>65</v>
      </c>
      <c r="P37" s="11"/>
      <c r="Q37" s="43">
        <v>272</v>
      </c>
      <c r="R37" s="43" t="s">
        <v>123</v>
      </c>
    </row>
    <row r="38" spans="2:18" ht="15" customHeight="1" x14ac:dyDescent="0.2">
      <c r="B38" s="43">
        <v>255</v>
      </c>
      <c r="C38" s="43" t="s">
        <v>65</v>
      </c>
      <c r="E38" s="43">
        <v>255</v>
      </c>
      <c r="F38" s="43" t="s">
        <v>65</v>
      </c>
      <c r="H38" s="43">
        <v>255</v>
      </c>
      <c r="I38" s="43" t="s">
        <v>104</v>
      </c>
      <c r="K38" s="43">
        <v>255</v>
      </c>
      <c r="L38" s="43" t="s">
        <v>65</v>
      </c>
      <c r="N38" s="43">
        <v>255</v>
      </c>
      <c r="O38" s="43" t="s">
        <v>65</v>
      </c>
      <c r="P38" s="11"/>
      <c r="Q38" s="43">
        <v>255</v>
      </c>
      <c r="R38" s="43" t="s">
        <v>123</v>
      </c>
    </row>
    <row r="39" spans="2:18" ht="15" customHeight="1" x14ac:dyDescent="0.2">
      <c r="B39" s="43">
        <v>266</v>
      </c>
      <c r="C39" s="43" t="s">
        <v>65</v>
      </c>
      <c r="E39" s="43">
        <v>266</v>
      </c>
      <c r="F39" s="43" t="s">
        <v>65</v>
      </c>
      <c r="H39" s="43">
        <v>266</v>
      </c>
      <c r="I39" s="43" t="s">
        <v>104</v>
      </c>
      <c r="K39" s="43">
        <v>266</v>
      </c>
      <c r="L39" s="43" t="s">
        <v>65</v>
      </c>
      <c r="N39" s="43">
        <v>266</v>
      </c>
      <c r="O39" s="43" t="s">
        <v>65</v>
      </c>
      <c r="P39" s="11"/>
      <c r="Q39" s="43">
        <v>266</v>
      </c>
      <c r="R39" s="43" t="s">
        <v>123</v>
      </c>
    </row>
    <row r="40" spans="2:18" ht="15" customHeight="1" x14ac:dyDescent="0.2">
      <c r="B40" s="43">
        <v>267</v>
      </c>
      <c r="C40" s="43" t="s">
        <v>65</v>
      </c>
      <c r="E40" s="43">
        <v>267</v>
      </c>
      <c r="F40" s="43" t="s">
        <v>65</v>
      </c>
      <c r="H40" s="43">
        <v>267</v>
      </c>
      <c r="I40" s="43" t="s">
        <v>104</v>
      </c>
      <c r="K40" s="43">
        <v>267</v>
      </c>
      <c r="L40" s="43" t="s">
        <v>65</v>
      </c>
      <c r="N40" s="43">
        <v>267</v>
      </c>
      <c r="O40" s="43" t="s">
        <v>65</v>
      </c>
      <c r="P40" s="11"/>
      <c r="Q40" s="43">
        <v>267</v>
      </c>
      <c r="R40" s="43" t="s">
        <v>123</v>
      </c>
    </row>
    <row r="41" spans="2:18" ht="15" customHeight="1" x14ac:dyDescent="0.2">
      <c r="B41" s="43">
        <v>254</v>
      </c>
      <c r="C41" s="43" t="s">
        <v>65</v>
      </c>
      <c r="E41" s="43">
        <v>254</v>
      </c>
      <c r="F41" s="43" t="s">
        <v>65</v>
      </c>
      <c r="H41" s="43">
        <v>254</v>
      </c>
      <c r="I41" s="43" t="s">
        <v>104</v>
      </c>
      <c r="K41" s="43">
        <v>254</v>
      </c>
      <c r="L41" s="43" t="s">
        <v>65</v>
      </c>
      <c r="N41" s="43">
        <v>254</v>
      </c>
      <c r="O41" s="43" t="s">
        <v>65</v>
      </c>
      <c r="P41" s="11"/>
      <c r="Q41" s="43">
        <v>254</v>
      </c>
      <c r="R41" s="43" t="s">
        <v>123</v>
      </c>
    </row>
    <row r="42" spans="2:18" ht="15" customHeight="1" x14ac:dyDescent="0.2">
      <c r="B42" s="43">
        <v>269</v>
      </c>
      <c r="C42" s="43" t="s">
        <v>65</v>
      </c>
      <c r="E42" s="43">
        <v>269</v>
      </c>
      <c r="F42" s="43" t="s">
        <v>65</v>
      </c>
      <c r="H42" s="43">
        <v>269</v>
      </c>
      <c r="I42" s="43" t="s">
        <v>104</v>
      </c>
      <c r="K42" s="43">
        <v>269</v>
      </c>
      <c r="L42" s="43" t="s">
        <v>65</v>
      </c>
      <c r="N42" s="43">
        <v>269</v>
      </c>
      <c r="O42" s="43" t="s">
        <v>65</v>
      </c>
      <c r="P42" s="11"/>
      <c r="Q42" s="43">
        <v>269</v>
      </c>
      <c r="R42" s="43" t="s">
        <v>123</v>
      </c>
    </row>
    <row r="43" spans="2:18" ht="15" customHeight="1" x14ac:dyDescent="0.2">
      <c r="B43" s="43">
        <v>270</v>
      </c>
      <c r="C43" s="43" t="s">
        <v>65</v>
      </c>
      <c r="E43" s="43">
        <v>270</v>
      </c>
      <c r="F43" s="43" t="s">
        <v>65</v>
      </c>
      <c r="H43" s="43">
        <v>270</v>
      </c>
      <c r="I43" s="43" t="s">
        <v>104</v>
      </c>
      <c r="K43" s="43">
        <v>270</v>
      </c>
      <c r="L43" s="43" t="s">
        <v>65</v>
      </c>
      <c r="N43" s="43">
        <v>270</v>
      </c>
      <c r="O43" s="43" t="s">
        <v>65</v>
      </c>
      <c r="P43" s="11"/>
      <c r="Q43" s="43">
        <v>270</v>
      </c>
      <c r="R43" s="43" t="s">
        <v>123</v>
      </c>
    </row>
    <row r="44" spans="2:18" ht="15" customHeight="1" x14ac:dyDescent="0.2">
      <c r="B44" s="43">
        <v>256</v>
      </c>
      <c r="C44" s="43" t="s">
        <v>65</v>
      </c>
      <c r="E44" s="43">
        <v>256</v>
      </c>
      <c r="F44" s="43" t="s">
        <v>65</v>
      </c>
      <c r="H44" s="43">
        <v>256</v>
      </c>
      <c r="I44" s="43" t="s">
        <v>104</v>
      </c>
      <c r="K44" s="43">
        <v>256</v>
      </c>
      <c r="L44" s="43" t="s">
        <v>65</v>
      </c>
      <c r="N44" s="43">
        <v>256</v>
      </c>
      <c r="O44" s="43" t="s">
        <v>65</v>
      </c>
      <c r="P44" s="11"/>
      <c r="Q44" s="43">
        <v>256</v>
      </c>
      <c r="R44" s="43" t="s">
        <v>123</v>
      </c>
    </row>
    <row r="45" spans="2:18" ht="15" customHeight="1" x14ac:dyDescent="0.2">
      <c r="B45" s="43">
        <v>265</v>
      </c>
      <c r="C45" s="43" t="s">
        <v>65</v>
      </c>
      <c r="E45" s="43">
        <v>265</v>
      </c>
      <c r="F45" s="43" t="s">
        <v>65</v>
      </c>
      <c r="H45" s="43">
        <v>265</v>
      </c>
      <c r="I45" s="43" t="s">
        <v>104</v>
      </c>
      <c r="K45" s="43">
        <v>265</v>
      </c>
      <c r="L45" s="43" t="s">
        <v>65</v>
      </c>
      <c r="N45" s="43">
        <v>265</v>
      </c>
      <c r="O45" s="43" t="s">
        <v>65</v>
      </c>
      <c r="P45" s="11"/>
      <c r="Q45" s="43">
        <v>265</v>
      </c>
      <c r="R45" s="43" t="s">
        <v>123</v>
      </c>
    </row>
    <row r="46" spans="2:18" ht="15" customHeight="1" x14ac:dyDescent="0.2">
      <c r="B46" s="43">
        <v>249</v>
      </c>
      <c r="C46" s="43" t="s">
        <v>65</v>
      </c>
      <c r="E46" s="43">
        <v>249</v>
      </c>
      <c r="F46" s="43" t="s">
        <v>65</v>
      </c>
      <c r="H46" s="43">
        <v>249</v>
      </c>
      <c r="I46" s="43" t="s">
        <v>104</v>
      </c>
      <c r="K46" s="43">
        <v>249</v>
      </c>
      <c r="L46" s="43" t="s">
        <v>65</v>
      </c>
      <c r="N46" s="43">
        <v>249</v>
      </c>
      <c r="O46" s="43" t="s">
        <v>65</v>
      </c>
      <c r="P46" s="11"/>
      <c r="Q46" s="43">
        <v>249</v>
      </c>
      <c r="R46" s="43" t="s">
        <v>123</v>
      </c>
    </row>
    <row r="47" spans="2:18" ht="15" customHeight="1" x14ac:dyDescent="0.2">
      <c r="B47" s="43">
        <v>261</v>
      </c>
      <c r="C47" s="43" t="s">
        <v>65</v>
      </c>
      <c r="E47" s="43">
        <v>261</v>
      </c>
      <c r="F47" s="43" t="s">
        <v>65</v>
      </c>
      <c r="H47" s="43">
        <v>261</v>
      </c>
      <c r="I47" s="43" t="s">
        <v>104</v>
      </c>
      <c r="K47" s="43">
        <v>261</v>
      </c>
      <c r="L47" s="43" t="s">
        <v>65</v>
      </c>
      <c r="N47" s="43">
        <v>261</v>
      </c>
      <c r="O47" s="43" t="s">
        <v>65</v>
      </c>
      <c r="P47" s="11"/>
      <c r="Q47" s="43">
        <v>261</v>
      </c>
      <c r="R47" s="43" t="s">
        <v>123</v>
      </c>
    </row>
    <row r="48" spans="2:18" ht="15" customHeight="1" x14ac:dyDescent="0.2">
      <c r="B48" s="43">
        <v>257</v>
      </c>
      <c r="C48" s="43" t="s">
        <v>65</v>
      </c>
      <c r="E48" s="43">
        <v>257</v>
      </c>
      <c r="F48" s="43" t="s">
        <v>65</v>
      </c>
      <c r="H48" s="43">
        <v>257</v>
      </c>
      <c r="I48" s="43" t="s">
        <v>104</v>
      </c>
      <c r="K48" s="43">
        <v>257</v>
      </c>
      <c r="L48" s="43" t="s">
        <v>65</v>
      </c>
      <c r="N48" s="43">
        <v>257</v>
      </c>
      <c r="O48" s="43" t="s">
        <v>65</v>
      </c>
      <c r="P48" s="11"/>
      <c r="Q48" s="43">
        <v>257</v>
      </c>
      <c r="R48" s="43" t="s">
        <v>123</v>
      </c>
    </row>
    <row r="49" spans="2:18" ht="15" customHeight="1" x14ac:dyDescent="0.2">
      <c r="B49" s="43">
        <v>258</v>
      </c>
      <c r="C49" s="43" t="s">
        <v>65</v>
      </c>
      <c r="E49" s="43">
        <v>258</v>
      </c>
      <c r="F49" s="43" t="s">
        <v>65</v>
      </c>
      <c r="H49" s="43">
        <v>258</v>
      </c>
      <c r="I49" s="43" t="s">
        <v>104</v>
      </c>
      <c r="K49" s="43">
        <v>258</v>
      </c>
      <c r="L49" s="43" t="s">
        <v>65</v>
      </c>
      <c r="N49" s="43">
        <v>258</v>
      </c>
      <c r="O49" s="43" t="s">
        <v>65</v>
      </c>
      <c r="P49" s="11"/>
      <c r="Q49" s="43">
        <v>258</v>
      </c>
      <c r="R49" s="43" t="s">
        <v>123</v>
      </c>
    </row>
    <row r="50" spans="2:18" ht="15" customHeight="1" x14ac:dyDescent="0.2">
      <c r="B50" s="43">
        <v>262</v>
      </c>
      <c r="C50" s="43" t="s">
        <v>65</v>
      </c>
      <c r="E50" s="43">
        <v>262</v>
      </c>
      <c r="F50" s="43" t="s">
        <v>65</v>
      </c>
      <c r="H50" s="43">
        <v>262</v>
      </c>
      <c r="I50" s="43" t="s">
        <v>104</v>
      </c>
      <c r="K50" s="43">
        <v>262</v>
      </c>
      <c r="L50" s="43" t="s">
        <v>65</v>
      </c>
      <c r="N50" s="43">
        <v>262</v>
      </c>
      <c r="O50" s="43" t="s">
        <v>65</v>
      </c>
      <c r="P50" s="11"/>
      <c r="Q50" s="43">
        <v>262</v>
      </c>
      <c r="R50" s="43" t="s">
        <v>123</v>
      </c>
    </row>
    <row r="51" spans="2:18" ht="15" customHeight="1" x14ac:dyDescent="0.2">
      <c r="B51" s="43">
        <v>250</v>
      </c>
      <c r="C51" s="43" t="s">
        <v>65</v>
      </c>
      <c r="E51" s="43">
        <v>250</v>
      </c>
      <c r="F51" s="43" t="s">
        <v>65</v>
      </c>
      <c r="H51" s="43">
        <v>250</v>
      </c>
      <c r="I51" s="43" t="s">
        <v>104</v>
      </c>
      <c r="K51" s="43">
        <v>250</v>
      </c>
      <c r="L51" s="43" t="s">
        <v>65</v>
      </c>
      <c r="N51" s="43">
        <v>250</v>
      </c>
      <c r="O51" s="43" t="s">
        <v>65</v>
      </c>
      <c r="P51" s="11"/>
      <c r="Q51" s="43">
        <v>250</v>
      </c>
      <c r="R51" s="43" t="s">
        <v>123</v>
      </c>
    </row>
    <row r="52" spans="2:18" ht="15" customHeight="1" x14ac:dyDescent="0.2">
      <c r="B52" s="43">
        <v>65</v>
      </c>
      <c r="C52" s="43" t="s">
        <v>65</v>
      </c>
      <c r="E52" s="43">
        <v>65</v>
      </c>
      <c r="F52" s="43" t="s">
        <v>65</v>
      </c>
      <c r="H52" s="43">
        <v>65</v>
      </c>
      <c r="I52" s="43" t="s">
        <v>104</v>
      </c>
      <c r="K52" s="43">
        <v>65</v>
      </c>
      <c r="L52" s="43" t="s">
        <v>65</v>
      </c>
      <c r="N52" s="43">
        <v>65</v>
      </c>
      <c r="O52" s="43" t="s">
        <v>65</v>
      </c>
      <c r="P52" s="11"/>
      <c r="Q52" s="43">
        <v>65</v>
      </c>
      <c r="R52" s="43" t="s">
        <v>123</v>
      </c>
    </row>
    <row r="53" spans="2:18" ht="15" customHeight="1" x14ac:dyDescent="0.2">
      <c r="B53" s="43">
        <v>77</v>
      </c>
      <c r="C53" s="43" t="s">
        <v>65</v>
      </c>
      <c r="E53" s="43">
        <v>77</v>
      </c>
      <c r="F53" s="43" t="s">
        <v>65</v>
      </c>
      <c r="H53" s="43">
        <v>77</v>
      </c>
      <c r="I53" s="43" t="s">
        <v>104</v>
      </c>
      <c r="K53" s="43">
        <v>77</v>
      </c>
      <c r="L53" s="43" t="s">
        <v>65</v>
      </c>
      <c r="N53" s="43">
        <v>77</v>
      </c>
      <c r="O53" s="43" t="s">
        <v>65</v>
      </c>
      <c r="P53" s="11"/>
      <c r="Q53" s="43">
        <v>77</v>
      </c>
      <c r="R53" s="43" t="s">
        <v>123</v>
      </c>
    </row>
    <row r="54" spans="2:18" ht="15" customHeight="1" x14ac:dyDescent="0.2">
      <c r="B54" s="43">
        <v>73</v>
      </c>
      <c r="C54" s="43" t="s">
        <v>65</v>
      </c>
      <c r="E54" s="43">
        <v>73</v>
      </c>
      <c r="F54" s="43" t="s">
        <v>65</v>
      </c>
      <c r="H54" s="43">
        <v>73</v>
      </c>
      <c r="I54" s="43" t="s">
        <v>104</v>
      </c>
      <c r="K54" s="43">
        <v>73</v>
      </c>
      <c r="L54" s="43" t="s">
        <v>65</v>
      </c>
      <c r="N54" s="43">
        <v>73</v>
      </c>
      <c r="O54" s="43" t="s">
        <v>65</v>
      </c>
      <c r="P54" s="11"/>
      <c r="Q54" s="43">
        <v>73</v>
      </c>
      <c r="R54" s="43" t="s">
        <v>123</v>
      </c>
    </row>
    <row r="55" spans="2:18" ht="15" customHeight="1" x14ac:dyDescent="0.2">
      <c r="B55" s="43">
        <v>74</v>
      </c>
      <c r="C55" s="43" t="s">
        <v>65</v>
      </c>
      <c r="E55" s="43">
        <v>74</v>
      </c>
      <c r="F55" s="43" t="s">
        <v>65</v>
      </c>
      <c r="H55" s="43">
        <v>74</v>
      </c>
      <c r="I55" s="43" t="s">
        <v>104</v>
      </c>
      <c r="K55" s="43">
        <v>74</v>
      </c>
      <c r="L55" s="43" t="s">
        <v>65</v>
      </c>
      <c r="N55" s="43">
        <v>74</v>
      </c>
      <c r="O55" s="43" t="s">
        <v>65</v>
      </c>
      <c r="P55" s="11"/>
      <c r="Q55" s="43">
        <v>74</v>
      </c>
      <c r="R55" s="43" t="s">
        <v>123</v>
      </c>
    </row>
    <row r="56" spans="2:18" ht="15" customHeight="1" x14ac:dyDescent="0.2">
      <c r="B56" s="43">
        <v>78</v>
      </c>
      <c r="C56" s="43" t="s">
        <v>65</v>
      </c>
      <c r="E56" s="43">
        <v>78</v>
      </c>
      <c r="F56" s="43" t="s">
        <v>65</v>
      </c>
      <c r="H56" s="43">
        <v>78</v>
      </c>
      <c r="I56" s="43" t="s">
        <v>104</v>
      </c>
      <c r="K56" s="43">
        <v>78</v>
      </c>
      <c r="L56" s="43" t="s">
        <v>65</v>
      </c>
      <c r="N56" s="43">
        <v>78</v>
      </c>
      <c r="O56" s="43" t="s">
        <v>65</v>
      </c>
      <c r="P56" s="11"/>
      <c r="Q56" s="43">
        <v>78</v>
      </c>
      <c r="R56" s="43" t="s">
        <v>123</v>
      </c>
    </row>
    <row r="57" spans="2:18" ht="15" customHeight="1" x14ac:dyDescent="0.2">
      <c r="B57" s="43">
        <v>66</v>
      </c>
      <c r="C57" s="43" t="s">
        <v>65</v>
      </c>
      <c r="E57" s="43">
        <v>66</v>
      </c>
      <c r="F57" s="43" t="s">
        <v>65</v>
      </c>
      <c r="H57" s="43">
        <v>66</v>
      </c>
      <c r="I57" s="43" t="s">
        <v>104</v>
      </c>
      <c r="K57" s="43">
        <v>66</v>
      </c>
      <c r="L57" s="43" t="s">
        <v>65</v>
      </c>
      <c r="N57" s="43">
        <v>66</v>
      </c>
      <c r="O57" s="43" t="s">
        <v>65</v>
      </c>
      <c r="P57" s="11"/>
      <c r="Q57" s="43">
        <v>66</v>
      </c>
      <c r="R57" s="43" t="s">
        <v>123</v>
      </c>
    </row>
    <row r="58" spans="2:18" ht="15" customHeight="1" x14ac:dyDescent="0.2">
      <c r="B58" s="43">
        <v>82</v>
      </c>
      <c r="C58" s="43" t="s">
        <v>65</v>
      </c>
      <c r="E58" s="43">
        <v>82</v>
      </c>
      <c r="F58" s="43" t="s">
        <v>65</v>
      </c>
      <c r="H58" s="43">
        <v>82</v>
      </c>
      <c r="I58" s="43" t="s">
        <v>104</v>
      </c>
      <c r="K58" s="43">
        <v>82</v>
      </c>
      <c r="L58" s="43" t="s">
        <v>65</v>
      </c>
      <c r="N58" s="43">
        <v>82</v>
      </c>
      <c r="O58" s="43" t="s">
        <v>65</v>
      </c>
      <c r="P58" s="11"/>
      <c r="Q58" s="43">
        <v>82</v>
      </c>
      <c r="R58" s="43" t="s">
        <v>123</v>
      </c>
    </row>
    <row r="59" spans="2:18" ht="15" customHeight="1" x14ac:dyDescent="0.2">
      <c r="B59" s="43">
        <v>67</v>
      </c>
      <c r="C59" s="43" t="s">
        <v>65</v>
      </c>
      <c r="E59" s="43">
        <v>67</v>
      </c>
      <c r="F59" s="43" t="s">
        <v>65</v>
      </c>
      <c r="H59" s="43">
        <v>67</v>
      </c>
      <c r="I59" s="43" t="s">
        <v>104</v>
      </c>
      <c r="K59" s="43">
        <v>67</v>
      </c>
      <c r="L59" s="43" t="s">
        <v>65</v>
      </c>
      <c r="N59" s="43">
        <v>67</v>
      </c>
      <c r="O59" s="43" t="s">
        <v>65</v>
      </c>
      <c r="P59" s="11"/>
      <c r="Q59" s="43">
        <v>67</v>
      </c>
      <c r="R59" s="43" t="s">
        <v>123</v>
      </c>
    </row>
    <row r="60" spans="2:18" ht="15" customHeight="1" x14ac:dyDescent="0.2">
      <c r="B60" s="43">
        <v>85</v>
      </c>
      <c r="C60" s="43" t="s">
        <v>65</v>
      </c>
      <c r="E60" s="43">
        <v>85</v>
      </c>
      <c r="F60" s="43" t="s">
        <v>65</v>
      </c>
      <c r="H60" s="43">
        <v>85</v>
      </c>
      <c r="I60" s="43" t="s">
        <v>104</v>
      </c>
      <c r="K60" s="43">
        <v>85</v>
      </c>
      <c r="L60" s="43" t="s">
        <v>65</v>
      </c>
      <c r="N60" s="43">
        <v>85</v>
      </c>
      <c r="O60" s="43" t="s">
        <v>65</v>
      </c>
      <c r="P60" s="11"/>
      <c r="Q60" s="43">
        <v>85</v>
      </c>
      <c r="R60" s="43" t="s">
        <v>123</v>
      </c>
    </row>
    <row r="61" spans="2:18" ht="15" customHeight="1" x14ac:dyDescent="0.2">
      <c r="B61" s="43">
        <v>86</v>
      </c>
      <c r="C61" s="43" t="s">
        <v>65</v>
      </c>
      <c r="E61" s="43">
        <v>86</v>
      </c>
      <c r="F61" s="43" t="s">
        <v>65</v>
      </c>
      <c r="H61" s="43">
        <v>86</v>
      </c>
      <c r="I61" s="43" t="s">
        <v>104</v>
      </c>
      <c r="K61" s="43">
        <v>86</v>
      </c>
      <c r="L61" s="43" t="s">
        <v>65</v>
      </c>
      <c r="N61" s="43">
        <v>86</v>
      </c>
      <c r="O61" s="43" t="s">
        <v>65</v>
      </c>
      <c r="P61" s="11"/>
      <c r="Q61" s="43">
        <v>86</v>
      </c>
      <c r="R61" s="43" t="s">
        <v>123</v>
      </c>
    </row>
    <row r="62" spans="2:18" ht="15" customHeight="1" x14ac:dyDescent="0.2">
      <c r="B62" s="43">
        <v>69</v>
      </c>
      <c r="C62" s="43" t="s">
        <v>65</v>
      </c>
      <c r="E62" s="43">
        <v>69</v>
      </c>
      <c r="F62" s="43" t="s">
        <v>65</v>
      </c>
      <c r="H62" s="43">
        <v>69</v>
      </c>
      <c r="I62" s="43" t="s">
        <v>104</v>
      </c>
      <c r="K62" s="43">
        <v>69</v>
      </c>
      <c r="L62" s="43" t="s">
        <v>65</v>
      </c>
      <c r="N62" s="43">
        <v>69</v>
      </c>
      <c r="O62" s="43" t="s">
        <v>65</v>
      </c>
      <c r="P62" s="11"/>
      <c r="Q62" s="43">
        <v>69</v>
      </c>
      <c r="R62" s="43" t="s">
        <v>123</v>
      </c>
    </row>
    <row r="63" spans="2:18" ht="15" customHeight="1" x14ac:dyDescent="0.2">
      <c r="B63" s="43">
        <v>80</v>
      </c>
      <c r="C63" s="43" t="s">
        <v>65</v>
      </c>
      <c r="E63" s="43">
        <v>80</v>
      </c>
      <c r="F63" s="43" t="s">
        <v>65</v>
      </c>
      <c r="H63" s="43">
        <v>80</v>
      </c>
      <c r="I63" s="43" t="s">
        <v>104</v>
      </c>
      <c r="K63" s="43">
        <v>80</v>
      </c>
      <c r="L63" s="43" t="s">
        <v>65</v>
      </c>
      <c r="N63" s="43">
        <v>80</v>
      </c>
      <c r="O63" s="43" t="s">
        <v>65</v>
      </c>
      <c r="P63" s="11"/>
      <c r="Q63" s="43">
        <v>80</v>
      </c>
      <c r="R63" s="43" t="s">
        <v>123</v>
      </c>
    </row>
    <row r="64" spans="2:18" ht="15" customHeight="1" x14ac:dyDescent="0.2">
      <c r="B64" s="43">
        <v>81</v>
      </c>
      <c r="C64" s="43" t="s">
        <v>65</v>
      </c>
      <c r="E64" s="43">
        <v>81</v>
      </c>
      <c r="F64" s="43" t="s">
        <v>65</v>
      </c>
      <c r="H64" s="43">
        <v>81</v>
      </c>
      <c r="I64" s="43" t="s">
        <v>104</v>
      </c>
      <c r="K64" s="43">
        <v>81</v>
      </c>
      <c r="L64" s="43" t="s">
        <v>65</v>
      </c>
      <c r="N64" s="43">
        <v>81</v>
      </c>
      <c r="O64" s="43" t="s">
        <v>65</v>
      </c>
      <c r="P64" s="11"/>
      <c r="Q64" s="43">
        <v>81</v>
      </c>
      <c r="R64" s="43" t="s">
        <v>123</v>
      </c>
    </row>
    <row r="65" spans="2:18" ht="15" customHeight="1" x14ac:dyDescent="0.2">
      <c r="B65" s="43">
        <v>68</v>
      </c>
      <c r="C65" s="43" t="s">
        <v>65</v>
      </c>
      <c r="E65" s="43">
        <v>68</v>
      </c>
      <c r="F65" s="43" t="s">
        <v>65</v>
      </c>
      <c r="H65" s="43">
        <v>68</v>
      </c>
      <c r="I65" s="43" t="s">
        <v>104</v>
      </c>
      <c r="K65" s="43">
        <v>68</v>
      </c>
      <c r="L65" s="43" t="s">
        <v>65</v>
      </c>
      <c r="N65" s="43">
        <v>68</v>
      </c>
      <c r="O65" s="43" t="s">
        <v>65</v>
      </c>
      <c r="P65" s="11"/>
      <c r="Q65" s="43">
        <v>68</v>
      </c>
      <c r="R65" s="43" t="s">
        <v>123</v>
      </c>
    </row>
    <row r="66" spans="2:18" ht="15" customHeight="1" x14ac:dyDescent="0.2">
      <c r="B66" s="43">
        <v>83</v>
      </c>
      <c r="C66" s="43" t="s">
        <v>65</v>
      </c>
      <c r="E66" s="43">
        <v>83</v>
      </c>
      <c r="F66" s="43" t="s">
        <v>65</v>
      </c>
      <c r="H66" s="43">
        <v>83</v>
      </c>
      <c r="I66" s="43" t="s">
        <v>104</v>
      </c>
      <c r="K66" s="43">
        <v>83</v>
      </c>
      <c r="L66" s="43" t="s">
        <v>65</v>
      </c>
      <c r="N66" s="43">
        <v>83</v>
      </c>
      <c r="O66" s="43" t="s">
        <v>65</v>
      </c>
      <c r="P66" s="11"/>
      <c r="Q66" s="43">
        <v>83</v>
      </c>
      <c r="R66" s="43" t="s">
        <v>123</v>
      </c>
    </row>
    <row r="67" spans="2:18" ht="15" customHeight="1" x14ac:dyDescent="0.2">
      <c r="B67" s="43">
        <v>84</v>
      </c>
      <c r="C67" s="43" t="s">
        <v>65</v>
      </c>
      <c r="E67" s="43">
        <v>84</v>
      </c>
      <c r="F67" s="43" t="s">
        <v>65</v>
      </c>
      <c r="H67" s="43">
        <v>84</v>
      </c>
      <c r="I67" s="43" t="s">
        <v>104</v>
      </c>
      <c r="K67" s="43">
        <v>84</v>
      </c>
      <c r="L67" s="43" t="s">
        <v>65</v>
      </c>
      <c r="N67" s="43">
        <v>84</v>
      </c>
      <c r="O67" s="43" t="s">
        <v>65</v>
      </c>
      <c r="P67" s="11"/>
      <c r="Q67" s="43">
        <v>84</v>
      </c>
      <c r="R67" s="43" t="s">
        <v>123</v>
      </c>
    </row>
    <row r="68" spans="2:18" ht="15" customHeight="1" x14ac:dyDescent="0.2">
      <c r="B68" s="43">
        <v>70</v>
      </c>
      <c r="C68" s="43" t="s">
        <v>65</v>
      </c>
      <c r="E68" s="43">
        <v>70</v>
      </c>
      <c r="F68" s="43" t="s">
        <v>65</v>
      </c>
      <c r="H68" s="43">
        <v>70</v>
      </c>
      <c r="I68" s="43" t="s">
        <v>104</v>
      </c>
      <c r="K68" s="43">
        <v>70</v>
      </c>
      <c r="L68" s="43" t="s">
        <v>65</v>
      </c>
      <c r="N68" s="43">
        <v>70</v>
      </c>
      <c r="O68" s="43" t="s">
        <v>65</v>
      </c>
      <c r="P68" s="11"/>
      <c r="Q68" s="43">
        <v>70</v>
      </c>
      <c r="R68" s="43" t="s">
        <v>123</v>
      </c>
    </row>
    <row r="69" spans="2:18" ht="15" customHeight="1" x14ac:dyDescent="0.2">
      <c r="B69" s="43">
        <v>79</v>
      </c>
      <c r="C69" s="43" t="s">
        <v>65</v>
      </c>
      <c r="E69" s="43">
        <v>79</v>
      </c>
      <c r="F69" s="43" t="s">
        <v>65</v>
      </c>
      <c r="H69" s="43">
        <v>79</v>
      </c>
      <c r="I69" s="43" t="s">
        <v>104</v>
      </c>
      <c r="K69" s="43">
        <v>79</v>
      </c>
      <c r="L69" s="43" t="s">
        <v>65</v>
      </c>
      <c r="N69" s="43">
        <v>79</v>
      </c>
      <c r="O69" s="43" t="s">
        <v>65</v>
      </c>
      <c r="P69" s="11"/>
      <c r="Q69" s="43">
        <v>79</v>
      </c>
      <c r="R69" s="43" t="s">
        <v>123</v>
      </c>
    </row>
    <row r="70" spans="2:18" ht="15" customHeight="1" x14ac:dyDescent="0.2">
      <c r="B70" s="43">
        <v>63</v>
      </c>
      <c r="C70" s="43" t="s">
        <v>65</v>
      </c>
      <c r="E70" s="43">
        <v>63</v>
      </c>
      <c r="F70" s="43" t="s">
        <v>65</v>
      </c>
      <c r="H70" s="43">
        <v>63</v>
      </c>
      <c r="I70" s="43" t="s">
        <v>104</v>
      </c>
      <c r="K70" s="43">
        <v>63</v>
      </c>
      <c r="L70" s="43" t="s">
        <v>65</v>
      </c>
      <c r="N70" s="43">
        <v>63</v>
      </c>
      <c r="O70" s="43" t="s">
        <v>65</v>
      </c>
      <c r="P70" s="11"/>
      <c r="Q70" s="43">
        <v>63</v>
      </c>
      <c r="R70" s="43" t="s">
        <v>123</v>
      </c>
    </row>
    <row r="71" spans="2:18" ht="15" customHeight="1" x14ac:dyDescent="0.2">
      <c r="B71" s="43">
        <v>75</v>
      </c>
      <c r="C71" s="43" t="s">
        <v>65</v>
      </c>
      <c r="E71" s="43">
        <v>75</v>
      </c>
      <c r="F71" s="43" t="s">
        <v>65</v>
      </c>
      <c r="H71" s="43">
        <v>75</v>
      </c>
      <c r="I71" s="43" t="s">
        <v>104</v>
      </c>
      <c r="K71" s="43">
        <v>75</v>
      </c>
      <c r="L71" s="43" t="s">
        <v>65</v>
      </c>
      <c r="N71" s="43">
        <v>75</v>
      </c>
      <c r="O71" s="43" t="s">
        <v>65</v>
      </c>
      <c r="P71" s="11"/>
      <c r="Q71" s="43">
        <v>75</v>
      </c>
      <c r="R71" s="43" t="s">
        <v>123</v>
      </c>
    </row>
    <row r="72" spans="2:18" ht="15" customHeight="1" x14ac:dyDescent="0.2">
      <c r="B72" s="43">
        <v>71</v>
      </c>
      <c r="C72" s="43" t="s">
        <v>65</v>
      </c>
      <c r="E72" s="43">
        <v>71</v>
      </c>
      <c r="F72" s="43" t="s">
        <v>65</v>
      </c>
      <c r="H72" s="43">
        <v>71</v>
      </c>
      <c r="I72" s="43" t="s">
        <v>104</v>
      </c>
      <c r="K72" s="43">
        <v>71</v>
      </c>
      <c r="L72" s="43" t="s">
        <v>65</v>
      </c>
      <c r="N72" s="43">
        <v>71</v>
      </c>
      <c r="O72" s="43" t="s">
        <v>65</v>
      </c>
      <c r="P72" s="11"/>
      <c r="Q72" s="43">
        <v>71</v>
      </c>
      <c r="R72" s="43" t="s">
        <v>123</v>
      </c>
    </row>
    <row r="73" spans="2:18" ht="15" customHeight="1" x14ac:dyDescent="0.2">
      <c r="B73" s="43">
        <v>72</v>
      </c>
      <c r="C73" s="43" t="s">
        <v>65</v>
      </c>
      <c r="E73" s="43">
        <v>72</v>
      </c>
      <c r="F73" s="43" t="s">
        <v>65</v>
      </c>
      <c r="H73" s="43">
        <v>72</v>
      </c>
      <c r="I73" s="43" t="s">
        <v>104</v>
      </c>
      <c r="K73" s="43">
        <v>72</v>
      </c>
      <c r="L73" s="43" t="s">
        <v>65</v>
      </c>
      <c r="N73" s="43">
        <v>72</v>
      </c>
      <c r="O73" s="43" t="s">
        <v>65</v>
      </c>
      <c r="P73" s="11"/>
      <c r="Q73" s="43">
        <v>72</v>
      </c>
      <c r="R73" s="43" t="s">
        <v>123</v>
      </c>
    </row>
    <row r="74" spans="2:18" ht="15" customHeight="1" x14ac:dyDescent="0.2">
      <c r="B74" s="43">
        <v>76</v>
      </c>
      <c r="C74" s="43" t="s">
        <v>65</v>
      </c>
      <c r="E74" s="43">
        <v>76</v>
      </c>
      <c r="F74" s="43" t="s">
        <v>65</v>
      </c>
      <c r="H74" s="43">
        <v>76</v>
      </c>
      <c r="I74" s="43" t="s">
        <v>104</v>
      </c>
      <c r="K74" s="43">
        <v>76</v>
      </c>
      <c r="L74" s="43" t="s">
        <v>65</v>
      </c>
      <c r="N74" s="43">
        <v>76</v>
      </c>
      <c r="O74" s="43" t="s">
        <v>65</v>
      </c>
      <c r="P74" s="11"/>
      <c r="Q74" s="43">
        <v>76</v>
      </c>
      <c r="R74" s="43" t="s">
        <v>123</v>
      </c>
    </row>
    <row r="75" spans="2:18" ht="15" customHeight="1" x14ac:dyDescent="0.2">
      <c r="B75" s="43">
        <v>64</v>
      </c>
      <c r="C75" s="43" t="s">
        <v>65</v>
      </c>
      <c r="E75" s="43">
        <v>64</v>
      </c>
      <c r="F75" s="43" t="s">
        <v>65</v>
      </c>
      <c r="H75" s="43">
        <v>64</v>
      </c>
      <c r="I75" s="43" t="s">
        <v>104</v>
      </c>
      <c r="K75" s="43">
        <v>64</v>
      </c>
      <c r="L75" s="43" t="s">
        <v>65</v>
      </c>
      <c r="N75" s="43">
        <v>64</v>
      </c>
      <c r="O75" s="43" t="s">
        <v>65</v>
      </c>
      <c r="P75" s="11"/>
      <c r="Q75" s="43">
        <v>64</v>
      </c>
      <c r="R75" s="43" t="s">
        <v>123</v>
      </c>
    </row>
    <row r="76" spans="2:18" ht="15" customHeight="1" x14ac:dyDescent="0.2">
      <c r="B76" s="43">
        <v>127</v>
      </c>
      <c r="C76" s="43" t="s">
        <v>65</v>
      </c>
      <c r="E76" s="43">
        <v>127</v>
      </c>
      <c r="F76" s="43" t="s">
        <v>65</v>
      </c>
      <c r="H76" s="43">
        <v>127</v>
      </c>
      <c r="I76" s="43" t="s">
        <v>104</v>
      </c>
      <c r="K76" s="43">
        <v>127</v>
      </c>
      <c r="L76" s="43" t="s">
        <v>65</v>
      </c>
      <c r="N76" s="43">
        <v>127</v>
      </c>
      <c r="O76" s="43" t="s">
        <v>65</v>
      </c>
      <c r="P76" s="11"/>
      <c r="Q76" s="43">
        <v>127</v>
      </c>
      <c r="R76" s="43" t="s">
        <v>123</v>
      </c>
    </row>
    <row r="77" spans="2:18" ht="15" customHeight="1" x14ac:dyDescent="0.2">
      <c r="B77" s="43">
        <v>139</v>
      </c>
      <c r="C77" s="43" t="s">
        <v>65</v>
      </c>
      <c r="E77" s="43">
        <v>139</v>
      </c>
      <c r="F77" s="43" t="s">
        <v>65</v>
      </c>
      <c r="H77" s="43">
        <v>139</v>
      </c>
      <c r="I77" s="43" t="s">
        <v>104</v>
      </c>
      <c r="K77" s="43">
        <v>139</v>
      </c>
      <c r="L77" s="43" t="s">
        <v>65</v>
      </c>
      <c r="N77" s="43">
        <v>139</v>
      </c>
      <c r="O77" s="43" t="s">
        <v>65</v>
      </c>
      <c r="P77" s="11"/>
      <c r="Q77" s="43">
        <v>139</v>
      </c>
      <c r="R77" s="43" t="s">
        <v>123</v>
      </c>
    </row>
    <row r="78" spans="2:18" ht="15" customHeight="1" x14ac:dyDescent="0.2">
      <c r="B78" s="43">
        <v>135</v>
      </c>
      <c r="C78" s="43" t="s">
        <v>65</v>
      </c>
      <c r="E78" s="43">
        <v>135</v>
      </c>
      <c r="F78" s="43" t="s">
        <v>65</v>
      </c>
      <c r="H78" s="43">
        <v>135</v>
      </c>
      <c r="I78" s="43" t="s">
        <v>104</v>
      </c>
      <c r="K78" s="43">
        <v>135</v>
      </c>
      <c r="L78" s="43" t="s">
        <v>65</v>
      </c>
      <c r="N78" s="43">
        <v>135</v>
      </c>
      <c r="O78" s="43" t="s">
        <v>65</v>
      </c>
      <c r="P78" s="11"/>
      <c r="Q78" s="43">
        <v>135</v>
      </c>
      <c r="R78" s="43" t="s">
        <v>123</v>
      </c>
    </row>
    <row r="79" spans="2:18" ht="15" customHeight="1" x14ac:dyDescent="0.2">
      <c r="B79" s="43">
        <v>136</v>
      </c>
      <c r="C79" s="43" t="s">
        <v>65</v>
      </c>
      <c r="E79" s="43">
        <v>136</v>
      </c>
      <c r="F79" s="43" t="s">
        <v>65</v>
      </c>
      <c r="H79" s="43">
        <v>136</v>
      </c>
      <c r="I79" s="43" t="s">
        <v>104</v>
      </c>
      <c r="K79" s="43">
        <v>136</v>
      </c>
      <c r="L79" s="43" t="s">
        <v>65</v>
      </c>
      <c r="N79" s="43">
        <v>136</v>
      </c>
      <c r="O79" s="43" t="s">
        <v>65</v>
      </c>
      <c r="P79" s="11"/>
      <c r="Q79" s="43">
        <v>136</v>
      </c>
      <c r="R79" s="43" t="s">
        <v>123</v>
      </c>
    </row>
    <row r="80" spans="2:18" ht="15" customHeight="1" x14ac:dyDescent="0.2">
      <c r="B80" s="43">
        <v>140</v>
      </c>
      <c r="C80" s="43" t="s">
        <v>65</v>
      </c>
      <c r="E80" s="43">
        <v>140</v>
      </c>
      <c r="F80" s="43" t="s">
        <v>65</v>
      </c>
      <c r="H80" s="43">
        <v>140</v>
      </c>
      <c r="I80" s="43" t="s">
        <v>104</v>
      </c>
      <c r="K80" s="43">
        <v>140</v>
      </c>
      <c r="L80" s="43" t="s">
        <v>65</v>
      </c>
      <c r="N80" s="43">
        <v>140</v>
      </c>
      <c r="O80" s="43" t="s">
        <v>65</v>
      </c>
      <c r="P80" s="11"/>
      <c r="Q80" s="43">
        <v>140</v>
      </c>
      <c r="R80" s="43" t="s">
        <v>123</v>
      </c>
    </row>
    <row r="81" spans="2:18" ht="15" customHeight="1" x14ac:dyDescent="0.2">
      <c r="B81" s="43">
        <v>128</v>
      </c>
      <c r="C81" s="43" t="s">
        <v>65</v>
      </c>
      <c r="E81" s="43">
        <v>128</v>
      </c>
      <c r="F81" s="43" t="s">
        <v>65</v>
      </c>
      <c r="H81" s="43">
        <v>128</v>
      </c>
      <c r="I81" s="43" t="s">
        <v>104</v>
      </c>
      <c r="K81" s="43">
        <v>128</v>
      </c>
      <c r="L81" s="43" t="s">
        <v>65</v>
      </c>
      <c r="N81" s="43">
        <v>128</v>
      </c>
      <c r="O81" s="43" t="s">
        <v>65</v>
      </c>
      <c r="P81" s="11"/>
      <c r="Q81" s="43">
        <v>128</v>
      </c>
      <c r="R81" s="43" t="s">
        <v>123</v>
      </c>
    </row>
    <row r="82" spans="2:18" ht="15" customHeight="1" x14ac:dyDescent="0.2">
      <c r="B82" s="43">
        <v>144</v>
      </c>
      <c r="C82" s="43" t="s">
        <v>65</v>
      </c>
      <c r="E82" s="43">
        <v>144</v>
      </c>
      <c r="F82" s="43" t="s">
        <v>65</v>
      </c>
      <c r="H82" s="43">
        <v>144</v>
      </c>
      <c r="I82" s="43" t="s">
        <v>104</v>
      </c>
      <c r="K82" s="43">
        <v>144</v>
      </c>
      <c r="L82" s="43" t="s">
        <v>65</v>
      </c>
      <c r="N82" s="43">
        <v>144</v>
      </c>
      <c r="O82" s="43" t="s">
        <v>65</v>
      </c>
      <c r="P82" s="11"/>
      <c r="Q82" s="43">
        <v>144</v>
      </c>
      <c r="R82" s="43" t="s">
        <v>123</v>
      </c>
    </row>
    <row r="83" spans="2:18" ht="15" customHeight="1" x14ac:dyDescent="0.2">
      <c r="B83" s="43">
        <v>129</v>
      </c>
      <c r="C83" s="43" t="s">
        <v>65</v>
      </c>
      <c r="E83" s="43">
        <v>129</v>
      </c>
      <c r="F83" s="43" t="s">
        <v>65</v>
      </c>
      <c r="H83" s="43">
        <v>129</v>
      </c>
      <c r="I83" s="43" t="s">
        <v>104</v>
      </c>
      <c r="K83" s="43">
        <v>129</v>
      </c>
      <c r="L83" s="43" t="s">
        <v>65</v>
      </c>
      <c r="N83" s="43">
        <v>129</v>
      </c>
      <c r="O83" s="43" t="s">
        <v>65</v>
      </c>
      <c r="P83" s="11"/>
      <c r="Q83" s="43">
        <v>129</v>
      </c>
      <c r="R83" s="43" t="s">
        <v>123</v>
      </c>
    </row>
    <row r="84" spans="2:18" ht="15" customHeight="1" x14ac:dyDescent="0.2">
      <c r="B84" s="43">
        <v>147</v>
      </c>
      <c r="C84" s="43" t="s">
        <v>65</v>
      </c>
      <c r="E84" s="43">
        <v>147</v>
      </c>
      <c r="F84" s="43" t="s">
        <v>65</v>
      </c>
      <c r="H84" s="43">
        <v>147</v>
      </c>
      <c r="I84" s="43" t="s">
        <v>104</v>
      </c>
      <c r="K84" s="43">
        <v>147</v>
      </c>
      <c r="L84" s="43" t="s">
        <v>65</v>
      </c>
      <c r="N84" s="43">
        <v>147</v>
      </c>
      <c r="O84" s="43" t="s">
        <v>65</v>
      </c>
      <c r="P84" s="11"/>
      <c r="Q84" s="43">
        <v>147</v>
      </c>
      <c r="R84" s="43" t="s">
        <v>123</v>
      </c>
    </row>
    <row r="85" spans="2:18" ht="15" customHeight="1" x14ac:dyDescent="0.2">
      <c r="B85" s="43">
        <v>148</v>
      </c>
      <c r="C85" s="43" t="s">
        <v>65</v>
      </c>
      <c r="E85" s="43">
        <v>148</v>
      </c>
      <c r="F85" s="43" t="s">
        <v>65</v>
      </c>
      <c r="H85" s="43">
        <v>148</v>
      </c>
      <c r="I85" s="43" t="s">
        <v>104</v>
      </c>
      <c r="K85" s="43">
        <v>148</v>
      </c>
      <c r="L85" s="43" t="s">
        <v>65</v>
      </c>
      <c r="N85" s="43">
        <v>148</v>
      </c>
      <c r="O85" s="43" t="s">
        <v>65</v>
      </c>
      <c r="P85" s="11"/>
      <c r="Q85" s="43">
        <v>148</v>
      </c>
      <c r="R85" s="43" t="s">
        <v>123</v>
      </c>
    </row>
    <row r="86" spans="2:18" ht="15" customHeight="1" x14ac:dyDescent="0.2">
      <c r="B86" s="43">
        <v>131</v>
      </c>
      <c r="C86" s="43" t="s">
        <v>65</v>
      </c>
      <c r="E86" s="43">
        <v>131</v>
      </c>
      <c r="F86" s="43" t="s">
        <v>65</v>
      </c>
      <c r="H86" s="43">
        <v>131</v>
      </c>
      <c r="I86" s="43" t="s">
        <v>104</v>
      </c>
      <c r="K86" s="43">
        <v>131</v>
      </c>
      <c r="L86" s="43" t="s">
        <v>65</v>
      </c>
      <c r="N86" s="43">
        <v>131</v>
      </c>
      <c r="O86" s="43" t="s">
        <v>65</v>
      </c>
      <c r="P86" s="11"/>
      <c r="Q86" s="43">
        <v>131</v>
      </c>
      <c r="R86" s="43" t="s">
        <v>123</v>
      </c>
    </row>
    <row r="87" spans="2:18" ht="15" customHeight="1" x14ac:dyDescent="0.2">
      <c r="B87" s="43">
        <v>142</v>
      </c>
      <c r="C87" s="43" t="s">
        <v>65</v>
      </c>
      <c r="E87" s="43">
        <v>142</v>
      </c>
      <c r="F87" s="43" t="s">
        <v>65</v>
      </c>
      <c r="H87" s="43">
        <v>142</v>
      </c>
      <c r="I87" s="43" t="s">
        <v>104</v>
      </c>
      <c r="K87" s="43">
        <v>142</v>
      </c>
      <c r="L87" s="43" t="s">
        <v>65</v>
      </c>
      <c r="N87" s="43">
        <v>142</v>
      </c>
      <c r="O87" s="43" t="s">
        <v>65</v>
      </c>
      <c r="P87" s="11"/>
      <c r="Q87" s="43">
        <v>142</v>
      </c>
      <c r="R87" s="43" t="s">
        <v>123</v>
      </c>
    </row>
    <row r="88" spans="2:18" ht="15" customHeight="1" x14ac:dyDescent="0.2">
      <c r="B88" s="43">
        <v>143</v>
      </c>
      <c r="C88" s="43" t="s">
        <v>65</v>
      </c>
      <c r="E88" s="43">
        <v>143</v>
      </c>
      <c r="F88" s="43" t="s">
        <v>65</v>
      </c>
      <c r="H88" s="43">
        <v>143</v>
      </c>
      <c r="I88" s="43" t="s">
        <v>104</v>
      </c>
      <c r="K88" s="43">
        <v>143</v>
      </c>
      <c r="L88" s="43" t="s">
        <v>65</v>
      </c>
      <c r="N88" s="43">
        <v>143</v>
      </c>
      <c r="O88" s="43" t="s">
        <v>65</v>
      </c>
      <c r="P88" s="11"/>
      <c r="Q88" s="43">
        <v>143</v>
      </c>
      <c r="R88" s="43" t="s">
        <v>123</v>
      </c>
    </row>
    <row r="89" spans="2:18" ht="15" customHeight="1" x14ac:dyDescent="0.2">
      <c r="B89" s="43">
        <v>130</v>
      </c>
      <c r="C89" s="43" t="s">
        <v>65</v>
      </c>
      <c r="E89" s="43">
        <v>130</v>
      </c>
      <c r="F89" s="43" t="s">
        <v>65</v>
      </c>
      <c r="H89" s="43">
        <v>130</v>
      </c>
      <c r="I89" s="43" t="s">
        <v>104</v>
      </c>
      <c r="K89" s="43">
        <v>130</v>
      </c>
      <c r="L89" s="43" t="s">
        <v>65</v>
      </c>
      <c r="N89" s="43">
        <v>130</v>
      </c>
      <c r="O89" s="43" t="s">
        <v>65</v>
      </c>
      <c r="P89" s="11"/>
      <c r="Q89" s="43">
        <v>130</v>
      </c>
      <c r="R89" s="43" t="s">
        <v>123</v>
      </c>
    </row>
    <row r="90" spans="2:18" ht="15" customHeight="1" x14ac:dyDescent="0.2">
      <c r="B90" s="43">
        <v>145</v>
      </c>
      <c r="C90" s="43" t="s">
        <v>65</v>
      </c>
      <c r="E90" s="43">
        <v>145</v>
      </c>
      <c r="F90" s="43" t="s">
        <v>65</v>
      </c>
      <c r="H90" s="43">
        <v>145</v>
      </c>
      <c r="I90" s="43" t="s">
        <v>104</v>
      </c>
      <c r="K90" s="43">
        <v>145</v>
      </c>
      <c r="L90" s="43" t="s">
        <v>65</v>
      </c>
      <c r="N90" s="43">
        <v>145</v>
      </c>
      <c r="O90" s="43" t="s">
        <v>65</v>
      </c>
      <c r="P90" s="11"/>
      <c r="Q90" s="43">
        <v>145</v>
      </c>
      <c r="R90" s="43" t="s">
        <v>123</v>
      </c>
    </row>
    <row r="91" spans="2:18" ht="15" customHeight="1" x14ac:dyDescent="0.2">
      <c r="B91" s="43">
        <v>146</v>
      </c>
      <c r="C91" s="43" t="s">
        <v>65</v>
      </c>
      <c r="E91" s="43">
        <v>146</v>
      </c>
      <c r="F91" s="43" t="s">
        <v>65</v>
      </c>
      <c r="H91" s="43">
        <v>146</v>
      </c>
      <c r="I91" s="43" t="s">
        <v>104</v>
      </c>
      <c r="K91" s="43">
        <v>146</v>
      </c>
      <c r="L91" s="43" t="s">
        <v>65</v>
      </c>
      <c r="N91" s="43">
        <v>146</v>
      </c>
      <c r="O91" s="43" t="s">
        <v>65</v>
      </c>
      <c r="P91" s="11"/>
      <c r="Q91" s="43">
        <v>146</v>
      </c>
      <c r="R91" s="43" t="s">
        <v>123</v>
      </c>
    </row>
    <row r="92" spans="2:18" ht="15" customHeight="1" x14ac:dyDescent="0.2">
      <c r="B92" s="43">
        <v>132</v>
      </c>
      <c r="C92" s="43" t="s">
        <v>65</v>
      </c>
      <c r="E92" s="43">
        <v>132</v>
      </c>
      <c r="F92" s="43" t="s">
        <v>65</v>
      </c>
      <c r="H92" s="43">
        <v>132</v>
      </c>
      <c r="I92" s="43" t="s">
        <v>104</v>
      </c>
      <c r="K92" s="43">
        <v>132</v>
      </c>
      <c r="L92" s="43" t="s">
        <v>65</v>
      </c>
      <c r="N92" s="43">
        <v>132</v>
      </c>
      <c r="O92" s="43" t="s">
        <v>65</v>
      </c>
      <c r="P92" s="11"/>
      <c r="Q92" s="43">
        <v>132</v>
      </c>
      <c r="R92" s="43" t="s">
        <v>123</v>
      </c>
    </row>
    <row r="93" spans="2:18" ht="15" customHeight="1" x14ac:dyDescent="0.2">
      <c r="B93" s="43">
        <v>141</v>
      </c>
      <c r="C93" s="43" t="s">
        <v>65</v>
      </c>
      <c r="E93" s="43">
        <v>141</v>
      </c>
      <c r="F93" s="43" t="s">
        <v>65</v>
      </c>
      <c r="H93" s="43">
        <v>141</v>
      </c>
      <c r="I93" s="43" t="s">
        <v>104</v>
      </c>
      <c r="K93" s="43">
        <v>141</v>
      </c>
      <c r="L93" s="43" t="s">
        <v>65</v>
      </c>
      <c r="N93" s="43">
        <v>141</v>
      </c>
      <c r="O93" s="43" t="s">
        <v>65</v>
      </c>
      <c r="P93" s="11"/>
      <c r="Q93" s="43">
        <v>141</v>
      </c>
      <c r="R93" s="43" t="s">
        <v>123</v>
      </c>
    </row>
    <row r="94" spans="2:18" ht="15" customHeight="1" x14ac:dyDescent="0.2">
      <c r="B94" s="43">
        <v>125</v>
      </c>
      <c r="C94" s="43" t="s">
        <v>65</v>
      </c>
      <c r="E94" s="43">
        <v>125</v>
      </c>
      <c r="F94" s="43" t="s">
        <v>65</v>
      </c>
      <c r="H94" s="43">
        <v>125</v>
      </c>
      <c r="I94" s="43" t="s">
        <v>104</v>
      </c>
      <c r="K94" s="43">
        <v>125</v>
      </c>
      <c r="L94" s="43" t="s">
        <v>65</v>
      </c>
      <c r="N94" s="43">
        <v>125</v>
      </c>
      <c r="O94" s="43" t="s">
        <v>65</v>
      </c>
      <c r="P94" s="11"/>
      <c r="Q94" s="43">
        <v>125</v>
      </c>
      <c r="R94" s="43" t="s">
        <v>123</v>
      </c>
    </row>
    <row r="95" spans="2:18" ht="15" customHeight="1" x14ac:dyDescent="0.2">
      <c r="B95" s="43">
        <v>137</v>
      </c>
      <c r="C95" s="43" t="s">
        <v>65</v>
      </c>
      <c r="E95" s="43">
        <v>137</v>
      </c>
      <c r="F95" s="43" t="s">
        <v>65</v>
      </c>
      <c r="H95" s="43">
        <v>137</v>
      </c>
      <c r="I95" s="43" t="s">
        <v>104</v>
      </c>
      <c r="K95" s="43">
        <v>137</v>
      </c>
      <c r="L95" s="43" t="s">
        <v>65</v>
      </c>
      <c r="N95" s="43">
        <v>137</v>
      </c>
      <c r="O95" s="43" t="s">
        <v>65</v>
      </c>
      <c r="P95" s="11"/>
      <c r="Q95" s="43">
        <v>137</v>
      </c>
      <c r="R95" s="43" t="s">
        <v>123</v>
      </c>
    </row>
    <row r="96" spans="2:18" ht="15" customHeight="1" x14ac:dyDescent="0.2">
      <c r="B96" s="43">
        <v>133</v>
      </c>
      <c r="C96" s="43" t="s">
        <v>65</v>
      </c>
      <c r="E96" s="43">
        <v>133</v>
      </c>
      <c r="F96" s="43" t="s">
        <v>65</v>
      </c>
      <c r="H96" s="43">
        <v>133</v>
      </c>
      <c r="I96" s="43" t="s">
        <v>104</v>
      </c>
      <c r="K96" s="43">
        <v>133</v>
      </c>
      <c r="L96" s="43" t="s">
        <v>65</v>
      </c>
      <c r="N96" s="43">
        <v>133</v>
      </c>
      <c r="O96" s="43" t="s">
        <v>65</v>
      </c>
      <c r="P96" s="11"/>
      <c r="Q96" s="43">
        <v>133</v>
      </c>
      <c r="R96" s="43" t="s">
        <v>123</v>
      </c>
    </row>
    <row r="97" spans="2:18" ht="15" customHeight="1" x14ac:dyDescent="0.2">
      <c r="B97" s="43">
        <v>134</v>
      </c>
      <c r="C97" s="43" t="s">
        <v>65</v>
      </c>
      <c r="E97" s="43">
        <v>134</v>
      </c>
      <c r="F97" s="43" t="s">
        <v>65</v>
      </c>
      <c r="H97" s="43">
        <v>134</v>
      </c>
      <c r="I97" s="43" t="s">
        <v>104</v>
      </c>
      <c r="K97" s="43">
        <v>134</v>
      </c>
      <c r="L97" s="43" t="s">
        <v>65</v>
      </c>
      <c r="N97" s="43">
        <v>134</v>
      </c>
      <c r="O97" s="43" t="s">
        <v>65</v>
      </c>
      <c r="P97" s="11"/>
      <c r="Q97" s="43">
        <v>134</v>
      </c>
      <c r="R97" s="43" t="s">
        <v>123</v>
      </c>
    </row>
    <row r="98" spans="2:18" ht="15" customHeight="1" x14ac:dyDescent="0.2">
      <c r="B98" s="43">
        <v>138</v>
      </c>
      <c r="C98" s="43" t="s">
        <v>65</v>
      </c>
      <c r="E98" s="43">
        <v>138</v>
      </c>
      <c r="F98" s="43" t="s">
        <v>65</v>
      </c>
      <c r="H98" s="43">
        <v>138</v>
      </c>
      <c r="I98" s="43" t="s">
        <v>104</v>
      </c>
      <c r="K98" s="43">
        <v>138</v>
      </c>
      <c r="L98" s="43" t="s">
        <v>65</v>
      </c>
      <c r="N98" s="43">
        <v>138</v>
      </c>
      <c r="O98" s="43" t="s">
        <v>65</v>
      </c>
      <c r="P98" s="11"/>
      <c r="Q98" s="43">
        <v>138</v>
      </c>
      <c r="R98" s="43" t="s">
        <v>123</v>
      </c>
    </row>
    <row r="99" spans="2:18" ht="15" customHeight="1" x14ac:dyDescent="0.2">
      <c r="B99" s="43">
        <v>126</v>
      </c>
      <c r="C99" s="43" t="s">
        <v>65</v>
      </c>
      <c r="E99" s="43">
        <v>126</v>
      </c>
      <c r="F99" s="43" t="s">
        <v>65</v>
      </c>
      <c r="H99" s="43">
        <v>126</v>
      </c>
      <c r="I99" s="43" t="s">
        <v>104</v>
      </c>
      <c r="K99" s="43">
        <v>126</v>
      </c>
      <c r="L99" s="43" t="s">
        <v>65</v>
      </c>
      <c r="N99" s="43">
        <v>126</v>
      </c>
      <c r="O99" s="43" t="s">
        <v>65</v>
      </c>
      <c r="P99" s="11"/>
      <c r="Q99" s="43">
        <v>126</v>
      </c>
      <c r="R99" s="43" t="s">
        <v>123</v>
      </c>
    </row>
    <row r="100" spans="2:18" ht="15" customHeight="1" x14ac:dyDescent="0.2">
      <c r="B100" s="43">
        <v>3</v>
      </c>
      <c r="C100" s="43" t="s">
        <v>65</v>
      </c>
      <c r="E100" s="43">
        <v>3</v>
      </c>
      <c r="F100" s="43" t="s">
        <v>65</v>
      </c>
      <c r="H100" s="43">
        <v>3</v>
      </c>
      <c r="I100" s="43" t="s">
        <v>104</v>
      </c>
      <c r="K100" s="43">
        <v>3</v>
      </c>
      <c r="L100" s="43" t="s">
        <v>65</v>
      </c>
      <c r="N100" s="43">
        <v>3</v>
      </c>
      <c r="O100" s="43" t="s">
        <v>65</v>
      </c>
      <c r="P100" s="11"/>
      <c r="Q100" s="43">
        <v>3</v>
      </c>
      <c r="R100" s="43" t="s">
        <v>123</v>
      </c>
    </row>
    <row r="101" spans="2:18" ht="15" customHeight="1" x14ac:dyDescent="0.2">
      <c r="B101" s="43">
        <v>15</v>
      </c>
      <c r="C101" s="43" t="s">
        <v>65</v>
      </c>
      <c r="E101" s="43">
        <v>15</v>
      </c>
      <c r="F101" s="43" t="s">
        <v>65</v>
      </c>
      <c r="H101" s="43">
        <v>15</v>
      </c>
      <c r="I101" s="43" t="s">
        <v>104</v>
      </c>
      <c r="K101" s="43">
        <v>15</v>
      </c>
      <c r="L101" s="43" t="s">
        <v>65</v>
      </c>
      <c r="N101" s="43">
        <v>15</v>
      </c>
      <c r="O101" s="43" t="s">
        <v>65</v>
      </c>
      <c r="P101" s="11"/>
      <c r="Q101" s="43">
        <v>15</v>
      </c>
      <c r="R101" s="43" t="s">
        <v>123</v>
      </c>
    </row>
    <row r="102" spans="2:18" ht="15" customHeight="1" x14ac:dyDescent="0.2">
      <c r="B102" s="43">
        <v>11</v>
      </c>
      <c r="C102" s="43" t="s">
        <v>65</v>
      </c>
      <c r="E102" s="43">
        <v>11</v>
      </c>
      <c r="F102" s="43" t="s">
        <v>65</v>
      </c>
      <c r="H102" s="43">
        <v>11</v>
      </c>
      <c r="I102" s="43" t="s">
        <v>104</v>
      </c>
      <c r="K102" s="43">
        <v>11</v>
      </c>
      <c r="L102" s="43" t="s">
        <v>65</v>
      </c>
      <c r="N102" s="43">
        <v>11</v>
      </c>
      <c r="O102" s="43" t="s">
        <v>65</v>
      </c>
      <c r="P102" s="11"/>
      <c r="Q102" s="43">
        <v>11</v>
      </c>
      <c r="R102" s="43" t="s">
        <v>123</v>
      </c>
    </row>
    <row r="103" spans="2:18" ht="15" customHeight="1" x14ac:dyDescent="0.2">
      <c r="B103" s="43">
        <v>12</v>
      </c>
      <c r="C103" s="43" t="s">
        <v>65</v>
      </c>
      <c r="E103" s="43">
        <v>12</v>
      </c>
      <c r="F103" s="43" t="s">
        <v>65</v>
      </c>
      <c r="H103" s="43">
        <v>12</v>
      </c>
      <c r="I103" s="43" t="s">
        <v>104</v>
      </c>
      <c r="K103" s="43">
        <v>12</v>
      </c>
      <c r="L103" s="43" t="s">
        <v>65</v>
      </c>
      <c r="N103" s="43">
        <v>12</v>
      </c>
      <c r="O103" s="43" t="s">
        <v>65</v>
      </c>
      <c r="P103" s="11"/>
      <c r="Q103" s="43">
        <v>12</v>
      </c>
      <c r="R103" s="43" t="s">
        <v>123</v>
      </c>
    </row>
    <row r="104" spans="2:18" ht="15" customHeight="1" x14ac:dyDescent="0.2">
      <c r="B104" s="43">
        <v>16</v>
      </c>
      <c r="C104" s="43" t="s">
        <v>65</v>
      </c>
      <c r="E104" s="43">
        <v>16</v>
      </c>
      <c r="F104" s="43" t="s">
        <v>65</v>
      </c>
      <c r="H104" s="43">
        <v>16</v>
      </c>
      <c r="I104" s="43" t="s">
        <v>104</v>
      </c>
      <c r="K104" s="43">
        <v>16</v>
      </c>
      <c r="L104" s="43" t="s">
        <v>65</v>
      </c>
      <c r="N104" s="43">
        <v>16</v>
      </c>
      <c r="O104" s="43" t="s">
        <v>65</v>
      </c>
      <c r="P104" s="11"/>
      <c r="Q104" s="43">
        <v>16</v>
      </c>
      <c r="R104" s="43" t="s">
        <v>123</v>
      </c>
    </row>
    <row r="105" spans="2:18" ht="15" customHeight="1" x14ac:dyDescent="0.2">
      <c r="B105" s="43">
        <v>4</v>
      </c>
      <c r="C105" s="43" t="s">
        <v>65</v>
      </c>
      <c r="E105" s="43">
        <v>4</v>
      </c>
      <c r="F105" s="43" t="s">
        <v>65</v>
      </c>
      <c r="H105" s="43">
        <v>4</v>
      </c>
      <c r="I105" s="43" t="s">
        <v>104</v>
      </c>
      <c r="K105" s="43">
        <v>4</v>
      </c>
      <c r="L105" s="43" t="s">
        <v>65</v>
      </c>
      <c r="N105" s="43">
        <v>4</v>
      </c>
      <c r="O105" s="43" t="s">
        <v>65</v>
      </c>
      <c r="P105" s="11"/>
      <c r="Q105" s="43">
        <v>4</v>
      </c>
      <c r="R105" s="43" t="s">
        <v>123</v>
      </c>
    </row>
    <row r="106" spans="2:18" ht="15" customHeight="1" x14ac:dyDescent="0.2">
      <c r="B106" s="43">
        <v>20</v>
      </c>
      <c r="C106" s="43" t="s">
        <v>65</v>
      </c>
      <c r="E106" s="43">
        <v>20</v>
      </c>
      <c r="F106" s="43" t="s">
        <v>65</v>
      </c>
      <c r="H106" s="43">
        <v>20</v>
      </c>
      <c r="I106" s="43" t="s">
        <v>104</v>
      </c>
      <c r="K106" s="43">
        <v>20</v>
      </c>
      <c r="L106" s="43" t="s">
        <v>65</v>
      </c>
      <c r="N106" s="43">
        <v>20</v>
      </c>
      <c r="O106" s="43" t="s">
        <v>65</v>
      </c>
      <c r="P106" s="11"/>
      <c r="Q106" s="43">
        <v>20</v>
      </c>
      <c r="R106" s="43" t="s">
        <v>123</v>
      </c>
    </row>
    <row r="107" spans="2:18" ht="15" customHeight="1" x14ac:dyDescent="0.2">
      <c r="B107" s="43">
        <v>5</v>
      </c>
      <c r="C107" s="43" t="s">
        <v>65</v>
      </c>
      <c r="E107" s="43">
        <v>5</v>
      </c>
      <c r="F107" s="43" t="s">
        <v>65</v>
      </c>
      <c r="H107" s="43">
        <v>5</v>
      </c>
      <c r="I107" s="43" t="s">
        <v>104</v>
      </c>
      <c r="K107" s="43">
        <v>5</v>
      </c>
      <c r="L107" s="43" t="s">
        <v>65</v>
      </c>
      <c r="N107" s="43">
        <v>5</v>
      </c>
      <c r="O107" s="43" t="s">
        <v>65</v>
      </c>
      <c r="P107" s="11"/>
      <c r="Q107" s="43">
        <v>5</v>
      </c>
      <c r="R107" s="43" t="s">
        <v>123</v>
      </c>
    </row>
    <row r="108" spans="2:18" ht="15" customHeight="1" x14ac:dyDescent="0.2">
      <c r="B108" s="43">
        <v>23</v>
      </c>
      <c r="C108" s="43" t="s">
        <v>65</v>
      </c>
      <c r="E108" s="43">
        <v>23</v>
      </c>
      <c r="F108" s="43" t="s">
        <v>65</v>
      </c>
      <c r="H108" s="43">
        <v>23</v>
      </c>
      <c r="I108" s="43" t="s">
        <v>104</v>
      </c>
      <c r="K108" s="43">
        <v>23</v>
      </c>
      <c r="L108" s="43" t="s">
        <v>65</v>
      </c>
      <c r="N108" s="43">
        <v>23</v>
      </c>
      <c r="O108" s="43" t="s">
        <v>65</v>
      </c>
      <c r="P108" s="11"/>
      <c r="Q108" s="43">
        <v>23</v>
      </c>
      <c r="R108" s="43" t="s">
        <v>123</v>
      </c>
    </row>
    <row r="109" spans="2:18" ht="15" customHeight="1" x14ac:dyDescent="0.2">
      <c r="B109" s="43">
        <v>24</v>
      </c>
      <c r="C109" s="43" t="s">
        <v>65</v>
      </c>
      <c r="E109" s="43">
        <v>24</v>
      </c>
      <c r="F109" s="43" t="s">
        <v>65</v>
      </c>
      <c r="H109" s="43">
        <v>24</v>
      </c>
      <c r="I109" s="43" t="s">
        <v>104</v>
      </c>
      <c r="K109" s="43">
        <v>24</v>
      </c>
      <c r="L109" s="43" t="s">
        <v>65</v>
      </c>
      <c r="N109" s="43">
        <v>24</v>
      </c>
      <c r="O109" s="43" t="s">
        <v>65</v>
      </c>
      <c r="P109" s="11"/>
      <c r="Q109" s="43">
        <v>24</v>
      </c>
      <c r="R109" s="43" t="s">
        <v>123</v>
      </c>
    </row>
    <row r="110" spans="2:18" ht="15" customHeight="1" x14ac:dyDescent="0.2">
      <c r="B110" s="43">
        <v>7</v>
      </c>
      <c r="C110" s="43" t="s">
        <v>65</v>
      </c>
      <c r="E110" s="43">
        <v>7</v>
      </c>
      <c r="F110" s="43" t="s">
        <v>65</v>
      </c>
      <c r="H110" s="43">
        <v>7</v>
      </c>
      <c r="I110" s="43" t="s">
        <v>104</v>
      </c>
      <c r="K110" s="43">
        <v>7</v>
      </c>
      <c r="L110" s="43" t="s">
        <v>65</v>
      </c>
      <c r="N110" s="43">
        <v>7</v>
      </c>
      <c r="O110" s="43" t="s">
        <v>65</v>
      </c>
      <c r="P110" s="11"/>
      <c r="Q110" s="43">
        <v>7</v>
      </c>
      <c r="R110" s="43" t="s">
        <v>123</v>
      </c>
    </row>
    <row r="111" spans="2:18" ht="15" customHeight="1" x14ac:dyDescent="0.2">
      <c r="B111" s="43">
        <v>18</v>
      </c>
      <c r="C111" s="43" t="s">
        <v>65</v>
      </c>
      <c r="E111" s="43">
        <v>18</v>
      </c>
      <c r="F111" s="43" t="s">
        <v>65</v>
      </c>
      <c r="H111" s="43">
        <v>18</v>
      </c>
      <c r="I111" s="43" t="s">
        <v>104</v>
      </c>
      <c r="K111" s="43">
        <v>18</v>
      </c>
      <c r="L111" s="43" t="s">
        <v>65</v>
      </c>
      <c r="N111" s="43">
        <v>18</v>
      </c>
      <c r="O111" s="43" t="s">
        <v>65</v>
      </c>
      <c r="P111" s="11"/>
      <c r="Q111" s="43">
        <v>18</v>
      </c>
      <c r="R111" s="43" t="s">
        <v>123</v>
      </c>
    </row>
    <row r="112" spans="2:18" ht="15" customHeight="1" x14ac:dyDescent="0.2">
      <c r="B112" s="43">
        <v>19</v>
      </c>
      <c r="C112" s="43" t="s">
        <v>65</v>
      </c>
      <c r="E112" s="43">
        <v>19</v>
      </c>
      <c r="F112" s="43" t="s">
        <v>65</v>
      </c>
      <c r="H112" s="43">
        <v>19</v>
      </c>
      <c r="I112" s="43" t="s">
        <v>104</v>
      </c>
      <c r="K112" s="43">
        <v>19</v>
      </c>
      <c r="L112" s="43" t="s">
        <v>65</v>
      </c>
      <c r="N112" s="43">
        <v>19</v>
      </c>
      <c r="O112" s="43" t="s">
        <v>65</v>
      </c>
      <c r="P112" s="11"/>
      <c r="Q112" s="43">
        <v>19</v>
      </c>
      <c r="R112" s="43" t="s">
        <v>123</v>
      </c>
    </row>
    <row r="113" spans="2:18" ht="15" customHeight="1" x14ac:dyDescent="0.2">
      <c r="B113" s="43">
        <v>6</v>
      </c>
      <c r="C113" s="43" t="s">
        <v>65</v>
      </c>
      <c r="E113" s="43">
        <v>6</v>
      </c>
      <c r="F113" s="43" t="s">
        <v>65</v>
      </c>
      <c r="H113" s="43">
        <v>6</v>
      </c>
      <c r="I113" s="43" t="s">
        <v>104</v>
      </c>
      <c r="K113" s="43">
        <v>6</v>
      </c>
      <c r="L113" s="43" t="s">
        <v>65</v>
      </c>
      <c r="N113" s="43">
        <v>6</v>
      </c>
      <c r="O113" s="43" t="s">
        <v>65</v>
      </c>
      <c r="P113" s="11"/>
      <c r="Q113" s="43">
        <v>6</v>
      </c>
      <c r="R113" s="43" t="s">
        <v>123</v>
      </c>
    </row>
    <row r="114" spans="2:18" ht="15" customHeight="1" x14ac:dyDescent="0.2">
      <c r="B114" s="43">
        <v>21</v>
      </c>
      <c r="C114" s="43" t="s">
        <v>65</v>
      </c>
      <c r="E114" s="43">
        <v>21</v>
      </c>
      <c r="F114" s="43" t="s">
        <v>65</v>
      </c>
      <c r="H114" s="43">
        <v>21</v>
      </c>
      <c r="I114" s="43" t="s">
        <v>104</v>
      </c>
      <c r="K114" s="43">
        <v>21</v>
      </c>
      <c r="L114" s="43" t="s">
        <v>65</v>
      </c>
      <c r="N114" s="43">
        <v>21</v>
      </c>
      <c r="O114" s="43" t="s">
        <v>65</v>
      </c>
      <c r="P114" s="11"/>
      <c r="Q114" s="43">
        <v>21</v>
      </c>
      <c r="R114" s="43" t="s">
        <v>123</v>
      </c>
    </row>
    <row r="115" spans="2:18" ht="15" customHeight="1" x14ac:dyDescent="0.2">
      <c r="B115" s="43">
        <v>22</v>
      </c>
      <c r="C115" s="43" t="s">
        <v>65</v>
      </c>
      <c r="E115" s="43">
        <v>22</v>
      </c>
      <c r="F115" s="43" t="s">
        <v>65</v>
      </c>
      <c r="H115" s="43">
        <v>22</v>
      </c>
      <c r="I115" s="43" t="s">
        <v>104</v>
      </c>
      <c r="K115" s="43">
        <v>22</v>
      </c>
      <c r="L115" s="43" t="s">
        <v>65</v>
      </c>
      <c r="N115" s="43">
        <v>22</v>
      </c>
      <c r="O115" s="43" t="s">
        <v>65</v>
      </c>
      <c r="P115" s="11"/>
      <c r="Q115" s="43">
        <v>22</v>
      </c>
      <c r="R115" s="43" t="s">
        <v>123</v>
      </c>
    </row>
    <row r="116" spans="2:18" ht="15" customHeight="1" x14ac:dyDescent="0.2">
      <c r="B116" s="43">
        <v>8</v>
      </c>
      <c r="C116" s="43" t="s">
        <v>65</v>
      </c>
      <c r="E116" s="43">
        <v>8</v>
      </c>
      <c r="F116" s="43" t="s">
        <v>65</v>
      </c>
      <c r="H116" s="43">
        <v>8</v>
      </c>
      <c r="I116" s="43" t="s">
        <v>104</v>
      </c>
      <c r="K116" s="43">
        <v>8</v>
      </c>
      <c r="L116" s="43" t="s">
        <v>65</v>
      </c>
      <c r="N116" s="43">
        <v>8</v>
      </c>
      <c r="O116" s="43" t="s">
        <v>65</v>
      </c>
      <c r="P116" s="11"/>
      <c r="Q116" s="43">
        <v>8</v>
      </c>
      <c r="R116" s="43" t="s">
        <v>123</v>
      </c>
    </row>
    <row r="117" spans="2:18" ht="15" customHeight="1" x14ac:dyDescent="0.2">
      <c r="B117" s="43">
        <v>17</v>
      </c>
      <c r="C117" s="43" t="s">
        <v>65</v>
      </c>
      <c r="E117" s="43">
        <v>17</v>
      </c>
      <c r="F117" s="43" t="s">
        <v>65</v>
      </c>
      <c r="H117" s="43">
        <v>17</v>
      </c>
      <c r="I117" s="43" t="s">
        <v>104</v>
      </c>
      <c r="K117" s="43">
        <v>17</v>
      </c>
      <c r="L117" s="43" t="s">
        <v>65</v>
      </c>
      <c r="N117" s="43">
        <v>17</v>
      </c>
      <c r="O117" s="43" t="s">
        <v>65</v>
      </c>
      <c r="P117" s="11"/>
      <c r="Q117" s="43">
        <v>17</v>
      </c>
      <c r="R117" s="43" t="s">
        <v>123</v>
      </c>
    </row>
    <row r="118" spans="2:18" ht="15" customHeight="1" x14ac:dyDescent="0.2">
      <c r="B118" s="43">
        <v>1</v>
      </c>
      <c r="C118" s="43" t="s">
        <v>65</v>
      </c>
      <c r="E118" s="43">
        <v>1</v>
      </c>
      <c r="F118" s="43" t="s">
        <v>65</v>
      </c>
      <c r="H118" s="43">
        <v>1</v>
      </c>
      <c r="I118" s="43" t="s">
        <v>104</v>
      </c>
      <c r="K118" s="43">
        <v>1</v>
      </c>
      <c r="L118" s="43" t="s">
        <v>65</v>
      </c>
      <c r="N118" s="43">
        <v>1</v>
      </c>
      <c r="O118" s="43" t="s">
        <v>65</v>
      </c>
      <c r="P118" s="11"/>
      <c r="Q118" s="43">
        <v>1</v>
      </c>
      <c r="R118" s="43" t="s">
        <v>123</v>
      </c>
    </row>
    <row r="119" spans="2:18" ht="15" customHeight="1" x14ac:dyDescent="0.2">
      <c r="B119" s="43">
        <v>13</v>
      </c>
      <c r="C119" s="43" t="s">
        <v>65</v>
      </c>
      <c r="E119" s="43">
        <v>13</v>
      </c>
      <c r="F119" s="43" t="s">
        <v>65</v>
      </c>
      <c r="H119" s="43">
        <v>13</v>
      </c>
      <c r="I119" s="43" t="s">
        <v>104</v>
      </c>
      <c r="K119" s="43">
        <v>13</v>
      </c>
      <c r="L119" s="43" t="s">
        <v>65</v>
      </c>
      <c r="N119" s="43">
        <v>13</v>
      </c>
      <c r="O119" s="43" t="s">
        <v>65</v>
      </c>
      <c r="P119" s="11"/>
      <c r="Q119" s="43">
        <v>13</v>
      </c>
      <c r="R119" s="43" t="s">
        <v>123</v>
      </c>
    </row>
    <row r="120" spans="2:18" ht="15" customHeight="1" x14ac:dyDescent="0.2">
      <c r="B120" s="43">
        <v>9</v>
      </c>
      <c r="C120" s="43" t="s">
        <v>65</v>
      </c>
      <c r="E120" s="43">
        <v>9</v>
      </c>
      <c r="F120" s="43" t="s">
        <v>65</v>
      </c>
      <c r="H120" s="43">
        <v>9</v>
      </c>
      <c r="I120" s="43" t="s">
        <v>104</v>
      </c>
      <c r="K120" s="43">
        <v>9</v>
      </c>
      <c r="L120" s="43" t="s">
        <v>65</v>
      </c>
      <c r="N120" s="43">
        <v>9</v>
      </c>
      <c r="O120" s="43" t="s">
        <v>65</v>
      </c>
      <c r="P120" s="11"/>
      <c r="Q120" s="43">
        <v>9</v>
      </c>
      <c r="R120" s="43" t="s">
        <v>123</v>
      </c>
    </row>
    <row r="121" spans="2:18" ht="15" customHeight="1" x14ac:dyDescent="0.2">
      <c r="B121" s="43">
        <v>10</v>
      </c>
      <c r="C121" s="43" t="s">
        <v>65</v>
      </c>
      <c r="E121" s="43">
        <v>10</v>
      </c>
      <c r="F121" s="43" t="s">
        <v>65</v>
      </c>
      <c r="H121" s="43">
        <v>10</v>
      </c>
      <c r="I121" s="43" t="s">
        <v>104</v>
      </c>
      <c r="K121" s="43">
        <v>10</v>
      </c>
      <c r="L121" s="43" t="s">
        <v>65</v>
      </c>
      <c r="N121" s="43">
        <v>10</v>
      </c>
      <c r="O121" s="43" t="s">
        <v>65</v>
      </c>
      <c r="P121" s="11"/>
      <c r="Q121" s="43">
        <v>10</v>
      </c>
      <c r="R121" s="43" t="s">
        <v>123</v>
      </c>
    </row>
    <row r="122" spans="2:18" ht="15" customHeight="1" x14ac:dyDescent="0.2">
      <c r="B122" s="43">
        <v>14</v>
      </c>
      <c r="C122" s="43" t="s">
        <v>65</v>
      </c>
      <c r="E122" s="43">
        <v>14</v>
      </c>
      <c r="F122" s="43" t="s">
        <v>65</v>
      </c>
      <c r="H122" s="43">
        <v>14</v>
      </c>
      <c r="I122" s="43" t="s">
        <v>104</v>
      </c>
      <c r="K122" s="43">
        <v>14</v>
      </c>
      <c r="L122" s="43" t="s">
        <v>65</v>
      </c>
      <c r="N122" s="43">
        <v>14</v>
      </c>
      <c r="O122" s="43" t="s">
        <v>65</v>
      </c>
      <c r="P122" s="11"/>
      <c r="Q122" s="43">
        <v>14</v>
      </c>
      <c r="R122" s="43" t="s">
        <v>123</v>
      </c>
    </row>
    <row r="123" spans="2:18" ht="15" customHeight="1" x14ac:dyDescent="0.2">
      <c r="B123" s="43">
        <v>2</v>
      </c>
      <c r="C123" s="43" t="s">
        <v>65</v>
      </c>
      <c r="E123" s="43">
        <v>2</v>
      </c>
      <c r="F123" s="43" t="s">
        <v>65</v>
      </c>
      <c r="H123" s="43">
        <v>2</v>
      </c>
      <c r="I123" s="43" t="s">
        <v>104</v>
      </c>
      <c r="K123" s="43">
        <v>2</v>
      </c>
      <c r="L123" s="43" t="s">
        <v>65</v>
      </c>
      <c r="N123" s="43">
        <v>2</v>
      </c>
      <c r="O123" s="43" t="s">
        <v>65</v>
      </c>
      <c r="P123" s="11"/>
      <c r="Q123" s="43">
        <v>2</v>
      </c>
      <c r="R123" s="43" t="s">
        <v>123</v>
      </c>
    </row>
    <row r="124" spans="2:18" ht="15" customHeight="1" x14ac:dyDescent="0.2">
      <c r="B124" s="43">
        <v>229</v>
      </c>
      <c r="C124" s="43" t="s">
        <v>65</v>
      </c>
      <c r="E124" s="43">
        <v>229</v>
      </c>
      <c r="F124" s="43" t="s">
        <v>65</v>
      </c>
      <c r="H124" s="43">
        <v>229</v>
      </c>
      <c r="I124" s="43" t="s">
        <v>104</v>
      </c>
      <c r="K124" s="43">
        <v>229</v>
      </c>
      <c r="L124" s="43" t="s">
        <v>65</v>
      </c>
      <c r="N124" s="43">
        <v>229</v>
      </c>
      <c r="O124" s="43" t="s">
        <v>65</v>
      </c>
      <c r="P124" s="11"/>
      <c r="Q124" s="43">
        <v>229</v>
      </c>
      <c r="R124" s="43" t="s">
        <v>123</v>
      </c>
    </row>
    <row r="125" spans="2:18" ht="15" customHeight="1" x14ac:dyDescent="0.2">
      <c r="B125" s="43">
        <v>230</v>
      </c>
      <c r="C125" s="43" t="s">
        <v>65</v>
      </c>
      <c r="E125" s="43">
        <v>230</v>
      </c>
      <c r="F125" s="43" t="s">
        <v>65</v>
      </c>
      <c r="H125" s="43">
        <v>230</v>
      </c>
      <c r="I125" s="43" t="s">
        <v>104</v>
      </c>
      <c r="K125" s="43">
        <v>230</v>
      </c>
      <c r="L125" s="43" t="s">
        <v>65</v>
      </c>
      <c r="N125" s="43">
        <v>230</v>
      </c>
      <c r="O125" s="43" t="s">
        <v>65</v>
      </c>
      <c r="P125" s="11"/>
      <c r="Q125" s="43">
        <v>230</v>
      </c>
      <c r="R125" s="43" t="s">
        <v>123</v>
      </c>
    </row>
    <row r="126" spans="2:18" ht="15" customHeight="1" x14ac:dyDescent="0.2">
      <c r="B126" s="43">
        <v>231</v>
      </c>
      <c r="C126" s="43" t="s">
        <v>65</v>
      </c>
      <c r="E126" s="43">
        <v>231</v>
      </c>
      <c r="F126" s="43" t="s">
        <v>65</v>
      </c>
      <c r="H126" s="43">
        <v>231</v>
      </c>
      <c r="I126" s="43" t="s">
        <v>104</v>
      </c>
      <c r="K126" s="43">
        <v>231</v>
      </c>
      <c r="L126" s="43" t="s">
        <v>65</v>
      </c>
      <c r="N126" s="43">
        <v>231</v>
      </c>
      <c r="O126" s="43" t="s">
        <v>65</v>
      </c>
      <c r="P126" s="11"/>
      <c r="Q126" s="43">
        <v>231</v>
      </c>
      <c r="R126" s="43" t="s">
        <v>123</v>
      </c>
    </row>
    <row r="127" spans="2:18" ht="15" customHeight="1" x14ac:dyDescent="0.2">
      <c r="B127" s="43">
        <v>232</v>
      </c>
      <c r="C127" s="43" t="s">
        <v>65</v>
      </c>
      <c r="E127" s="43">
        <v>232</v>
      </c>
      <c r="F127" s="43" t="s">
        <v>65</v>
      </c>
      <c r="H127" s="43">
        <v>232</v>
      </c>
      <c r="I127" s="43" t="s">
        <v>104</v>
      </c>
      <c r="K127" s="43">
        <v>232</v>
      </c>
      <c r="L127" s="43" t="s">
        <v>65</v>
      </c>
      <c r="N127" s="43">
        <v>232</v>
      </c>
      <c r="O127" s="43" t="s">
        <v>65</v>
      </c>
      <c r="P127" s="11"/>
      <c r="Q127" s="43">
        <v>232</v>
      </c>
      <c r="R127" s="43" t="s">
        <v>123</v>
      </c>
    </row>
    <row r="128" spans="2:18" ht="15" customHeight="1" x14ac:dyDescent="0.2">
      <c r="B128" s="43">
        <v>233</v>
      </c>
      <c r="C128" s="43" t="s">
        <v>65</v>
      </c>
      <c r="E128" s="43">
        <v>233</v>
      </c>
      <c r="F128" s="43" t="s">
        <v>65</v>
      </c>
      <c r="H128" s="43">
        <v>233</v>
      </c>
      <c r="I128" s="43" t="s">
        <v>104</v>
      </c>
      <c r="K128" s="43">
        <v>233</v>
      </c>
      <c r="L128" s="43" t="s">
        <v>65</v>
      </c>
      <c r="N128" s="43">
        <v>233</v>
      </c>
      <c r="O128" s="43" t="s">
        <v>65</v>
      </c>
      <c r="P128" s="11"/>
      <c r="Q128" s="43">
        <v>233</v>
      </c>
      <c r="R128" s="43" t="s">
        <v>123</v>
      </c>
    </row>
    <row r="129" spans="2:18" ht="15" customHeight="1" x14ac:dyDescent="0.2">
      <c r="B129" s="43">
        <v>211</v>
      </c>
      <c r="C129" s="43" t="s">
        <v>65</v>
      </c>
      <c r="E129" s="43">
        <v>211</v>
      </c>
      <c r="F129" s="43" t="s">
        <v>65</v>
      </c>
      <c r="H129" s="43">
        <v>211</v>
      </c>
      <c r="I129" s="43" t="s">
        <v>104</v>
      </c>
      <c r="K129" s="43">
        <v>211</v>
      </c>
      <c r="L129" s="43" t="s">
        <v>65</v>
      </c>
      <c r="N129" s="43">
        <v>211</v>
      </c>
      <c r="O129" s="43" t="s">
        <v>65</v>
      </c>
      <c r="P129" s="11"/>
      <c r="Q129" s="43">
        <v>211</v>
      </c>
      <c r="R129" s="43" t="s">
        <v>123</v>
      </c>
    </row>
    <row r="130" spans="2:18" ht="15" customHeight="1" x14ac:dyDescent="0.2">
      <c r="B130" s="43">
        <v>214</v>
      </c>
      <c r="C130" s="43" t="s">
        <v>65</v>
      </c>
      <c r="E130" s="43">
        <v>214</v>
      </c>
      <c r="F130" s="43" t="s">
        <v>65</v>
      </c>
      <c r="H130" s="43">
        <v>214</v>
      </c>
      <c r="I130" s="43" t="s">
        <v>104</v>
      </c>
      <c r="K130" s="43">
        <v>214</v>
      </c>
      <c r="L130" s="43" t="s">
        <v>65</v>
      </c>
      <c r="N130" s="43">
        <v>214</v>
      </c>
      <c r="O130" s="43" t="s">
        <v>65</v>
      </c>
      <c r="P130" s="11"/>
      <c r="Q130" s="43">
        <v>214</v>
      </c>
      <c r="R130" s="43" t="s">
        <v>123</v>
      </c>
    </row>
    <row r="131" spans="2:18" ht="15" customHeight="1" x14ac:dyDescent="0.2">
      <c r="B131" s="43">
        <v>217</v>
      </c>
      <c r="C131" s="43" t="s">
        <v>65</v>
      </c>
      <c r="E131" s="43">
        <v>217</v>
      </c>
      <c r="F131" s="43" t="s">
        <v>65</v>
      </c>
      <c r="H131" s="43">
        <v>217</v>
      </c>
      <c r="I131" s="43" t="s">
        <v>104</v>
      </c>
      <c r="K131" s="43">
        <v>217</v>
      </c>
      <c r="L131" s="43" t="s">
        <v>65</v>
      </c>
      <c r="N131" s="43">
        <v>217</v>
      </c>
      <c r="O131" s="43" t="s">
        <v>65</v>
      </c>
      <c r="P131" s="11"/>
      <c r="Q131" s="43">
        <v>217</v>
      </c>
      <c r="R131" s="43" t="s">
        <v>123</v>
      </c>
    </row>
    <row r="132" spans="2:18" ht="15" customHeight="1" x14ac:dyDescent="0.2">
      <c r="B132" s="43">
        <v>220</v>
      </c>
      <c r="C132" s="43" t="s">
        <v>65</v>
      </c>
      <c r="E132" s="43">
        <v>220</v>
      </c>
      <c r="F132" s="43" t="s">
        <v>65</v>
      </c>
      <c r="H132" s="43">
        <v>220</v>
      </c>
      <c r="I132" s="43" t="s">
        <v>104</v>
      </c>
      <c r="K132" s="43">
        <v>220</v>
      </c>
      <c r="L132" s="43" t="s">
        <v>65</v>
      </c>
      <c r="N132" s="43">
        <v>220</v>
      </c>
      <c r="O132" s="43" t="s">
        <v>65</v>
      </c>
      <c r="P132" s="11"/>
      <c r="Q132" s="43">
        <v>220</v>
      </c>
      <c r="R132" s="43" t="s">
        <v>123</v>
      </c>
    </row>
    <row r="133" spans="2:18" ht="15" customHeight="1" x14ac:dyDescent="0.2">
      <c r="B133" s="43">
        <v>223</v>
      </c>
      <c r="C133" s="43" t="s">
        <v>65</v>
      </c>
      <c r="E133" s="43">
        <v>223</v>
      </c>
      <c r="F133" s="43" t="s">
        <v>65</v>
      </c>
      <c r="H133" s="43">
        <v>223</v>
      </c>
      <c r="I133" s="43" t="s">
        <v>104</v>
      </c>
      <c r="K133" s="43">
        <v>223</v>
      </c>
      <c r="L133" s="43" t="s">
        <v>65</v>
      </c>
      <c r="N133" s="43">
        <v>223</v>
      </c>
      <c r="O133" s="43" t="s">
        <v>65</v>
      </c>
      <c r="P133" s="11"/>
      <c r="Q133" s="43">
        <v>223</v>
      </c>
      <c r="R133" s="43" t="s">
        <v>123</v>
      </c>
    </row>
    <row r="134" spans="2:18" ht="15" customHeight="1" x14ac:dyDescent="0.2">
      <c r="B134" s="43">
        <v>226</v>
      </c>
      <c r="C134" s="43" t="s">
        <v>65</v>
      </c>
      <c r="E134" s="43">
        <v>226</v>
      </c>
      <c r="F134" s="43" t="s">
        <v>65</v>
      </c>
      <c r="H134" s="43">
        <v>226</v>
      </c>
      <c r="I134" s="43" t="s">
        <v>104</v>
      </c>
      <c r="K134" s="43">
        <v>226</v>
      </c>
      <c r="L134" s="43" t="s">
        <v>65</v>
      </c>
      <c r="N134" s="43">
        <v>226</v>
      </c>
      <c r="O134" s="43" t="s">
        <v>65</v>
      </c>
      <c r="P134" s="11"/>
      <c r="Q134" s="43">
        <v>226</v>
      </c>
      <c r="R134" s="43" t="s">
        <v>123</v>
      </c>
    </row>
    <row r="135" spans="2:18" ht="15" customHeight="1" x14ac:dyDescent="0.2">
      <c r="B135" s="43">
        <v>234</v>
      </c>
      <c r="C135" s="43" t="s">
        <v>65</v>
      </c>
      <c r="E135" s="43">
        <v>234</v>
      </c>
      <c r="F135" s="43" t="s">
        <v>65</v>
      </c>
      <c r="H135" s="43">
        <v>234</v>
      </c>
      <c r="I135" s="43" t="s">
        <v>104</v>
      </c>
      <c r="K135" s="43">
        <v>234</v>
      </c>
      <c r="L135" s="43" t="s">
        <v>65</v>
      </c>
      <c r="N135" s="43">
        <v>234</v>
      </c>
      <c r="O135" s="43" t="s">
        <v>65</v>
      </c>
      <c r="P135" s="11"/>
      <c r="Q135" s="43">
        <v>234</v>
      </c>
      <c r="R135" s="43" t="s">
        <v>123</v>
      </c>
    </row>
    <row r="136" spans="2:18" ht="15" customHeight="1" x14ac:dyDescent="0.2">
      <c r="B136" s="43">
        <v>235</v>
      </c>
      <c r="C136" s="43" t="s">
        <v>65</v>
      </c>
      <c r="E136" s="43">
        <v>235</v>
      </c>
      <c r="F136" s="43" t="s">
        <v>65</v>
      </c>
      <c r="H136" s="43">
        <v>235</v>
      </c>
      <c r="I136" s="43" t="s">
        <v>104</v>
      </c>
      <c r="K136" s="43">
        <v>235</v>
      </c>
      <c r="L136" s="43" t="s">
        <v>65</v>
      </c>
      <c r="N136" s="43">
        <v>235</v>
      </c>
      <c r="O136" s="43" t="s">
        <v>65</v>
      </c>
      <c r="P136" s="11"/>
      <c r="Q136" s="43">
        <v>235</v>
      </c>
      <c r="R136" s="43" t="s">
        <v>123</v>
      </c>
    </row>
    <row r="137" spans="2:18" ht="15" customHeight="1" x14ac:dyDescent="0.2">
      <c r="B137" s="43">
        <v>236</v>
      </c>
      <c r="C137" s="43" t="s">
        <v>65</v>
      </c>
      <c r="E137" s="43">
        <v>236</v>
      </c>
      <c r="F137" s="43" t="s">
        <v>65</v>
      </c>
      <c r="H137" s="43">
        <v>236</v>
      </c>
      <c r="I137" s="43" t="s">
        <v>104</v>
      </c>
      <c r="K137" s="43">
        <v>236</v>
      </c>
      <c r="L137" s="43" t="s">
        <v>65</v>
      </c>
      <c r="N137" s="43">
        <v>236</v>
      </c>
      <c r="O137" s="43" t="s">
        <v>65</v>
      </c>
      <c r="P137" s="11"/>
      <c r="Q137" s="43">
        <v>236</v>
      </c>
      <c r="R137" s="43" t="s">
        <v>123</v>
      </c>
    </row>
    <row r="138" spans="2:18" ht="15" customHeight="1" x14ac:dyDescent="0.2">
      <c r="B138" s="43">
        <v>237</v>
      </c>
      <c r="C138" s="43" t="s">
        <v>65</v>
      </c>
      <c r="E138" s="43">
        <v>237</v>
      </c>
      <c r="F138" s="43" t="s">
        <v>65</v>
      </c>
      <c r="H138" s="43">
        <v>237</v>
      </c>
      <c r="I138" s="43" t="s">
        <v>104</v>
      </c>
      <c r="K138" s="43">
        <v>237</v>
      </c>
      <c r="L138" s="43" t="s">
        <v>65</v>
      </c>
      <c r="N138" s="43">
        <v>237</v>
      </c>
      <c r="O138" s="43" t="s">
        <v>65</v>
      </c>
      <c r="P138" s="11"/>
      <c r="Q138" s="43">
        <v>237</v>
      </c>
      <c r="R138" s="43" t="s">
        <v>123</v>
      </c>
    </row>
    <row r="139" spans="2:18" ht="15" customHeight="1" x14ac:dyDescent="0.2">
      <c r="B139" s="43">
        <v>238</v>
      </c>
      <c r="C139" s="43" t="s">
        <v>65</v>
      </c>
      <c r="E139" s="43">
        <v>238</v>
      </c>
      <c r="F139" s="43" t="s">
        <v>65</v>
      </c>
      <c r="H139" s="43">
        <v>238</v>
      </c>
      <c r="I139" s="43" t="s">
        <v>104</v>
      </c>
      <c r="K139" s="43">
        <v>238</v>
      </c>
      <c r="L139" s="43" t="s">
        <v>65</v>
      </c>
      <c r="N139" s="43">
        <v>238</v>
      </c>
      <c r="O139" s="43" t="s">
        <v>65</v>
      </c>
      <c r="P139" s="11"/>
      <c r="Q139" s="43">
        <v>238</v>
      </c>
      <c r="R139" s="43" t="s">
        <v>123</v>
      </c>
    </row>
    <row r="140" spans="2:18" ht="15" customHeight="1" x14ac:dyDescent="0.2">
      <c r="B140" s="43">
        <v>212</v>
      </c>
      <c r="C140" s="43" t="s">
        <v>65</v>
      </c>
      <c r="E140" s="43">
        <v>212</v>
      </c>
      <c r="F140" s="43" t="s">
        <v>65</v>
      </c>
      <c r="H140" s="43">
        <v>212</v>
      </c>
      <c r="I140" s="43" t="s">
        <v>104</v>
      </c>
      <c r="K140" s="43">
        <v>212</v>
      </c>
      <c r="L140" s="43" t="s">
        <v>65</v>
      </c>
      <c r="N140" s="43">
        <v>212</v>
      </c>
      <c r="O140" s="43" t="s">
        <v>65</v>
      </c>
      <c r="P140" s="11"/>
      <c r="Q140" s="43">
        <v>212</v>
      </c>
      <c r="R140" s="43" t="s">
        <v>123</v>
      </c>
    </row>
    <row r="141" spans="2:18" ht="15" customHeight="1" x14ac:dyDescent="0.2">
      <c r="B141" s="43">
        <v>215</v>
      </c>
      <c r="C141" s="43" t="s">
        <v>65</v>
      </c>
      <c r="E141" s="43">
        <v>215</v>
      </c>
      <c r="F141" s="43" t="s">
        <v>65</v>
      </c>
      <c r="H141" s="43">
        <v>215</v>
      </c>
      <c r="I141" s="43" t="s">
        <v>104</v>
      </c>
      <c r="K141" s="43">
        <v>215</v>
      </c>
      <c r="L141" s="43" t="s">
        <v>65</v>
      </c>
      <c r="N141" s="43">
        <v>215</v>
      </c>
      <c r="O141" s="43" t="s">
        <v>65</v>
      </c>
      <c r="P141" s="11"/>
      <c r="Q141" s="43">
        <v>215</v>
      </c>
      <c r="R141" s="43" t="s">
        <v>123</v>
      </c>
    </row>
    <row r="142" spans="2:18" ht="15" customHeight="1" x14ac:dyDescent="0.2">
      <c r="B142" s="43">
        <v>218</v>
      </c>
      <c r="C142" s="43" t="s">
        <v>65</v>
      </c>
      <c r="E142" s="43">
        <v>218</v>
      </c>
      <c r="F142" s="43" t="s">
        <v>65</v>
      </c>
      <c r="H142" s="43">
        <v>218</v>
      </c>
      <c r="I142" s="43" t="s">
        <v>104</v>
      </c>
      <c r="K142" s="43">
        <v>218</v>
      </c>
      <c r="L142" s="43" t="s">
        <v>65</v>
      </c>
      <c r="N142" s="43">
        <v>218</v>
      </c>
      <c r="O142" s="43" t="s">
        <v>65</v>
      </c>
      <c r="P142" s="11"/>
      <c r="Q142" s="43">
        <v>218</v>
      </c>
      <c r="R142" s="43" t="s">
        <v>123</v>
      </c>
    </row>
    <row r="143" spans="2:18" ht="15" customHeight="1" x14ac:dyDescent="0.2">
      <c r="B143" s="43">
        <v>221</v>
      </c>
      <c r="C143" s="43" t="s">
        <v>65</v>
      </c>
      <c r="E143" s="43">
        <v>221</v>
      </c>
      <c r="F143" s="43" t="s">
        <v>65</v>
      </c>
      <c r="H143" s="43">
        <v>221</v>
      </c>
      <c r="I143" s="43" t="s">
        <v>104</v>
      </c>
      <c r="K143" s="43">
        <v>221</v>
      </c>
      <c r="L143" s="43" t="s">
        <v>65</v>
      </c>
      <c r="N143" s="43">
        <v>221</v>
      </c>
      <c r="O143" s="43" t="s">
        <v>65</v>
      </c>
      <c r="P143" s="11"/>
      <c r="Q143" s="43">
        <v>221</v>
      </c>
      <c r="R143" s="43" t="s">
        <v>123</v>
      </c>
    </row>
    <row r="144" spans="2:18" ht="15" customHeight="1" x14ac:dyDescent="0.2">
      <c r="B144" s="43">
        <v>224</v>
      </c>
      <c r="C144" s="43" t="s">
        <v>65</v>
      </c>
      <c r="E144" s="43">
        <v>224</v>
      </c>
      <c r="F144" s="43" t="s">
        <v>65</v>
      </c>
      <c r="H144" s="43">
        <v>224</v>
      </c>
      <c r="I144" s="43" t="s">
        <v>104</v>
      </c>
      <c r="K144" s="43">
        <v>224</v>
      </c>
      <c r="L144" s="43" t="s">
        <v>65</v>
      </c>
      <c r="N144" s="43">
        <v>224</v>
      </c>
      <c r="O144" s="43" t="s">
        <v>65</v>
      </c>
      <c r="P144" s="11"/>
      <c r="Q144" s="43">
        <v>224</v>
      </c>
      <c r="R144" s="43" t="s">
        <v>123</v>
      </c>
    </row>
    <row r="145" spans="2:18" ht="15" customHeight="1" x14ac:dyDescent="0.2">
      <c r="B145" s="43">
        <v>227</v>
      </c>
      <c r="C145" s="43" t="s">
        <v>65</v>
      </c>
      <c r="E145" s="43">
        <v>227</v>
      </c>
      <c r="F145" s="43" t="s">
        <v>65</v>
      </c>
      <c r="H145" s="43">
        <v>227</v>
      </c>
      <c r="I145" s="43" t="s">
        <v>104</v>
      </c>
      <c r="K145" s="43">
        <v>227</v>
      </c>
      <c r="L145" s="43" t="s">
        <v>65</v>
      </c>
      <c r="N145" s="43">
        <v>227</v>
      </c>
      <c r="O145" s="43" t="s">
        <v>65</v>
      </c>
      <c r="P145" s="11"/>
      <c r="Q145" s="43">
        <v>227</v>
      </c>
      <c r="R145" s="43" t="s">
        <v>123</v>
      </c>
    </row>
    <row r="146" spans="2:18" ht="15" customHeight="1" x14ac:dyDescent="0.2">
      <c r="B146" s="43">
        <v>239</v>
      </c>
      <c r="C146" s="43" t="s">
        <v>65</v>
      </c>
      <c r="E146" s="43">
        <v>239</v>
      </c>
      <c r="F146" s="43" t="s">
        <v>65</v>
      </c>
      <c r="H146" s="43">
        <v>239</v>
      </c>
      <c r="I146" s="43" t="s">
        <v>104</v>
      </c>
      <c r="K146" s="43">
        <v>239</v>
      </c>
      <c r="L146" s="43" t="s">
        <v>65</v>
      </c>
      <c r="N146" s="43">
        <v>239</v>
      </c>
      <c r="O146" s="43" t="s">
        <v>65</v>
      </c>
      <c r="P146" s="11"/>
      <c r="Q146" s="43">
        <v>239</v>
      </c>
      <c r="R146" s="43" t="s">
        <v>123</v>
      </c>
    </row>
    <row r="147" spans="2:18" ht="15" customHeight="1" x14ac:dyDescent="0.2">
      <c r="B147" s="43">
        <v>240</v>
      </c>
      <c r="C147" s="43" t="s">
        <v>65</v>
      </c>
      <c r="E147" s="43">
        <v>240</v>
      </c>
      <c r="F147" s="43" t="s">
        <v>65</v>
      </c>
      <c r="H147" s="43">
        <v>240</v>
      </c>
      <c r="I147" s="43" t="s">
        <v>104</v>
      </c>
      <c r="K147" s="43">
        <v>240</v>
      </c>
      <c r="L147" s="43" t="s">
        <v>65</v>
      </c>
      <c r="N147" s="43">
        <v>240</v>
      </c>
      <c r="O147" s="43" t="s">
        <v>65</v>
      </c>
      <c r="P147" s="11"/>
      <c r="Q147" s="43">
        <v>240</v>
      </c>
      <c r="R147" s="43" t="s">
        <v>123</v>
      </c>
    </row>
    <row r="148" spans="2:18" ht="15" customHeight="1" x14ac:dyDescent="0.2">
      <c r="B148" s="43">
        <v>241</v>
      </c>
      <c r="C148" s="43" t="s">
        <v>65</v>
      </c>
      <c r="E148" s="43">
        <v>241</v>
      </c>
      <c r="F148" s="43" t="s">
        <v>65</v>
      </c>
      <c r="H148" s="43">
        <v>241</v>
      </c>
      <c r="I148" s="43" t="s">
        <v>104</v>
      </c>
      <c r="K148" s="43">
        <v>241</v>
      </c>
      <c r="L148" s="43" t="s">
        <v>65</v>
      </c>
      <c r="N148" s="43">
        <v>241</v>
      </c>
      <c r="O148" s="43" t="s">
        <v>65</v>
      </c>
      <c r="P148" s="11"/>
      <c r="Q148" s="43">
        <v>241</v>
      </c>
      <c r="R148" s="43" t="s">
        <v>123</v>
      </c>
    </row>
    <row r="149" spans="2:18" ht="15" customHeight="1" x14ac:dyDescent="0.2">
      <c r="B149" s="43">
        <v>242</v>
      </c>
      <c r="C149" s="43" t="s">
        <v>65</v>
      </c>
      <c r="E149" s="43">
        <v>242</v>
      </c>
      <c r="F149" s="43" t="s">
        <v>65</v>
      </c>
      <c r="H149" s="43">
        <v>242</v>
      </c>
      <c r="I149" s="43" t="s">
        <v>104</v>
      </c>
      <c r="K149" s="43">
        <v>242</v>
      </c>
      <c r="L149" s="43" t="s">
        <v>65</v>
      </c>
      <c r="N149" s="43">
        <v>242</v>
      </c>
      <c r="O149" s="43" t="s">
        <v>65</v>
      </c>
      <c r="P149" s="11"/>
      <c r="Q149" s="43">
        <v>242</v>
      </c>
      <c r="R149" s="43" t="s">
        <v>123</v>
      </c>
    </row>
    <row r="150" spans="2:18" ht="15" customHeight="1" x14ac:dyDescent="0.2">
      <c r="B150" s="43">
        <v>243</v>
      </c>
      <c r="C150" s="43" t="s">
        <v>65</v>
      </c>
      <c r="E150" s="43">
        <v>243</v>
      </c>
      <c r="F150" s="43" t="s">
        <v>65</v>
      </c>
      <c r="H150" s="43">
        <v>243</v>
      </c>
      <c r="I150" s="43" t="s">
        <v>104</v>
      </c>
      <c r="K150" s="43">
        <v>243</v>
      </c>
      <c r="L150" s="43" t="s">
        <v>65</v>
      </c>
      <c r="N150" s="43">
        <v>243</v>
      </c>
      <c r="O150" s="43" t="s">
        <v>65</v>
      </c>
      <c r="P150" s="11"/>
      <c r="Q150" s="43">
        <v>243</v>
      </c>
      <c r="R150" s="43" t="s">
        <v>123</v>
      </c>
    </row>
    <row r="151" spans="2:18" ht="15" customHeight="1" x14ac:dyDescent="0.2">
      <c r="B151" s="43">
        <v>213</v>
      </c>
      <c r="C151" s="43" t="s">
        <v>65</v>
      </c>
      <c r="E151" s="43">
        <v>213</v>
      </c>
      <c r="F151" s="43" t="s">
        <v>65</v>
      </c>
      <c r="H151" s="43">
        <v>213</v>
      </c>
      <c r="I151" s="43" t="s">
        <v>104</v>
      </c>
      <c r="K151" s="43">
        <v>213</v>
      </c>
      <c r="L151" s="43" t="s">
        <v>65</v>
      </c>
      <c r="N151" s="43">
        <v>213</v>
      </c>
      <c r="O151" s="43" t="s">
        <v>65</v>
      </c>
      <c r="P151" s="11"/>
      <c r="Q151" s="43">
        <v>213</v>
      </c>
      <c r="R151" s="43" t="s">
        <v>123</v>
      </c>
    </row>
    <row r="152" spans="2:18" ht="15" customHeight="1" x14ac:dyDescent="0.2">
      <c r="B152" s="43">
        <v>216</v>
      </c>
      <c r="C152" s="43" t="s">
        <v>65</v>
      </c>
      <c r="E152" s="43">
        <v>216</v>
      </c>
      <c r="F152" s="43" t="s">
        <v>65</v>
      </c>
      <c r="H152" s="43">
        <v>216</v>
      </c>
      <c r="I152" s="43" t="s">
        <v>104</v>
      </c>
      <c r="K152" s="43">
        <v>216</v>
      </c>
      <c r="L152" s="43" t="s">
        <v>65</v>
      </c>
      <c r="N152" s="43">
        <v>216</v>
      </c>
      <c r="O152" s="43" t="s">
        <v>65</v>
      </c>
      <c r="P152" s="11"/>
      <c r="Q152" s="43">
        <v>216</v>
      </c>
      <c r="R152" s="43" t="s">
        <v>123</v>
      </c>
    </row>
    <row r="153" spans="2:18" ht="15" customHeight="1" x14ac:dyDescent="0.2">
      <c r="B153" s="43">
        <v>219</v>
      </c>
      <c r="C153" s="43" t="s">
        <v>65</v>
      </c>
      <c r="E153" s="43">
        <v>219</v>
      </c>
      <c r="F153" s="43" t="s">
        <v>65</v>
      </c>
      <c r="H153" s="43">
        <v>219</v>
      </c>
      <c r="I153" s="43" t="s">
        <v>104</v>
      </c>
      <c r="K153" s="43">
        <v>219</v>
      </c>
      <c r="L153" s="43" t="s">
        <v>65</v>
      </c>
      <c r="N153" s="43">
        <v>219</v>
      </c>
      <c r="O153" s="43" t="s">
        <v>65</v>
      </c>
      <c r="P153" s="11"/>
      <c r="Q153" s="43">
        <v>219</v>
      </c>
      <c r="R153" s="43" t="s">
        <v>123</v>
      </c>
    </row>
    <row r="154" spans="2:18" ht="15" customHeight="1" x14ac:dyDescent="0.2">
      <c r="B154" s="43">
        <v>222</v>
      </c>
      <c r="C154" s="43" t="s">
        <v>65</v>
      </c>
      <c r="E154" s="43">
        <v>222</v>
      </c>
      <c r="F154" s="43" t="s">
        <v>65</v>
      </c>
      <c r="H154" s="43">
        <v>222</v>
      </c>
      <c r="I154" s="43" t="s">
        <v>104</v>
      </c>
      <c r="K154" s="43">
        <v>222</v>
      </c>
      <c r="L154" s="43" t="s">
        <v>65</v>
      </c>
      <c r="N154" s="43">
        <v>222</v>
      </c>
      <c r="O154" s="43" t="s">
        <v>65</v>
      </c>
      <c r="P154" s="11"/>
      <c r="Q154" s="43">
        <v>222</v>
      </c>
      <c r="R154" s="43" t="s">
        <v>123</v>
      </c>
    </row>
    <row r="155" spans="2:18" ht="15" customHeight="1" x14ac:dyDescent="0.2">
      <c r="B155" s="43">
        <v>225</v>
      </c>
      <c r="C155" s="43" t="s">
        <v>65</v>
      </c>
      <c r="E155" s="43">
        <v>225</v>
      </c>
      <c r="F155" s="43" t="s">
        <v>65</v>
      </c>
      <c r="H155" s="43">
        <v>225</v>
      </c>
      <c r="I155" s="43" t="s">
        <v>104</v>
      </c>
      <c r="K155" s="43">
        <v>225</v>
      </c>
      <c r="L155" s="43" t="s">
        <v>65</v>
      </c>
      <c r="N155" s="43">
        <v>225</v>
      </c>
      <c r="O155" s="43" t="s">
        <v>65</v>
      </c>
      <c r="P155" s="11"/>
      <c r="Q155" s="43">
        <v>225</v>
      </c>
      <c r="R155" s="43" t="s">
        <v>123</v>
      </c>
    </row>
    <row r="156" spans="2:18" ht="15" customHeight="1" x14ac:dyDescent="0.2">
      <c r="B156" s="43">
        <v>228</v>
      </c>
      <c r="C156" s="43" t="s">
        <v>65</v>
      </c>
      <c r="E156" s="43">
        <v>228</v>
      </c>
      <c r="F156" s="43" t="s">
        <v>65</v>
      </c>
      <c r="H156" s="43">
        <v>228</v>
      </c>
      <c r="I156" s="43" t="s">
        <v>104</v>
      </c>
      <c r="K156" s="43">
        <v>228</v>
      </c>
      <c r="L156" s="43" t="s">
        <v>65</v>
      </c>
      <c r="N156" s="43">
        <v>228</v>
      </c>
      <c r="O156" s="43" t="s">
        <v>65</v>
      </c>
      <c r="P156" s="11"/>
      <c r="Q156" s="43">
        <v>228</v>
      </c>
      <c r="R156" s="43" t="s">
        <v>123</v>
      </c>
    </row>
    <row r="157" spans="2:18" ht="15" customHeight="1" x14ac:dyDescent="0.2">
      <c r="B157" s="43">
        <v>244</v>
      </c>
      <c r="C157" s="43" t="s">
        <v>65</v>
      </c>
      <c r="E157" s="43">
        <v>244</v>
      </c>
      <c r="F157" s="43" t="s">
        <v>65</v>
      </c>
      <c r="H157" s="43">
        <v>244</v>
      </c>
      <c r="I157" s="43" t="s">
        <v>104</v>
      </c>
      <c r="K157" s="43">
        <v>244</v>
      </c>
      <c r="L157" s="43" t="s">
        <v>65</v>
      </c>
      <c r="N157" s="43">
        <v>244</v>
      </c>
      <c r="O157" s="43" t="s">
        <v>65</v>
      </c>
      <c r="P157" s="11"/>
      <c r="Q157" s="43">
        <v>244</v>
      </c>
      <c r="R157" s="43" t="s">
        <v>123</v>
      </c>
    </row>
    <row r="158" spans="2:18" ht="15" customHeight="1" x14ac:dyDescent="0.2">
      <c r="B158" s="43">
        <v>245</v>
      </c>
      <c r="C158" s="43" t="s">
        <v>65</v>
      </c>
      <c r="E158" s="43">
        <v>245</v>
      </c>
      <c r="F158" s="43" t="s">
        <v>65</v>
      </c>
      <c r="H158" s="43">
        <v>245</v>
      </c>
      <c r="I158" s="43" t="s">
        <v>104</v>
      </c>
      <c r="K158" s="43">
        <v>245</v>
      </c>
      <c r="L158" s="43" t="s">
        <v>65</v>
      </c>
      <c r="N158" s="43">
        <v>245</v>
      </c>
      <c r="O158" s="43" t="s">
        <v>65</v>
      </c>
      <c r="P158" s="11"/>
      <c r="Q158" s="43">
        <v>245</v>
      </c>
      <c r="R158" s="43" t="s">
        <v>123</v>
      </c>
    </row>
    <row r="159" spans="2:18" ht="15" customHeight="1" x14ac:dyDescent="0.2">
      <c r="B159" s="43">
        <v>246</v>
      </c>
      <c r="C159" s="43" t="s">
        <v>65</v>
      </c>
      <c r="E159" s="43">
        <v>246</v>
      </c>
      <c r="F159" s="43" t="s">
        <v>65</v>
      </c>
      <c r="H159" s="43">
        <v>246</v>
      </c>
      <c r="I159" s="43" t="s">
        <v>104</v>
      </c>
      <c r="K159" s="43">
        <v>246</v>
      </c>
      <c r="L159" s="43" t="s">
        <v>65</v>
      </c>
      <c r="N159" s="43">
        <v>246</v>
      </c>
      <c r="O159" s="43" t="s">
        <v>65</v>
      </c>
      <c r="P159" s="11"/>
      <c r="Q159" s="43">
        <v>246</v>
      </c>
      <c r="R159" s="43" t="s">
        <v>123</v>
      </c>
    </row>
    <row r="160" spans="2:18" ht="15" customHeight="1" x14ac:dyDescent="0.2">
      <c r="B160" s="43">
        <v>247</v>
      </c>
      <c r="C160" s="43" t="s">
        <v>65</v>
      </c>
      <c r="E160" s="43">
        <v>247</v>
      </c>
      <c r="F160" s="43" t="s">
        <v>65</v>
      </c>
      <c r="H160" s="43">
        <v>247</v>
      </c>
      <c r="I160" s="43" t="s">
        <v>104</v>
      </c>
      <c r="K160" s="43">
        <v>247</v>
      </c>
      <c r="L160" s="43" t="s">
        <v>65</v>
      </c>
      <c r="N160" s="43">
        <v>247</v>
      </c>
      <c r="O160" s="43" t="s">
        <v>65</v>
      </c>
      <c r="P160" s="11"/>
      <c r="Q160" s="43">
        <v>247</v>
      </c>
      <c r="R160" s="43" t="s">
        <v>123</v>
      </c>
    </row>
    <row r="161" spans="2:18" ht="15" customHeight="1" x14ac:dyDescent="0.2">
      <c r="B161" s="43">
        <v>248</v>
      </c>
      <c r="C161" s="43" t="s">
        <v>65</v>
      </c>
      <c r="E161" s="43">
        <v>248</v>
      </c>
      <c r="F161" s="43" t="s">
        <v>65</v>
      </c>
      <c r="H161" s="43">
        <v>248</v>
      </c>
      <c r="I161" s="43" t="s">
        <v>104</v>
      </c>
      <c r="K161" s="43">
        <v>248</v>
      </c>
      <c r="L161" s="43" t="s">
        <v>65</v>
      </c>
      <c r="N161" s="43">
        <v>248</v>
      </c>
      <c r="O161" s="43" t="s">
        <v>65</v>
      </c>
      <c r="P161" s="11"/>
      <c r="Q161" s="43">
        <v>248</v>
      </c>
      <c r="R161" s="43" t="s">
        <v>123</v>
      </c>
    </row>
    <row r="162" spans="2:18" ht="15" customHeight="1" x14ac:dyDescent="0.2">
      <c r="B162" s="43">
        <v>291</v>
      </c>
      <c r="C162" s="43" t="s">
        <v>65</v>
      </c>
      <c r="E162" s="43">
        <v>291</v>
      </c>
      <c r="F162" s="43" t="s">
        <v>65</v>
      </c>
      <c r="H162" s="43">
        <v>291</v>
      </c>
      <c r="I162" s="43" t="s">
        <v>104</v>
      </c>
      <c r="K162" s="43">
        <v>291</v>
      </c>
      <c r="L162" s="43" t="s">
        <v>65</v>
      </c>
      <c r="N162" s="43">
        <v>291</v>
      </c>
      <c r="O162" s="43" t="s">
        <v>65</v>
      </c>
      <c r="P162" s="11"/>
      <c r="Q162" s="43">
        <v>291</v>
      </c>
      <c r="R162" s="43" t="s">
        <v>123</v>
      </c>
    </row>
    <row r="163" spans="2:18" ht="15" customHeight="1" x14ac:dyDescent="0.2">
      <c r="B163" s="43">
        <v>292</v>
      </c>
      <c r="C163" s="43" t="s">
        <v>65</v>
      </c>
      <c r="E163" s="43">
        <v>292</v>
      </c>
      <c r="F163" s="43" t="s">
        <v>65</v>
      </c>
      <c r="H163" s="43">
        <v>292</v>
      </c>
      <c r="I163" s="43" t="s">
        <v>104</v>
      </c>
      <c r="K163" s="43">
        <v>292</v>
      </c>
      <c r="L163" s="43" t="s">
        <v>65</v>
      </c>
      <c r="N163" s="43">
        <v>292</v>
      </c>
      <c r="O163" s="43" t="s">
        <v>65</v>
      </c>
      <c r="P163" s="11"/>
      <c r="Q163" s="43">
        <v>292</v>
      </c>
      <c r="R163" s="43" t="s">
        <v>123</v>
      </c>
    </row>
    <row r="164" spans="2:18" ht="15" customHeight="1" x14ac:dyDescent="0.2">
      <c r="B164" s="43">
        <v>293</v>
      </c>
      <c r="C164" s="43" t="s">
        <v>65</v>
      </c>
      <c r="E164" s="43">
        <v>293</v>
      </c>
      <c r="F164" s="43" t="s">
        <v>65</v>
      </c>
      <c r="H164" s="43">
        <v>293</v>
      </c>
      <c r="I164" s="43" t="s">
        <v>104</v>
      </c>
      <c r="K164" s="43">
        <v>293</v>
      </c>
      <c r="L164" s="43" t="s">
        <v>65</v>
      </c>
      <c r="N164" s="43">
        <v>293</v>
      </c>
      <c r="O164" s="43" t="s">
        <v>65</v>
      </c>
      <c r="P164" s="11"/>
      <c r="Q164" s="43">
        <v>293</v>
      </c>
      <c r="R164" s="43" t="s">
        <v>123</v>
      </c>
    </row>
    <row r="165" spans="2:18" ht="15" customHeight="1" x14ac:dyDescent="0.2">
      <c r="B165" s="43">
        <v>294</v>
      </c>
      <c r="C165" s="43" t="s">
        <v>65</v>
      </c>
      <c r="E165" s="43">
        <v>294</v>
      </c>
      <c r="F165" s="43" t="s">
        <v>65</v>
      </c>
      <c r="H165" s="43">
        <v>294</v>
      </c>
      <c r="I165" s="43" t="s">
        <v>104</v>
      </c>
      <c r="K165" s="43">
        <v>294</v>
      </c>
      <c r="L165" s="43" t="s">
        <v>65</v>
      </c>
      <c r="N165" s="43">
        <v>294</v>
      </c>
      <c r="O165" s="43" t="s">
        <v>65</v>
      </c>
      <c r="P165" s="11"/>
      <c r="Q165" s="43">
        <v>294</v>
      </c>
      <c r="R165" s="43" t="s">
        <v>123</v>
      </c>
    </row>
    <row r="166" spans="2:18" ht="15" customHeight="1" x14ac:dyDescent="0.2">
      <c r="B166" s="43">
        <v>295</v>
      </c>
      <c r="C166" s="43" t="s">
        <v>65</v>
      </c>
      <c r="E166" s="43">
        <v>295</v>
      </c>
      <c r="F166" s="43" t="s">
        <v>65</v>
      </c>
      <c r="H166" s="43">
        <v>295</v>
      </c>
      <c r="I166" s="43" t="s">
        <v>104</v>
      </c>
      <c r="K166" s="43">
        <v>295</v>
      </c>
      <c r="L166" s="43" t="s">
        <v>65</v>
      </c>
      <c r="N166" s="43">
        <v>295</v>
      </c>
      <c r="O166" s="43" t="s">
        <v>65</v>
      </c>
      <c r="P166" s="11"/>
      <c r="Q166" s="43">
        <v>295</v>
      </c>
      <c r="R166" s="43" t="s">
        <v>123</v>
      </c>
    </row>
    <row r="167" spans="2:18" ht="15" customHeight="1" x14ac:dyDescent="0.2">
      <c r="B167" s="43">
        <v>273</v>
      </c>
      <c r="C167" s="43" t="s">
        <v>65</v>
      </c>
      <c r="E167" s="43">
        <v>273</v>
      </c>
      <c r="F167" s="43" t="s">
        <v>65</v>
      </c>
      <c r="H167" s="43">
        <v>273</v>
      </c>
      <c r="I167" s="43" t="s">
        <v>104</v>
      </c>
      <c r="K167" s="43">
        <v>273</v>
      </c>
      <c r="L167" s="43" t="s">
        <v>65</v>
      </c>
      <c r="N167" s="43">
        <v>273</v>
      </c>
      <c r="O167" s="43" t="s">
        <v>65</v>
      </c>
      <c r="P167" s="11"/>
      <c r="Q167" s="43">
        <v>273</v>
      </c>
      <c r="R167" s="43" t="s">
        <v>123</v>
      </c>
    </row>
    <row r="168" spans="2:18" ht="15" customHeight="1" x14ac:dyDescent="0.2">
      <c r="B168" s="43">
        <v>276</v>
      </c>
      <c r="C168" s="43" t="s">
        <v>65</v>
      </c>
      <c r="E168" s="43">
        <v>276</v>
      </c>
      <c r="F168" s="43" t="s">
        <v>65</v>
      </c>
      <c r="H168" s="43">
        <v>276</v>
      </c>
      <c r="I168" s="43" t="s">
        <v>104</v>
      </c>
      <c r="K168" s="43">
        <v>276</v>
      </c>
      <c r="L168" s="43" t="s">
        <v>65</v>
      </c>
      <c r="N168" s="43">
        <v>276</v>
      </c>
      <c r="O168" s="43" t="s">
        <v>65</v>
      </c>
      <c r="P168" s="11"/>
      <c r="Q168" s="43">
        <v>276</v>
      </c>
      <c r="R168" s="43" t="s">
        <v>123</v>
      </c>
    </row>
    <row r="169" spans="2:18" ht="15" customHeight="1" x14ac:dyDescent="0.2">
      <c r="B169" s="43">
        <v>279</v>
      </c>
      <c r="C169" s="43" t="s">
        <v>65</v>
      </c>
      <c r="E169" s="43">
        <v>279</v>
      </c>
      <c r="F169" s="43" t="s">
        <v>65</v>
      </c>
      <c r="H169" s="43">
        <v>279</v>
      </c>
      <c r="I169" s="43" t="s">
        <v>104</v>
      </c>
      <c r="K169" s="43">
        <v>279</v>
      </c>
      <c r="L169" s="43" t="s">
        <v>65</v>
      </c>
      <c r="N169" s="43">
        <v>279</v>
      </c>
      <c r="O169" s="43" t="s">
        <v>65</v>
      </c>
      <c r="P169" s="11"/>
      <c r="Q169" s="43">
        <v>279</v>
      </c>
      <c r="R169" s="43" t="s">
        <v>123</v>
      </c>
    </row>
    <row r="170" spans="2:18" ht="15" customHeight="1" x14ac:dyDescent="0.2">
      <c r="B170" s="43">
        <v>282</v>
      </c>
      <c r="C170" s="43" t="s">
        <v>65</v>
      </c>
      <c r="E170" s="43">
        <v>282</v>
      </c>
      <c r="F170" s="43" t="s">
        <v>65</v>
      </c>
      <c r="H170" s="43">
        <v>282</v>
      </c>
      <c r="I170" s="43" t="s">
        <v>104</v>
      </c>
      <c r="K170" s="43">
        <v>282</v>
      </c>
      <c r="L170" s="43" t="s">
        <v>65</v>
      </c>
      <c r="N170" s="43">
        <v>282</v>
      </c>
      <c r="O170" s="43" t="s">
        <v>65</v>
      </c>
      <c r="P170" s="11"/>
      <c r="Q170" s="43">
        <v>282</v>
      </c>
      <c r="R170" s="43" t="s">
        <v>123</v>
      </c>
    </row>
    <row r="171" spans="2:18" ht="15" customHeight="1" x14ac:dyDescent="0.2">
      <c r="B171" s="43">
        <v>285</v>
      </c>
      <c r="C171" s="43" t="s">
        <v>65</v>
      </c>
      <c r="E171" s="43">
        <v>285</v>
      </c>
      <c r="F171" s="43" t="s">
        <v>65</v>
      </c>
      <c r="H171" s="43">
        <v>285</v>
      </c>
      <c r="I171" s="43" t="s">
        <v>104</v>
      </c>
      <c r="K171" s="43">
        <v>285</v>
      </c>
      <c r="L171" s="43" t="s">
        <v>65</v>
      </c>
      <c r="N171" s="43">
        <v>285</v>
      </c>
      <c r="O171" s="43" t="s">
        <v>65</v>
      </c>
      <c r="P171" s="11"/>
      <c r="Q171" s="43">
        <v>285</v>
      </c>
      <c r="R171" s="43" t="s">
        <v>123</v>
      </c>
    </row>
    <row r="172" spans="2:18" ht="15" customHeight="1" x14ac:dyDescent="0.2">
      <c r="B172" s="43">
        <v>288</v>
      </c>
      <c r="C172" s="43" t="s">
        <v>65</v>
      </c>
      <c r="E172" s="43">
        <v>288</v>
      </c>
      <c r="F172" s="43" t="s">
        <v>65</v>
      </c>
      <c r="H172" s="43">
        <v>288</v>
      </c>
      <c r="I172" s="43" t="s">
        <v>104</v>
      </c>
      <c r="K172" s="43">
        <v>288</v>
      </c>
      <c r="L172" s="43" t="s">
        <v>65</v>
      </c>
      <c r="N172" s="43">
        <v>288</v>
      </c>
      <c r="O172" s="43" t="s">
        <v>65</v>
      </c>
      <c r="P172" s="11"/>
      <c r="Q172" s="43">
        <v>288</v>
      </c>
      <c r="R172" s="43" t="s">
        <v>123</v>
      </c>
    </row>
    <row r="173" spans="2:18" ht="15" customHeight="1" x14ac:dyDescent="0.2">
      <c r="B173" s="43">
        <v>296</v>
      </c>
      <c r="C173" s="43" t="s">
        <v>65</v>
      </c>
      <c r="E173" s="43">
        <v>296</v>
      </c>
      <c r="F173" s="43" t="s">
        <v>65</v>
      </c>
      <c r="H173" s="43">
        <v>296</v>
      </c>
      <c r="I173" s="43" t="s">
        <v>104</v>
      </c>
      <c r="K173" s="43">
        <v>296</v>
      </c>
      <c r="L173" s="43" t="s">
        <v>65</v>
      </c>
      <c r="N173" s="43">
        <v>296</v>
      </c>
      <c r="O173" s="43" t="s">
        <v>65</v>
      </c>
      <c r="P173" s="11"/>
      <c r="Q173" s="43">
        <v>296</v>
      </c>
      <c r="R173" s="43" t="s">
        <v>123</v>
      </c>
    </row>
    <row r="174" spans="2:18" ht="15" customHeight="1" x14ac:dyDescent="0.2">
      <c r="B174" s="43">
        <v>297</v>
      </c>
      <c r="C174" s="43" t="s">
        <v>65</v>
      </c>
      <c r="E174" s="43">
        <v>297</v>
      </c>
      <c r="F174" s="43" t="s">
        <v>65</v>
      </c>
      <c r="H174" s="43">
        <v>297</v>
      </c>
      <c r="I174" s="43" t="s">
        <v>104</v>
      </c>
      <c r="K174" s="43">
        <v>297</v>
      </c>
      <c r="L174" s="43" t="s">
        <v>65</v>
      </c>
      <c r="N174" s="43">
        <v>297</v>
      </c>
      <c r="O174" s="43" t="s">
        <v>65</v>
      </c>
      <c r="P174" s="11"/>
      <c r="Q174" s="43">
        <v>297</v>
      </c>
      <c r="R174" s="43" t="s">
        <v>123</v>
      </c>
    </row>
    <row r="175" spans="2:18" ht="15" customHeight="1" x14ac:dyDescent="0.2">
      <c r="B175" s="43">
        <v>298</v>
      </c>
      <c r="C175" s="43" t="s">
        <v>65</v>
      </c>
      <c r="E175" s="43">
        <v>298</v>
      </c>
      <c r="F175" s="43" t="s">
        <v>65</v>
      </c>
      <c r="H175" s="43">
        <v>298</v>
      </c>
      <c r="I175" s="43" t="s">
        <v>104</v>
      </c>
      <c r="K175" s="43">
        <v>298</v>
      </c>
      <c r="L175" s="43" t="s">
        <v>65</v>
      </c>
      <c r="N175" s="43">
        <v>298</v>
      </c>
      <c r="O175" s="43" t="s">
        <v>65</v>
      </c>
      <c r="P175" s="11"/>
      <c r="Q175" s="43">
        <v>298</v>
      </c>
      <c r="R175" s="43" t="s">
        <v>123</v>
      </c>
    </row>
    <row r="176" spans="2:18" ht="15" customHeight="1" x14ac:dyDescent="0.2">
      <c r="B176" s="43">
        <v>299</v>
      </c>
      <c r="C176" s="43" t="s">
        <v>65</v>
      </c>
      <c r="E176" s="43">
        <v>299</v>
      </c>
      <c r="F176" s="43" t="s">
        <v>65</v>
      </c>
      <c r="H176" s="43">
        <v>299</v>
      </c>
      <c r="I176" s="43" t="s">
        <v>104</v>
      </c>
      <c r="K176" s="43">
        <v>299</v>
      </c>
      <c r="L176" s="43" t="s">
        <v>65</v>
      </c>
      <c r="N176" s="43">
        <v>299</v>
      </c>
      <c r="O176" s="43" t="s">
        <v>65</v>
      </c>
      <c r="P176" s="11"/>
      <c r="Q176" s="43">
        <v>299</v>
      </c>
      <c r="R176" s="43" t="s">
        <v>123</v>
      </c>
    </row>
    <row r="177" spans="2:18" ht="15" customHeight="1" x14ac:dyDescent="0.2">
      <c r="B177" s="43">
        <v>300</v>
      </c>
      <c r="C177" s="43" t="s">
        <v>65</v>
      </c>
      <c r="E177" s="43">
        <v>300</v>
      </c>
      <c r="F177" s="43" t="s">
        <v>65</v>
      </c>
      <c r="H177" s="43">
        <v>300</v>
      </c>
      <c r="I177" s="43" t="s">
        <v>104</v>
      </c>
      <c r="K177" s="43">
        <v>300</v>
      </c>
      <c r="L177" s="43" t="s">
        <v>65</v>
      </c>
      <c r="N177" s="43">
        <v>300</v>
      </c>
      <c r="O177" s="43" t="s">
        <v>65</v>
      </c>
      <c r="P177" s="11"/>
      <c r="Q177" s="43">
        <v>300</v>
      </c>
      <c r="R177" s="43" t="s">
        <v>123</v>
      </c>
    </row>
    <row r="178" spans="2:18" ht="15" customHeight="1" x14ac:dyDescent="0.2">
      <c r="B178" s="43">
        <v>274</v>
      </c>
      <c r="C178" s="43" t="s">
        <v>65</v>
      </c>
      <c r="E178" s="43">
        <v>274</v>
      </c>
      <c r="F178" s="43" t="s">
        <v>65</v>
      </c>
      <c r="H178" s="43">
        <v>274</v>
      </c>
      <c r="I178" s="43" t="s">
        <v>104</v>
      </c>
      <c r="K178" s="43">
        <v>274</v>
      </c>
      <c r="L178" s="43" t="s">
        <v>65</v>
      </c>
      <c r="N178" s="43">
        <v>274</v>
      </c>
      <c r="O178" s="43" t="s">
        <v>65</v>
      </c>
      <c r="P178" s="11"/>
      <c r="Q178" s="43">
        <v>274</v>
      </c>
      <c r="R178" s="43" t="s">
        <v>123</v>
      </c>
    </row>
    <row r="179" spans="2:18" ht="15" customHeight="1" x14ac:dyDescent="0.2">
      <c r="B179" s="43">
        <v>277</v>
      </c>
      <c r="C179" s="43" t="s">
        <v>65</v>
      </c>
      <c r="E179" s="43">
        <v>277</v>
      </c>
      <c r="F179" s="43" t="s">
        <v>65</v>
      </c>
      <c r="H179" s="43">
        <v>277</v>
      </c>
      <c r="I179" s="43" t="s">
        <v>104</v>
      </c>
      <c r="K179" s="43">
        <v>277</v>
      </c>
      <c r="L179" s="43" t="s">
        <v>65</v>
      </c>
      <c r="N179" s="43">
        <v>277</v>
      </c>
      <c r="O179" s="43" t="s">
        <v>65</v>
      </c>
      <c r="P179" s="11"/>
      <c r="Q179" s="43">
        <v>277</v>
      </c>
      <c r="R179" s="43" t="s">
        <v>123</v>
      </c>
    </row>
    <row r="180" spans="2:18" ht="15" customHeight="1" x14ac:dyDescent="0.2">
      <c r="B180" s="43">
        <v>280</v>
      </c>
      <c r="C180" s="43" t="s">
        <v>65</v>
      </c>
      <c r="E180" s="43">
        <v>280</v>
      </c>
      <c r="F180" s="43" t="s">
        <v>65</v>
      </c>
      <c r="H180" s="43">
        <v>280</v>
      </c>
      <c r="I180" s="43" t="s">
        <v>104</v>
      </c>
      <c r="K180" s="43">
        <v>280</v>
      </c>
      <c r="L180" s="43" t="s">
        <v>65</v>
      </c>
      <c r="N180" s="43">
        <v>280</v>
      </c>
      <c r="O180" s="43" t="s">
        <v>65</v>
      </c>
      <c r="P180" s="11"/>
      <c r="Q180" s="43">
        <v>280</v>
      </c>
      <c r="R180" s="43" t="s">
        <v>123</v>
      </c>
    </row>
    <row r="181" spans="2:18" ht="15" customHeight="1" x14ac:dyDescent="0.2">
      <c r="B181" s="43">
        <v>283</v>
      </c>
      <c r="C181" s="43" t="s">
        <v>65</v>
      </c>
      <c r="E181" s="43">
        <v>283</v>
      </c>
      <c r="F181" s="43" t="s">
        <v>65</v>
      </c>
      <c r="H181" s="43">
        <v>283</v>
      </c>
      <c r="I181" s="43" t="s">
        <v>104</v>
      </c>
      <c r="K181" s="43">
        <v>283</v>
      </c>
      <c r="L181" s="43" t="s">
        <v>65</v>
      </c>
      <c r="N181" s="43">
        <v>283</v>
      </c>
      <c r="O181" s="43" t="s">
        <v>65</v>
      </c>
      <c r="P181" s="11"/>
      <c r="Q181" s="43">
        <v>283</v>
      </c>
      <c r="R181" s="43" t="s">
        <v>123</v>
      </c>
    </row>
    <row r="182" spans="2:18" ht="15" customHeight="1" x14ac:dyDescent="0.2">
      <c r="B182" s="43">
        <v>286</v>
      </c>
      <c r="C182" s="43" t="s">
        <v>65</v>
      </c>
      <c r="E182" s="43">
        <v>286</v>
      </c>
      <c r="F182" s="43" t="s">
        <v>65</v>
      </c>
      <c r="H182" s="43">
        <v>286</v>
      </c>
      <c r="I182" s="43" t="s">
        <v>104</v>
      </c>
      <c r="K182" s="43">
        <v>286</v>
      </c>
      <c r="L182" s="43" t="s">
        <v>65</v>
      </c>
      <c r="N182" s="43">
        <v>286</v>
      </c>
      <c r="O182" s="43" t="s">
        <v>65</v>
      </c>
      <c r="P182" s="11"/>
      <c r="Q182" s="43">
        <v>286</v>
      </c>
      <c r="R182" s="43" t="s">
        <v>123</v>
      </c>
    </row>
    <row r="183" spans="2:18" ht="15" customHeight="1" x14ac:dyDescent="0.2">
      <c r="B183" s="43">
        <v>289</v>
      </c>
      <c r="C183" s="43" t="s">
        <v>65</v>
      </c>
      <c r="E183" s="43">
        <v>289</v>
      </c>
      <c r="F183" s="43" t="s">
        <v>65</v>
      </c>
      <c r="H183" s="43">
        <v>289</v>
      </c>
      <c r="I183" s="43" t="s">
        <v>104</v>
      </c>
      <c r="K183" s="43">
        <v>289</v>
      </c>
      <c r="L183" s="43" t="s">
        <v>65</v>
      </c>
      <c r="N183" s="43">
        <v>289</v>
      </c>
      <c r="O183" s="43" t="s">
        <v>65</v>
      </c>
      <c r="P183" s="11"/>
      <c r="Q183" s="43">
        <v>289</v>
      </c>
      <c r="R183" s="43" t="s">
        <v>123</v>
      </c>
    </row>
    <row r="184" spans="2:18" ht="15" customHeight="1" x14ac:dyDescent="0.2">
      <c r="B184" s="43">
        <v>301</v>
      </c>
      <c r="C184" s="43" t="s">
        <v>65</v>
      </c>
      <c r="E184" s="43">
        <v>301</v>
      </c>
      <c r="F184" s="43" t="s">
        <v>65</v>
      </c>
      <c r="H184" s="43">
        <v>301</v>
      </c>
      <c r="I184" s="43" t="s">
        <v>104</v>
      </c>
      <c r="K184" s="43">
        <v>301</v>
      </c>
      <c r="L184" s="43" t="s">
        <v>65</v>
      </c>
      <c r="N184" s="43">
        <v>301</v>
      </c>
      <c r="O184" s="43" t="s">
        <v>65</v>
      </c>
      <c r="P184" s="11"/>
      <c r="Q184" s="43">
        <v>301</v>
      </c>
      <c r="R184" s="43" t="s">
        <v>123</v>
      </c>
    </row>
    <row r="185" spans="2:18" ht="15" customHeight="1" x14ac:dyDescent="0.2">
      <c r="B185" s="43">
        <v>302</v>
      </c>
      <c r="C185" s="43" t="s">
        <v>65</v>
      </c>
      <c r="E185" s="43">
        <v>302</v>
      </c>
      <c r="F185" s="43" t="s">
        <v>65</v>
      </c>
      <c r="H185" s="43">
        <v>302</v>
      </c>
      <c r="I185" s="43" t="s">
        <v>104</v>
      </c>
      <c r="K185" s="43">
        <v>302</v>
      </c>
      <c r="L185" s="43" t="s">
        <v>65</v>
      </c>
      <c r="N185" s="43">
        <v>302</v>
      </c>
      <c r="O185" s="43" t="s">
        <v>65</v>
      </c>
      <c r="P185" s="11"/>
      <c r="Q185" s="43">
        <v>302</v>
      </c>
      <c r="R185" s="43" t="s">
        <v>123</v>
      </c>
    </row>
    <row r="186" spans="2:18" ht="15" customHeight="1" x14ac:dyDescent="0.2">
      <c r="B186" s="43">
        <v>303</v>
      </c>
      <c r="C186" s="43" t="s">
        <v>65</v>
      </c>
      <c r="E186" s="43">
        <v>303</v>
      </c>
      <c r="F186" s="43" t="s">
        <v>65</v>
      </c>
      <c r="H186" s="43">
        <v>303</v>
      </c>
      <c r="I186" s="43" t="s">
        <v>104</v>
      </c>
      <c r="K186" s="43">
        <v>303</v>
      </c>
      <c r="L186" s="43" t="s">
        <v>65</v>
      </c>
      <c r="N186" s="43">
        <v>303</v>
      </c>
      <c r="O186" s="43" t="s">
        <v>65</v>
      </c>
      <c r="P186" s="11"/>
      <c r="Q186" s="43">
        <v>303</v>
      </c>
      <c r="R186" s="43" t="s">
        <v>123</v>
      </c>
    </row>
    <row r="187" spans="2:18" ht="15" customHeight="1" x14ac:dyDescent="0.2">
      <c r="B187" s="43">
        <v>304</v>
      </c>
      <c r="C187" s="43" t="s">
        <v>65</v>
      </c>
      <c r="E187" s="43">
        <v>304</v>
      </c>
      <c r="F187" s="43" t="s">
        <v>65</v>
      </c>
      <c r="H187" s="43">
        <v>304</v>
      </c>
      <c r="I187" s="43" t="s">
        <v>104</v>
      </c>
      <c r="K187" s="43">
        <v>304</v>
      </c>
      <c r="L187" s="43" t="s">
        <v>65</v>
      </c>
      <c r="N187" s="43">
        <v>304</v>
      </c>
      <c r="O187" s="43" t="s">
        <v>65</v>
      </c>
      <c r="P187" s="11"/>
      <c r="Q187" s="43">
        <v>304</v>
      </c>
      <c r="R187" s="43" t="s">
        <v>123</v>
      </c>
    </row>
    <row r="188" spans="2:18" ht="15" customHeight="1" x14ac:dyDescent="0.2">
      <c r="B188" s="43">
        <v>305</v>
      </c>
      <c r="C188" s="43" t="s">
        <v>65</v>
      </c>
      <c r="E188" s="43">
        <v>305</v>
      </c>
      <c r="F188" s="43" t="s">
        <v>65</v>
      </c>
      <c r="H188" s="43">
        <v>305</v>
      </c>
      <c r="I188" s="43" t="s">
        <v>104</v>
      </c>
      <c r="K188" s="43">
        <v>305</v>
      </c>
      <c r="L188" s="43" t="s">
        <v>65</v>
      </c>
      <c r="N188" s="43">
        <v>305</v>
      </c>
      <c r="O188" s="43" t="s">
        <v>65</v>
      </c>
      <c r="P188" s="11"/>
      <c r="Q188" s="43">
        <v>305</v>
      </c>
      <c r="R188" s="43" t="s">
        <v>123</v>
      </c>
    </row>
    <row r="189" spans="2:18" ht="15" customHeight="1" x14ac:dyDescent="0.2">
      <c r="B189" s="43">
        <v>275</v>
      </c>
      <c r="C189" s="43" t="s">
        <v>65</v>
      </c>
      <c r="E189" s="43">
        <v>275</v>
      </c>
      <c r="F189" s="43" t="s">
        <v>65</v>
      </c>
      <c r="H189" s="43">
        <v>275</v>
      </c>
      <c r="I189" s="43" t="s">
        <v>104</v>
      </c>
      <c r="K189" s="43">
        <v>275</v>
      </c>
      <c r="L189" s="43" t="s">
        <v>65</v>
      </c>
      <c r="N189" s="43">
        <v>275</v>
      </c>
      <c r="O189" s="43" t="s">
        <v>65</v>
      </c>
      <c r="P189" s="11"/>
      <c r="Q189" s="43">
        <v>275</v>
      </c>
      <c r="R189" s="43" t="s">
        <v>123</v>
      </c>
    </row>
    <row r="190" spans="2:18" ht="15" customHeight="1" x14ac:dyDescent="0.2">
      <c r="B190" s="43">
        <v>278</v>
      </c>
      <c r="C190" s="43" t="s">
        <v>65</v>
      </c>
      <c r="E190" s="43">
        <v>278</v>
      </c>
      <c r="F190" s="43" t="s">
        <v>65</v>
      </c>
      <c r="H190" s="43">
        <v>278</v>
      </c>
      <c r="I190" s="43" t="s">
        <v>104</v>
      </c>
      <c r="K190" s="43">
        <v>278</v>
      </c>
      <c r="L190" s="43" t="s">
        <v>65</v>
      </c>
      <c r="N190" s="43">
        <v>278</v>
      </c>
      <c r="O190" s="43" t="s">
        <v>65</v>
      </c>
      <c r="Q190" s="43">
        <v>278</v>
      </c>
      <c r="R190" s="43" t="s">
        <v>123</v>
      </c>
    </row>
    <row r="191" spans="2:18" ht="15" customHeight="1" x14ac:dyDescent="0.2">
      <c r="B191" s="43">
        <v>281</v>
      </c>
      <c r="C191" s="43" t="s">
        <v>65</v>
      </c>
      <c r="E191" s="43">
        <v>281</v>
      </c>
      <c r="F191" s="43" t="s">
        <v>65</v>
      </c>
      <c r="H191" s="43">
        <v>281</v>
      </c>
      <c r="I191" s="43" t="s">
        <v>104</v>
      </c>
      <c r="K191" s="43">
        <v>281</v>
      </c>
      <c r="L191" s="43" t="s">
        <v>65</v>
      </c>
      <c r="N191" s="43">
        <v>281</v>
      </c>
      <c r="O191" s="43" t="s">
        <v>65</v>
      </c>
      <c r="Q191" s="43">
        <v>281</v>
      </c>
      <c r="R191" s="43" t="s">
        <v>123</v>
      </c>
    </row>
    <row r="192" spans="2:18" ht="15" customHeight="1" x14ac:dyDescent="0.2">
      <c r="B192" s="43">
        <v>284</v>
      </c>
      <c r="C192" s="43" t="s">
        <v>65</v>
      </c>
      <c r="E192" s="43">
        <v>284</v>
      </c>
      <c r="F192" s="43" t="s">
        <v>65</v>
      </c>
      <c r="H192" s="43">
        <v>284</v>
      </c>
      <c r="I192" s="43" t="s">
        <v>104</v>
      </c>
      <c r="K192" s="43">
        <v>284</v>
      </c>
      <c r="L192" s="43" t="s">
        <v>65</v>
      </c>
      <c r="N192" s="43">
        <v>284</v>
      </c>
      <c r="O192" s="43" t="s">
        <v>65</v>
      </c>
      <c r="Q192" s="43">
        <v>284</v>
      </c>
      <c r="R192" s="43" t="s">
        <v>123</v>
      </c>
    </row>
    <row r="193" spans="2:18" ht="15" customHeight="1" x14ac:dyDescent="0.2">
      <c r="B193" s="43">
        <v>287</v>
      </c>
      <c r="C193" s="43" t="s">
        <v>65</v>
      </c>
      <c r="E193" s="43">
        <v>287</v>
      </c>
      <c r="F193" s="43" t="s">
        <v>65</v>
      </c>
      <c r="H193" s="43">
        <v>287</v>
      </c>
      <c r="I193" s="43" t="s">
        <v>104</v>
      </c>
      <c r="K193" s="43">
        <v>287</v>
      </c>
      <c r="L193" s="43" t="s">
        <v>65</v>
      </c>
      <c r="N193" s="43">
        <v>287</v>
      </c>
      <c r="O193" s="43" t="s">
        <v>65</v>
      </c>
      <c r="Q193" s="43">
        <v>287</v>
      </c>
      <c r="R193" s="43" t="s">
        <v>123</v>
      </c>
    </row>
    <row r="194" spans="2:18" ht="15" customHeight="1" x14ac:dyDescent="0.2">
      <c r="B194" s="43">
        <v>290</v>
      </c>
      <c r="C194" s="43" t="s">
        <v>65</v>
      </c>
      <c r="E194" s="43">
        <v>290</v>
      </c>
      <c r="F194" s="43" t="s">
        <v>65</v>
      </c>
      <c r="H194" s="43">
        <v>290</v>
      </c>
      <c r="I194" s="43" t="s">
        <v>104</v>
      </c>
      <c r="K194" s="43">
        <v>290</v>
      </c>
      <c r="L194" s="43" t="s">
        <v>65</v>
      </c>
      <c r="N194" s="43">
        <v>290</v>
      </c>
      <c r="O194" s="43" t="s">
        <v>65</v>
      </c>
      <c r="Q194" s="43">
        <v>290</v>
      </c>
      <c r="R194" s="43" t="s">
        <v>123</v>
      </c>
    </row>
    <row r="195" spans="2:18" ht="15" customHeight="1" x14ac:dyDescent="0.2">
      <c r="B195" s="43">
        <v>306</v>
      </c>
      <c r="C195" s="43" t="s">
        <v>65</v>
      </c>
      <c r="E195" s="43">
        <v>306</v>
      </c>
      <c r="F195" s="43" t="s">
        <v>65</v>
      </c>
      <c r="H195" s="43">
        <v>306</v>
      </c>
      <c r="I195" s="43" t="s">
        <v>104</v>
      </c>
      <c r="K195" s="43">
        <v>306</v>
      </c>
      <c r="L195" s="43" t="s">
        <v>65</v>
      </c>
      <c r="N195" s="43">
        <v>306</v>
      </c>
      <c r="O195" s="43" t="s">
        <v>65</v>
      </c>
      <c r="Q195" s="43">
        <v>306</v>
      </c>
      <c r="R195" s="43" t="s">
        <v>123</v>
      </c>
    </row>
    <row r="196" spans="2:18" ht="15" customHeight="1" x14ac:dyDescent="0.2">
      <c r="B196" s="43">
        <v>307</v>
      </c>
      <c r="C196" s="43" t="s">
        <v>65</v>
      </c>
      <c r="E196" s="43">
        <v>307</v>
      </c>
      <c r="F196" s="43" t="s">
        <v>65</v>
      </c>
      <c r="H196" s="43">
        <v>307</v>
      </c>
      <c r="I196" s="43" t="s">
        <v>104</v>
      </c>
      <c r="K196" s="43">
        <v>307</v>
      </c>
      <c r="L196" s="43" t="s">
        <v>65</v>
      </c>
      <c r="N196" s="43">
        <v>307</v>
      </c>
      <c r="O196" s="43" t="s">
        <v>65</v>
      </c>
      <c r="Q196" s="43">
        <v>307</v>
      </c>
      <c r="R196" s="43" t="s">
        <v>123</v>
      </c>
    </row>
    <row r="197" spans="2:18" ht="15" customHeight="1" x14ac:dyDescent="0.2">
      <c r="B197" s="43">
        <v>308</v>
      </c>
      <c r="C197" s="43" t="s">
        <v>65</v>
      </c>
      <c r="E197" s="43">
        <v>308</v>
      </c>
      <c r="F197" s="43" t="s">
        <v>65</v>
      </c>
      <c r="H197" s="43">
        <v>308</v>
      </c>
      <c r="I197" s="43" t="s">
        <v>104</v>
      </c>
      <c r="K197" s="43">
        <v>308</v>
      </c>
      <c r="L197" s="43" t="s">
        <v>65</v>
      </c>
      <c r="N197" s="43">
        <v>308</v>
      </c>
      <c r="O197" s="43" t="s">
        <v>65</v>
      </c>
      <c r="Q197" s="43">
        <v>308</v>
      </c>
      <c r="R197" s="43" t="s">
        <v>123</v>
      </c>
    </row>
    <row r="198" spans="2:18" ht="15" customHeight="1" x14ac:dyDescent="0.2">
      <c r="B198" s="43">
        <v>309</v>
      </c>
      <c r="C198" s="43" t="s">
        <v>65</v>
      </c>
      <c r="E198" s="43">
        <v>309</v>
      </c>
      <c r="F198" s="43" t="s">
        <v>65</v>
      </c>
      <c r="H198" s="43">
        <v>309</v>
      </c>
      <c r="I198" s="43" t="s">
        <v>104</v>
      </c>
      <c r="K198" s="43">
        <v>309</v>
      </c>
      <c r="L198" s="43" t="s">
        <v>65</v>
      </c>
      <c r="N198" s="43">
        <v>309</v>
      </c>
      <c r="O198" s="43" t="s">
        <v>65</v>
      </c>
      <c r="Q198" s="43">
        <v>309</v>
      </c>
      <c r="R198" s="43" t="s">
        <v>123</v>
      </c>
    </row>
    <row r="199" spans="2:18" ht="15" customHeight="1" x14ac:dyDescent="0.2">
      <c r="B199" s="43">
        <v>310</v>
      </c>
      <c r="C199" s="43" t="s">
        <v>65</v>
      </c>
      <c r="E199" s="43">
        <v>310</v>
      </c>
      <c r="F199" s="43" t="s">
        <v>65</v>
      </c>
      <c r="H199" s="43">
        <v>310</v>
      </c>
      <c r="I199" s="43" t="s">
        <v>104</v>
      </c>
      <c r="K199" s="43">
        <v>310</v>
      </c>
      <c r="L199" s="43" t="s">
        <v>65</v>
      </c>
      <c r="N199" s="43">
        <v>310</v>
      </c>
      <c r="O199" s="43" t="s">
        <v>65</v>
      </c>
      <c r="Q199" s="43">
        <v>310</v>
      </c>
      <c r="R199" s="43" t="s">
        <v>123</v>
      </c>
    </row>
    <row r="200" spans="2:18" ht="15" customHeight="1" x14ac:dyDescent="0.2">
      <c r="B200" s="43">
        <v>105</v>
      </c>
      <c r="C200" s="43" t="s">
        <v>65</v>
      </c>
      <c r="E200" s="43">
        <v>105</v>
      </c>
      <c r="F200" s="43" t="s">
        <v>65</v>
      </c>
      <c r="H200" s="43">
        <v>105</v>
      </c>
      <c r="I200" s="43" t="s">
        <v>104</v>
      </c>
      <c r="K200" s="43">
        <v>105</v>
      </c>
      <c r="L200" s="43" t="s">
        <v>65</v>
      </c>
      <c r="N200" s="43">
        <v>105</v>
      </c>
      <c r="O200" s="43" t="s">
        <v>65</v>
      </c>
      <c r="Q200" s="43">
        <v>105</v>
      </c>
      <c r="R200" s="43" t="s">
        <v>123</v>
      </c>
    </row>
    <row r="201" spans="2:18" ht="15" customHeight="1" x14ac:dyDescent="0.2">
      <c r="B201" s="43">
        <v>106</v>
      </c>
      <c r="C201" s="43" t="s">
        <v>65</v>
      </c>
      <c r="E201" s="43">
        <v>106</v>
      </c>
      <c r="F201" s="43" t="s">
        <v>65</v>
      </c>
      <c r="H201" s="43">
        <v>106</v>
      </c>
      <c r="I201" s="43" t="s">
        <v>104</v>
      </c>
      <c r="K201" s="43">
        <v>106</v>
      </c>
      <c r="L201" s="43" t="s">
        <v>65</v>
      </c>
      <c r="N201" s="43">
        <v>106</v>
      </c>
      <c r="O201" s="43" t="s">
        <v>65</v>
      </c>
      <c r="Q201" s="43">
        <v>106</v>
      </c>
      <c r="R201" s="43" t="s">
        <v>123</v>
      </c>
    </row>
    <row r="202" spans="2:18" ht="15" customHeight="1" x14ac:dyDescent="0.2">
      <c r="B202" s="43">
        <v>107</v>
      </c>
      <c r="C202" s="43" t="s">
        <v>65</v>
      </c>
      <c r="E202" s="43">
        <v>107</v>
      </c>
      <c r="F202" s="43" t="s">
        <v>65</v>
      </c>
      <c r="H202" s="43">
        <v>107</v>
      </c>
      <c r="I202" s="43" t="s">
        <v>104</v>
      </c>
      <c r="K202" s="43">
        <v>107</v>
      </c>
      <c r="L202" s="43" t="s">
        <v>65</v>
      </c>
      <c r="N202" s="43">
        <v>107</v>
      </c>
      <c r="O202" s="43" t="s">
        <v>65</v>
      </c>
      <c r="Q202" s="43">
        <v>107</v>
      </c>
      <c r="R202" s="43" t="s">
        <v>123</v>
      </c>
    </row>
    <row r="203" spans="2:18" ht="15" customHeight="1" x14ac:dyDescent="0.2">
      <c r="B203" s="43">
        <v>108</v>
      </c>
      <c r="C203" s="43" t="s">
        <v>65</v>
      </c>
      <c r="E203" s="43">
        <v>108</v>
      </c>
      <c r="F203" s="43" t="s">
        <v>65</v>
      </c>
      <c r="H203" s="43">
        <v>108</v>
      </c>
      <c r="I203" s="43" t="s">
        <v>104</v>
      </c>
      <c r="K203" s="43">
        <v>108</v>
      </c>
      <c r="L203" s="43" t="s">
        <v>65</v>
      </c>
      <c r="N203" s="43">
        <v>108</v>
      </c>
      <c r="O203" s="43" t="s">
        <v>65</v>
      </c>
      <c r="Q203" s="43">
        <v>108</v>
      </c>
      <c r="R203" s="43" t="s">
        <v>123</v>
      </c>
    </row>
    <row r="204" spans="2:18" ht="15" customHeight="1" x14ac:dyDescent="0.2">
      <c r="B204" s="43">
        <v>109</v>
      </c>
      <c r="C204" s="43" t="s">
        <v>65</v>
      </c>
      <c r="E204" s="43">
        <v>109</v>
      </c>
      <c r="F204" s="43" t="s">
        <v>65</v>
      </c>
      <c r="H204" s="43">
        <v>109</v>
      </c>
      <c r="I204" s="43" t="s">
        <v>104</v>
      </c>
      <c r="K204" s="43">
        <v>109</v>
      </c>
      <c r="L204" s="43" t="s">
        <v>65</v>
      </c>
      <c r="N204" s="43">
        <v>109</v>
      </c>
      <c r="O204" s="43" t="s">
        <v>65</v>
      </c>
      <c r="Q204" s="43">
        <v>109</v>
      </c>
      <c r="R204" s="43" t="s">
        <v>123</v>
      </c>
    </row>
    <row r="205" spans="2:18" ht="15" customHeight="1" x14ac:dyDescent="0.2">
      <c r="B205" s="43">
        <v>87</v>
      </c>
      <c r="C205" s="43" t="s">
        <v>65</v>
      </c>
      <c r="E205" s="43">
        <v>87</v>
      </c>
      <c r="F205" s="43" t="s">
        <v>65</v>
      </c>
      <c r="H205" s="43">
        <v>87</v>
      </c>
      <c r="I205" s="43" t="s">
        <v>104</v>
      </c>
      <c r="K205" s="43">
        <v>87</v>
      </c>
      <c r="L205" s="43" t="s">
        <v>65</v>
      </c>
      <c r="N205" s="43">
        <v>87</v>
      </c>
      <c r="O205" s="43" t="s">
        <v>65</v>
      </c>
      <c r="Q205" s="43">
        <v>87</v>
      </c>
      <c r="R205" s="43" t="s">
        <v>123</v>
      </c>
    </row>
    <row r="206" spans="2:18" ht="15" customHeight="1" x14ac:dyDescent="0.2">
      <c r="B206" s="43">
        <v>90</v>
      </c>
      <c r="C206" s="43" t="s">
        <v>65</v>
      </c>
      <c r="E206" s="43">
        <v>90</v>
      </c>
      <c r="F206" s="43" t="s">
        <v>65</v>
      </c>
      <c r="H206" s="43">
        <v>90</v>
      </c>
      <c r="I206" s="43" t="s">
        <v>104</v>
      </c>
      <c r="K206" s="43">
        <v>90</v>
      </c>
      <c r="L206" s="43" t="s">
        <v>65</v>
      </c>
      <c r="N206" s="43">
        <v>90</v>
      </c>
      <c r="O206" s="43" t="s">
        <v>65</v>
      </c>
      <c r="Q206" s="43">
        <v>90</v>
      </c>
      <c r="R206" s="43" t="s">
        <v>123</v>
      </c>
    </row>
    <row r="207" spans="2:18" ht="15" customHeight="1" x14ac:dyDescent="0.2">
      <c r="B207" s="43">
        <v>93</v>
      </c>
      <c r="C207" s="43" t="s">
        <v>65</v>
      </c>
      <c r="E207" s="43">
        <v>93</v>
      </c>
      <c r="F207" s="43" t="s">
        <v>65</v>
      </c>
      <c r="H207" s="43">
        <v>93</v>
      </c>
      <c r="I207" s="43" t="s">
        <v>104</v>
      </c>
      <c r="K207" s="43">
        <v>93</v>
      </c>
      <c r="L207" s="43" t="s">
        <v>65</v>
      </c>
      <c r="N207" s="43">
        <v>93</v>
      </c>
      <c r="O207" s="43" t="s">
        <v>65</v>
      </c>
      <c r="Q207" s="43">
        <v>93</v>
      </c>
      <c r="R207" s="43" t="s">
        <v>123</v>
      </c>
    </row>
    <row r="208" spans="2:18" ht="15" customHeight="1" x14ac:dyDescent="0.2">
      <c r="B208" s="43">
        <v>96</v>
      </c>
      <c r="C208" s="43" t="s">
        <v>65</v>
      </c>
      <c r="E208" s="43">
        <v>96</v>
      </c>
      <c r="F208" s="43" t="s">
        <v>65</v>
      </c>
      <c r="H208" s="43">
        <v>96</v>
      </c>
      <c r="I208" s="43" t="s">
        <v>104</v>
      </c>
      <c r="K208" s="43">
        <v>96</v>
      </c>
      <c r="L208" s="43" t="s">
        <v>65</v>
      </c>
      <c r="N208" s="43">
        <v>96</v>
      </c>
      <c r="O208" s="43" t="s">
        <v>65</v>
      </c>
      <c r="Q208" s="43">
        <v>96</v>
      </c>
      <c r="R208" s="43" t="s">
        <v>123</v>
      </c>
    </row>
    <row r="209" spans="2:18" ht="15" customHeight="1" x14ac:dyDescent="0.2">
      <c r="B209" s="43">
        <v>99</v>
      </c>
      <c r="C209" s="43" t="s">
        <v>65</v>
      </c>
      <c r="E209" s="43">
        <v>99</v>
      </c>
      <c r="F209" s="43" t="s">
        <v>65</v>
      </c>
      <c r="H209" s="43">
        <v>99</v>
      </c>
      <c r="I209" s="43" t="s">
        <v>104</v>
      </c>
      <c r="K209" s="43">
        <v>99</v>
      </c>
      <c r="L209" s="43" t="s">
        <v>65</v>
      </c>
      <c r="N209" s="43">
        <v>99</v>
      </c>
      <c r="O209" s="43" t="s">
        <v>65</v>
      </c>
      <c r="Q209" s="43">
        <v>99</v>
      </c>
      <c r="R209" s="43" t="s">
        <v>123</v>
      </c>
    </row>
    <row r="210" spans="2:18" ht="15" customHeight="1" x14ac:dyDescent="0.2">
      <c r="B210" s="43">
        <v>102</v>
      </c>
      <c r="C210" s="43" t="s">
        <v>65</v>
      </c>
      <c r="E210" s="43">
        <v>102</v>
      </c>
      <c r="F210" s="43" t="s">
        <v>65</v>
      </c>
      <c r="H210" s="43">
        <v>102</v>
      </c>
      <c r="I210" s="43" t="s">
        <v>104</v>
      </c>
      <c r="K210" s="43">
        <v>102</v>
      </c>
      <c r="L210" s="43" t="s">
        <v>65</v>
      </c>
      <c r="N210" s="43">
        <v>102</v>
      </c>
      <c r="O210" s="43" t="s">
        <v>65</v>
      </c>
      <c r="Q210" s="43">
        <v>102</v>
      </c>
      <c r="R210" s="43" t="s">
        <v>123</v>
      </c>
    </row>
    <row r="211" spans="2:18" ht="15" customHeight="1" x14ac:dyDescent="0.2">
      <c r="B211" s="43">
        <v>110</v>
      </c>
      <c r="C211" s="43" t="s">
        <v>65</v>
      </c>
      <c r="E211" s="43">
        <v>110</v>
      </c>
      <c r="F211" s="43" t="s">
        <v>65</v>
      </c>
      <c r="H211" s="43">
        <v>110</v>
      </c>
      <c r="I211" s="43" t="s">
        <v>104</v>
      </c>
      <c r="K211" s="43">
        <v>110</v>
      </c>
      <c r="L211" s="43" t="s">
        <v>65</v>
      </c>
      <c r="N211" s="43">
        <v>110</v>
      </c>
      <c r="O211" s="43" t="s">
        <v>65</v>
      </c>
      <c r="Q211" s="43">
        <v>110</v>
      </c>
      <c r="R211" s="43" t="s">
        <v>123</v>
      </c>
    </row>
    <row r="212" spans="2:18" ht="15" customHeight="1" x14ac:dyDescent="0.2">
      <c r="B212" s="43">
        <v>111</v>
      </c>
      <c r="C212" s="43" t="s">
        <v>65</v>
      </c>
      <c r="E212" s="43">
        <v>111</v>
      </c>
      <c r="F212" s="43" t="s">
        <v>65</v>
      </c>
      <c r="H212" s="43">
        <v>111</v>
      </c>
      <c r="I212" s="43" t="s">
        <v>104</v>
      </c>
      <c r="K212" s="43">
        <v>111</v>
      </c>
      <c r="L212" s="43" t="s">
        <v>65</v>
      </c>
      <c r="N212" s="43">
        <v>111</v>
      </c>
      <c r="O212" s="43" t="s">
        <v>65</v>
      </c>
      <c r="Q212" s="43">
        <v>111</v>
      </c>
      <c r="R212" s="43" t="s">
        <v>123</v>
      </c>
    </row>
    <row r="213" spans="2:18" ht="15" customHeight="1" x14ac:dyDescent="0.2">
      <c r="B213" s="43">
        <v>112</v>
      </c>
      <c r="C213" s="43" t="s">
        <v>65</v>
      </c>
      <c r="E213" s="43">
        <v>112</v>
      </c>
      <c r="F213" s="43" t="s">
        <v>65</v>
      </c>
      <c r="H213" s="43">
        <v>112</v>
      </c>
      <c r="I213" s="43" t="s">
        <v>104</v>
      </c>
      <c r="K213" s="43">
        <v>112</v>
      </c>
      <c r="L213" s="43" t="s">
        <v>65</v>
      </c>
      <c r="N213" s="43">
        <v>112</v>
      </c>
      <c r="O213" s="43" t="s">
        <v>65</v>
      </c>
      <c r="Q213" s="43">
        <v>112</v>
      </c>
      <c r="R213" s="43" t="s">
        <v>123</v>
      </c>
    </row>
    <row r="214" spans="2:18" ht="15" customHeight="1" x14ac:dyDescent="0.2">
      <c r="B214" s="43">
        <v>113</v>
      </c>
      <c r="C214" s="43" t="s">
        <v>65</v>
      </c>
      <c r="E214" s="43">
        <v>113</v>
      </c>
      <c r="F214" s="43" t="s">
        <v>65</v>
      </c>
      <c r="H214" s="43">
        <v>113</v>
      </c>
      <c r="I214" s="43" t="s">
        <v>104</v>
      </c>
      <c r="K214" s="43">
        <v>113</v>
      </c>
      <c r="L214" s="43" t="s">
        <v>65</v>
      </c>
      <c r="N214" s="43">
        <v>113</v>
      </c>
      <c r="O214" s="43" t="s">
        <v>65</v>
      </c>
      <c r="Q214" s="43">
        <v>113</v>
      </c>
      <c r="R214" s="43" t="s">
        <v>123</v>
      </c>
    </row>
    <row r="215" spans="2:18" ht="15" customHeight="1" x14ac:dyDescent="0.2">
      <c r="B215" s="43">
        <v>114</v>
      </c>
      <c r="C215" s="43" t="s">
        <v>65</v>
      </c>
      <c r="E215" s="43">
        <v>114</v>
      </c>
      <c r="F215" s="43" t="s">
        <v>65</v>
      </c>
      <c r="H215" s="43">
        <v>114</v>
      </c>
      <c r="I215" s="43" t="s">
        <v>104</v>
      </c>
      <c r="K215" s="43">
        <v>114</v>
      </c>
      <c r="L215" s="43" t="s">
        <v>65</v>
      </c>
      <c r="N215" s="43">
        <v>114</v>
      </c>
      <c r="O215" s="43" t="s">
        <v>65</v>
      </c>
      <c r="Q215" s="43">
        <v>114</v>
      </c>
      <c r="R215" s="43" t="s">
        <v>123</v>
      </c>
    </row>
    <row r="216" spans="2:18" ht="15" customHeight="1" x14ac:dyDescent="0.2">
      <c r="B216" s="43">
        <v>88</v>
      </c>
      <c r="C216" s="43" t="s">
        <v>65</v>
      </c>
      <c r="E216" s="43">
        <v>88</v>
      </c>
      <c r="F216" s="43" t="s">
        <v>65</v>
      </c>
      <c r="H216" s="43">
        <v>88</v>
      </c>
      <c r="I216" s="43" t="s">
        <v>104</v>
      </c>
      <c r="K216" s="43">
        <v>88</v>
      </c>
      <c r="L216" s="43" t="s">
        <v>65</v>
      </c>
      <c r="N216" s="43">
        <v>88</v>
      </c>
      <c r="O216" s="43" t="s">
        <v>65</v>
      </c>
      <c r="Q216" s="43">
        <v>88</v>
      </c>
      <c r="R216" s="43" t="s">
        <v>123</v>
      </c>
    </row>
    <row r="217" spans="2:18" ht="15" customHeight="1" x14ac:dyDescent="0.2">
      <c r="B217" s="43">
        <v>91</v>
      </c>
      <c r="C217" s="43" t="s">
        <v>65</v>
      </c>
      <c r="E217" s="43">
        <v>91</v>
      </c>
      <c r="F217" s="43" t="s">
        <v>65</v>
      </c>
      <c r="H217" s="43">
        <v>91</v>
      </c>
      <c r="I217" s="43" t="s">
        <v>104</v>
      </c>
      <c r="K217" s="43">
        <v>91</v>
      </c>
      <c r="L217" s="43" t="s">
        <v>65</v>
      </c>
      <c r="N217" s="43">
        <v>91</v>
      </c>
      <c r="O217" s="43" t="s">
        <v>65</v>
      </c>
      <c r="Q217" s="43">
        <v>91</v>
      </c>
      <c r="R217" s="43" t="s">
        <v>123</v>
      </c>
    </row>
    <row r="218" spans="2:18" ht="15" customHeight="1" x14ac:dyDescent="0.2">
      <c r="B218" s="43">
        <v>94</v>
      </c>
      <c r="C218" s="43" t="s">
        <v>65</v>
      </c>
      <c r="E218" s="43">
        <v>94</v>
      </c>
      <c r="F218" s="43" t="s">
        <v>65</v>
      </c>
      <c r="H218" s="43">
        <v>94</v>
      </c>
      <c r="I218" s="43" t="s">
        <v>104</v>
      </c>
      <c r="K218" s="43">
        <v>94</v>
      </c>
      <c r="L218" s="43" t="s">
        <v>65</v>
      </c>
      <c r="N218" s="43">
        <v>94</v>
      </c>
      <c r="O218" s="43" t="s">
        <v>65</v>
      </c>
      <c r="Q218" s="43">
        <v>94</v>
      </c>
      <c r="R218" s="43" t="s">
        <v>123</v>
      </c>
    </row>
    <row r="219" spans="2:18" ht="15" customHeight="1" x14ac:dyDescent="0.2">
      <c r="B219" s="43">
        <v>97</v>
      </c>
      <c r="C219" s="43" t="s">
        <v>65</v>
      </c>
      <c r="E219" s="43">
        <v>97</v>
      </c>
      <c r="F219" s="43" t="s">
        <v>65</v>
      </c>
      <c r="H219" s="43">
        <v>97</v>
      </c>
      <c r="I219" s="43" t="s">
        <v>104</v>
      </c>
      <c r="K219" s="43">
        <v>97</v>
      </c>
      <c r="L219" s="43" t="s">
        <v>65</v>
      </c>
      <c r="N219" s="43">
        <v>97</v>
      </c>
      <c r="O219" s="43" t="s">
        <v>65</v>
      </c>
      <c r="Q219" s="43">
        <v>97</v>
      </c>
      <c r="R219" s="43" t="s">
        <v>123</v>
      </c>
    </row>
    <row r="220" spans="2:18" ht="15" customHeight="1" x14ac:dyDescent="0.2">
      <c r="B220" s="43">
        <v>100</v>
      </c>
      <c r="C220" s="43" t="s">
        <v>65</v>
      </c>
      <c r="E220" s="43">
        <v>100</v>
      </c>
      <c r="F220" s="43" t="s">
        <v>65</v>
      </c>
      <c r="H220" s="43">
        <v>100</v>
      </c>
      <c r="I220" s="43" t="s">
        <v>104</v>
      </c>
      <c r="K220" s="43">
        <v>100</v>
      </c>
      <c r="L220" s="43" t="s">
        <v>65</v>
      </c>
      <c r="N220" s="43">
        <v>100</v>
      </c>
      <c r="O220" s="43" t="s">
        <v>65</v>
      </c>
      <c r="Q220" s="43">
        <v>100</v>
      </c>
      <c r="R220" s="43" t="s">
        <v>123</v>
      </c>
    </row>
    <row r="221" spans="2:18" ht="15" customHeight="1" x14ac:dyDescent="0.2">
      <c r="B221" s="43">
        <v>103</v>
      </c>
      <c r="C221" s="43" t="s">
        <v>65</v>
      </c>
      <c r="E221" s="43">
        <v>103</v>
      </c>
      <c r="F221" s="43" t="s">
        <v>65</v>
      </c>
      <c r="H221" s="43">
        <v>103</v>
      </c>
      <c r="I221" s="43" t="s">
        <v>104</v>
      </c>
      <c r="K221" s="43">
        <v>103</v>
      </c>
      <c r="L221" s="43" t="s">
        <v>65</v>
      </c>
      <c r="N221" s="43">
        <v>103</v>
      </c>
      <c r="O221" s="43" t="s">
        <v>65</v>
      </c>
      <c r="Q221" s="43">
        <v>103</v>
      </c>
      <c r="R221" s="43" t="s">
        <v>123</v>
      </c>
    </row>
    <row r="222" spans="2:18" ht="15" customHeight="1" x14ac:dyDescent="0.2">
      <c r="B222" s="43">
        <v>115</v>
      </c>
      <c r="C222" s="43" t="s">
        <v>65</v>
      </c>
      <c r="E222" s="43">
        <v>115</v>
      </c>
      <c r="F222" s="43" t="s">
        <v>65</v>
      </c>
      <c r="H222" s="43">
        <v>115</v>
      </c>
      <c r="I222" s="43" t="s">
        <v>104</v>
      </c>
      <c r="K222" s="43">
        <v>115</v>
      </c>
      <c r="L222" s="43" t="s">
        <v>65</v>
      </c>
      <c r="N222" s="43">
        <v>115</v>
      </c>
      <c r="O222" s="43" t="s">
        <v>65</v>
      </c>
      <c r="Q222" s="43">
        <v>115</v>
      </c>
      <c r="R222" s="43" t="s">
        <v>123</v>
      </c>
    </row>
    <row r="223" spans="2:18" ht="15" customHeight="1" x14ac:dyDescent="0.2">
      <c r="B223" s="43">
        <v>116</v>
      </c>
      <c r="C223" s="43" t="s">
        <v>65</v>
      </c>
      <c r="E223" s="43">
        <v>116</v>
      </c>
      <c r="F223" s="43" t="s">
        <v>65</v>
      </c>
      <c r="H223" s="43">
        <v>116</v>
      </c>
      <c r="I223" s="43" t="s">
        <v>104</v>
      </c>
      <c r="K223" s="43">
        <v>116</v>
      </c>
      <c r="L223" s="43" t="s">
        <v>65</v>
      </c>
      <c r="N223" s="43">
        <v>116</v>
      </c>
      <c r="O223" s="43" t="s">
        <v>65</v>
      </c>
      <c r="Q223" s="43">
        <v>116</v>
      </c>
      <c r="R223" s="43" t="s">
        <v>123</v>
      </c>
    </row>
    <row r="224" spans="2:18" ht="15" customHeight="1" x14ac:dyDescent="0.2">
      <c r="B224" s="43">
        <v>117</v>
      </c>
      <c r="C224" s="43" t="s">
        <v>65</v>
      </c>
      <c r="E224" s="43">
        <v>117</v>
      </c>
      <c r="F224" s="43" t="s">
        <v>65</v>
      </c>
      <c r="H224" s="43">
        <v>117</v>
      </c>
      <c r="I224" s="43" t="s">
        <v>104</v>
      </c>
      <c r="K224" s="43">
        <v>117</v>
      </c>
      <c r="L224" s="43" t="s">
        <v>65</v>
      </c>
      <c r="N224" s="43">
        <v>117</v>
      </c>
      <c r="O224" s="43" t="s">
        <v>65</v>
      </c>
      <c r="Q224" s="43">
        <v>117</v>
      </c>
      <c r="R224" s="43" t="s">
        <v>123</v>
      </c>
    </row>
    <row r="225" spans="2:18" ht="15" customHeight="1" x14ac:dyDescent="0.2">
      <c r="B225" s="43">
        <v>118</v>
      </c>
      <c r="C225" s="43" t="s">
        <v>65</v>
      </c>
      <c r="E225" s="43">
        <v>118</v>
      </c>
      <c r="F225" s="43" t="s">
        <v>65</v>
      </c>
      <c r="H225" s="43">
        <v>118</v>
      </c>
      <c r="I225" s="43" t="s">
        <v>104</v>
      </c>
      <c r="K225" s="43">
        <v>118</v>
      </c>
      <c r="L225" s="43" t="s">
        <v>65</v>
      </c>
      <c r="N225" s="43">
        <v>118</v>
      </c>
      <c r="O225" s="43" t="s">
        <v>65</v>
      </c>
      <c r="Q225" s="43">
        <v>118</v>
      </c>
      <c r="R225" s="43" t="s">
        <v>123</v>
      </c>
    </row>
    <row r="226" spans="2:18" ht="15" customHeight="1" x14ac:dyDescent="0.2">
      <c r="B226" s="43">
        <v>119</v>
      </c>
      <c r="C226" s="43" t="s">
        <v>65</v>
      </c>
      <c r="E226" s="43">
        <v>119</v>
      </c>
      <c r="F226" s="43" t="s">
        <v>65</v>
      </c>
      <c r="H226" s="43">
        <v>119</v>
      </c>
      <c r="I226" s="43" t="s">
        <v>104</v>
      </c>
      <c r="K226" s="43">
        <v>119</v>
      </c>
      <c r="L226" s="43" t="s">
        <v>65</v>
      </c>
      <c r="N226" s="43">
        <v>119</v>
      </c>
      <c r="O226" s="43" t="s">
        <v>65</v>
      </c>
      <c r="Q226" s="43">
        <v>119</v>
      </c>
      <c r="R226" s="43" t="s">
        <v>123</v>
      </c>
    </row>
    <row r="227" spans="2:18" ht="15" customHeight="1" x14ac:dyDescent="0.2">
      <c r="B227" s="43">
        <v>89</v>
      </c>
      <c r="C227" s="43" t="s">
        <v>65</v>
      </c>
      <c r="E227" s="43">
        <v>89</v>
      </c>
      <c r="F227" s="43" t="s">
        <v>65</v>
      </c>
      <c r="H227" s="43">
        <v>89</v>
      </c>
      <c r="I227" s="43" t="s">
        <v>104</v>
      </c>
      <c r="K227" s="43">
        <v>89</v>
      </c>
      <c r="L227" s="43" t="s">
        <v>65</v>
      </c>
      <c r="N227" s="43">
        <v>89</v>
      </c>
      <c r="O227" s="43" t="s">
        <v>65</v>
      </c>
      <c r="Q227" s="43">
        <v>89</v>
      </c>
      <c r="R227" s="43" t="s">
        <v>123</v>
      </c>
    </row>
    <row r="228" spans="2:18" ht="15" customHeight="1" x14ac:dyDescent="0.2">
      <c r="B228" s="43">
        <v>92</v>
      </c>
      <c r="C228" s="43" t="s">
        <v>65</v>
      </c>
      <c r="E228" s="43">
        <v>92</v>
      </c>
      <c r="F228" s="43" t="s">
        <v>65</v>
      </c>
      <c r="H228" s="43">
        <v>92</v>
      </c>
      <c r="I228" s="43" t="s">
        <v>104</v>
      </c>
      <c r="K228" s="43">
        <v>92</v>
      </c>
      <c r="L228" s="43" t="s">
        <v>65</v>
      </c>
      <c r="N228" s="43">
        <v>92</v>
      </c>
      <c r="O228" s="43" t="s">
        <v>65</v>
      </c>
      <c r="Q228" s="43">
        <v>92</v>
      </c>
      <c r="R228" s="43" t="s">
        <v>123</v>
      </c>
    </row>
    <row r="229" spans="2:18" ht="15" customHeight="1" x14ac:dyDescent="0.2">
      <c r="B229" s="43">
        <v>95</v>
      </c>
      <c r="C229" s="43" t="s">
        <v>65</v>
      </c>
      <c r="E229" s="43">
        <v>95</v>
      </c>
      <c r="F229" s="43" t="s">
        <v>65</v>
      </c>
      <c r="H229" s="43">
        <v>95</v>
      </c>
      <c r="I229" s="43" t="s">
        <v>104</v>
      </c>
      <c r="K229" s="43">
        <v>95</v>
      </c>
      <c r="L229" s="43" t="s">
        <v>65</v>
      </c>
      <c r="N229" s="43">
        <v>95</v>
      </c>
      <c r="O229" s="43" t="s">
        <v>65</v>
      </c>
      <c r="Q229" s="43">
        <v>95</v>
      </c>
      <c r="R229" s="43" t="s">
        <v>123</v>
      </c>
    </row>
    <row r="230" spans="2:18" ht="15" customHeight="1" x14ac:dyDescent="0.2">
      <c r="B230" s="43">
        <v>98</v>
      </c>
      <c r="C230" s="43" t="s">
        <v>65</v>
      </c>
      <c r="E230" s="43">
        <v>98</v>
      </c>
      <c r="F230" s="43" t="s">
        <v>65</v>
      </c>
      <c r="H230" s="43">
        <v>98</v>
      </c>
      <c r="I230" s="43" t="s">
        <v>104</v>
      </c>
      <c r="K230" s="43">
        <v>98</v>
      </c>
      <c r="L230" s="43" t="s">
        <v>65</v>
      </c>
      <c r="N230" s="43">
        <v>98</v>
      </c>
      <c r="O230" s="43" t="s">
        <v>65</v>
      </c>
      <c r="Q230" s="43">
        <v>98</v>
      </c>
      <c r="R230" s="43" t="s">
        <v>123</v>
      </c>
    </row>
    <row r="231" spans="2:18" ht="15" customHeight="1" x14ac:dyDescent="0.2">
      <c r="B231" s="43">
        <v>101</v>
      </c>
      <c r="C231" s="43" t="s">
        <v>65</v>
      </c>
      <c r="E231" s="43">
        <v>101</v>
      </c>
      <c r="F231" s="43" t="s">
        <v>65</v>
      </c>
      <c r="H231" s="43">
        <v>101</v>
      </c>
      <c r="I231" s="43" t="s">
        <v>104</v>
      </c>
      <c r="K231" s="43">
        <v>101</v>
      </c>
      <c r="L231" s="43" t="s">
        <v>65</v>
      </c>
      <c r="N231" s="43">
        <v>101</v>
      </c>
      <c r="O231" s="43" t="s">
        <v>65</v>
      </c>
      <c r="Q231" s="43">
        <v>101</v>
      </c>
      <c r="R231" s="43" t="s">
        <v>123</v>
      </c>
    </row>
    <row r="232" spans="2:18" ht="15" customHeight="1" x14ac:dyDescent="0.2">
      <c r="B232" s="43">
        <v>104</v>
      </c>
      <c r="C232" s="43" t="s">
        <v>65</v>
      </c>
      <c r="E232" s="43">
        <v>104</v>
      </c>
      <c r="F232" s="43" t="s">
        <v>65</v>
      </c>
      <c r="H232" s="43">
        <v>104</v>
      </c>
      <c r="I232" s="43" t="s">
        <v>104</v>
      </c>
      <c r="K232" s="43">
        <v>104</v>
      </c>
      <c r="L232" s="43" t="s">
        <v>65</v>
      </c>
      <c r="N232" s="43">
        <v>104</v>
      </c>
      <c r="O232" s="43" t="s">
        <v>65</v>
      </c>
      <c r="Q232" s="43">
        <v>104</v>
      </c>
      <c r="R232" s="43" t="s">
        <v>123</v>
      </c>
    </row>
    <row r="233" spans="2:18" ht="15" customHeight="1" x14ac:dyDescent="0.2">
      <c r="B233" s="43">
        <v>120</v>
      </c>
      <c r="C233" s="43" t="s">
        <v>65</v>
      </c>
      <c r="E233" s="43">
        <v>120</v>
      </c>
      <c r="F233" s="43" t="s">
        <v>65</v>
      </c>
      <c r="H233" s="43">
        <v>120</v>
      </c>
      <c r="I233" s="43" t="s">
        <v>104</v>
      </c>
      <c r="K233" s="43">
        <v>120</v>
      </c>
      <c r="L233" s="43" t="s">
        <v>65</v>
      </c>
      <c r="N233" s="43">
        <v>120</v>
      </c>
      <c r="O233" s="43" t="s">
        <v>65</v>
      </c>
      <c r="Q233" s="43">
        <v>120</v>
      </c>
      <c r="R233" s="43" t="s">
        <v>123</v>
      </c>
    </row>
    <row r="234" spans="2:18" ht="15" customHeight="1" x14ac:dyDescent="0.2">
      <c r="B234" s="43">
        <v>121</v>
      </c>
      <c r="C234" s="43" t="s">
        <v>65</v>
      </c>
      <c r="E234" s="43">
        <v>121</v>
      </c>
      <c r="F234" s="43" t="s">
        <v>65</v>
      </c>
      <c r="H234" s="43">
        <v>121</v>
      </c>
      <c r="I234" s="43" t="s">
        <v>104</v>
      </c>
      <c r="K234" s="43">
        <v>121</v>
      </c>
      <c r="L234" s="43" t="s">
        <v>65</v>
      </c>
      <c r="N234" s="43">
        <v>121</v>
      </c>
      <c r="O234" s="43" t="s">
        <v>65</v>
      </c>
      <c r="Q234" s="43">
        <v>121</v>
      </c>
      <c r="R234" s="43" t="s">
        <v>123</v>
      </c>
    </row>
    <row r="235" spans="2:18" ht="15" customHeight="1" x14ac:dyDescent="0.2">
      <c r="B235" s="43">
        <v>122</v>
      </c>
      <c r="C235" s="43" t="s">
        <v>65</v>
      </c>
      <c r="E235" s="43">
        <v>122</v>
      </c>
      <c r="F235" s="43" t="s">
        <v>65</v>
      </c>
      <c r="H235" s="43">
        <v>122</v>
      </c>
      <c r="I235" s="43" t="s">
        <v>104</v>
      </c>
      <c r="K235" s="43">
        <v>122</v>
      </c>
      <c r="L235" s="43" t="s">
        <v>65</v>
      </c>
      <c r="N235" s="43">
        <v>122</v>
      </c>
      <c r="O235" s="43" t="s">
        <v>65</v>
      </c>
      <c r="Q235" s="43">
        <v>122</v>
      </c>
      <c r="R235" s="43" t="s">
        <v>123</v>
      </c>
    </row>
    <row r="236" spans="2:18" ht="15" customHeight="1" x14ac:dyDescent="0.2">
      <c r="B236" s="43">
        <v>123</v>
      </c>
      <c r="C236" s="43" t="s">
        <v>65</v>
      </c>
      <c r="E236" s="43">
        <v>123</v>
      </c>
      <c r="F236" s="43" t="s">
        <v>65</v>
      </c>
      <c r="H236" s="43">
        <v>123</v>
      </c>
      <c r="I236" s="43" t="s">
        <v>104</v>
      </c>
      <c r="K236" s="43">
        <v>123</v>
      </c>
      <c r="L236" s="43" t="s">
        <v>65</v>
      </c>
      <c r="N236" s="43">
        <v>123</v>
      </c>
      <c r="O236" s="43" t="s">
        <v>65</v>
      </c>
      <c r="Q236" s="43">
        <v>123</v>
      </c>
      <c r="R236" s="43" t="s">
        <v>123</v>
      </c>
    </row>
    <row r="237" spans="2:18" ht="15" customHeight="1" x14ac:dyDescent="0.2">
      <c r="B237" s="43">
        <v>124</v>
      </c>
      <c r="C237" s="43" t="s">
        <v>65</v>
      </c>
      <c r="E237" s="43">
        <v>124</v>
      </c>
      <c r="F237" s="43" t="s">
        <v>65</v>
      </c>
      <c r="H237" s="43">
        <v>124</v>
      </c>
      <c r="I237" s="43" t="s">
        <v>104</v>
      </c>
      <c r="K237" s="43">
        <v>124</v>
      </c>
      <c r="L237" s="43" t="s">
        <v>65</v>
      </c>
      <c r="N237" s="43">
        <v>124</v>
      </c>
      <c r="O237" s="43" t="s">
        <v>65</v>
      </c>
      <c r="Q237" s="43">
        <v>124</v>
      </c>
      <c r="R237" s="43" t="s">
        <v>123</v>
      </c>
    </row>
    <row r="238" spans="2:18" ht="15" customHeight="1" x14ac:dyDescent="0.2">
      <c r="B238" s="43">
        <v>167</v>
      </c>
      <c r="C238" s="43" t="s">
        <v>65</v>
      </c>
      <c r="E238" s="43">
        <v>167</v>
      </c>
      <c r="F238" s="43" t="s">
        <v>65</v>
      </c>
      <c r="H238" s="43">
        <v>167</v>
      </c>
      <c r="I238" s="43" t="s">
        <v>104</v>
      </c>
      <c r="K238" s="43">
        <v>167</v>
      </c>
      <c r="L238" s="43" t="s">
        <v>65</v>
      </c>
      <c r="N238" s="43">
        <v>167</v>
      </c>
      <c r="O238" s="43" t="s">
        <v>65</v>
      </c>
      <c r="Q238" s="43">
        <v>167</v>
      </c>
      <c r="R238" s="43" t="s">
        <v>123</v>
      </c>
    </row>
    <row r="239" spans="2:18" ht="15" customHeight="1" x14ac:dyDescent="0.2">
      <c r="B239" s="43">
        <v>168</v>
      </c>
      <c r="C239" s="43" t="s">
        <v>65</v>
      </c>
      <c r="E239" s="43">
        <v>168</v>
      </c>
      <c r="F239" s="43" t="s">
        <v>65</v>
      </c>
      <c r="H239" s="43">
        <v>168</v>
      </c>
      <c r="I239" s="43" t="s">
        <v>104</v>
      </c>
      <c r="K239" s="43">
        <v>168</v>
      </c>
      <c r="L239" s="43" t="s">
        <v>65</v>
      </c>
      <c r="N239" s="43">
        <v>168</v>
      </c>
      <c r="O239" s="43" t="s">
        <v>65</v>
      </c>
      <c r="Q239" s="43">
        <v>168</v>
      </c>
      <c r="R239" s="43" t="s">
        <v>123</v>
      </c>
    </row>
    <row r="240" spans="2:18" ht="15" customHeight="1" x14ac:dyDescent="0.2">
      <c r="B240" s="43">
        <v>169</v>
      </c>
      <c r="C240" s="43" t="s">
        <v>65</v>
      </c>
      <c r="E240" s="43">
        <v>169</v>
      </c>
      <c r="F240" s="43" t="s">
        <v>65</v>
      </c>
      <c r="H240" s="43">
        <v>169</v>
      </c>
      <c r="I240" s="43" t="s">
        <v>104</v>
      </c>
      <c r="K240" s="43">
        <v>169</v>
      </c>
      <c r="L240" s="43" t="s">
        <v>65</v>
      </c>
      <c r="N240" s="43">
        <v>169</v>
      </c>
      <c r="O240" s="43" t="s">
        <v>65</v>
      </c>
      <c r="Q240" s="43">
        <v>169</v>
      </c>
      <c r="R240" s="43" t="s">
        <v>123</v>
      </c>
    </row>
    <row r="241" spans="2:18" ht="15" customHeight="1" x14ac:dyDescent="0.2">
      <c r="B241" s="43">
        <v>170</v>
      </c>
      <c r="C241" s="43" t="s">
        <v>65</v>
      </c>
      <c r="E241" s="43">
        <v>170</v>
      </c>
      <c r="F241" s="43" t="s">
        <v>65</v>
      </c>
      <c r="H241" s="43">
        <v>170</v>
      </c>
      <c r="I241" s="43" t="s">
        <v>104</v>
      </c>
      <c r="K241" s="43">
        <v>170</v>
      </c>
      <c r="L241" s="43" t="s">
        <v>65</v>
      </c>
      <c r="N241" s="43">
        <v>170</v>
      </c>
      <c r="O241" s="43" t="s">
        <v>65</v>
      </c>
      <c r="Q241" s="43">
        <v>170</v>
      </c>
      <c r="R241" s="43" t="s">
        <v>123</v>
      </c>
    </row>
    <row r="242" spans="2:18" ht="15" customHeight="1" x14ac:dyDescent="0.2">
      <c r="B242" s="43">
        <v>171</v>
      </c>
      <c r="C242" s="43" t="s">
        <v>65</v>
      </c>
      <c r="E242" s="43">
        <v>171</v>
      </c>
      <c r="F242" s="43" t="s">
        <v>65</v>
      </c>
      <c r="H242" s="43">
        <v>171</v>
      </c>
      <c r="I242" s="43" t="s">
        <v>104</v>
      </c>
      <c r="K242" s="43">
        <v>171</v>
      </c>
      <c r="L242" s="43" t="s">
        <v>65</v>
      </c>
      <c r="N242" s="43">
        <v>171</v>
      </c>
      <c r="O242" s="43" t="s">
        <v>65</v>
      </c>
      <c r="Q242" s="43">
        <v>171</v>
      </c>
      <c r="R242" s="43" t="s">
        <v>123</v>
      </c>
    </row>
    <row r="243" spans="2:18" ht="15" customHeight="1" x14ac:dyDescent="0.2">
      <c r="B243" s="43">
        <v>149</v>
      </c>
      <c r="C243" s="43" t="s">
        <v>65</v>
      </c>
      <c r="E243" s="43">
        <v>149</v>
      </c>
      <c r="F243" s="43" t="s">
        <v>65</v>
      </c>
      <c r="H243" s="43">
        <v>149</v>
      </c>
      <c r="I243" s="43" t="s">
        <v>104</v>
      </c>
      <c r="K243" s="43">
        <v>149</v>
      </c>
      <c r="L243" s="43" t="s">
        <v>65</v>
      </c>
      <c r="N243" s="43">
        <v>149</v>
      </c>
      <c r="O243" s="43" t="s">
        <v>65</v>
      </c>
      <c r="Q243" s="43">
        <v>149</v>
      </c>
      <c r="R243" s="43" t="s">
        <v>123</v>
      </c>
    </row>
    <row r="244" spans="2:18" ht="15" customHeight="1" x14ac:dyDescent="0.2">
      <c r="B244" s="43">
        <v>152</v>
      </c>
      <c r="C244" s="43" t="s">
        <v>65</v>
      </c>
      <c r="E244" s="43">
        <v>152</v>
      </c>
      <c r="F244" s="43" t="s">
        <v>65</v>
      </c>
      <c r="H244" s="43">
        <v>152</v>
      </c>
      <c r="I244" s="43" t="s">
        <v>104</v>
      </c>
      <c r="K244" s="43">
        <v>152</v>
      </c>
      <c r="L244" s="43" t="s">
        <v>65</v>
      </c>
      <c r="N244" s="43">
        <v>152</v>
      </c>
      <c r="O244" s="43" t="s">
        <v>65</v>
      </c>
      <c r="Q244" s="43">
        <v>152</v>
      </c>
      <c r="R244" s="43" t="s">
        <v>123</v>
      </c>
    </row>
    <row r="245" spans="2:18" ht="15" customHeight="1" x14ac:dyDescent="0.2">
      <c r="B245" s="43">
        <v>155</v>
      </c>
      <c r="C245" s="43" t="s">
        <v>65</v>
      </c>
      <c r="E245" s="43">
        <v>155</v>
      </c>
      <c r="F245" s="43" t="s">
        <v>65</v>
      </c>
      <c r="H245" s="43">
        <v>155</v>
      </c>
      <c r="I245" s="43" t="s">
        <v>104</v>
      </c>
      <c r="K245" s="43">
        <v>155</v>
      </c>
      <c r="L245" s="43" t="s">
        <v>65</v>
      </c>
      <c r="N245" s="43">
        <v>155</v>
      </c>
      <c r="O245" s="43" t="s">
        <v>65</v>
      </c>
      <c r="Q245" s="43">
        <v>155</v>
      </c>
      <c r="R245" s="43" t="s">
        <v>123</v>
      </c>
    </row>
    <row r="246" spans="2:18" ht="15" customHeight="1" x14ac:dyDescent="0.2">
      <c r="B246" s="43">
        <v>158</v>
      </c>
      <c r="C246" s="43" t="s">
        <v>65</v>
      </c>
      <c r="E246" s="43">
        <v>158</v>
      </c>
      <c r="F246" s="43" t="s">
        <v>65</v>
      </c>
      <c r="H246" s="43">
        <v>158</v>
      </c>
      <c r="I246" s="43" t="s">
        <v>104</v>
      </c>
      <c r="K246" s="43">
        <v>158</v>
      </c>
      <c r="L246" s="43" t="s">
        <v>65</v>
      </c>
      <c r="N246" s="43">
        <v>158</v>
      </c>
      <c r="O246" s="43" t="s">
        <v>65</v>
      </c>
      <c r="Q246" s="43">
        <v>158</v>
      </c>
      <c r="R246" s="43" t="s">
        <v>123</v>
      </c>
    </row>
    <row r="247" spans="2:18" ht="15" customHeight="1" x14ac:dyDescent="0.2">
      <c r="B247" s="43">
        <v>161</v>
      </c>
      <c r="C247" s="43" t="s">
        <v>65</v>
      </c>
      <c r="E247" s="43">
        <v>161</v>
      </c>
      <c r="F247" s="43" t="s">
        <v>65</v>
      </c>
      <c r="H247" s="43">
        <v>161</v>
      </c>
      <c r="I247" s="43" t="s">
        <v>104</v>
      </c>
      <c r="K247" s="43">
        <v>161</v>
      </c>
      <c r="L247" s="43" t="s">
        <v>65</v>
      </c>
      <c r="N247" s="43">
        <v>161</v>
      </c>
      <c r="O247" s="43" t="s">
        <v>65</v>
      </c>
      <c r="Q247" s="43">
        <v>161</v>
      </c>
      <c r="R247" s="43" t="s">
        <v>123</v>
      </c>
    </row>
    <row r="248" spans="2:18" ht="15" customHeight="1" x14ac:dyDescent="0.2">
      <c r="B248" s="43">
        <v>164</v>
      </c>
      <c r="C248" s="43" t="s">
        <v>65</v>
      </c>
      <c r="E248" s="43">
        <v>164</v>
      </c>
      <c r="F248" s="43" t="s">
        <v>65</v>
      </c>
      <c r="H248" s="43">
        <v>164</v>
      </c>
      <c r="I248" s="43" t="s">
        <v>104</v>
      </c>
      <c r="K248" s="43">
        <v>164</v>
      </c>
      <c r="L248" s="43" t="s">
        <v>65</v>
      </c>
      <c r="N248" s="43">
        <v>164</v>
      </c>
      <c r="O248" s="43" t="s">
        <v>65</v>
      </c>
      <c r="Q248" s="43">
        <v>164</v>
      </c>
      <c r="R248" s="43" t="s">
        <v>123</v>
      </c>
    </row>
    <row r="249" spans="2:18" ht="15" customHeight="1" x14ac:dyDescent="0.2">
      <c r="B249" s="43">
        <v>172</v>
      </c>
      <c r="C249" s="43" t="s">
        <v>65</v>
      </c>
      <c r="E249" s="43">
        <v>172</v>
      </c>
      <c r="F249" s="43" t="s">
        <v>65</v>
      </c>
      <c r="H249" s="43">
        <v>172</v>
      </c>
      <c r="I249" s="43" t="s">
        <v>104</v>
      </c>
      <c r="K249" s="43">
        <v>172</v>
      </c>
      <c r="L249" s="43" t="s">
        <v>65</v>
      </c>
      <c r="N249" s="43">
        <v>172</v>
      </c>
      <c r="O249" s="43" t="s">
        <v>65</v>
      </c>
      <c r="Q249" s="43">
        <v>172</v>
      </c>
      <c r="R249" s="43" t="s">
        <v>123</v>
      </c>
    </row>
    <row r="250" spans="2:18" ht="15" customHeight="1" x14ac:dyDescent="0.2">
      <c r="B250" s="43">
        <v>173</v>
      </c>
      <c r="C250" s="43" t="s">
        <v>65</v>
      </c>
      <c r="E250" s="43">
        <v>173</v>
      </c>
      <c r="F250" s="43" t="s">
        <v>65</v>
      </c>
      <c r="H250" s="43">
        <v>173</v>
      </c>
      <c r="I250" s="43" t="s">
        <v>104</v>
      </c>
      <c r="K250" s="43">
        <v>173</v>
      </c>
      <c r="L250" s="43" t="s">
        <v>65</v>
      </c>
      <c r="N250" s="43">
        <v>173</v>
      </c>
      <c r="O250" s="43" t="s">
        <v>65</v>
      </c>
      <c r="Q250" s="43">
        <v>173</v>
      </c>
      <c r="R250" s="43" t="s">
        <v>123</v>
      </c>
    </row>
    <row r="251" spans="2:18" ht="15" customHeight="1" x14ac:dyDescent="0.2">
      <c r="B251" s="43">
        <v>174</v>
      </c>
      <c r="C251" s="43" t="s">
        <v>65</v>
      </c>
      <c r="E251" s="43">
        <v>174</v>
      </c>
      <c r="F251" s="43" t="s">
        <v>65</v>
      </c>
      <c r="H251" s="43">
        <v>174</v>
      </c>
      <c r="I251" s="43" t="s">
        <v>104</v>
      </c>
      <c r="K251" s="43">
        <v>174</v>
      </c>
      <c r="L251" s="43" t="s">
        <v>65</v>
      </c>
      <c r="N251" s="43">
        <v>174</v>
      </c>
      <c r="O251" s="43" t="s">
        <v>65</v>
      </c>
      <c r="Q251" s="43">
        <v>174</v>
      </c>
      <c r="R251" s="43" t="s">
        <v>123</v>
      </c>
    </row>
    <row r="252" spans="2:18" ht="15" customHeight="1" x14ac:dyDescent="0.2">
      <c r="B252" s="43">
        <v>175</v>
      </c>
      <c r="C252" s="43" t="s">
        <v>65</v>
      </c>
      <c r="E252" s="43">
        <v>175</v>
      </c>
      <c r="F252" s="43" t="s">
        <v>65</v>
      </c>
      <c r="H252" s="43">
        <v>175</v>
      </c>
      <c r="I252" s="43" t="s">
        <v>104</v>
      </c>
      <c r="K252" s="43">
        <v>175</v>
      </c>
      <c r="L252" s="43" t="s">
        <v>65</v>
      </c>
      <c r="N252" s="43">
        <v>175</v>
      </c>
      <c r="O252" s="43" t="s">
        <v>65</v>
      </c>
      <c r="Q252" s="43">
        <v>175</v>
      </c>
      <c r="R252" s="43" t="s">
        <v>123</v>
      </c>
    </row>
    <row r="253" spans="2:18" ht="15" customHeight="1" x14ac:dyDescent="0.2">
      <c r="B253" s="43">
        <v>176</v>
      </c>
      <c r="C253" s="43" t="s">
        <v>65</v>
      </c>
      <c r="E253" s="43">
        <v>176</v>
      </c>
      <c r="F253" s="43" t="s">
        <v>65</v>
      </c>
      <c r="H253" s="43">
        <v>176</v>
      </c>
      <c r="I253" s="43" t="s">
        <v>104</v>
      </c>
      <c r="K253" s="43">
        <v>176</v>
      </c>
      <c r="L253" s="43" t="s">
        <v>65</v>
      </c>
      <c r="N253" s="43">
        <v>176</v>
      </c>
      <c r="O253" s="43" t="s">
        <v>65</v>
      </c>
      <c r="Q253" s="43">
        <v>176</v>
      </c>
      <c r="R253" s="43" t="s">
        <v>123</v>
      </c>
    </row>
    <row r="254" spans="2:18" ht="15" customHeight="1" x14ac:dyDescent="0.2">
      <c r="B254" s="43">
        <v>150</v>
      </c>
      <c r="C254" s="43" t="s">
        <v>65</v>
      </c>
      <c r="E254" s="43">
        <v>150</v>
      </c>
      <c r="F254" s="43" t="s">
        <v>65</v>
      </c>
      <c r="H254" s="43">
        <v>150</v>
      </c>
      <c r="I254" s="43" t="s">
        <v>104</v>
      </c>
      <c r="K254" s="43">
        <v>150</v>
      </c>
      <c r="L254" s="43" t="s">
        <v>65</v>
      </c>
      <c r="N254" s="43">
        <v>150</v>
      </c>
      <c r="O254" s="43" t="s">
        <v>65</v>
      </c>
      <c r="Q254" s="43">
        <v>150</v>
      </c>
      <c r="R254" s="43" t="s">
        <v>123</v>
      </c>
    </row>
    <row r="255" spans="2:18" ht="15" customHeight="1" x14ac:dyDescent="0.2">
      <c r="B255" s="43">
        <v>153</v>
      </c>
      <c r="C255" s="43" t="s">
        <v>65</v>
      </c>
      <c r="E255" s="43">
        <v>153</v>
      </c>
      <c r="F255" s="43" t="s">
        <v>65</v>
      </c>
      <c r="H255" s="43">
        <v>153</v>
      </c>
      <c r="I255" s="43" t="s">
        <v>104</v>
      </c>
      <c r="K255" s="43">
        <v>153</v>
      </c>
      <c r="L255" s="43" t="s">
        <v>65</v>
      </c>
      <c r="N255" s="43">
        <v>153</v>
      </c>
      <c r="O255" s="43" t="s">
        <v>65</v>
      </c>
      <c r="Q255" s="43">
        <v>153</v>
      </c>
      <c r="R255" s="43" t="s">
        <v>123</v>
      </c>
    </row>
    <row r="256" spans="2:18" ht="15" customHeight="1" x14ac:dyDescent="0.2">
      <c r="B256" s="43">
        <v>156</v>
      </c>
      <c r="C256" s="43" t="s">
        <v>65</v>
      </c>
      <c r="E256" s="43">
        <v>156</v>
      </c>
      <c r="F256" s="43" t="s">
        <v>65</v>
      </c>
      <c r="H256" s="43">
        <v>156</v>
      </c>
      <c r="I256" s="43" t="s">
        <v>104</v>
      </c>
      <c r="K256" s="43">
        <v>156</v>
      </c>
      <c r="L256" s="43" t="s">
        <v>65</v>
      </c>
      <c r="N256" s="43">
        <v>156</v>
      </c>
      <c r="O256" s="43" t="s">
        <v>65</v>
      </c>
      <c r="Q256" s="43">
        <v>156</v>
      </c>
      <c r="R256" s="43" t="s">
        <v>123</v>
      </c>
    </row>
    <row r="257" spans="2:18" ht="15" customHeight="1" x14ac:dyDescent="0.2">
      <c r="B257" s="43">
        <v>159</v>
      </c>
      <c r="C257" s="43" t="s">
        <v>65</v>
      </c>
      <c r="E257" s="43">
        <v>159</v>
      </c>
      <c r="F257" s="43" t="s">
        <v>65</v>
      </c>
      <c r="H257" s="43">
        <v>159</v>
      </c>
      <c r="I257" s="43" t="s">
        <v>104</v>
      </c>
      <c r="K257" s="43">
        <v>159</v>
      </c>
      <c r="L257" s="43" t="s">
        <v>65</v>
      </c>
      <c r="N257" s="43">
        <v>159</v>
      </c>
      <c r="O257" s="43" t="s">
        <v>65</v>
      </c>
      <c r="Q257" s="43">
        <v>159</v>
      </c>
      <c r="R257" s="43" t="s">
        <v>123</v>
      </c>
    </row>
    <row r="258" spans="2:18" ht="15" customHeight="1" x14ac:dyDescent="0.2">
      <c r="B258" s="43">
        <v>162</v>
      </c>
      <c r="C258" s="43" t="s">
        <v>65</v>
      </c>
      <c r="E258" s="43">
        <v>162</v>
      </c>
      <c r="F258" s="43" t="s">
        <v>65</v>
      </c>
      <c r="H258" s="43">
        <v>162</v>
      </c>
      <c r="I258" s="43" t="s">
        <v>104</v>
      </c>
      <c r="K258" s="43">
        <v>162</v>
      </c>
      <c r="L258" s="43" t="s">
        <v>65</v>
      </c>
      <c r="N258" s="43">
        <v>162</v>
      </c>
      <c r="O258" s="43" t="s">
        <v>65</v>
      </c>
      <c r="Q258" s="43">
        <v>162</v>
      </c>
      <c r="R258" s="43" t="s">
        <v>123</v>
      </c>
    </row>
    <row r="259" spans="2:18" ht="15" customHeight="1" x14ac:dyDescent="0.2">
      <c r="B259" s="43">
        <v>165</v>
      </c>
      <c r="C259" s="43" t="s">
        <v>65</v>
      </c>
      <c r="E259" s="43">
        <v>165</v>
      </c>
      <c r="F259" s="43" t="s">
        <v>65</v>
      </c>
      <c r="H259" s="43">
        <v>165</v>
      </c>
      <c r="I259" s="43" t="s">
        <v>104</v>
      </c>
      <c r="K259" s="43">
        <v>165</v>
      </c>
      <c r="L259" s="43" t="s">
        <v>65</v>
      </c>
      <c r="N259" s="43">
        <v>165</v>
      </c>
      <c r="O259" s="43" t="s">
        <v>65</v>
      </c>
      <c r="Q259" s="43">
        <v>165</v>
      </c>
      <c r="R259" s="43" t="s">
        <v>123</v>
      </c>
    </row>
    <row r="260" spans="2:18" ht="15" customHeight="1" x14ac:dyDescent="0.2">
      <c r="B260" s="43">
        <v>177</v>
      </c>
      <c r="C260" s="43" t="s">
        <v>65</v>
      </c>
      <c r="E260" s="43">
        <v>177</v>
      </c>
      <c r="F260" s="43" t="s">
        <v>65</v>
      </c>
      <c r="H260" s="43">
        <v>177</v>
      </c>
      <c r="I260" s="43" t="s">
        <v>104</v>
      </c>
      <c r="K260" s="43">
        <v>177</v>
      </c>
      <c r="L260" s="43" t="s">
        <v>65</v>
      </c>
      <c r="N260" s="43">
        <v>177</v>
      </c>
      <c r="O260" s="43" t="s">
        <v>65</v>
      </c>
      <c r="Q260" s="43">
        <v>177</v>
      </c>
      <c r="R260" s="43" t="s">
        <v>123</v>
      </c>
    </row>
    <row r="261" spans="2:18" ht="15" customHeight="1" x14ac:dyDescent="0.2">
      <c r="B261" s="43">
        <v>178</v>
      </c>
      <c r="C261" s="43" t="s">
        <v>65</v>
      </c>
      <c r="E261" s="43">
        <v>178</v>
      </c>
      <c r="F261" s="43" t="s">
        <v>65</v>
      </c>
      <c r="H261" s="43">
        <v>178</v>
      </c>
      <c r="I261" s="43" t="s">
        <v>104</v>
      </c>
      <c r="K261" s="43">
        <v>178</v>
      </c>
      <c r="L261" s="43" t="s">
        <v>65</v>
      </c>
      <c r="N261" s="43">
        <v>178</v>
      </c>
      <c r="O261" s="43" t="s">
        <v>65</v>
      </c>
      <c r="Q261" s="43">
        <v>178</v>
      </c>
      <c r="R261" s="43" t="s">
        <v>123</v>
      </c>
    </row>
    <row r="262" spans="2:18" ht="15" customHeight="1" x14ac:dyDescent="0.2">
      <c r="B262" s="43">
        <v>179</v>
      </c>
      <c r="C262" s="43" t="s">
        <v>65</v>
      </c>
      <c r="E262" s="43">
        <v>179</v>
      </c>
      <c r="F262" s="43" t="s">
        <v>65</v>
      </c>
      <c r="H262" s="43">
        <v>179</v>
      </c>
      <c r="I262" s="43" t="s">
        <v>104</v>
      </c>
      <c r="K262" s="43">
        <v>179</v>
      </c>
      <c r="L262" s="43" t="s">
        <v>65</v>
      </c>
      <c r="N262" s="43">
        <v>179</v>
      </c>
      <c r="O262" s="43" t="s">
        <v>65</v>
      </c>
      <c r="Q262" s="43">
        <v>179</v>
      </c>
      <c r="R262" s="43" t="s">
        <v>123</v>
      </c>
    </row>
    <row r="263" spans="2:18" ht="15" customHeight="1" x14ac:dyDescent="0.2">
      <c r="B263" s="43">
        <v>180</v>
      </c>
      <c r="C263" s="43" t="s">
        <v>65</v>
      </c>
      <c r="E263" s="43">
        <v>180</v>
      </c>
      <c r="F263" s="43" t="s">
        <v>65</v>
      </c>
      <c r="H263" s="43">
        <v>180</v>
      </c>
      <c r="I263" s="43" t="s">
        <v>104</v>
      </c>
      <c r="K263" s="43">
        <v>180</v>
      </c>
      <c r="L263" s="43" t="s">
        <v>65</v>
      </c>
      <c r="N263" s="43">
        <v>180</v>
      </c>
      <c r="O263" s="43" t="s">
        <v>65</v>
      </c>
      <c r="Q263" s="43">
        <v>180</v>
      </c>
      <c r="R263" s="43" t="s">
        <v>123</v>
      </c>
    </row>
    <row r="264" spans="2:18" ht="15" customHeight="1" x14ac:dyDescent="0.2">
      <c r="B264" s="43">
        <v>181</v>
      </c>
      <c r="C264" s="43" t="s">
        <v>65</v>
      </c>
      <c r="E264" s="43">
        <v>181</v>
      </c>
      <c r="F264" s="43" t="s">
        <v>65</v>
      </c>
      <c r="H264" s="43">
        <v>181</v>
      </c>
      <c r="I264" s="43" t="s">
        <v>104</v>
      </c>
      <c r="K264" s="43">
        <v>181</v>
      </c>
      <c r="L264" s="43" t="s">
        <v>65</v>
      </c>
      <c r="N264" s="43">
        <v>181</v>
      </c>
      <c r="O264" s="43" t="s">
        <v>65</v>
      </c>
      <c r="Q264" s="43">
        <v>181</v>
      </c>
      <c r="R264" s="43" t="s">
        <v>123</v>
      </c>
    </row>
    <row r="265" spans="2:18" ht="15" customHeight="1" x14ac:dyDescent="0.2">
      <c r="B265" s="43">
        <v>151</v>
      </c>
      <c r="C265" s="43" t="s">
        <v>65</v>
      </c>
      <c r="E265" s="43">
        <v>151</v>
      </c>
      <c r="F265" s="43" t="s">
        <v>65</v>
      </c>
      <c r="H265" s="43">
        <v>151</v>
      </c>
      <c r="I265" s="43" t="s">
        <v>104</v>
      </c>
      <c r="K265" s="43">
        <v>151</v>
      </c>
      <c r="L265" s="43" t="s">
        <v>65</v>
      </c>
      <c r="N265" s="43">
        <v>151</v>
      </c>
      <c r="O265" s="43" t="s">
        <v>65</v>
      </c>
      <c r="Q265" s="43">
        <v>151</v>
      </c>
      <c r="R265" s="43" t="s">
        <v>123</v>
      </c>
    </row>
    <row r="266" spans="2:18" ht="15" customHeight="1" x14ac:dyDescent="0.2">
      <c r="B266" s="43">
        <v>154</v>
      </c>
      <c r="C266" s="43" t="s">
        <v>65</v>
      </c>
      <c r="E266" s="43">
        <v>154</v>
      </c>
      <c r="F266" s="43" t="s">
        <v>65</v>
      </c>
      <c r="H266" s="43">
        <v>154</v>
      </c>
      <c r="I266" s="43" t="s">
        <v>104</v>
      </c>
      <c r="K266" s="43">
        <v>154</v>
      </c>
      <c r="L266" s="43" t="s">
        <v>65</v>
      </c>
      <c r="N266" s="43">
        <v>154</v>
      </c>
      <c r="O266" s="43" t="s">
        <v>65</v>
      </c>
      <c r="Q266" s="43">
        <v>154</v>
      </c>
      <c r="R266" s="43" t="s">
        <v>123</v>
      </c>
    </row>
    <row r="267" spans="2:18" ht="15" customHeight="1" x14ac:dyDescent="0.2">
      <c r="B267" s="43">
        <v>157</v>
      </c>
      <c r="C267" s="43" t="s">
        <v>65</v>
      </c>
      <c r="E267" s="43">
        <v>157</v>
      </c>
      <c r="F267" s="43" t="s">
        <v>65</v>
      </c>
      <c r="H267" s="43">
        <v>157</v>
      </c>
      <c r="I267" s="43" t="s">
        <v>104</v>
      </c>
      <c r="K267" s="43">
        <v>157</v>
      </c>
      <c r="L267" s="43" t="s">
        <v>65</v>
      </c>
      <c r="N267" s="43">
        <v>157</v>
      </c>
      <c r="O267" s="43" t="s">
        <v>65</v>
      </c>
      <c r="Q267" s="43">
        <v>157</v>
      </c>
      <c r="R267" s="43" t="s">
        <v>123</v>
      </c>
    </row>
    <row r="268" spans="2:18" ht="15" customHeight="1" x14ac:dyDescent="0.2">
      <c r="B268" s="43">
        <v>160</v>
      </c>
      <c r="C268" s="43" t="s">
        <v>65</v>
      </c>
      <c r="E268" s="43">
        <v>160</v>
      </c>
      <c r="F268" s="43" t="s">
        <v>65</v>
      </c>
      <c r="H268" s="43">
        <v>160</v>
      </c>
      <c r="I268" s="43" t="s">
        <v>104</v>
      </c>
      <c r="K268" s="43">
        <v>160</v>
      </c>
      <c r="L268" s="43" t="s">
        <v>65</v>
      </c>
      <c r="N268" s="43">
        <v>160</v>
      </c>
      <c r="O268" s="43" t="s">
        <v>65</v>
      </c>
      <c r="Q268" s="43">
        <v>160</v>
      </c>
      <c r="R268" s="43" t="s">
        <v>123</v>
      </c>
    </row>
    <row r="269" spans="2:18" ht="15" customHeight="1" x14ac:dyDescent="0.2">
      <c r="B269" s="43">
        <v>163</v>
      </c>
      <c r="C269" s="43" t="s">
        <v>65</v>
      </c>
      <c r="E269" s="43">
        <v>163</v>
      </c>
      <c r="F269" s="43" t="s">
        <v>65</v>
      </c>
      <c r="H269" s="43">
        <v>163</v>
      </c>
      <c r="I269" s="43" t="s">
        <v>104</v>
      </c>
      <c r="K269" s="43">
        <v>163</v>
      </c>
      <c r="L269" s="43" t="s">
        <v>65</v>
      </c>
      <c r="N269" s="43">
        <v>163</v>
      </c>
      <c r="O269" s="43" t="s">
        <v>65</v>
      </c>
      <c r="Q269" s="43">
        <v>163</v>
      </c>
      <c r="R269" s="43" t="s">
        <v>123</v>
      </c>
    </row>
    <row r="270" spans="2:18" ht="15" customHeight="1" x14ac:dyDescent="0.2">
      <c r="B270" s="43">
        <v>166</v>
      </c>
      <c r="C270" s="43" t="s">
        <v>65</v>
      </c>
      <c r="E270" s="43">
        <v>166</v>
      </c>
      <c r="F270" s="43" t="s">
        <v>65</v>
      </c>
      <c r="H270" s="43">
        <v>166</v>
      </c>
      <c r="I270" s="43" t="s">
        <v>104</v>
      </c>
      <c r="K270" s="43">
        <v>166</v>
      </c>
      <c r="L270" s="43" t="s">
        <v>65</v>
      </c>
      <c r="N270" s="43">
        <v>166</v>
      </c>
      <c r="O270" s="43" t="s">
        <v>65</v>
      </c>
      <c r="Q270" s="43">
        <v>166</v>
      </c>
      <c r="R270" s="43" t="s">
        <v>123</v>
      </c>
    </row>
    <row r="271" spans="2:18" ht="15" customHeight="1" x14ac:dyDescent="0.2">
      <c r="B271" s="43">
        <v>182</v>
      </c>
      <c r="C271" s="43" t="s">
        <v>65</v>
      </c>
      <c r="E271" s="43">
        <v>182</v>
      </c>
      <c r="F271" s="43" t="s">
        <v>65</v>
      </c>
      <c r="H271" s="43">
        <v>182</v>
      </c>
      <c r="I271" s="43" t="s">
        <v>104</v>
      </c>
      <c r="K271" s="43">
        <v>182</v>
      </c>
      <c r="L271" s="43" t="s">
        <v>65</v>
      </c>
      <c r="N271" s="43">
        <v>182</v>
      </c>
      <c r="O271" s="43" t="s">
        <v>65</v>
      </c>
      <c r="Q271" s="43">
        <v>182</v>
      </c>
      <c r="R271" s="43" t="s">
        <v>123</v>
      </c>
    </row>
    <row r="272" spans="2:18" ht="15" customHeight="1" x14ac:dyDescent="0.2">
      <c r="B272" s="43">
        <v>183</v>
      </c>
      <c r="C272" s="43" t="s">
        <v>65</v>
      </c>
      <c r="E272" s="43">
        <v>183</v>
      </c>
      <c r="F272" s="43" t="s">
        <v>65</v>
      </c>
      <c r="H272" s="43">
        <v>183</v>
      </c>
      <c r="I272" s="43" t="s">
        <v>104</v>
      </c>
      <c r="K272" s="43">
        <v>183</v>
      </c>
      <c r="L272" s="43" t="s">
        <v>65</v>
      </c>
      <c r="N272" s="43">
        <v>183</v>
      </c>
      <c r="O272" s="43" t="s">
        <v>65</v>
      </c>
      <c r="Q272" s="43">
        <v>183</v>
      </c>
      <c r="R272" s="43" t="s">
        <v>123</v>
      </c>
    </row>
    <row r="273" spans="2:18" ht="15" customHeight="1" x14ac:dyDescent="0.2">
      <c r="B273" s="43">
        <v>184</v>
      </c>
      <c r="C273" s="43" t="s">
        <v>65</v>
      </c>
      <c r="E273" s="43">
        <v>184</v>
      </c>
      <c r="F273" s="43" t="s">
        <v>65</v>
      </c>
      <c r="H273" s="43">
        <v>184</v>
      </c>
      <c r="I273" s="43" t="s">
        <v>104</v>
      </c>
      <c r="K273" s="43">
        <v>184</v>
      </c>
      <c r="L273" s="43" t="s">
        <v>65</v>
      </c>
      <c r="N273" s="43">
        <v>184</v>
      </c>
      <c r="O273" s="43" t="s">
        <v>65</v>
      </c>
      <c r="Q273" s="43">
        <v>184</v>
      </c>
      <c r="R273" s="43" t="s">
        <v>123</v>
      </c>
    </row>
    <row r="274" spans="2:18" ht="15" customHeight="1" x14ac:dyDescent="0.2">
      <c r="B274" s="43">
        <v>185</v>
      </c>
      <c r="C274" s="43" t="s">
        <v>65</v>
      </c>
      <c r="E274" s="43">
        <v>185</v>
      </c>
      <c r="F274" s="43" t="s">
        <v>65</v>
      </c>
      <c r="H274" s="43">
        <v>185</v>
      </c>
      <c r="I274" s="43" t="s">
        <v>104</v>
      </c>
      <c r="K274" s="43">
        <v>185</v>
      </c>
      <c r="L274" s="43" t="s">
        <v>65</v>
      </c>
      <c r="N274" s="43">
        <v>185</v>
      </c>
      <c r="O274" s="43" t="s">
        <v>65</v>
      </c>
      <c r="Q274" s="43">
        <v>185</v>
      </c>
      <c r="R274" s="43" t="s">
        <v>123</v>
      </c>
    </row>
    <row r="275" spans="2:18" ht="15" customHeight="1" x14ac:dyDescent="0.2">
      <c r="B275" s="43">
        <v>186</v>
      </c>
      <c r="C275" s="43" t="s">
        <v>65</v>
      </c>
      <c r="E275" s="43">
        <v>186</v>
      </c>
      <c r="F275" s="43" t="s">
        <v>65</v>
      </c>
      <c r="H275" s="43">
        <v>186</v>
      </c>
      <c r="I275" s="43" t="s">
        <v>104</v>
      </c>
      <c r="K275" s="43">
        <v>186</v>
      </c>
      <c r="L275" s="43" t="s">
        <v>65</v>
      </c>
      <c r="N275" s="43">
        <v>186</v>
      </c>
      <c r="O275" s="43" t="s">
        <v>65</v>
      </c>
      <c r="Q275" s="43">
        <v>186</v>
      </c>
      <c r="R275" s="43" t="s">
        <v>123</v>
      </c>
    </row>
    <row r="276" spans="2:18" ht="15" customHeight="1" x14ac:dyDescent="0.2">
      <c r="B276" s="43">
        <v>43</v>
      </c>
      <c r="C276" s="43" t="s">
        <v>65</v>
      </c>
      <c r="E276" s="43">
        <v>43</v>
      </c>
      <c r="F276" s="43" t="s">
        <v>65</v>
      </c>
      <c r="H276" s="43">
        <v>43</v>
      </c>
      <c r="I276" s="43" t="s">
        <v>104</v>
      </c>
      <c r="K276" s="43">
        <v>43</v>
      </c>
      <c r="L276" s="43" t="s">
        <v>65</v>
      </c>
      <c r="N276" s="43">
        <v>43</v>
      </c>
      <c r="O276" s="43" t="s">
        <v>65</v>
      </c>
      <c r="Q276" s="43">
        <v>43</v>
      </c>
      <c r="R276" s="43" t="s">
        <v>123</v>
      </c>
    </row>
    <row r="277" spans="2:18" ht="15" customHeight="1" x14ac:dyDescent="0.2">
      <c r="B277" s="43">
        <v>44</v>
      </c>
      <c r="C277" s="43" t="s">
        <v>65</v>
      </c>
      <c r="E277" s="43">
        <v>44</v>
      </c>
      <c r="F277" s="43" t="s">
        <v>65</v>
      </c>
      <c r="H277" s="43">
        <v>44</v>
      </c>
      <c r="I277" s="43" t="s">
        <v>104</v>
      </c>
      <c r="K277" s="43">
        <v>44</v>
      </c>
      <c r="L277" s="43" t="s">
        <v>65</v>
      </c>
      <c r="N277" s="43">
        <v>44</v>
      </c>
      <c r="O277" s="43" t="s">
        <v>65</v>
      </c>
      <c r="Q277" s="43">
        <v>44</v>
      </c>
      <c r="R277" s="43" t="s">
        <v>123</v>
      </c>
    </row>
    <row r="278" spans="2:18" ht="15" customHeight="1" x14ac:dyDescent="0.2">
      <c r="B278" s="43">
        <v>45</v>
      </c>
      <c r="C278" s="43" t="s">
        <v>65</v>
      </c>
      <c r="E278" s="43">
        <v>45</v>
      </c>
      <c r="F278" s="43" t="s">
        <v>65</v>
      </c>
      <c r="H278" s="43">
        <v>45</v>
      </c>
      <c r="I278" s="43" t="s">
        <v>104</v>
      </c>
      <c r="K278" s="43">
        <v>45</v>
      </c>
      <c r="L278" s="43" t="s">
        <v>65</v>
      </c>
      <c r="N278" s="43">
        <v>45</v>
      </c>
      <c r="O278" s="43" t="s">
        <v>65</v>
      </c>
      <c r="Q278" s="43">
        <v>45</v>
      </c>
      <c r="R278" s="43" t="s">
        <v>123</v>
      </c>
    </row>
    <row r="279" spans="2:18" ht="15" customHeight="1" x14ac:dyDescent="0.2">
      <c r="B279" s="43">
        <v>46</v>
      </c>
      <c r="C279" s="43" t="s">
        <v>65</v>
      </c>
      <c r="E279" s="43">
        <v>46</v>
      </c>
      <c r="F279" s="43" t="s">
        <v>65</v>
      </c>
      <c r="H279" s="43">
        <v>46</v>
      </c>
      <c r="I279" s="43" t="s">
        <v>104</v>
      </c>
      <c r="K279" s="43">
        <v>46</v>
      </c>
      <c r="L279" s="43" t="s">
        <v>65</v>
      </c>
      <c r="N279" s="43">
        <v>46</v>
      </c>
      <c r="O279" s="43" t="s">
        <v>65</v>
      </c>
      <c r="Q279" s="43">
        <v>46</v>
      </c>
      <c r="R279" s="43" t="s">
        <v>123</v>
      </c>
    </row>
    <row r="280" spans="2:18" ht="15" customHeight="1" x14ac:dyDescent="0.2">
      <c r="B280" s="43">
        <v>47</v>
      </c>
      <c r="C280" s="43" t="s">
        <v>65</v>
      </c>
      <c r="E280" s="43">
        <v>47</v>
      </c>
      <c r="F280" s="43" t="s">
        <v>65</v>
      </c>
      <c r="H280" s="43">
        <v>47</v>
      </c>
      <c r="I280" s="43" t="s">
        <v>104</v>
      </c>
      <c r="K280" s="43">
        <v>47</v>
      </c>
      <c r="L280" s="43" t="s">
        <v>65</v>
      </c>
      <c r="N280" s="43">
        <v>47</v>
      </c>
      <c r="O280" s="43" t="s">
        <v>65</v>
      </c>
      <c r="Q280" s="43">
        <v>47</v>
      </c>
      <c r="R280" s="43" t="s">
        <v>123</v>
      </c>
    </row>
    <row r="281" spans="2:18" ht="15" customHeight="1" x14ac:dyDescent="0.2">
      <c r="B281" s="43">
        <v>25</v>
      </c>
      <c r="C281" s="43" t="s">
        <v>65</v>
      </c>
      <c r="E281" s="43">
        <v>25</v>
      </c>
      <c r="F281" s="43" t="s">
        <v>65</v>
      </c>
      <c r="H281" s="43">
        <v>25</v>
      </c>
      <c r="I281" s="43" t="s">
        <v>104</v>
      </c>
      <c r="K281" s="43">
        <v>25</v>
      </c>
      <c r="L281" s="43" t="s">
        <v>65</v>
      </c>
      <c r="N281" s="43">
        <v>25</v>
      </c>
      <c r="O281" s="43" t="s">
        <v>65</v>
      </c>
      <c r="Q281" s="43">
        <v>25</v>
      </c>
      <c r="R281" s="43" t="s">
        <v>123</v>
      </c>
    </row>
    <row r="282" spans="2:18" ht="15" customHeight="1" x14ac:dyDescent="0.2">
      <c r="B282" s="43">
        <v>28</v>
      </c>
      <c r="C282" s="43" t="s">
        <v>65</v>
      </c>
      <c r="E282" s="43">
        <v>28</v>
      </c>
      <c r="F282" s="43" t="s">
        <v>65</v>
      </c>
      <c r="H282" s="43">
        <v>28</v>
      </c>
      <c r="I282" s="43" t="s">
        <v>104</v>
      </c>
      <c r="K282" s="43">
        <v>28</v>
      </c>
      <c r="L282" s="43" t="s">
        <v>65</v>
      </c>
      <c r="N282" s="43">
        <v>28</v>
      </c>
      <c r="O282" s="43" t="s">
        <v>65</v>
      </c>
      <c r="Q282" s="43">
        <v>28</v>
      </c>
      <c r="R282" s="43" t="s">
        <v>123</v>
      </c>
    </row>
    <row r="283" spans="2:18" ht="15" customHeight="1" x14ac:dyDescent="0.2">
      <c r="B283" s="43">
        <v>31</v>
      </c>
      <c r="C283" s="43" t="s">
        <v>65</v>
      </c>
      <c r="E283" s="43">
        <v>31</v>
      </c>
      <c r="F283" s="43" t="s">
        <v>65</v>
      </c>
      <c r="H283" s="43">
        <v>31</v>
      </c>
      <c r="I283" s="43" t="s">
        <v>104</v>
      </c>
      <c r="K283" s="43">
        <v>31</v>
      </c>
      <c r="L283" s="43" t="s">
        <v>65</v>
      </c>
      <c r="N283" s="43">
        <v>31</v>
      </c>
      <c r="O283" s="43" t="s">
        <v>65</v>
      </c>
      <c r="Q283" s="43">
        <v>31</v>
      </c>
      <c r="R283" s="43" t="s">
        <v>123</v>
      </c>
    </row>
    <row r="284" spans="2:18" ht="15" customHeight="1" x14ac:dyDescent="0.2">
      <c r="B284" s="43">
        <v>34</v>
      </c>
      <c r="C284" s="43" t="s">
        <v>65</v>
      </c>
      <c r="E284" s="43">
        <v>34</v>
      </c>
      <c r="F284" s="43" t="s">
        <v>65</v>
      </c>
      <c r="H284" s="43">
        <v>34</v>
      </c>
      <c r="I284" s="43" t="s">
        <v>104</v>
      </c>
      <c r="K284" s="43">
        <v>34</v>
      </c>
      <c r="L284" s="43" t="s">
        <v>65</v>
      </c>
      <c r="N284" s="43">
        <v>34</v>
      </c>
      <c r="O284" s="43" t="s">
        <v>65</v>
      </c>
      <c r="Q284" s="43">
        <v>34</v>
      </c>
      <c r="R284" s="43" t="s">
        <v>123</v>
      </c>
    </row>
    <row r="285" spans="2:18" ht="15" customHeight="1" x14ac:dyDescent="0.2">
      <c r="B285" s="43">
        <v>37</v>
      </c>
      <c r="C285" s="43" t="s">
        <v>65</v>
      </c>
      <c r="E285" s="43">
        <v>37</v>
      </c>
      <c r="F285" s="43" t="s">
        <v>65</v>
      </c>
      <c r="H285" s="43">
        <v>37</v>
      </c>
      <c r="I285" s="43" t="s">
        <v>104</v>
      </c>
      <c r="K285" s="43">
        <v>37</v>
      </c>
      <c r="L285" s="43" t="s">
        <v>65</v>
      </c>
      <c r="N285" s="43">
        <v>37</v>
      </c>
      <c r="O285" s="43" t="s">
        <v>65</v>
      </c>
      <c r="Q285" s="43">
        <v>37</v>
      </c>
      <c r="R285" s="43" t="s">
        <v>123</v>
      </c>
    </row>
    <row r="286" spans="2:18" ht="15" customHeight="1" x14ac:dyDescent="0.2">
      <c r="B286" s="43">
        <v>40</v>
      </c>
      <c r="C286" s="43" t="s">
        <v>65</v>
      </c>
      <c r="E286" s="43">
        <v>40</v>
      </c>
      <c r="F286" s="43" t="s">
        <v>65</v>
      </c>
      <c r="H286" s="43">
        <v>40</v>
      </c>
      <c r="I286" s="43" t="s">
        <v>104</v>
      </c>
      <c r="K286" s="43">
        <v>40</v>
      </c>
      <c r="L286" s="43" t="s">
        <v>65</v>
      </c>
      <c r="N286" s="43">
        <v>40</v>
      </c>
      <c r="O286" s="43" t="s">
        <v>65</v>
      </c>
      <c r="Q286" s="43">
        <v>40</v>
      </c>
      <c r="R286" s="43" t="s">
        <v>123</v>
      </c>
    </row>
    <row r="287" spans="2:18" ht="15" customHeight="1" x14ac:dyDescent="0.2">
      <c r="B287" s="43">
        <v>48</v>
      </c>
      <c r="C287" s="43" t="s">
        <v>65</v>
      </c>
      <c r="E287" s="43">
        <v>48</v>
      </c>
      <c r="F287" s="43" t="s">
        <v>65</v>
      </c>
      <c r="H287" s="43">
        <v>48</v>
      </c>
      <c r="I287" s="43" t="s">
        <v>104</v>
      </c>
      <c r="K287" s="43">
        <v>48</v>
      </c>
      <c r="L287" s="43" t="s">
        <v>65</v>
      </c>
      <c r="N287" s="43">
        <v>48</v>
      </c>
      <c r="O287" s="43" t="s">
        <v>65</v>
      </c>
      <c r="Q287" s="43">
        <v>48</v>
      </c>
      <c r="R287" s="43" t="s">
        <v>123</v>
      </c>
    </row>
    <row r="288" spans="2:18" ht="15" customHeight="1" x14ac:dyDescent="0.2">
      <c r="B288" s="43">
        <v>49</v>
      </c>
      <c r="C288" s="43" t="s">
        <v>65</v>
      </c>
      <c r="E288" s="43">
        <v>49</v>
      </c>
      <c r="F288" s="43" t="s">
        <v>65</v>
      </c>
      <c r="H288" s="43">
        <v>49</v>
      </c>
      <c r="I288" s="43" t="s">
        <v>104</v>
      </c>
      <c r="K288" s="43">
        <v>49</v>
      </c>
      <c r="L288" s="43" t="s">
        <v>65</v>
      </c>
      <c r="N288" s="43">
        <v>49</v>
      </c>
      <c r="O288" s="43" t="s">
        <v>65</v>
      </c>
      <c r="Q288" s="43">
        <v>49</v>
      </c>
      <c r="R288" s="43" t="s">
        <v>123</v>
      </c>
    </row>
    <row r="289" spans="2:18" ht="15" customHeight="1" x14ac:dyDescent="0.2">
      <c r="B289" s="43">
        <v>50</v>
      </c>
      <c r="C289" s="43" t="s">
        <v>65</v>
      </c>
      <c r="E289" s="43">
        <v>50</v>
      </c>
      <c r="F289" s="43" t="s">
        <v>65</v>
      </c>
      <c r="H289" s="43">
        <v>50</v>
      </c>
      <c r="I289" s="43" t="s">
        <v>104</v>
      </c>
      <c r="K289" s="43">
        <v>50</v>
      </c>
      <c r="L289" s="43" t="s">
        <v>65</v>
      </c>
      <c r="N289" s="43">
        <v>50</v>
      </c>
      <c r="O289" s="43" t="s">
        <v>65</v>
      </c>
      <c r="Q289" s="43">
        <v>50</v>
      </c>
      <c r="R289" s="43" t="s">
        <v>123</v>
      </c>
    </row>
    <row r="290" spans="2:18" ht="15" customHeight="1" x14ac:dyDescent="0.2">
      <c r="B290" s="43">
        <v>51</v>
      </c>
      <c r="C290" s="43" t="s">
        <v>65</v>
      </c>
      <c r="E290" s="43">
        <v>51</v>
      </c>
      <c r="F290" s="43" t="s">
        <v>65</v>
      </c>
      <c r="H290" s="43">
        <v>51</v>
      </c>
      <c r="I290" s="43" t="s">
        <v>104</v>
      </c>
      <c r="K290" s="43">
        <v>51</v>
      </c>
      <c r="L290" s="43" t="s">
        <v>65</v>
      </c>
      <c r="N290" s="43">
        <v>51</v>
      </c>
      <c r="O290" s="43" t="s">
        <v>65</v>
      </c>
      <c r="Q290" s="43">
        <v>51</v>
      </c>
      <c r="R290" s="43" t="s">
        <v>123</v>
      </c>
    </row>
    <row r="291" spans="2:18" ht="15" customHeight="1" x14ac:dyDescent="0.2">
      <c r="B291" s="43">
        <v>52</v>
      </c>
      <c r="C291" s="43" t="s">
        <v>65</v>
      </c>
      <c r="E291" s="43">
        <v>52</v>
      </c>
      <c r="F291" s="43" t="s">
        <v>65</v>
      </c>
      <c r="H291" s="43">
        <v>52</v>
      </c>
      <c r="I291" s="43" t="s">
        <v>104</v>
      </c>
      <c r="K291" s="43">
        <v>52</v>
      </c>
      <c r="L291" s="43" t="s">
        <v>65</v>
      </c>
      <c r="N291" s="43">
        <v>52</v>
      </c>
      <c r="O291" s="43" t="s">
        <v>65</v>
      </c>
      <c r="Q291" s="43">
        <v>52</v>
      </c>
      <c r="R291" s="43" t="s">
        <v>123</v>
      </c>
    </row>
    <row r="292" spans="2:18" ht="15" customHeight="1" x14ac:dyDescent="0.2">
      <c r="B292" s="43">
        <v>26</v>
      </c>
      <c r="C292" s="43" t="s">
        <v>65</v>
      </c>
      <c r="E292" s="43">
        <v>26</v>
      </c>
      <c r="F292" s="43" t="s">
        <v>65</v>
      </c>
      <c r="H292" s="43">
        <v>26</v>
      </c>
      <c r="I292" s="43" t="s">
        <v>104</v>
      </c>
      <c r="K292" s="43">
        <v>26</v>
      </c>
      <c r="L292" s="43" t="s">
        <v>65</v>
      </c>
      <c r="N292" s="43">
        <v>26</v>
      </c>
      <c r="O292" s="43" t="s">
        <v>65</v>
      </c>
      <c r="Q292" s="43">
        <v>26</v>
      </c>
      <c r="R292" s="43" t="s">
        <v>123</v>
      </c>
    </row>
    <row r="293" spans="2:18" ht="15" customHeight="1" x14ac:dyDescent="0.2">
      <c r="B293" s="43">
        <v>29</v>
      </c>
      <c r="C293" s="43" t="s">
        <v>65</v>
      </c>
      <c r="E293" s="43">
        <v>29</v>
      </c>
      <c r="F293" s="43" t="s">
        <v>65</v>
      </c>
      <c r="H293" s="43">
        <v>29</v>
      </c>
      <c r="I293" s="43" t="s">
        <v>104</v>
      </c>
      <c r="K293" s="43">
        <v>29</v>
      </c>
      <c r="L293" s="43" t="s">
        <v>65</v>
      </c>
      <c r="N293" s="43">
        <v>29</v>
      </c>
      <c r="O293" s="43" t="s">
        <v>65</v>
      </c>
      <c r="Q293" s="43">
        <v>29</v>
      </c>
      <c r="R293" s="43" t="s">
        <v>123</v>
      </c>
    </row>
    <row r="294" spans="2:18" ht="15" customHeight="1" x14ac:dyDescent="0.2">
      <c r="B294" s="43">
        <v>32</v>
      </c>
      <c r="C294" s="43" t="s">
        <v>65</v>
      </c>
      <c r="E294" s="43">
        <v>32</v>
      </c>
      <c r="F294" s="43" t="s">
        <v>65</v>
      </c>
      <c r="H294" s="43">
        <v>32</v>
      </c>
      <c r="I294" s="43" t="s">
        <v>104</v>
      </c>
      <c r="K294" s="43">
        <v>32</v>
      </c>
      <c r="L294" s="43" t="s">
        <v>65</v>
      </c>
      <c r="N294" s="43">
        <v>32</v>
      </c>
      <c r="O294" s="43" t="s">
        <v>65</v>
      </c>
      <c r="Q294" s="43">
        <v>32</v>
      </c>
      <c r="R294" s="43" t="s">
        <v>123</v>
      </c>
    </row>
    <row r="295" spans="2:18" ht="15" customHeight="1" x14ac:dyDescent="0.2">
      <c r="B295" s="43">
        <v>35</v>
      </c>
      <c r="C295" s="43" t="s">
        <v>65</v>
      </c>
      <c r="E295" s="43">
        <v>35</v>
      </c>
      <c r="F295" s="43" t="s">
        <v>65</v>
      </c>
      <c r="H295" s="43">
        <v>35</v>
      </c>
      <c r="I295" s="43" t="s">
        <v>104</v>
      </c>
      <c r="K295" s="43">
        <v>35</v>
      </c>
      <c r="L295" s="43" t="s">
        <v>65</v>
      </c>
      <c r="N295" s="43">
        <v>35</v>
      </c>
      <c r="O295" s="43" t="s">
        <v>65</v>
      </c>
      <c r="Q295" s="43">
        <v>35</v>
      </c>
      <c r="R295" s="43" t="s">
        <v>123</v>
      </c>
    </row>
    <row r="296" spans="2:18" ht="15" customHeight="1" x14ac:dyDescent="0.2">
      <c r="B296" s="43">
        <v>38</v>
      </c>
      <c r="C296" s="43" t="s">
        <v>65</v>
      </c>
      <c r="E296" s="43">
        <v>38</v>
      </c>
      <c r="F296" s="43" t="s">
        <v>65</v>
      </c>
      <c r="H296" s="43">
        <v>38</v>
      </c>
      <c r="I296" s="43" t="s">
        <v>104</v>
      </c>
      <c r="K296" s="43">
        <v>38</v>
      </c>
      <c r="L296" s="43" t="s">
        <v>65</v>
      </c>
      <c r="N296" s="43">
        <v>38</v>
      </c>
      <c r="O296" s="43" t="s">
        <v>65</v>
      </c>
      <c r="Q296" s="43">
        <v>38</v>
      </c>
      <c r="R296" s="43" t="s">
        <v>123</v>
      </c>
    </row>
    <row r="297" spans="2:18" ht="15" customHeight="1" x14ac:dyDescent="0.2">
      <c r="B297" s="43">
        <v>41</v>
      </c>
      <c r="C297" s="43" t="s">
        <v>65</v>
      </c>
      <c r="E297" s="43">
        <v>41</v>
      </c>
      <c r="F297" s="43" t="s">
        <v>65</v>
      </c>
      <c r="H297" s="43">
        <v>41</v>
      </c>
      <c r="I297" s="43" t="s">
        <v>104</v>
      </c>
      <c r="K297" s="43">
        <v>41</v>
      </c>
      <c r="L297" s="43" t="s">
        <v>65</v>
      </c>
      <c r="N297" s="43">
        <v>41</v>
      </c>
      <c r="O297" s="43" t="s">
        <v>65</v>
      </c>
      <c r="Q297" s="43">
        <v>41</v>
      </c>
      <c r="R297" s="43" t="s">
        <v>123</v>
      </c>
    </row>
    <row r="298" spans="2:18" ht="15" customHeight="1" x14ac:dyDescent="0.2">
      <c r="B298" s="43">
        <v>53</v>
      </c>
      <c r="C298" s="43" t="s">
        <v>65</v>
      </c>
      <c r="E298" s="43">
        <v>53</v>
      </c>
      <c r="F298" s="43" t="s">
        <v>65</v>
      </c>
      <c r="H298" s="43">
        <v>53</v>
      </c>
      <c r="I298" s="43" t="s">
        <v>104</v>
      </c>
      <c r="K298" s="43">
        <v>53</v>
      </c>
      <c r="L298" s="43" t="s">
        <v>65</v>
      </c>
      <c r="N298" s="43">
        <v>53</v>
      </c>
      <c r="O298" s="43" t="s">
        <v>65</v>
      </c>
      <c r="Q298" s="43">
        <v>53</v>
      </c>
      <c r="R298" s="43" t="s">
        <v>123</v>
      </c>
    </row>
    <row r="299" spans="2:18" ht="15" customHeight="1" x14ac:dyDescent="0.2">
      <c r="B299" s="43">
        <v>54</v>
      </c>
      <c r="C299" s="43" t="s">
        <v>65</v>
      </c>
      <c r="E299" s="43">
        <v>54</v>
      </c>
      <c r="F299" s="43" t="s">
        <v>65</v>
      </c>
      <c r="H299" s="43">
        <v>54</v>
      </c>
      <c r="I299" s="43" t="s">
        <v>104</v>
      </c>
      <c r="K299" s="43">
        <v>54</v>
      </c>
      <c r="L299" s="43" t="s">
        <v>65</v>
      </c>
      <c r="N299" s="43">
        <v>54</v>
      </c>
      <c r="O299" s="43" t="s">
        <v>65</v>
      </c>
      <c r="Q299" s="43">
        <v>54</v>
      </c>
      <c r="R299" s="43" t="s">
        <v>123</v>
      </c>
    </row>
    <row r="300" spans="2:18" ht="15" customHeight="1" x14ac:dyDescent="0.2">
      <c r="B300" s="43">
        <v>55</v>
      </c>
      <c r="C300" s="43" t="s">
        <v>65</v>
      </c>
      <c r="E300" s="43">
        <v>55</v>
      </c>
      <c r="F300" s="43" t="s">
        <v>65</v>
      </c>
      <c r="H300" s="43">
        <v>55</v>
      </c>
      <c r="I300" s="43" t="s">
        <v>104</v>
      </c>
      <c r="K300" s="43">
        <v>55</v>
      </c>
      <c r="L300" s="43" t="s">
        <v>65</v>
      </c>
      <c r="N300" s="43">
        <v>55</v>
      </c>
      <c r="O300" s="43" t="s">
        <v>65</v>
      </c>
      <c r="Q300" s="43">
        <v>55</v>
      </c>
      <c r="R300" s="43" t="s">
        <v>123</v>
      </c>
    </row>
    <row r="301" spans="2:18" ht="15" customHeight="1" x14ac:dyDescent="0.2">
      <c r="B301" s="43">
        <v>56</v>
      </c>
      <c r="C301" s="43" t="s">
        <v>65</v>
      </c>
      <c r="E301" s="43">
        <v>56</v>
      </c>
      <c r="F301" s="43" t="s">
        <v>65</v>
      </c>
      <c r="H301" s="43">
        <v>56</v>
      </c>
      <c r="I301" s="43" t="s">
        <v>104</v>
      </c>
      <c r="K301" s="43">
        <v>56</v>
      </c>
      <c r="L301" s="43" t="s">
        <v>65</v>
      </c>
      <c r="N301" s="43">
        <v>56</v>
      </c>
      <c r="O301" s="43" t="s">
        <v>65</v>
      </c>
      <c r="Q301" s="43">
        <v>56</v>
      </c>
      <c r="R301" s="43" t="s">
        <v>123</v>
      </c>
    </row>
    <row r="302" spans="2:18" ht="15" customHeight="1" x14ac:dyDescent="0.2">
      <c r="B302" s="43">
        <v>57</v>
      </c>
      <c r="C302" s="43" t="s">
        <v>65</v>
      </c>
      <c r="E302" s="43">
        <v>57</v>
      </c>
      <c r="F302" s="43" t="s">
        <v>65</v>
      </c>
      <c r="H302" s="43">
        <v>57</v>
      </c>
      <c r="I302" s="43" t="s">
        <v>104</v>
      </c>
      <c r="K302" s="43">
        <v>57</v>
      </c>
      <c r="L302" s="43" t="s">
        <v>65</v>
      </c>
      <c r="N302" s="43">
        <v>57</v>
      </c>
      <c r="O302" s="43" t="s">
        <v>65</v>
      </c>
      <c r="Q302" s="43">
        <v>57</v>
      </c>
      <c r="R302" s="43" t="s">
        <v>123</v>
      </c>
    </row>
    <row r="303" spans="2:18" ht="15" customHeight="1" x14ac:dyDescent="0.2">
      <c r="B303" s="43">
        <v>27</v>
      </c>
      <c r="C303" s="43" t="s">
        <v>65</v>
      </c>
      <c r="E303" s="43">
        <v>27</v>
      </c>
      <c r="F303" s="43" t="s">
        <v>65</v>
      </c>
      <c r="H303" s="43">
        <v>27</v>
      </c>
      <c r="I303" s="43" t="s">
        <v>104</v>
      </c>
      <c r="K303" s="43">
        <v>27</v>
      </c>
      <c r="L303" s="43" t="s">
        <v>65</v>
      </c>
      <c r="N303" s="43">
        <v>27</v>
      </c>
      <c r="O303" s="43" t="s">
        <v>65</v>
      </c>
      <c r="Q303" s="43">
        <v>27</v>
      </c>
      <c r="R303" s="43" t="s">
        <v>123</v>
      </c>
    </row>
    <row r="304" spans="2:18" ht="15" customHeight="1" x14ac:dyDescent="0.2">
      <c r="B304" s="43">
        <v>30</v>
      </c>
      <c r="C304" s="43" t="s">
        <v>65</v>
      </c>
      <c r="E304" s="43">
        <v>30</v>
      </c>
      <c r="F304" s="43" t="s">
        <v>65</v>
      </c>
      <c r="H304" s="43">
        <v>30</v>
      </c>
      <c r="I304" s="43" t="s">
        <v>104</v>
      </c>
      <c r="K304" s="43">
        <v>30</v>
      </c>
      <c r="L304" s="43" t="s">
        <v>65</v>
      </c>
      <c r="N304" s="43">
        <v>30</v>
      </c>
      <c r="O304" s="43" t="s">
        <v>65</v>
      </c>
      <c r="Q304" s="43">
        <v>30</v>
      </c>
      <c r="R304" s="43" t="s">
        <v>123</v>
      </c>
    </row>
    <row r="305" spans="2:18" ht="15" customHeight="1" x14ac:dyDescent="0.2">
      <c r="B305" s="43">
        <v>33</v>
      </c>
      <c r="C305" s="43" t="s">
        <v>65</v>
      </c>
      <c r="E305" s="43">
        <v>33</v>
      </c>
      <c r="F305" s="43" t="s">
        <v>65</v>
      </c>
      <c r="H305" s="43">
        <v>33</v>
      </c>
      <c r="I305" s="43" t="s">
        <v>104</v>
      </c>
      <c r="K305" s="43">
        <v>33</v>
      </c>
      <c r="L305" s="43" t="s">
        <v>65</v>
      </c>
      <c r="N305" s="43">
        <v>33</v>
      </c>
      <c r="O305" s="43" t="s">
        <v>65</v>
      </c>
      <c r="Q305" s="43">
        <v>33</v>
      </c>
      <c r="R305" s="43" t="s">
        <v>123</v>
      </c>
    </row>
    <row r="306" spans="2:18" ht="15" customHeight="1" x14ac:dyDescent="0.2">
      <c r="B306" s="43">
        <v>36</v>
      </c>
      <c r="C306" s="43" t="s">
        <v>65</v>
      </c>
      <c r="E306" s="43">
        <v>36</v>
      </c>
      <c r="F306" s="43" t="s">
        <v>65</v>
      </c>
      <c r="H306" s="43">
        <v>36</v>
      </c>
      <c r="I306" s="43" t="s">
        <v>104</v>
      </c>
      <c r="K306" s="43">
        <v>36</v>
      </c>
      <c r="L306" s="43" t="s">
        <v>65</v>
      </c>
      <c r="N306" s="43">
        <v>36</v>
      </c>
      <c r="O306" s="43" t="s">
        <v>65</v>
      </c>
      <c r="Q306" s="43">
        <v>36</v>
      </c>
      <c r="R306" s="43" t="s">
        <v>123</v>
      </c>
    </row>
    <row r="307" spans="2:18" ht="15" customHeight="1" x14ac:dyDescent="0.2">
      <c r="B307" s="43">
        <v>39</v>
      </c>
      <c r="C307" s="43" t="s">
        <v>65</v>
      </c>
      <c r="E307" s="43">
        <v>39</v>
      </c>
      <c r="F307" s="43" t="s">
        <v>65</v>
      </c>
      <c r="H307" s="43">
        <v>39</v>
      </c>
      <c r="I307" s="43" t="s">
        <v>104</v>
      </c>
      <c r="K307" s="43">
        <v>39</v>
      </c>
      <c r="L307" s="43" t="s">
        <v>65</v>
      </c>
      <c r="N307" s="43">
        <v>39</v>
      </c>
      <c r="O307" s="43" t="s">
        <v>65</v>
      </c>
      <c r="Q307" s="43">
        <v>39</v>
      </c>
      <c r="R307" s="43" t="s">
        <v>123</v>
      </c>
    </row>
    <row r="308" spans="2:18" ht="15" customHeight="1" x14ac:dyDescent="0.2">
      <c r="B308" s="43">
        <v>42</v>
      </c>
      <c r="C308" s="43" t="s">
        <v>65</v>
      </c>
      <c r="E308" s="43">
        <v>42</v>
      </c>
      <c r="F308" s="43" t="s">
        <v>65</v>
      </c>
      <c r="H308" s="43">
        <v>42</v>
      </c>
      <c r="I308" s="43" t="s">
        <v>104</v>
      </c>
      <c r="K308" s="43">
        <v>42</v>
      </c>
      <c r="L308" s="43" t="s">
        <v>65</v>
      </c>
      <c r="N308" s="43">
        <v>42</v>
      </c>
      <c r="O308" s="43" t="s">
        <v>65</v>
      </c>
      <c r="Q308" s="43">
        <v>42</v>
      </c>
      <c r="R308" s="43" t="s">
        <v>123</v>
      </c>
    </row>
    <row r="309" spans="2:18" ht="15" customHeight="1" x14ac:dyDescent="0.2">
      <c r="B309" s="43">
        <v>58</v>
      </c>
      <c r="C309" s="43" t="s">
        <v>65</v>
      </c>
      <c r="E309" s="43">
        <v>58</v>
      </c>
      <c r="F309" s="43" t="s">
        <v>65</v>
      </c>
      <c r="H309" s="43">
        <v>58</v>
      </c>
      <c r="I309" s="43" t="s">
        <v>104</v>
      </c>
      <c r="K309" s="43">
        <v>58</v>
      </c>
      <c r="L309" s="43" t="s">
        <v>65</v>
      </c>
      <c r="N309" s="43">
        <v>58</v>
      </c>
      <c r="O309" s="43" t="s">
        <v>65</v>
      </c>
      <c r="Q309" s="43">
        <v>58</v>
      </c>
      <c r="R309" s="43" t="s">
        <v>123</v>
      </c>
    </row>
    <row r="310" spans="2:18" ht="15" customHeight="1" x14ac:dyDescent="0.2">
      <c r="B310" s="43">
        <v>59</v>
      </c>
      <c r="C310" s="43" t="s">
        <v>65</v>
      </c>
      <c r="E310" s="43">
        <v>59</v>
      </c>
      <c r="F310" s="43" t="s">
        <v>65</v>
      </c>
      <c r="H310" s="43">
        <v>59</v>
      </c>
      <c r="I310" s="43" t="s">
        <v>104</v>
      </c>
      <c r="K310" s="43">
        <v>59</v>
      </c>
      <c r="L310" s="43" t="s">
        <v>65</v>
      </c>
      <c r="N310" s="43">
        <v>59</v>
      </c>
      <c r="O310" s="43" t="s">
        <v>65</v>
      </c>
      <c r="Q310" s="43">
        <v>59</v>
      </c>
      <c r="R310" s="43" t="s">
        <v>123</v>
      </c>
    </row>
    <row r="311" spans="2:18" ht="15" customHeight="1" x14ac:dyDescent="0.2">
      <c r="B311" s="43">
        <v>60</v>
      </c>
      <c r="C311" s="43" t="s">
        <v>65</v>
      </c>
      <c r="E311" s="43">
        <v>60</v>
      </c>
      <c r="F311" s="43" t="s">
        <v>65</v>
      </c>
      <c r="H311" s="43">
        <v>60</v>
      </c>
      <c r="I311" s="43" t="s">
        <v>104</v>
      </c>
      <c r="K311" s="43">
        <v>60</v>
      </c>
      <c r="L311" s="43" t="s">
        <v>65</v>
      </c>
      <c r="N311" s="43">
        <v>60</v>
      </c>
      <c r="O311" s="43" t="s">
        <v>65</v>
      </c>
      <c r="Q311" s="43">
        <v>60</v>
      </c>
      <c r="R311" s="43" t="s">
        <v>123</v>
      </c>
    </row>
    <row r="312" spans="2:18" ht="15" customHeight="1" x14ac:dyDescent="0.2">
      <c r="B312" s="43">
        <v>61</v>
      </c>
      <c r="C312" s="43" t="s">
        <v>65</v>
      </c>
      <c r="E312" s="43">
        <v>61</v>
      </c>
      <c r="F312" s="43" t="s">
        <v>65</v>
      </c>
      <c r="H312" s="43">
        <v>61</v>
      </c>
      <c r="I312" s="43" t="s">
        <v>104</v>
      </c>
      <c r="K312" s="43">
        <v>61</v>
      </c>
      <c r="L312" s="43" t="s">
        <v>65</v>
      </c>
      <c r="N312" s="43">
        <v>61</v>
      </c>
      <c r="O312" s="43" t="s">
        <v>65</v>
      </c>
      <c r="Q312" s="43">
        <v>61</v>
      </c>
      <c r="R312" s="43" t="s">
        <v>123</v>
      </c>
    </row>
    <row r="313" spans="2:18" ht="15" customHeight="1" x14ac:dyDescent="0.2">
      <c r="B313" s="43">
        <v>62</v>
      </c>
      <c r="C313" s="43" t="s">
        <v>65</v>
      </c>
      <c r="E313" s="43">
        <v>62</v>
      </c>
      <c r="F313" s="43" t="s">
        <v>65</v>
      </c>
      <c r="H313" s="43">
        <v>62</v>
      </c>
      <c r="I313" s="43" t="s">
        <v>104</v>
      </c>
      <c r="K313" s="43">
        <v>62</v>
      </c>
      <c r="L313" s="43" t="s">
        <v>65</v>
      </c>
      <c r="N313" s="43">
        <v>62</v>
      </c>
      <c r="O313" s="43" t="s">
        <v>65</v>
      </c>
      <c r="Q313" s="43">
        <v>62</v>
      </c>
      <c r="R313" s="43" t="s">
        <v>123</v>
      </c>
    </row>
    <row r="501" spans="2:18" ht="15" customHeight="1" x14ac:dyDescent="0.2">
      <c r="B501" s="43">
        <v>281</v>
      </c>
      <c r="C501" s="43" t="s">
        <v>65</v>
      </c>
      <c r="E501" s="43">
        <v>281</v>
      </c>
      <c r="F501" s="43" t="s">
        <v>65</v>
      </c>
      <c r="H501" s="43">
        <v>281</v>
      </c>
      <c r="I501" s="43" t="s">
        <v>104</v>
      </c>
      <c r="K501" s="43">
        <v>281</v>
      </c>
      <c r="L501" s="43" t="s">
        <v>65</v>
      </c>
      <c r="N501" s="43">
        <v>281</v>
      </c>
      <c r="O501" s="43" t="s">
        <v>65</v>
      </c>
      <c r="Q501" s="43">
        <v>281</v>
      </c>
      <c r="R501" s="43" t="s">
        <v>123</v>
      </c>
    </row>
    <row r="502" spans="2:18" ht="15" customHeight="1" x14ac:dyDescent="0.2">
      <c r="B502" s="43">
        <v>284</v>
      </c>
      <c r="C502" s="43" t="s">
        <v>65</v>
      </c>
      <c r="E502" s="43">
        <v>284</v>
      </c>
      <c r="F502" s="43" t="s">
        <v>65</v>
      </c>
      <c r="H502" s="43">
        <v>284</v>
      </c>
      <c r="I502" s="43" t="s">
        <v>104</v>
      </c>
      <c r="K502" s="43">
        <v>284</v>
      </c>
      <c r="L502" s="43" t="s">
        <v>65</v>
      </c>
      <c r="N502" s="43">
        <v>284</v>
      </c>
      <c r="O502" s="43" t="s">
        <v>65</v>
      </c>
      <c r="Q502" s="43">
        <v>284</v>
      </c>
      <c r="R502" s="43" t="s">
        <v>123</v>
      </c>
    </row>
    <row r="503" spans="2:18" ht="15" customHeight="1" x14ac:dyDescent="0.2">
      <c r="B503" s="43">
        <v>287</v>
      </c>
      <c r="C503" s="43" t="s">
        <v>65</v>
      </c>
      <c r="E503" s="43">
        <v>287</v>
      </c>
      <c r="F503" s="43" t="s">
        <v>65</v>
      </c>
      <c r="H503" s="43">
        <v>287</v>
      </c>
      <c r="I503" s="43" t="s">
        <v>104</v>
      </c>
      <c r="K503" s="43">
        <v>287</v>
      </c>
      <c r="L503" s="43" t="s">
        <v>65</v>
      </c>
      <c r="N503" s="43">
        <v>287</v>
      </c>
      <c r="O503" s="43" t="s">
        <v>65</v>
      </c>
      <c r="Q503" s="43">
        <v>287</v>
      </c>
      <c r="R503" s="43" t="s">
        <v>123</v>
      </c>
    </row>
    <row r="504" spans="2:18" ht="15" customHeight="1" x14ac:dyDescent="0.2">
      <c r="B504" s="43">
        <v>290</v>
      </c>
      <c r="C504" s="43" t="s">
        <v>65</v>
      </c>
      <c r="E504" s="43">
        <v>290</v>
      </c>
      <c r="F504" s="43" t="s">
        <v>65</v>
      </c>
      <c r="H504" s="43">
        <v>290</v>
      </c>
      <c r="I504" s="43" t="s">
        <v>104</v>
      </c>
      <c r="K504" s="43">
        <v>290</v>
      </c>
      <c r="L504" s="43" t="s">
        <v>65</v>
      </c>
      <c r="N504" s="43">
        <v>290</v>
      </c>
      <c r="O504" s="43" t="s">
        <v>65</v>
      </c>
      <c r="Q504" s="43">
        <v>290</v>
      </c>
      <c r="R504" s="43" t="s">
        <v>123</v>
      </c>
    </row>
    <row r="505" spans="2:18" ht="15" customHeight="1" x14ac:dyDescent="0.2">
      <c r="B505" s="43">
        <v>306</v>
      </c>
      <c r="C505" s="43" t="s">
        <v>65</v>
      </c>
      <c r="E505" s="43">
        <v>306</v>
      </c>
      <c r="F505" s="43" t="s">
        <v>65</v>
      </c>
      <c r="H505" s="43">
        <v>306</v>
      </c>
      <c r="I505" s="43" t="s">
        <v>104</v>
      </c>
      <c r="K505" s="43">
        <v>306</v>
      </c>
      <c r="L505" s="43" t="s">
        <v>65</v>
      </c>
      <c r="N505" s="43">
        <v>306</v>
      </c>
      <c r="O505" s="43" t="s">
        <v>65</v>
      </c>
      <c r="Q505" s="43">
        <v>306</v>
      </c>
      <c r="R505" s="43" t="s">
        <v>123</v>
      </c>
    </row>
    <row r="506" spans="2:18" ht="15" customHeight="1" x14ac:dyDescent="0.2">
      <c r="B506" s="43">
        <v>307</v>
      </c>
      <c r="C506" s="43" t="s">
        <v>65</v>
      </c>
      <c r="E506" s="43">
        <v>307</v>
      </c>
      <c r="F506" s="43" t="s">
        <v>65</v>
      </c>
      <c r="H506" s="43">
        <v>307</v>
      </c>
      <c r="I506" s="43" t="s">
        <v>104</v>
      </c>
      <c r="K506" s="43">
        <v>307</v>
      </c>
      <c r="L506" s="43" t="s">
        <v>65</v>
      </c>
      <c r="N506" s="43">
        <v>307</v>
      </c>
      <c r="O506" s="43" t="s">
        <v>65</v>
      </c>
      <c r="Q506" s="43">
        <v>307</v>
      </c>
      <c r="R506" s="43" t="s">
        <v>123</v>
      </c>
    </row>
    <row r="507" spans="2:18" ht="15" customHeight="1" x14ac:dyDescent="0.2">
      <c r="B507" s="43">
        <v>308</v>
      </c>
      <c r="C507" s="43" t="s">
        <v>65</v>
      </c>
      <c r="E507" s="43">
        <v>308</v>
      </c>
      <c r="F507" s="43" t="s">
        <v>65</v>
      </c>
      <c r="H507" s="43">
        <v>308</v>
      </c>
      <c r="I507" s="43" t="s">
        <v>104</v>
      </c>
      <c r="K507" s="43">
        <v>308</v>
      </c>
      <c r="L507" s="43" t="s">
        <v>65</v>
      </c>
      <c r="N507" s="43">
        <v>308</v>
      </c>
      <c r="O507" s="43" t="s">
        <v>65</v>
      </c>
      <c r="Q507" s="43">
        <v>308</v>
      </c>
      <c r="R507" s="43" t="s">
        <v>123</v>
      </c>
    </row>
    <row r="508" spans="2:18" ht="15" customHeight="1" x14ac:dyDescent="0.2">
      <c r="B508" s="43">
        <v>309</v>
      </c>
      <c r="C508" s="43" t="s">
        <v>65</v>
      </c>
      <c r="E508" s="43">
        <v>309</v>
      </c>
      <c r="F508" s="43" t="s">
        <v>65</v>
      </c>
      <c r="H508" s="43">
        <v>309</v>
      </c>
      <c r="I508" s="43" t="s">
        <v>104</v>
      </c>
      <c r="K508" s="43">
        <v>309</v>
      </c>
      <c r="L508" s="43" t="s">
        <v>65</v>
      </c>
      <c r="N508" s="43">
        <v>309</v>
      </c>
      <c r="O508" s="43" t="s">
        <v>65</v>
      </c>
      <c r="Q508" s="43">
        <v>309</v>
      </c>
      <c r="R508" s="43" t="s">
        <v>123</v>
      </c>
    </row>
    <row r="509" spans="2:18" ht="15" customHeight="1" x14ac:dyDescent="0.2">
      <c r="B509" s="43">
        <v>310</v>
      </c>
      <c r="C509" s="43" t="s">
        <v>65</v>
      </c>
      <c r="E509" s="43">
        <v>310</v>
      </c>
      <c r="F509" s="43" t="s">
        <v>65</v>
      </c>
      <c r="H509" s="43">
        <v>310</v>
      </c>
      <c r="I509" s="43" t="s">
        <v>104</v>
      </c>
      <c r="K509" s="43">
        <v>310</v>
      </c>
      <c r="L509" s="43" t="s">
        <v>65</v>
      </c>
      <c r="N509" s="43">
        <v>310</v>
      </c>
      <c r="O509" s="43" t="s">
        <v>65</v>
      </c>
      <c r="Q509" s="43">
        <v>310</v>
      </c>
      <c r="R509" s="43" t="s">
        <v>123</v>
      </c>
    </row>
    <row r="510" spans="2:18" ht="15" customHeight="1" x14ac:dyDescent="0.2">
      <c r="B510" s="43">
        <v>105</v>
      </c>
      <c r="C510" s="43" t="s">
        <v>65</v>
      </c>
      <c r="E510" s="43">
        <v>105</v>
      </c>
      <c r="F510" s="43" t="s">
        <v>65</v>
      </c>
      <c r="H510" s="43">
        <v>105</v>
      </c>
      <c r="I510" s="43" t="s">
        <v>104</v>
      </c>
      <c r="K510" s="43">
        <v>105</v>
      </c>
      <c r="L510" s="43" t="s">
        <v>65</v>
      </c>
      <c r="N510" s="43">
        <v>105</v>
      </c>
      <c r="O510" s="43" t="s">
        <v>65</v>
      </c>
      <c r="Q510" s="43">
        <v>105</v>
      </c>
      <c r="R510" s="43" t="s">
        <v>123</v>
      </c>
    </row>
    <row r="511" spans="2:18" ht="15" customHeight="1" x14ac:dyDescent="0.2">
      <c r="B511" s="43">
        <v>106</v>
      </c>
      <c r="C511" s="43" t="s">
        <v>65</v>
      </c>
      <c r="E511" s="43">
        <v>106</v>
      </c>
      <c r="F511" s="43" t="s">
        <v>65</v>
      </c>
      <c r="H511" s="43">
        <v>106</v>
      </c>
      <c r="I511" s="43" t="s">
        <v>104</v>
      </c>
      <c r="K511" s="43">
        <v>106</v>
      </c>
      <c r="L511" s="43" t="s">
        <v>65</v>
      </c>
      <c r="N511" s="43">
        <v>106</v>
      </c>
      <c r="O511" s="43" t="s">
        <v>65</v>
      </c>
      <c r="Q511" s="43">
        <v>106</v>
      </c>
      <c r="R511" s="43" t="s">
        <v>123</v>
      </c>
    </row>
    <row r="512" spans="2:18" ht="15" customHeight="1" x14ac:dyDescent="0.2">
      <c r="B512" s="43">
        <v>107</v>
      </c>
      <c r="C512" s="43" t="s">
        <v>65</v>
      </c>
      <c r="E512" s="43">
        <v>107</v>
      </c>
      <c r="F512" s="43" t="s">
        <v>65</v>
      </c>
      <c r="H512" s="43">
        <v>107</v>
      </c>
      <c r="I512" s="43" t="s">
        <v>104</v>
      </c>
      <c r="K512" s="43">
        <v>107</v>
      </c>
      <c r="L512" s="43" t="s">
        <v>65</v>
      </c>
      <c r="N512" s="43">
        <v>107</v>
      </c>
      <c r="O512" s="43" t="s">
        <v>65</v>
      </c>
      <c r="Q512" s="43">
        <v>107</v>
      </c>
      <c r="R512" s="43" t="s">
        <v>123</v>
      </c>
    </row>
    <row r="513" spans="2:18" ht="15" customHeight="1" x14ac:dyDescent="0.2">
      <c r="B513" s="43">
        <v>108</v>
      </c>
      <c r="C513" s="43" t="s">
        <v>65</v>
      </c>
      <c r="E513" s="43">
        <v>108</v>
      </c>
      <c r="F513" s="43" t="s">
        <v>65</v>
      </c>
      <c r="H513" s="43">
        <v>108</v>
      </c>
      <c r="I513" s="43" t="s">
        <v>104</v>
      </c>
      <c r="K513" s="43">
        <v>108</v>
      </c>
      <c r="L513" s="43" t="s">
        <v>65</v>
      </c>
      <c r="N513" s="43">
        <v>108</v>
      </c>
      <c r="O513" s="43" t="s">
        <v>65</v>
      </c>
      <c r="Q513" s="43">
        <v>108</v>
      </c>
      <c r="R513" s="43" t="s">
        <v>123</v>
      </c>
    </row>
    <row r="514" spans="2:18" ht="15" customHeight="1" x14ac:dyDescent="0.2">
      <c r="B514" s="43">
        <v>109</v>
      </c>
      <c r="C514" s="43" t="s">
        <v>65</v>
      </c>
      <c r="E514" s="43">
        <v>109</v>
      </c>
      <c r="F514" s="43" t="s">
        <v>65</v>
      </c>
      <c r="H514" s="43">
        <v>109</v>
      </c>
      <c r="I514" s="43" t="s">
        <v>104</v>
      </c>
      <c r="K514" s="43">
        <v>109</v>
      </c>
      <c r="L514" s="43" t="s">
        <v>65</v>
      </c>
      <c r="N514" s="43">
        <v>109</v>
      </c>
      <c r="O514" s="43" t="s">
        <v>65</v>
      </c>
      <c r="Q514" s="43">
        <v>109</v>
      </c>
      <c r="R514" s="43" t="s">
        <v>123</v>
      </c>
    </row>
    <row r="515" spans="2:18" ht="15" customHeight="1" x14ac:dyDescent="0.2">
      <c r="B515" s="43">
        <v>87</v>
      </c>
      <c r="C515" s="43" t="s">
        <v>65</v>
      </c>
      <c r="E515" s="43">
        <v>87</v>
      </c>
      <c r="F515" s="43" t="s">
        <v>65</v>
      </c>
      <c r="H515" s="43">
        <v>87</v>
      </c>
      <c r="I515" s="43" t="s">
        <v>104</v>
      </c>
      <c r="K515" s="43">
        <v>87</v>
      </c>
      <c r="L515" s="43" t="s">
        <v>65</v>
      </c>
      <c r="N515" s="43">
        <v>87</v>
      </c>
      <c r="O515" s="43" t="s">
        <v>65</v>
      </c>
      <c r="Q515" s="43">
        <v>87</v>
      </c>
      <c r="R515" s="43" t="s">
        <v>123</v>
      </c>
    </row>
    <row r="516" spans="2:18" ht="15" customHeight="1" x14ac:dyDescent="0.2">
      <c r="B516" s="43">
        <v>90</v>
      </c>
      <c r="C516" s="43" t="s">
        <v>65</v>
      </c>
      <c r="E516" s="43">
        <v>90</v>
      </c>
      <c r="F516" s="43" t="s">
        <v>65</v>
      </c>
      <c r="H516" s="43">
        <v>90</v>
      </c>
      <c r="I516" s="43" t="s">
        <v>104</v>
      </c>
      <c r="K516" s="43">
        <v>90</v>
      </c>
      <c r="L516" s="43" t="s">
        <v>65</v>
      </c>
      <c r="N516" s="43">
        <v>90</v>
      </c>
      <c r="O516" s="43" t="s">
        <v>65</v>
      </c>
      <c r="Q516" s="43">
        <v>90</v>
      </c>
      <c r="R516" s="43" t="s">
        <v>123</v>
      </c>
    </row>
    <row r="517" spans="2:18" ht="15" customHeight="1" x14ac:dyDescent="0.2">
      <c r="B517" s="43">
        <v>93</v>
      </c>
      <c r="C517" s="43" t="s">
        <v>65</v>
      </c>
      <c r="E517" s="43">
        <v>93</v>
      </c>
      <c r="F517" s="43" t="s">
        <v>65</v>
      </c>
      <c r="H517" s="43">
        <v>93</v>
      </c>
      <c r="I517" s="43" t="s">
        <v>104</v>
      </c>
      <c r="K517" s="43">
        <v>93</v>
      </c>
      <c r="L517" s="43" t="s">
        <v>65</v>
      </c>
      <c r="N517" s="43">
        <v>93</v>
      </c>
      <c r="O517" s="43" t="s">
        <v>65</v>
      </c>
      <c r="Q517" s="43">
        <v>93</v>
      </c>
      <c r="R517" s="43" t="s">
        <v>123</v>
      </c>
    </row>
    <row r="518" spans="2:18" ht="15" customHeight="1" x14ac:dyDescent="0.2">
      <c r="B518" s="43">
        <v>96</v>
      </c>
      <c r="C518" s="43" t="s">
        <v>65</v>
      </c>
      <c r="E518" s="43">
        <v>96</v>
      </c>
      <c r="F518" s="43" t="s">
        <v>65</v>
      </c>
      <c r="H518" s="43">
        <v>96</v>
      </c>
      <c r="I518" s="43" t="s">
        <v>104</v>
      </c>
      <c r="K518" s="43">
        <v>96</v>
      </c>
      <c r="L518" s="43" t="s">
        <v>65</v>
      </c>
      <c r="N518" s="43">
        <v>96</v>
      </c>
      <c r="O518" s="43" t="s">
        <v>65</v>
      </c>
      <c r="Q518" s="43">
        <v>96</v>
      </c>
      <c r="R518" s="43" t="s">
        <v>123</v>
      </c>
    </row>
    <row r="519" spans="2:18" ht="15" customHeight="1" x14ac:dyDescent="0.2">
      <c r="B519" s="43">
        <v>99</v>
      </c>
      <c r="C519" s="43" t="s">
        <v>65</v>
      </c>
      <c r="E519" s="43">
        <v>99</v>
      </c>
      <c r="F519" s="43" t="s">
        <v>65</v>
      </c>
      <c r="H519" s="43">
        <v>99</v>
      </c>
      <c r="I519" s="43" t="s">
        <v>104</v>
      </c>
      <c r="K519" s="43">
        <v>99</v>
      </c>
      <c r="L519" s="43" t="s">
        <v>65</v>
      </c>
      <c r="N519" s="43">
        <v>99</v>
      </c>
      <c r="O519" s="43" t="s">
        <v>65</v>
      </c>
      <c r="Q519" s="43">
        <v>99</v>
      </c>
      <c r="R519" s="43" t="s">
        <v>123</v>
      </c>
    </row>
    <row r="520" spans="2:18" ht="15" customHeight="1" x14ac:dyDescent="0.2">
      <c r="B520" s="43">
        <v>102</v>
      </c>
      <c r="C520" s="43" t="s">
        <v>65</v>
      </c>
      <c r="E520" s="43">
        <v>102</v>
      </c>
      <c r="F520" s="43" t="s">
        <v>65</v>
      </c>
      <c r="H520" s="43">
        <v>102</v>
      </c>
      <c r="I520" s="43" t="s">
        <v>104</v>
      </c>
      <c r="K520" s="43">
        <v>102</v>
      </c>
      <c r="L520" s="43" t="s">
        <v>65</v>
      </c>
      <c r="N520" s="43">
        <v>102</v>
      </c>
      <c r="O520" s="43" t="s">
        <v>65</v>
      </c>
      <c r="Q520" s="43">
        <v>102</v>
      </c>
      <c r="R520" s="43" t="s">
        <v>123</v>
      </c>
    </row>
    <row r="521" spans="2:18" ht="15" customHeight="1" x14ac:dyDescent="0.2">
      <c r="B521" s="43">
        <v>110</v>
      </c>
      <c r="C521" s="43" t="s">
        <v>65</v>
      </c>
      <c r="E521" s="43">
        <v>110</v>
      </c>
      <c r="F521" s="43" t="s">
        <v>65</v>
      </c>
      <c r="H521" s="43">
        <v>110</v>
      </c>
      <c r="I521" s="43" t="s">
        <v>104</v>
      </c>
      <c r="K521" s="43">
        <v>110</v>
      </c>
      <c r="L521" s="43" t="s">
        <v>65</v>
      </c>
      <c r="N521" s="43">
        <v>110</v>
      </c>
      <c r="O521" s="43" t="s">
        <v>65</v>
      </c>
      <c r="Q521" s="43">
        <v>110</v>
      </c>
      <c r="R521" s="43" t="s">
        <v>123</v>
      </c>
    </row>
    <row r="522" spans="2:18" ht="15" customHeight="1" x14ac:dyDescent="0.2">
      <c r="B522" s="43">
        <v>111</v>
      </c>
      <c r="C522" s="43" t="s">
        <v>65</v>
      </c>
      <c r="E522" s="43">
        <v>111</v>
      </c>
      <c r="F522" s="43" t="s">
        <v>65</v>
      </c>
      <c r="H522" s="43">
        <v>111</v>
      </c>
      <c r="I522" s="43" t="s">
        <v>104</v>
      </c>
      <c r="K522" s="43">
        <v>111</v>
      </c>
      <c r="L522" s="43" t="s">
        <v>65</v>
      </c>
      <c r="N522" s="43">
        <v>111</v>
      </c>
      <c r="O522" s="43" t="s">
        <v>65</v>
      </c>
      <c r="Q522" s="43">
        <v>111</v>
      </c>
      <c r="R522" s="43" t="s">
        <v>123</v>
      </c>
    </row>
    <row r="523" spans="2:18" ht="15" customHeight="1" x14ac:dyDescent="0.2">
      <c r="B523" s="43">
        <v>112</v>
      </c>
      <c r="C523" s="43" t="s">
        <v>65</v>
      </c>
      <c r="E523" s="43">
        <v>112</v>
      </c>
      <c r="F523" s="43" t="s">
        <v>65</v>
      </c>
      <c r="H523" s="43">
        <v>112</v>
      </c>
      <c r="I523" s="43" t="s">
        <v>104</v>
      </c>
      <c r="K523" s="43">
        <v>112</v>
      </c>
      <c r="L523" s="43" t="s">
        <v>65</v>
      </c>
      <c r="N523" s="43">
        <v>112</v>
      </c>
      <c r="O523" s="43" t="s">
        <v>65</v>
      </c>
      <c r="Q523" s="43">
        <v>112</v>
      </c>
      <c r="R523" s="43" t="s">
        <v>123</v>
      </c>
    </row>
    <row r="524" spans="2:18" ht="15" customHeight="1" x14ac:dyDescent="0.2">
      <c r="B524" s="43">
        <v>113</v>
      </c>
      <c r="C524" s="43" t="s">
        <v>65</v>
      </c>
      <c r="E524" s="43">
        <v>113</v>
      </c>
      <c r="F524" s="43" t="s">
        <v>65</v>
      </c>
      <c r="H524" s="43">
        <v>113</v>
      </c>
      <c r="I524" s="43" t="s">
        <v>104</v>
      </c>
      <c r="K524" s="43">
        <v>113</v>
      </c>
      <c r="L524" s="43" t="s">
        <v>65</v>
      </c>
      <c r="N524" s="43">
        <v>113</v>
      </c>
      <c r="O524" s="43" t="s">
        <v>65</v>
      </c>
      <c r="Q524" s="43">
        <v>113</v>
      </c>
      <c r="R524" s="43" t="s">
        <v>123</v>
      </c>
    </row>
    <row r="525" spans="2:18" ht="15" customHeight="1" x14ac:dyDescent="0.2">
      <c r="B525" s="43">
        <v>114</v>
      </c>
      <c r="C525" s="43" t="s">
        <v>65</v>
      </c>
      <c r="E525" s="43">
        <v>114</v>
      </c>
      <c r="F525" s="43" t="s">
        <v>65</v>
      </c>
      <c r="H525" s="43">
        <v>114</v>
      </c>
      <c r="I525" s="43" t="s">
        <v>104</v>
      </c>
      <c r="K525" s="43">
        <v>114</v>
      </c>
      <c r="L525" s="43" t="s">
        <v>65</v>
      </c>
      <c r="N525" s="43">
        <v>114</v>
      </c>
      <c r="O525" s="43" t="s">
        <v>65</v>
      </c>
      <c r="Q525" s="43">
        <v>114</v>
      </c>
      <c r="R525" s="43" t="s">
        <v>123</v>
      </c>
    </row>
    <row r="526" spans="2:18" ht="15" customHeight="1" x14ac:dyDescent="0.2">
      <c r="B526" s="43">
        <v>88</v>
      </c>
      <c r="C526" s="43" t="s">
        <v>65</v>
      </c>
      <c r="E526" s="43">
        <v>88</v>
      </c>
      <c r="F526" s="43" t="s">
        <v>65</v>
      </c>
      <c r="H526" s="43">
        <v>88</v>
      </c>
      <c r="I526" s="43" t="s">
        <v>104</v>
      </c>
      <c r="K526" s="43">
        <v>88</v>
      </c>
      <c r="L526" s="43" t="s">
        <v>65</v>
      </c>
      <c r="N526" s="43">
        <v>88</v>
      </c>
      <c r="O526" s="43" t="s">
        <v>65</v>
      </c>
      <c r="Q526" s="43">
        <v>88</v>
      </c>
      <c r="R526" s="43" t="s">
        <v>123</v>
      </c>
    </row>
    <row r="527" spans="2:18" ht="15" customHeight="1" x14ac:dyDescent="0.2">
      <c r="B527" s="43">
        <v>91</v>
      </c>
      <c r="C527" s="43" t="s">
        <v>65</v>
      </c>
      <c r="E527" s="43">
        <v>91</v>
      </c>
      <c r="F527" s="43" t="s">
        <v>65</v>
      </c>
      <c r="H527" s="43">
        <v>91</v>
      </c>
      <c r="I527" s="43" t="s">
        <v>104</v>
      </c>
      <c r="K527" s="43">
        <v>91</v>
      </c>
      <c r="L527" s="43" t="s">
        <v>65</v>
      </c>
      <c r="N527" s="43">
        <v>91</v>
      </c>
      <c r="O527" s="43" t="s">
        <v>65</v>
      </c>
      <c r="Q527" s="43">
        <v>91</v>
      </c>
      <c r="R527" s="43" t="s">
        <v>123</v>
      </c>
    </row>
    <row r="528" spans="2:18" ht="15" customHeight="1" x14ac:dyDescent="0.2">
      <c r="B528" s="43">
        <v>94</v>
      </c>
      <c r="C528" s="43" t="s">
        <v>65</v>
      </c>
      <c r="E528" s="43">
        <v>94</v>
      </c>
      <c r="F528" s="43" t="s">
        <v>65</v>
      </c>
      <c r="H528" s="43">
        <v>94</v>
      </c>
      <c r="I528" s="43" t="s">
        <v>104</v>
      </c>
      <c r="K528" s="43">
        <v>94</v>
      </c>
      <c r="L528" s="43" t="s">
        <v>65</v>
      </c>
      <c r="N528" s="43">
        <v>94</v>
      </c>
      <c r="O528" s="43" t="s">
        <v>65</v>
      </c>
      <c r="Q528" s="43">
        <v>94</v>
      </c>
      <c r="R528" s="43" t="s">
        <v>123</v>
      </c>
    </row>
    <row r="529" spans="2:18" ht="15" customHeight="1" x14ac:dyDescent="0.2">
      <c r="B529" s="43">
        <v>97</v>
      </c>
      <c r="C529" s="43" t="s">
        <v>65</v>
      </c>
      <c r="E529" s="43">
        <v>97</v>
      </c>
      <c r="F529" s="43" t="s">
        <v>65</v>
      </c>
      <c r="H529" s="43">
        <v>97</v>
      </c>
      <c r="I529" s="43" t="s">
        <v>104</v>
      </c>
      <c r="K529" s="43">
        <v>97</v>
      </c>
      <c r="L529" s="43" t="s">
        <v>65</v>
      </c>
      <c r="N529" s="43">
        <v>97</v>
      </c>
      <c r="O529" s="43" t="s">
        <v>65</v>
      </c>
      <c r="Q529" s="43">
        <v>97</v>
      </c>
      <c r="R529" s="43" t="s">
        <v>123</v>
      </c>
    </row>
    <row r="530" spans="2:18" ht="15" customHeight="1" x14ac:dyDescent="0.2">
      <c r="B530" s="43">
        <v>100</v>
      </c>
      <c r="C530" s="43" t="s">
        <v>65</v>
      </c>
      <c r="E530" s="43">
        <v>100</v>
      </c>
      <c r="F530" s="43" t="s">
        <v>65</v>
      </c>
      <c r="H530" s="43">
        <v>100</v>
      </c>
      <c r="I530" s="43" t="s">
        <v>104</v>
      </c>
      <c r="K530" s="43">
        <v>100</v>
      </c>
      <c r="L530" s="43" t="s">
        <v>65</v>
      </c>
      <c r="N530" s="43">
        <v>100</v>
      </c>
      <c r="O530" s="43" t="s">
        <v>65</v>
      </c>
      <c r="Q530" s="43">
        <v>100</v>
      </c>
      <c r="R530" s="43" t="s">
        <v>123</v>
      </c>
    </row>
    <row r="531" spans="2:18" ht="15" customHeight="1" x14ac:dyDescent="0.2">
      <c r="B531" s="43">
        <v>103</v>
      </c>
      <c r="C531" s="43" t="s">
        <v>65</v>
      </c>
      <c r="E531" s="43">
        <v>103</v>
      </c>
      <c r="F531" s="43" t="s">
        <v>65</v>
      </c>
      <c r="H531" s="43">
        <v>103</v>
      </c>
      <c r="I531" s="43" t="s">
        <v>104</v>
      </c>
      <c r="K531" s="43">
        <v>103</v>
      </c>
      <c r="L531" s="43" t="s">
        <v>65</v>
      </c>
      <c r="N531" s="43">
        <v>103</v>
      </c>
      <c r="O531" s="43" t="s">
        <v>65</v>
      </c>
      <c r="Q531" s="43">
        <v>103</v>
      </c>
      <c r="R531" s="43" t="s">
        <v>123</v>
      </c>
    </row>
    <row r="532" spans="2:18" ht="15" customHeight="1" x14ac:dyDescent="0.2">
      <c r="B532" s="43">
        <v>115</v>
      </c>
      <c r="C532" s="43" t="s">
        <v>65</v>
      </c>
      <c r="E532" s="43">
        <v>115</v>
      </c>
      <c r="F532" s="43" t="s">
        <v>65</v>
      </c>
      <c r="H532" s="43">
        <v>115</v>
      </c>
      <c r="I532" s="43" t="s">
        <v>104</v>
      </c>
      <c r="K532" s="43">
        <v>115</v>
      </c>
      <c r="L532" s="43" t="s">
        <v>65</v>
      </c>
      <c r="N532" s="43">
        <v>115</v>
      </c>
      <c r="O532" s="43" t="s">
        <v>65</v>
      </c>
      <c r="Q532" s="43">
        <v>115</v>
      </c>
      <c r="R532" s="43" t="s">
        <v>123</v>
      </c>
    </row>
    <row r="533" spans="2:18" ht="15" customHeight="1" x14ac:dyDescent="0.2">
      <c r="B533" s="43">
        <v>116</v>
      </c>
      <c r="C533" s="43" t="s">
        <v>65</v>
      </c>
      <c r="E533" s="43">
        <v>116</v>
      </c>
      <c r="F533" s="43" t="s">
        <v>65</v>
      </c>
      <c r="H533" s="43">
        <v>116</v>
      </c>
      <c r="I533" s="43" t="s">
        <v>104</v>
      </c>
      <c r="K533" s="43">
        <v>116</v>
      </c>
      <c r="L533" s="43" t="s">
        <v>65</v>
      </c>
      <c r="N533" s="43">
        <v>116</v>
      </c>
      <c r="O533" s="43" t="s">
        <v>65</v>
      </c>
      <c r="Q533" s="43">
        <v>116</v>
      </c>
      <c r="R533" s="43" t="s">
        <v>123</v>
      </c>
    </row>
    <row r="534" spans="2:18" ht="15" customHeight="1" x14ac:dyDescent="0.2">
      <c r="B534" s="43">
        <v>117</v>
      </c>
      <c r="C534" s="43" t="s">
        <v>65</v>
      </c>
      <c r="E534" s="43">
        <v>117</v>
      </c>
      <c r="F534" s="43" t="s">
        <v>65</v>
      </c>
      <c r="H534" s="43">
        <v>117</v>
      </c>
      <c r="I534" s="43" t="s">
        <v>104</v>
      </c>
      <c r="K534" s="43">
        <v>117</v>
      </c>
      <c r="L534" s="43" t="s">
        <v>65</v>
      </c>
      <c r="N534" s="43">
        <v>117</v>
      </c>
      <c r="O534" s="43" t="s">
        <v>65</v>
      </c>
      <c r="Q534" s="43">
        <v>117</v>
      </c>
      <c r="R534" s="43" t="s">
        <v>123</v>
      </c>
    </row>
    <row r="535" spans="2:18" ht="15" customHeight="1" x14ac:dyDescent="0.2">
      <c r="B535" s="43">
        <v>118</v>
      </c>
      <c r="C535" s="43" t="s">
        <v>65</v>
      </c>
      <c r="E535" s="43">
        <v>118</v>
      </c>
      <c r="F535" s="43" t="s">
        <v>65</v>
      </c>
      <c r="H535" s="43">
        <v>118</v>
      </c>
      <c r="I535" s="43" t="s">
        <v>104</v>
      </c>
      <c r="K535" s="43">
        <v>118</v>
      </c>
      <c r="L535" s="43" t="s">
        <v>65</v>
      </c>
      <c r="N535" s="43">
        <v>118</v>
      </c>
      <c r="O535" s="43" t="s">
        <v>65</v>
      </c>
      <c r="Q535" s="43">
        <v>118</v>
      </c>
      <c r="R535" s="43" t="s">
        <v>123</v>
      </c>
    </row>
    <row r="536" spans="2:18" ht="15" customHeight="1" x14ac:dyDescent="0.2">
      <c r="B536" s="43">
        <v>119</v>
      </c>
      <c r="C536" s="43" t="s">
        <v>65</v>
      </c>
      <c r="E536" s="43">
        <v>119</v>
      </c>
      <c r="F536" s="43" t="s">
        <v>65</v>
      </c>
      <c r="H536" s="43">
        <v>119</v>
      </c>
      <c r="I536" s="43" t="s">
        <v>104</v>
      </c>
      <c r="K536" s="43">
        <v>119</v>
      </c>
      <c r="L536" s="43" t="s">
        <v>65</v>
      </c>
      <c r="N536" s="43">
        <v>119</v>
      </c>
      <c r="O536" s="43" t="s">
        <v>65</v>
      </c>
      <c r="Q536" s="43">
        <v>119</v>
      </c>
      <c r="R536" s="43" t="s">
        <v>123</v>
      </c>
    </row>
    <row r="537" spans="2:18" ht="15" customHeight="1" x14ac:dyDescent="0.2">
      <c r="B537" s="43">
        <v>89</v>
      </c>
      <c r="C537" s="43" t="s">
        <v>65</v>
      </c>
      <c r="E537" s="43">
        <v>89</v>
      </c>
      <c r="F537" s="43" t="s">
        <v>65</v>
      </c>
      <c r="H537" s="43">
        <v>89</v>
      </c>
      <c r="I537" s="43" t="s">
        <v>104</v>
      </c>
      <c r="K537" s="43">
        <v>89</v>
      </c>
      <c r="L537" s="43" t="s">
        <v>65</v>
      </c>
      <c r="N537" s="43">
        <v>89</v>
      </c>
      <c r="O537" s="43" t="s">
        <v>65</v>
      </c>
      <c r="Q537" s="43">
        <v>89</v>
      </c>
      <c r="R537" s="43" t="s">
        <v>123</v>
      </c>
    </row>
    <row r="538" spans="2:18" ht="15" customHeight="1" x14ac:dyDescent="0.2">
      <c r="B538" s="43">
        <v>92</v>
      </c>
      <c r="C538" s="43" t="s">
        <v>65</v>
      </c>
      <c r="E538" s="43">
        <v>92</v>
      </c>
      <c r="F538" s="43" t="s">
        <v>65</v>
      </c>
      <c r="H538" s="43">
        <v>92</v>
      </c>
      <c r="I538" s="43" t="s">
        <v>104</v>
      </c>
      <c r="K538" s="43">
        <v>92</v>
      </c>
      <c r="L538" s="43" t="s">
        <v>65</v>
      </c>
      <c r="N538" s="43">
        <v>92</v>
      </c>
      <c r="O538" s="43" t="s">
        <v>65</v>
      </c>
      <c r="Q538" s="43">
        <v>92</v>
      </c>
      <c r="R538" s="43" t="s">
        <v>123</v>
      </c>
    </row>
    <row r="539" spans="2:18" ht="15" customHeight="1" x14ac:dyDescent="0.2">
      <c r="B539" s="43">
        <v>95</v>
      </c>
      <c r="C539" s="43" t="s">
        <v>65</v>
      </c>
      <c r="E539" s="43">
        <v>95</v>
      </c>
      <c r="F539" s="43" t="s">
        <v>65</v>
      </c>
      <c r="H539" s="43">
        <v>95</v>
      </c>
      <c r="I539" s="43" t="s">
        <v>104</v>
      </c>
      <c r="K539" s="43">
        <v>95</v>
      </c>
      <c r="L539" s="43" t="s">
        <v>65</v>
      </c>
      <c r="N539" s="43">
        <v>95</v>
      </c>
      <c r="O539" s="43" t="s">
        <v>65</v>
      </c>
      <c r="Q539" s="43">
        <v>95</v>
      </c>
      <c r="R539" s="43" t="s">
        <v>123</v>
      </c>
    </row>
    <row r="540" spans="2:18" ht="15" customHeight="1" x14ac:dyDescent="0.2">
      <c r="B540" s="43">
        <v>98</v>
      </c>
      <c r="C540" s="43" t="s">
        <v>65</v>
      </c>
      <c r="E540" s="43">
        <v>98</v>
      </c>
      <c r="F540" s="43" t="s">
        <v>65</v>
      </c>
      <c r="H540" s="43">
        <v>98</v>
      </c>
      <c r="I540" s="43" t="s">
        <v>104</v>
      </c>
      <c r="K540" s="43">
        <v>98</v>
      </c>
      <c r="L540" s="43" t="s">
        <v>65</v>
      </c>
      <c r="N540" s="43">
        <v>98</v>
      </c>
      <c r="O540" s="43" t="s">
        <v>65</v>
      </c>
      <c r="Q540" s="43">
        <v>98</v>
      </c>
      <c r="R540" s="43" t="s">
        <v>123</v>
      </c>
    </row>
    <row r="541" spans="2:18" ht="15" customHeight="1" x14ac:dyDescent="0.2">
      <c r="B541" s="43">
        <v>101</v>
      </c>
      <c r="C541" s="43" t="s">
        <v>65</v>
      </c>
      <c r="E541" s="43">
        <v>101</v>
      </c>
      <c r="F541" s="43" t="s">
        <v>65</v>
      </c>
      <c r="H541" s="43">
        <v>101</v>
      </c>
      <c r="I541" s="43" t="s">
        <v>104</v>
      </c>
      <c r="K541" s="43">
        <v>101</v>
      </c>
      <c r="L541" s="43" t="s">
        <v>65</v>
      </c>
      <c r="N541" s="43">
        <v>101</v>
      </c>
      <c r="O541" s="43" t="s">
        <v>65</v>
      </c>
      <c r="Q541" s="43">
        <v>101</v>
      </c>
      <c r="R541" s="43" t="s">
        <v>123</v>
      </c>
    </row>
    <row r="542" spans="2:18" ht="15" customHeight="1" x14ac:dyDescent="0.2">
      <c r="B542" s="43">
        <v>104</v>
      </c>
      <c r="C542" s="43" t="s">
        <v>65</v>
      </c>
      <c r="E542" s="43">
        <v>104</v>
      </c>
      <c r="F542" s="43" t="s">
        <v>65</v>
      </c>
      <c r="H542" s="43">
        <v>104</v>
      </c>
      <c r="I542" s="43" t="s">
        <v>104</v>
      </c>
      <c r="K542" s="43">
        <v>104</v>
      </c>
      <c r="L542" s="43" t="s">
        <v>65</v>
      </c>
      <c r="N542" s="43">
        <v>104</v>
      </c>
      <c r="O542" s="43" t="s">
        <v>65</v>
      </c>
      <c r="Q542" s="43">
        <v>104</v>
      </c>
      <c r="R542" s="43" t="s">
        <v>123</v>
      </c>
    </row>
    <row r="543" spans="2:18" ht="15" customHeight="1" x14ac:dyDescent="0.2">
      <c r="B543" s="43">
        <v>120</v>
      </c>
      <c r="C543" s="43" t="s">
        <v>65</v>
      </c>
      <c r="E543" s="43">
        <v>120</v>
      </c>
      <c r="F543" s="43" t="s">
        <v>65</v>
      </c>
      <c r="H543" s="43">
        <v>120</v>
      </c>
      <c r="I543" s="43" t="s">
        <v>104</v>
      </c>
      <c r="K543" s="43">
        <v>120</v>
      </c>
      <c r="L543" s="43" t="s">
        <v>65</v>
      </c>
      <c r="N543" s="43">
        <v>120</v>
      </c>
      <c r="O543" s="43" t="s">
        <v>65</v>
      </c>
      <c r="Q543" s="43">
        <v>120</v>
      </c>
      <c r="R543" s="43" t="s">
        <v>123</v>
      </c>
    </row>
    <row r="544" spans="2:18" ht="15" customHeight="1" x14ac:dyDescent="0.2">
      <c r="B544" s="43">
        <v>121</v>
      </c>
      <c r="C544" s="43" t="s">
        <v>65</v>
      </c>
      <c r="E544" s="43">
        <v>121</v>
      </c>
      <c r="F544" s="43" t="s">
        <v>65</v>
      </c>
      <c r="H544" s="43">
        <v>121</v>
      </c>
      <c r="I544" s="43" t="s">
        <v>104</v>
      </c>
      <c r="K544" s="43">
        <v>121</v>
      </c>
      <c r="L544" s="43" t="s">
        <v>65</v>
      </c>
      <c r="N544" s="43">
        <v>121</v>
      </c>
      <c r="O544" s="43" t="s">
        <v>65</v>
      </c>
      <c r="Q544" s="43">
        <v>121</v>
      </c>
      <c r="R544" s="43" t="s">
        <v>123</v>
      </c>
    </row>
    <row r="545" spans="2:18" ht="15" customHeight="1" x14ac:dyDescent="0.2">
      <c r="B545" s="43">
        <v>122</v>
      </c>
      <c r="C545" s="43" t="s">
        <v>65</v>
      </c>
      <c r="E545" s="43">
        <v>122</v>
      </c>
      <c r="F545" s="43" t="s">
        <v>65</v>
      </c>
      <c r="H545" s="43">
        <v>122</v>
      </c>
      <c r="I545" s="43" t="s">
        <v>104</v>
      </c>
      <c r="K545" s="43">
        <v>122</v>
      </c>
      <c r="L545" s="43" t="s">
        <v>65</v>
      </c>
      <c r="N545" s="43">
        <v>122</v>
      </c>
      <c r="O545" s="43" t="s">
        <v>65</v>
      </c>
      <c r="Q545" s="43">
        <v>122</v>
      </c>
      <c r="R545" s="43" t="s">
        <v>123</v>
      </c>
    </row>
    <row r="546" spans="2:18" ht="15" customHeight="1" x14ac:dyDescent="0.2">
      <c r="B546" s="43">
        <v>123</v>
      </c>
      <c r="C546" s="43" t="s">
        <v>65</v>
      </c>
      <c r="E546" s="43">
        <v>123</v>
      </c>
      <c r="F546" s="43" t="s">
        <v>65</v>
      </c>
      <c r="H546" s="43">
        <v>123</v>
      </c>
      <c r="I546" s="43" t="s">
        <v>104</v>
      </c>
      <c r="K546" s="43">
        <v>123</v>
      </c>
      <c r="L546" s="43" t="s">
        <v>65</v>
      </c>
      <c r="N546" s="43">
        <v>123</v>
      </c>
      <c r="O546" s="43" t="s">
        <v>65</v>
      </c>
      <c r="Q546" s="43">
        <v>123</v>
      </c>
      <c r="R546" s="43" t="s">
        <v>123</v>
      </c>
    </row>
    <row r="547" spans="2:18" ht="15" customHeight="1" x14ac:dyDescent="0.2">
      <c r="B547" s="43">
        <v>124</v>
      </c>
      <c r="C547" s="43" t="s">
        <v>65</v>
      </c>
      <c r="E547" s="43">
        <v>124</v>
      </c>
      <c r="F547" s="43" t="s">
        <v>65</v>
      </c>
      <c r="H547" s="43">
        <v>124</v>
      </c>
      <c r="I547" s="43" t="s">
        <v>104</v>
      </c>
      <c r="K547" s="43">
        <v>124</v>
      </c>
      <c r="L547" s="43" t="s">
        <v>65</v>
      </c>
      <c r="N547" s="43">
        <v>124</v>
      </c>
      <c r="O547" s="43" t="s">
        <v>65</v>
      </c>
      <c r="Q547" s="43">
        <v>124</v>
      </c>
      <c r="R547" s="43" t="s">
        <v>123</v>
      </c>
    </row>
    <row r="548" spans="2:18" ht="15" customHeight="1" x14ac:dyDescent="0.2">
      <c r="B548" s="43">
        <v>167</v>
      </c>
      <c r="C548" s="43" t="s">
        <v>65</v>
      </c>
      <c r="E548" s="43">
        <v>167</v>
      </c>
      <c r="F548" s="43" t="s">
        <v>65</v>
      </c>
      <c r="H548" s="43">
        <v>167</v>
      </c>
      <c r="I548" s="43" t="s">
        <v>104</v>
      </c>
      <c r="K548" s="43">
        <v>167</v>
      </c>
      <c r="L548" s="43" t="s">
        <v>65</v>
      </c>
      <c r="N548" s="43">
        <v>167</v>
      </c>
      <c r="O548" s="43" t="s">
        <v>65</v>
      </c>
      <c r="Q548" s="43">
        <v>167</v>
      </c>
      <c r="R548" s="43" t="s">
        <v>123</v>
      </c>
    </row>
    <row r="549" spans="2:18" ht="15" customHeight="1" x14ac:dyDescent="0.2">
      <c r="B549" s="43">
        <v>168</v>
      </c>
      <c r="C549" s="43" t="s">
        <v>65</v>
      </c>
      <c r="E549" s="43">
        <v>168</v>
      </c>
      <c r="F549" s="43" t="s">
        <v>65</v>
      </c>
      <c r="H549" s="43">
        <v>168</v>
      </c>
      <c r="I549" s="43" t="s">
        <v>104</v>
      </c>
      <c r="K549" s="43">
        <v>168</v>
      </c>
      <c r="L549" s="43" t="s">
        <v>65</v>
      </c>
      <c r="N549" s="43">
        <v>168</v>
      </c>
      <c r="O549" s="43" t="s">
        <v>65</v>
      </c>
      <c r="Q549" s="43">
        <v>168</v>
      </c>
      <c r="R549" s="43" t="s">
        <v>123</v>
      </c>
    </row>
    <row r="550" spans="2:18" ht="15" customHeight="1" x14ac:dyDescent="0.2">
      <c r="B550" s="43">
        <v>169</v>
      </c>
      <c r="C550" s="43" t="s">
        <v>65</v>
      </c>
      <c r="E550" s="43">
        <v>169</v>
      </c>
      <c r="F550" s="43" t="s">
        <v>65</v>
      </c>
      <c r="H550" s="43">
        <v>169</v>
      </c>
      <c r="I550" s="43" t="s">
        <v>104</v>
      </c>
      <c r="K550" s="43">
        <v>169</v>
      </c>
      <c r="L550" s="43" t="s">
        <v>65</v>
      </c>
      <c r="N550" s="43">
        <v>169</v>
      </c>
      <c r="O550" s="43" t="s">
        <v>65</v>
      </c>
      <c r="Q550" s="43">
        <v>169</v>
      </c>
      <c r="R550" s="43" t="s">
        <v>123</v>
      </c>
    </row>
    <row r="551" spans="2:18" ht="15" customHeight="1" x14ac:dyDescent="0.2">
      <c r="B551" s="43">
        <v>170</v>
      </c>
      <c r="C551" s="43" t="s">
        <v>65</v>
      </c>
      <c r="E551" s="43">
        <v>170</v>
      </c>
      <c r="F551" s="43" t="s">
        <v>65</v>
      </c>
      <c r="H551" s="43">
        <v>170</v>
      </c>
      <c r="I551" s="43" t="s">
        <v>104</v>
      </c>
      <c r="K551" s="43">
        <v>170</v>
      </c>
      <c r="L551" s="43" t="s">
        <v>65</v>
      </c>
      <c r="N551" s="43">
        <v>170</v>
      </c>
      <c r="O551" s="43" t="s">
        <v>65</v>
      </c>
      <c r="Q551" s="43">
        <v>170</v>
      </c>
      <c r="R551" s="43" t="s">
        <v>123</v>
      </c>
    </row>
    <row r="552" spans="2:18" ht="15" customHeight="1" x14ac:dyDescent="0.2">
      <c r="B552" s="43">
        <v>171</v>
      </c>
      <c r="C552" s="43" t="s">
        <v>65</v>
      </c>
      <c r="E552" s="43">
        <v>171</v>
      </c>
      <c r="F552" s="43" t="s">
        <v>65</v>
      </c>
      <c r="H552" s="43">
        <v>171</v>
      </c>
      <c r="I552" s="43" t="s">
        <v>104</v>
      </c>
      <c r="K552" s="43">
        <v>171</v>
      </c>
      <c r="L552" s="43" t="s">
        <v>65</v>
      </c>
      <c r="N552" s="43">
        <v>171</v>
      </c>
      <c r="O552" s="43" t="s">
        <v>65</v>
      </c>
      <c r="Q552" s="43">
        <v>171</v>
      </c>
      <c r="R552" s="43" t="s">
        <v>123</v>
      </c>
    </row>
    <row r="553" spans="2:18" ht="15" customHeight="1" x14ac:dyDescent="0.2">
      <c r="B553" s="43">
        <v>149</v>
      </c>
      <c r="C553" s="43" t="s">
        <v>65</v>
      </c>
      <c r="E553" s="43">
        <v>149</v>
      </c>
      <c r="F553" s="43" t="s">
        <v>65</v>
      </c>
      <c r="H553" s="43">
        <v>149</v>
      </c>
      <c r="I553" s="43" t="s">
        <v>104</v>
      </c>
      <c r="K553" s="43">
        <v>149</v>
      </c>
      <c r="L553" s="43" t="s">
        <v>65</v>
      </c>
      <c r="N553" s="43">
        <v>149</v>
      </c>
      <c r="O553" s="43" t="s">
        <v>65</v>
      </c>
      <c r="Q553" s="43">
        <v>149</v>
      </c>
      <c r="R553" s="43" t="s">
        <v>123</v>
      </c>
    </row>
    <row r="554" spans="2:18" ht="15" customHeight="1" x14ac:dyDescent="0.2">
      <c r="B554" s="43">
        <v>152</v>
      </c>
      <c r="C554" s="43" t="s">
        <v>65</v>
      </c>
      <c r="E554" s="43">
        <v>152</v>
      </c>
      <c r="F554" s="43" t="s">
        <v>65</v>
      </c>
      <c r="H554" s="43">
        <v>152</v>
      </c>
      <c r="I554" s="43" t="s">
        <v>104</v>
      </c>
      <c r="K554" s="43">
        <v>152</v>
      </c>
      <c r="L554" s="43" t="s">
        <v>65</v>
      </c>
      <c r="N554" s="43">
        <v>152</v>
      </c>
      <c r="O554" s="43" t="s">
        <v>65</v>
      </c>
      <c r="Q554" s="43">
        <v>152</v>
      </c>
      <c r="R554" s="43" t="s">
        <v>123</v>
      </c>
    </row>
    <row r="555" spans="2:18" ht="15" customHeight="1" x14ac:dyDescent="0.2">
      <c r="B555" s="43">
        <v>155</v>
      </c>
      <c r="C555" s="43" t="s">
        <v>65</v>
      </c>
      <c r="E555" s="43">
        <v>155</v>
      </c>
      <c r="F555" s="43" t="s">
        <v>65</v>
      </c>
      <c r="H555" s="43">
        <v>155</v>
      </c>
      <c r="I555" s="43" t="s">
        <v>104</v>
      </c>
      <c r="K555" s="43">
        <v>155</v>
      </c>
      <c r="L555" s="43" t="s">
        <v>65</v>
      </c>
      <c r="N555" s="43">
        <v>155</v>
      </c>
      <c r="O555" s="43" t="s">
        <v>65</v>
      </c>
      <c r="Q555" s="43">
        <v>155</v>
      </c>
      <c r="R555" s="43" t="s">
        <v>123</v>
      </c>
    </row>
    <row r="556" spans="2:18" ht="15" customHeight="1" x14ac:dyDescent="0.2">
      <c r="B556" s="43">
        <v>158</v>
      </c>
      <c r="C556" s="43" t="s">
        <v>65</v>
      </c>
      <c r="E556" s="43">
        <v>158</v>
      </c>
      <c r="F556" s="43" t="s">
        <v>65</v>
      </c>
      <c r="H556" s="43">
        <v>158</v>
      </c>
      <c r="I556" s="43" t="s">
        <v>104</v>
      </c>
      <c r="K556" s="43">
        <v>158</v>
      </c>
      <c r="L556" s="43" t="s">
        <v>65</v>
      </c>
      <c r="N556" s="43">
        <v>158</v>
      </c>
      <c r="O556" s="43" t="s">
        <v>65</v>
      </c>
      <c r="Q556" s="43">
        <v>158</v>
      </c>
      <c r="R556" s="43" t="s">
        <v>123</v>
      </c>
    </row>
    <row r="557" spans="2:18" ht="15" customHeight="1" x14ac:dyDescent="0.2">
      <c r="B557" s="43">
        <v>161</v>
      </c>
      <c r="C557" s="43" t="s">
        <v>65</v>
      </c>
      <c r="E557" s="43">
        <v>161</v>
      </c>
      <c r="F557" s="43" t="s">
        <v>65</v>
      </c>
      <c r="H557" s="43">
        <v>161</v>
      </c>
      <c r="I557" s="43" t="s">
        <v>104</v>
      </c>
      <c r="K557" s="43">
        <v>161</v>
      </c>
      <c r="L557" s="43" t="s">
        <v>65</v>
      </c>
      <c r="N557" s="43">
        <v>161</v>
      </c>
      <c r="O557" s="43" t="s">
        <v>65</v>
      </c>
      <c r="Q557" s="43">
        <v>161</v>
      </c>
      <c r="R557" s="43" t="s">
        <v>123</v>
      </c>
    </row>
    <row r="558" spans="2:18" ht="15" customHeight="1" x14ac:dyDescent="0.2">
      <c r="B558" s="43">
        <v>164</v>
      </c>
      <c r="C558" s="43" t="s">
        <v>65</v>
      </c>
      <c r="E558" s="43">
        <v>164</v>
      </c>
      <c r="F558" s="43" t="s">
        <v>65</v>
      </c>
      <c r="H558" s="43">
        <v>164</v>
      </c>
      <c r="I558" s="43" t="s">
        <v>104</v>
      </c>
      <c r="K558" s="43">
        <v>164</v>
      </c>
      <c r="L558" s="43" t="s">
        <v>65</v>
      </c>
      <c r="N558" s="43">
        <v>164</v>
      </c>
      <c r="O558" s="43" t="s">
        <v>65</v>
      </c>
      <c r="Q558" s="43">
        <v>164</v>
      </c>
      <c r="R558" s="43" t="s">
        <v>123</v>
      </c>
    </row>
    <row r="559" spans="2:18" ht="15" customHeight="1" x14ac:dyDescent="0.2">
      <c r="B559" s="43">
        <v>172</v>
      </c>
      <c r="C559" s="43" t="s">
        <v>65</v>
      </c>
      <c r="E559" s="43">
        <v>172</v>
      </c>
      <c r="F559" s="43" t="s">
        <v>65</v>
      </c>
      <c r="H559" s="43">
        <v>172</v>
      </c>
      <c r="I559" s="43" t="s">
        <v>104</v>
      </c>
      <c r="K559" s="43">
        <v>172</v>
      </c>
      <c r="L559" s="43" t="s">
        <v>65</v>
      </c>
      <c r="N559" s="43">
        <v>172</v>
      </c>
      <c r="O559" s="43" t="s">
        <v>65</v>
      </c>
      <c r="Q559" s="43">
        <v>172</v>
      </c>
      <c r="R559" s="43" t="s">
        <v>123</v>
      </c>
    </row>
    <row r="560" spans="2:18" ht="15" customHeight="1" x14ac:dyDescent="0.2">
      <c r="B560" s="43">
        <v>173</v>
      </c>
      <c r="C560" s="43" t="s">
        <v>65</v>
      </c>
      <c r="E560" s="43">
        <v>173</v>
      </c>
      <c r="F560" s="43" t="s">
        <v>65</v>
      </c>
      <c r="H560" s="43">
        <v>173</v>
      </c>
      <c r="I560" s="43" t="s">
        <v>104</v>
      </c>
      <c r="K560" s="43">
        <v>173</v>
      </c>
      <c r="L560" s="43" t="s">
        <v>65</v>
      </c>
      <c r="N560" s="43">
        <v>173</v>
      </c>
      <c r="O560" s="43" t="s">
        <v>65</v>
      </c>
      <c r="Q560" s="43">
        <v>173</v>
      </c>
      <c r="R560" s="43" t="s">
        <v>123</v>
      </c>
    </row>
    <row r="561" spans="2:18" ht="15" customHeight="1" x14ac:dyDescent="0.2">
      <c r="B561" s="43">
        <v>174</v>
      </c>
      <c r="C561" s="43" t="s">
        <v>65</v>
      </c>
      <c r="E561" s="43">
        <v>174</v>
      </c>
      <c r="F561" s="43" t="s">
        <v>65</v>
      </c>
      <c r="H561" s="43">
        <v>174</v>
      </c>
      <c r="I561" s="43" t="s">
        <v>104</v>
      </c>
      <c r="K561" s="43">
        <v>174</v>
      </c>
      <c r="L561" s="43" t="s">
        <v>65</v>
      </c>
      <c r="N561" s="43">
        <v>174</v>
      </c>
      <c r="O561" s="43" t="s">
        <v>65</v>
      </c>
      <c r="Q561" s="43">
        <v>174</v>
      </c>
      <c r="R561" s="43" t="s">
        <v>123</v>
      </c>
    </row>
    <row r="562" spans="2:18" ht="15" customHeight="1" x14ac:dyDescent="0.2">
      <c r="B562" s="43">
        <v>175</v>
      </c>
      <c r="C562" s="43" t="s">
        <v>65</v>
      </c>
      <c r="E562" s="43">
        <v>175</v>
      </c>
      <c r="F562" s="43" t="s">
        <v>65</v>
      </c>
      <c r="H562" s="43">
        <v>175</v>
      </c>
      <c r="I562" s="43" t="s">
        <v>104</v>
      </c>
      <c r="K562" s="43">
        <v>175</v>
      </c>
      <c r="L562" s="43" t="s">
        <v>65</v>
      </c>
      <c r="N562" s="43">
        <v>175</v>
      </c>
      <c r="O562" s="43" t="s">
        <v>65</v>
      </c>
      <c r="Q562" s="43">
        <v>175</v>
      </c>
      <c r="R562" s="43" t="s">
        <v>123</v>
      </c>
    </row>
    <row r="563" spans="2:18" ht="15" customHeight="1" x14ac:dyDescent="0.2">
      <c r="B563" s="43">
        <v>176</v>
      </c>
      <c r="C563" s="43" t="s">
        <v>65</v>
      </c>
      <c r="E563" s="43">
        <v>176</v>
      </c>
      <c r="F563" s="43" t="s">
        <v>65</v>
      </c>
      <c r="H563" s="43">
        <v>176</v>
      </c>
      <c r="I563" s="43" t="s">
        <v>104</v>
      </c>
      <c r="K563" s="43">
        <v>176</v>
      </c>
      <c r="L563" s="43" t="s">
        <v>65</v>
      </c>
      <c r="N563" s="43">
        <v>176</v>
      </c>
      <c r="O563" s="43" t="s">
        <v>65</v>
      </c>
      <c r="Q563" s="43">
        <v>176</v>
      </c>
      <c r="R563" s="43" t="s">
        <v>123</v>
      </c>
    </row>
    <row r="564" spans="2:18" ht="15" customHeight="1" x14ac:dyDescent="0.2">
      <c r="B564" s="43">
        <v>150</v>
      </c>
      <c r="C564" s="43" t="s">
        <v>65</v>
      </c>
      <c r="E564" s="43">
        <v>150</v>
      </c>
      <c r="F564" s="43" t="s">
        <v>65</v>
      </c>
      <c r="H564" s="43">
        <v>150</v>
      </c>
      <c r="I564" s="43" t="s">
        <v>104</v>
      </c>
      <c r="K564" s="43">
        <v>150</v>
      </c>
      <c r="L564" s="43" t="s">
        <v>65</v>
      </c>
      <c r="N564" s="43">
        <v>150</v>
      </c>
      <c r="O564" s="43" t="s">
        <v>65</v>
      </c>
      <c r="Q564" s="43">
        <v>150</v>
      </c>
      <c r="R564" s="43" t="s">
        <v>123</v>
      </c>
    </row>
    <row r="565" spans="2:18" ht="15" customHeight="1" x14ac:dyDescent="0.2">
      <c r="B565" s="43">
        <v>153</v>
      </c>
      <c r="C565" s="43" t="s">
        <v>65</v>
      </c>
      <c r="E565" s="43">
        <v>153</v>
      </c>
      <c r="F565" s="43" t="s">
        <v>65</v>
      </c>
      <c r="H565" s="43">
        <v>153</v>
      </c>
      <c r="I565" s="43" t="s">
        <v>104</v>
      </c>
      <c r="K565" s="43">
        <v>153</v>
      </c>
      <c r="L565" s="43" t="s">
        <v>65</v>
      </c>
      <c r="N565" s="43">
        <v>153</v>
      </c>
      <c r="O565" s="43" t="s">
        <v>65</v>
      </c>
      <c r="Q565" s="43">
        <v>153</v>
      </c>
      <c r="R565" s="43" t="s">
        <v>123</v>
      </c>
    </row>
    <row r="566" spans="2:18" ht="15" customHeight="1" x14ac:dyDescent="0.2">
      <c r="B566" s="43">
        <v>156</v>
      </c>
      <c r="C566" s="43" t="s">
        <v>65</v>
      </c>
      <c r="E566" s="43">
        <v>156</v>
      </c>
      <c r="F566" s="43" t="s">
        <v>65</v>
      </c>
      <c r="H566" s="43">
        <v>156</v>
      </c>
      <c r="I566" s="43" t="s">
        <v>104</v>
      </c>
      <c r="K566" s="43">
        <v>156</v>
      </c>
      <c r="L566" s="43" t="s">
        <v>65</v>
      </c>
      <c r="N566" s="43">
        <v>156</v>
      </c>
      <c r="O566" s="43" t="s">
        <v>65</v>
      </c>
      <c r="Q566" s="43">
        <v>156</v>
      </c>
      <c r="R566" s="43" t="s">
        <v>123</v>
      </c>
    </row>
    <row r="567" spans="2:18" ht="15" customHeight="1" x14ac:dyDescent="0.2">
      <c r="B567" s="43">
        <v>159</v>
      </c>
      <c r="C567" s="43" t="s">
        <v>65</v>
      </c>
      <c r="E567" s="43">
        <v>159</v>
      </c>
      <c r="F567" s="43" t="s">
        <v>65</v>
      </c>
      <c r="H567" s="43">
        <v>159</v>
      </c>
      <c r="I567" s="43" t="s">
        <v>104</v>
      </c>
      <c r="K567" s="43">
        <v>159</v>
      </c>
      <c r="L567" s="43" t="s">
        <v>65</v>
      </c>
      <c r="N567" s="43">
        <v>159</v>
      </c>
      <c r="O567" s="43" t="s">
        <v>65</v>
      </c>
      <c r="Q567" s="43">
        <v>159</v>
      </c>
      <c r="R567" s="43" t="s">
        <v>123</v>
      </c>
    </row>
    <row r="568" spans="2:18" ht="15" customHeight="1" x14ac:dyDescent="0.2">
      <c r="B568" s="43">
        <v>162</v>
      </c>
      <c r="C568" s="43" t="s">
        <v>65</v>
      </c>
      <c r="E568" s="43">
        <v>162</v>
      </c>
      <c r="F568" s="43" t="s">
        <v>65</v>
      </c>
      <c r="H568" s="43">
        <v>162</v>
      </c>
      <c r="I568" s="43" t="s">
        <v>104</v>
      </c>
      <c r="K568" s="43">
        <v>162</v>
      </c>
      <c r="L568" s="43" t="s">
        <v>65</v>
      </c>
      <c r="N568" s="43">
        <v>162</v>
      </c>
      <c r="O568" s="43" t="s">
        <v>65</v>
      </c>
      <c r="Q568" s="43">
        <v>162</v>
      </c>
      <c r="R568" s="43" t="s">
        <v>123</v>
      </c>
    </row>
    <row r="569" spans="2:18" ht="15" customHeight="1" x14ac:dyDescent="0.2">
      <c r="B569" s="43">
        <v>165</v>
      </c>
      <c r="C569" s="43" t="s">
        <v>65</v>
      </c>
      <c r="E569" s="43">
        <v>165</v>
      </c>
      <c r="F569" s="43" t="s">
        <v>65</v>
      </c>
      <c r="H569" s="43">
        <v>165</v>
      </c>
      <c r="I569" s="43" t="s">
        <v>104</v>
      </c>
      <c r="K569" s="43">
        <v>165</v>
      </c>
      <c r="L569" s="43" t="s">
        <v>65</v>
      </c>
      <c r="N569" s="43">
        <v>165</v>
      </c>
      <c r="O569" s="43" t="s">
        <v>65</v>
      </c>
      <c r="Q569" s="43">
        <v>165</v>
      </c>
      <c r="R569" s="43" t="s">
        <v>123</v>
      </c>
    </row>
    <row r="570" spans="2:18" ht="15" customHeight="1" x14ac:dyDescent="0.2">
      <c r="B570" s="43">
        <v>177</v>
      </c>
      <c r="C570" s="43" t="s">
        <v>65</v>
      </c>
      <c r="E570" s="43">
        <v>177</v>
      </c>
      <c r="F570" s="43" t="s">
        <v>65</v>
      </c>
      <c r="H570" s="43">
        <v>177</v>
      </c>
      <c r="I570" s="43" t="s">
        <v>104</v>
      </c>
      <c r="K570" s="43">
        <v>177</v>
      </c>
      <c r="L570" s="43" t="s">
        <v>65</v>
      </c>
      <c r="N570" s="43">
        <v>177</v>
      </c>
      <c r="O570" s="43" t="s">
        <v>65</v>
      </c>
      <c r="Q570" s="43">
        <v>177</v>
      </c>
      <c r="R570" s="43" t="s">
        <v>123</v>
      </c>
    </row>
    <row r="571" spans="2:18" ht="15" customHeight="1" x14ac:dyDescent="0.2">
      <c r="B571" s="43">
        <v>178</v>
      </c>
      <c r="C571" s="43" t="s">
        <v>65</v>
      </c>
      <c r="E571" s="43">
        <v>178</v>
      </c>
      <c r="F571" s="43" t="s">
        <v>65</v>
      </c>
      <c r="H571" s="43">
        <v>178</v>
      </c>
      <c r="I571" s="43" t="s">
        <v>104</v>
      </c>
      <c r="K571" s="43">
        <v>178</v>
      </c>
      <c r="L571" s="43" t="s">
        <v>65</v>
      </c>
      <c r="N571" s="43">
        <v>178</v>
      </c>
      <c r="O571" s="43" t="s">
        <v>65</v>
      </c>
      <c r="Q571" s="43">
        <v>178</v>
      </c>
      <c r="R571" s="43" t="s">
        <v>123</v>
      </c>
    </row>
    <row r="572" spans="2:18" ht="15" customHeight="1" x14ac:dyDescent="0.2">
      <c r="B572" s="43">
        <v>179</v>
      </c>
      <c r="C572" s="43" t="s">
        <v>65</v>
      </c>
      <c r="E572" s="43">
        <v>179</v>
      </c>
      <c r="F572" s="43" t="s">
        <v>65</v>
      </c>
      <c r="H572" s="43">
        <v>179</v>
      </c>
      <c r="I572" s="43" t="s">
        <v>104</v>
      </c>
      <c r="K572" s="43">
        <v>179</v>
      </c>
      <c r="L572" s="43" t="s">
        <v>65</v>
      </c>
      <c r="N572" s="43">
        <v>179</v>
      </c>
      <c r="O572" s="43" t="s">
        <v>65</v>
      </c>
      <c r="Q572" s="43">
        <v>179</v>
      </c>
      <c r="R572" s="43" t="s">
        <v>123</v>
      </c>
    </row>
    <row r="573" spans="2:18" ht="15" customHeight="1" x14ac:dyDescent="0.2">
      <c r="B573" s="43">
        <v>180</v>
      </c>
      <c r="C573" s="43" t="s">
        <v>65</v>
      </c>
      <c r="E573" s="43">
        <v>180</v>
      </c>
      <c r="F573" s="43" t="s">
        <v>65</v>
      </c>
      <c r="H573" s="43">
        <v>180</v>
      </c>
      <c r="I573" s="43" t="s">
        <v>104</v>
      </c>
      <c r="K573" s="43">
        <v>180</v>
      </c>
      <c r="L573" s="43" t="s">
        <v>65</v>
      </c>
      <c r="N573" s="43">
        <v>180</v>
      </c>
      <c r="O573" s="43" t="s">
        <v>65</v>
      </c>
      <c r="Q573" s="43">
        <v>180</v>
      </c>
      <c r="R573" s="43" t="s">
        <v>123</v>
      </c>
    </row>
    <row r="574" spans="2:18" ht="15" customHeight="1" x14ac:dyDescent="0.2">
      <c r="B574" s="43">
        <v>181</v>
      </c>
      <c r="C574" s="43" t="s">
        <v>65</v>
      </c>
      <c r="E574" s="43">
        <v>181</v>
      </c>
      <c r="F574" s="43" t="s">
        <v>65</v>
      </c>
      <c r="H574" s="43">
        <v>181</v>
      </c>
      <c r="I574" s="43" t="s">
        <v>104</v>
      </c>
      <c r="K574" s="43">
        <v>181</v>
      </c>
      <c r="L574" s="43" t="s">
        <v>65</v>
      </c>
      <c r="N574" s="43">
        <v>181</v>
      </c>
      <c r="O574" s="43" t="s">
        <v>65</v>
      </c>
      <c r="Q574" s="43">
        <v>181</v>
      </c>
      <c r="R574" s="43" t="s">
        <v>123</v>
      </c>
    </row>
    <row r="575" spans="2:18" ht="15" customHeight="1" x14ac:dyDescent="0.2">
      <c r="B575" s="43">
        <v>151</v>
      </c>
      <c r="C575" s="43" t="s">
        <v>65</v>
      </c>
      <c r="E575" s="43">
        <v>151</v>
      </c>
      <c r="F575" s="43" t="s">
        <v>65</v>
      </c>
      <c r="H575" s="43">
        <v>151</v>
      </c>
      <c r="I575" s="43" t="s">
        <v>104</v>
      </c>
      <c r="K575" s="43">
        <v>151</v>
      </c>
      <c r="L575" s="43" t="s">
        <v>65</v>
      </c>
      <c r="N575" s="43">
        <v>151</v>
      </c>
      <c r="O575" s="43" t="s">
        <v>65</v>
      </c>
      <c r="Q575" s="43">
        <v>151</v>
      </c>
      <c r="R575" s="43" t="s">
        <v>123</v>
      </c>
    </row>
    <row r="576" spans="2:18" ht="15" customHeight="1" x14ac:dyDescent="0.2">
      <c r="B576" s="43">
        <v>154</v>
      </c>
      <c r="C576" s="43" t="s">
        <v>65</v>
      </c>
      <c r="E576" s="43">
        <v>154</v>
      </c>
      <c r="F576" s="43" t="s">
        <v>65</v>
      </c>
      <c r="H576" s="43">
        <v>154</v>
      </c>
      <c r="I576" s="43" t="s">
        <v>104</v>
      </c>
      <c r="K576" s="43">
        <v>154</v>
      </c>
      <c r="L576" s="43" t="s">
        <v>65</v>
      </c>
      <c r="N576" s="43">
        <v>154</v>
      </c>
      <c r="O576" s="43" t="s">
        <v>65</v>
      </c>
      <c r="Q576" s="43">
        <v>154</v>
      </c>
      <c r="R576" s="43" t="s">
        <v>123</v>
      </c>
    </row>
    <row r="577" spans="2:18" ht="15" customHeight="1" x14ac:dyDescent="0.2">
      <c r="B577" s="43">
        <v>157</v>
      </c>
      <c r="C577" s="43" t="s">
        <v>65</v>
      </c>
      <c r="E577" s="43">
        <v>157</v>
      </c>
      <c r="F577" s="43" t="s">
        <v>65</v>
      </c>
      <c r="H577" s="43">
        <v>157</v>
      </c>
      <c r="I577" s="43" t="s">
        <v>104</v>
      </c>
      <c r="K577" s="43">
        <v>157</v>
      </c>
      <c r="L577" s="43" t="s">
        <v>65</v>
      </c>
      <c r="N577" s="43">
        <v>157</v>
      </c>
      <c r="O577" s="43" t="s">
        <v>65</v>
      </c>
      <c r="Q577" s="43">
        <v>157</v>
      </c>
      <c r="R577" s="43" t="s">
        <v>123</v>
      </c>
    </row>
    <row r="578" spans="2:18" ht="15" customHeight="1" x14ac:dyDescent="0.2">
      <c r="B578" s="43">
        <v>160</v>
      </c>
      <c r="C578" s="43" t="s">
        <v>65</v>
      </c>
      <c r="E578" s="43">
        <v>160</v>
      </c>
      <c r="F578" s="43" t="s">
        <v>65</v>
      </c>
      <c r="H578" s="43">
        <v>160</v>
      </c>
      <c r="I578" s="43" t="s">
        <v>104</v>
      </c>
      <c r="K578" s="43">
        <v>160</v>
      </c>
      <c r="L578" s="43" t="s">
        <v>65</v>
      </c>
      <c r="N578" s="43">
        <v>160</v>
      </c>
      <c r="O578" s="43" t="s">
        <v>65</v>
      </c>
      <c r="Q578" s="43">
        <v>160</v>
      </c>
      <c r="R578" s="43" t="s">
        <v>123</v>
      </c>
    </row>
    <row r="579" spans="2:18" ht="15" customHeight="1" x14ac:dyDescent="0.2">
      <c r="B579" s="43">
        <v>163</v>
      </c>
      <c r="C579" s="43" t="s">
        <v>65</v>
      </c>
      <c r="E579" s="43">
        <v>163</v>
      </c>
      <c r="F579" s="43" t="s">
        <v>65</v>
      </c>
      <c r="H579" s="43">
        <v>163</v>
      </c>
      <c r="I579" s="43" t="s">
        <v>104</v>
      </c>
      <c r="K579" s="43">
        <v>163</v>
      </c>
      <c r="L579" s="43" t="s">
        <v>65</v>
      </c>
      <c r="N579" s="43">
        <v>163</v>
      </c>
      <c r="O579" s="43" t="s">
        <v>65</v>
      </c>
      <c r="Q579" s="43">
        <v>163</v>
      </c>
      <c r="R579" s="43" t="s">
        <v>123</v>
      </c>
    </row>
    <row r="580" spans="2:18" ht="15" customHeight="1" x14ac:dyDescent="0.2">
      <c r="B580" s="43">
        <v>166</v>
      </c>
      <c r="C580" s="43" t="s">
        <v>65</v>
      </c>
      <c r="E580" s="43">
        <v>166</v>
      </c>
      <c r="F580" s="43" t="s">
        <v>65</v>
      </c>
      <c r="H580" s="43">
        <v>166</v>
      </c>
      <c r="I580" s="43" t="s">
        <v>104</v>
      </c>
      <c r="K580" s="43">
        <v>166</v>
      </c>
      <c r="L580" s="43" t="s">
        <v>65</v>
      </c>
      <c r="N580" s="43">
        <v>166</v>
      </c>
      <c r="O580" s="43" t="s">
        <v>65</v>
      </c>
      <c r="Q580" s="43">
        <v>166</v>
      </c>
      <c r="R580" s="43" t="s">
        <v>123</v>
      </c>
    </row>
    <row r="581" spans="2:18" ht="15" customHeight="1" x14ac:dyDescent="0.2">
      <c r="B581" s="43">
        <v>182</v>
      </c>
      <c r="C581" s="43" t="s">
        <v>65</v>
      </c>
      <c r="E581" s="43">
        <v>182</v>
      </c>
      <c r="F581" s="43" t="s">
        <v>65</v>
      </c>
      <c r="H581" s="43">
        <v>182</v>
      </c>
      <c r="I581" s="43" t="s">
        <v>104</v>
      </c>
      <c r="K581" s="43">
        <v>182</v>
      </c>
      <c r="L581" s="43" t="s">
        <v>65</v>
      </c>
      <c r="N581" s="43">
        <v>182</v>
      </c>
      <c r="O581" s="43" t="s">
        <v>65</v>
      </c>
      <c r="Q581" s="43">
        <v>182</v>
      </c>
      <c r="R581" s="43" t="s">
        <v>123</v>
      </c>
    </row>
    <row r="582" spans="2:18" ht="15" customHeight="1" x14ac:dyDescent="0.2">
      <c r="B582" s="43">
        <v>183</v>
      </c>
      <c r="C582" s="43" t="s">
        <v>65</v>
      </c>
      <c r="E582" s="43">
        <v>183</v>
      </c>
      <c r="F582" s="43" t="s">
        <v>65</v>
      </c>
      <c r="H582" s="43">
        <v>183</v>
      </c>
      <c r="I582" s="43" t="s">
        <v>104</v>
      </c>
      <c r="K582" s="43">
        <v>183</v>
      </c>
      <c r="L582" s="43" t="s">
        <v>65</v>
      </c>
      <c r="N582" s="43">
        <v>183</v>
      </c>
      <c r="O582" s="43" t="s">
        <v>65</v>
      </c>
      <c r="Q582" s="43">
        <v>183</v>
      </c>
      <c r="R582" s="43" t="s">
        <v>123</v>
      </c>
    </row>
    <row r="583" spans="2:18" ht="15" customHeight="1" x14ac:dyDescent="0.2">
      <c r="B583" s="43">
        <v>184</v>
      </c>
      <c r="C583" s="43" t="s">
        <v>65</v>
      </c>
      <c r="E583" s="43">
        <v>184</v>
      </c>
      <c r="F583" s="43" t="s">
        <v>65</v>
      </c>
      <c r="H583" s="43">
        <v>184</v>
      </c>
      <c r="I583" s="43" t="s">
        <v>104</v>
      </c>
      <c r="K583" s="43">
        <v>184</v>
      </c>
      <c r="L583" s="43" t="s">
        <v>65</v>
      </c>
      <c r="N583" s="43">
        <v>184</v>
      </c>
      <c r="O583" s="43" t="s">
        <v>65</v>
      </c>
      <c r="Q583" s="43">
        <v>184</v>
      </c>
      <c r="R583" s="43" t="s">
        <v>123</v>
      </c>
    </row>
    <row r="584" spans="2:18" ht="15" customHeight="1" x14ac:dyDescent="0.2">
      <c r="B584" s="43">
        <v>185</v>
      </c>
      <c r="C584" s="43" t="s">
        <v>65</v>
      </c>
      <c r="E584" s="43">
        <v>185</v>
      </c>
      <c r="F584" s="43" t="s">
        <v>65</v>
      </c>
      <c r="H584" s="43">
        <v>185</v>
      </c>
      <c r="I584" s="43" t="s">
        <v>104</v>
      </c>
      <c r="K584" s="43">
        <v>185</v>
      </c>
      <c r="L584" s="43" t="s">
        <v>65</v>
      </c>
      <c r="N584" s="43">
        <v>185</v>
      </c>
      <c r="O584" s="43" t="s">
        <v>65</v>
      </c>
      <c r="Q584" s="43">
        <v>185</v>
      </c>
      <c r="R584" s="43" t="s">
        <v>123</v>
      </c>
    </row>
    <row r="585" spans="2:18" ht="15" customHeight="1" x14ac:dyDescent="0.2">
      <c r="B585" s="43">
        <v>186</v>
      </c>
      <c r="C585" s="43" t="s">
        <v>65</v>
      </c>
      <c r="E585" s="43">
        <v>186</v>
      </c>
      <c r="F585" s="43" t="s">
        <v>65</v>
      </c>
      <c r="H585" s="43">
        <v>186</v>
      </c>
      <c r="I585" s="43" t="s">
        <v>104</v>
      </c>
      <c r="K585" s="43">
        <v>186</v>
      </c>
      <c r="L585" s="43" t="s">
        <v>65</v>
      </c>
      <c r="N585" s="43">
        <v>186</v>
      </c>
      <c r="O585" s="43" t="s">
        <v>65</v>
      </c>
      <c r="Q585" s="43">
        <v>186</v>
      </c>
      <c r="R585" s="43" t="s">
        <v>123</v>
      </c>
    </row>
    <row r="586" spans="2:18" ht="15" customHeight="1" x14ac:dyDescent="0.2">
      <c r="B586" s="43">
        <v>43</v>
      </c>
      <c r="C586" s="43" t="s">
        <v>65</v>
      </c>
      <c r="E586" s="43">
        <v>43</v>
      </c>
      <c r="F586" s="43" t="s">
        <v>65</v>
      </c>
      <c r="H586" s="43">
        <v>43</v>
      </c>
      <c r="I586" s="43" t="s">
        <v>104</v>
      </c>
      <c r="K586" s="43">
        <v>43</v>
      </c>
      <c r="L586" s="43" t="s">
        <v>65</v>
      </c>
      <c r="N586" s="43">
        <v>43</v>
      </c>
      <c r="O586" s="43" t="s">
        <v>65</v>
      </c>
      <c r="Q586" s="43">
        <v>43</v>
      </c>
      <c r="R586" s="43" t="s">
        <v>123</v>
      </c>
    </row>
    <row r="587" spans="2:18" ht="15" customHeight="1" x14ac:dyDescent="0.2">
      <c r="B587" s="43">
        <v>44</v>
      </c>
      <c r="C587" s="43" t="s">
        <v>65</v>
      </c>
      <c r="E587" s="43">
        <v>44</v>
      </c>
      <c r="F587" s="43" t="s">
        <v>65</v>
      </c>
      <c r="H587" s="43">
        <v>44</v>
      </c>
      <c r="I587" s="43" t="s">
        <v>104</v>
      </c>
      <c r="K587" s="43">
        <v>44</v>
      </c>
      <c r="L587" s="43" t="s">
        <v>65</v>
      </c>
      <c r="N587" s="43">
        <v>44</v>
      </c>
      <c r="O587" s="43" t="s">
        <v>65</v>
      </c>
      <c r="Q587" s="43">
        <v>44</v>
      </c>
      <c r="R587" s="43" t="s">
        <v>123</v>
      </c>
    </row>
    <row r="588" spans="2:18" ht="15" customHeight="1" x14ac:dyDescent="0.2">
      <c r="B588" s="43">
        <v>45</v>
      </c>
      <c r="C588" s="43" t="s">
        <v>65</v>
      </c>
      <c r="E588" s="43">
        <v>45</v>
      </c>
      <c r="F588" s="43" t="s">
        <v>65</v>
      </c>
      <c r="H588" s="43">
        <v>45</v>
      </c>
      <c r="I588" s="43" t="s">
        <v>104</v>
      </c>
      <c r="K588" s="43">
        <v>45</v>
      </c>
      <c r="L588" s="43" t="s">
        <v>65</v>
      </c>
      <c r="N588" s="43">
        <v>45</v>
      </c>
      <c r="O588" s="43" t="s">
        <v>65</v>
      </c>
      <c r="Q588" s="43">
        <v>45</v>
      </c>
      <c r="R588" s="43" t="s">
        <v>123</v>
      </c>
    </row>
    <row r="589" spans="2:18" ht="15" customHeight="1" x14ac:dyDescent="0.2">
      <c r="B589" s="43">
        <v>46</v>
      </c>
      <c r="C589" s="43" t="s">
        <v>65</v>
      </c>
      <c r="E589" s="43">
        <v>46</v>
      </c>
      <c r="F589" s="43" t="s">
        <v>65</v>
      </c>
      <c r="H589" s="43">
        <v>46</v>
      </c>
      <c r="I589" s="43" t="s">
        <v>104</v>
      </c>
      <c r="K589" s="43">
        <v>46</v>
      </c>
      <c r="L589" s="43" t="s">
        <v>65</v>
      </c>
      <c r="N589" s="43">
        <v>46</v>
      </c>
      <c r="O589" s="43" t="s">
        <v>65</v>
      </c>
      <c r="Q589" s="43">
        <v>46</v>
      </c>
      <c r="R589" s="43" t="s">
        <v>123</v>
      </c>
    </row>
    <row r="590" spans="2:18" ht="15" customHeight="1" x14ac:dyDescent="0.2">
      <c r="B590" s="43">
        <v>47</v>
      </c>
      <c r="C590" s="43" t="s">
        <v>65</v>
      </c>
      <c r="E590" s="43">
        <v>47</v>
      </c>
      <c r="F590" s="43" t="s">
        <v>65</v>
      </c>
      <c r="H590" s="43">
        <v>47</v>
      </c>
      <c r="I590" s="43" t="s">
        <v>104</v>
      </c>
      <c r="K590" s="43">
        <v>47</v>
      </c>
      <c r="L590" s="43" t="s">
        <v>65</v>
      </c>
      <c r="N590" s="43">
        <v>47</v>
      </c>
      <c r="O590" s="43" t="s">
        <v>65</v>
      </c>
      <c r="Q590" s="43">
        <v>47</v>
      </c>
      <c r="R590" s="43" t="s">
        <v>123</v>
      </c>
    </row>
    <row r="591" spans="2:18" ht="15" customHeight="1" x14ac:dyDescent="0.2">
      <c r="B591" s="43">
        <v>25</v>
      </c>
      <c r="C591" s="43" t="s">
        <v>65</v>
      </c>
      <c r="E591" s="43">
        <v>25</v>
      </c>
      <c r="F591" s="43" t="s">
        <v>65</v>
      </c>
      <c r="H591" s="43">
        <v>25</v>
      </c>
      <c r="I591" s="43" t="s">
        <v>104</v>
      </c>
      <c r="K591" s="43">
        <v>25</v>
      </c>
      <c r="L591" s="43" t="s">
        <v>65</v>
      </c>
      <c r="N591" s="43">
        <v>25</v>
      </c>
      <c r="O591" s="43" t="s">
        <v>65</v>
      </c>
      <c r="Q591" s="43">
        <v>25</v>
      </c>
      <c r="R591" s="43" t="s">
        <v>123</v>
      </c>
    </row>
    <row r="592" spans="2:18" ht="15" customHeight="1" x14ac:dyDescent="0.2">
      <c r="B592" s="43">
        <v>28</v>
      </c>
      <c r="C592" s="43" t="s">
        <v>65</v>
      </c>
      <c r="E592" s="43">
        <v>28</v>
      </c>
      <c r="F592" s="43" t="s">
        <v>65</v>
      </c>
      <c r="H592" s="43">
        <v>28</v>
      </c>
      <c r="I592" s="43" t="s">
        <v>104</v>
      </c>
      <c r="K592" s="43">
        <v>28</v>
      </c>
      <c r="L592" s="43" t="s">
        <v>65</v>
      </c>
      <c r="N592" s="43">
        <v>28</v>
      </c>
      <c r="O592" s="43" t="s">
        <v>65</v>
      </c>
      <c r="Q592" s="43">
        <v>28</v>
      </c>
      <c r="R592" s="43" t="s">
        <v>123</v>
      </c>
    </row>
    <row r="593" spans="2:18" ht="15" customHeight="1" x14ac:dyDescent="0.2">
      <c r="B593" s="43">
        <v>31</v>
      </c>
      <c r="C593" s="43" t="s">
        <v>65</v>
      </c>
      <c r="E593" s="43">
        <v>31</v>
      </c>
      <c r="F593" s="43" t="s">
        <v>65</v>
      </c>
      <c r="H593" s="43">
        <v>31</v>
      </c>
      <c r="I593" s="43" t="s">
        <v>104</v>
      </c>
      <c r="K593" s="43">
        <v>31</v>
      </c>
      <c r="L593" s="43" t="s">
        <v>65</v>
      </c>
      <c r="N593" s="43">
        <v>31</v>
      </c>
      <c r="O593" s="43" t="s">
        <v>65</v>
      </c>
      <c r="Q593" s="43">
        <v>31</v>
      </c>
      <c r="R593" s="43" t="s">
        <v>123</v>
      </c>
    </row>
    <row r="594" spans="2:18" ht="15" customHeight="1" x14ac:dyDescent="0.2">
      <c r="B594" s="43">
        <v>34</v>
      </c>
      <c r="C594" s="43" t="s">
        <v>65</v>
      </c>
      <c r="E594" s="43">
        <v>34</v>
      </c>
      <c r="F594" s="43" t="s">
        <v>65</v>
      </c>
      <c r="H594" s="43">
        <v>34</v>
      </c>
      <c r="I594" s="43" t="s">
        <v>104</v>
      </c>
      <c r="K594" s="43">
        <v>34</v>
      </c>
      <c r="L594" s="43" t="s">
        <v>65</v>
      </c>
      <c r="N594" s="43">
        <v>34</v>
      </c>
      <c r="O594" s="43" t="s">
        <v>65</v>
      </c>
      <c r="Q594" s="43">
        <v>34</v>
      </c>
      <c r="R594" s="43" t="s">
        <v>123</v>
      </c>
    </row>
    <row r="595" spans="2:18" ht="15" customHeight="1" x14ac:dyDescent="0.2">
      <c r="B595" s="43">
        <v>37</v>
      </c>
      <c r="C595" s="43" t="s">
        <v>65</v>
      </c>
      <c r="E595" s="43">
        <v>37</v>
      </c>
      <c r="F595" s="43" t="s">
        <v>65</v>
      </c>
      <c r="H595" s="43">
        <v>37</v>
      </c>
      <c r="I595" s="43" t="s">
        <v>104</v>
      </c>
      <c r="K595" s="43">
        <v>37</v>
      </c>
      <c r="L595" s="43" t="s">
        <v>65</v>
      </c>
      <c r="N595" s="43">
        <v>37</v>
      </c>
      <c r="O595" s="43" t="s">
        <v>65</v>
      </c>
      <c r="Q595" s="43">
        <v>37</v>
      </c>
      <c r="R595" s="43" t="s">
        <v>123</v>
      </c>
    </row>
    <row r="596" spans="2:18" ht="15" customHeight="1" x14ac:dyDescent="0.2">
      <c r="B596" s="43">
        <v>40</v>
      </c>
      <c r="C596" s="43" t="s">
        <v>65</v>
      </c>
      <c r="E596" s="43">
        <v>40</v>
      </c>
      <c r="F596" s="43" t="s">
        <v>65</v>
      </c>
      <c r="H596" s="43">
        <v>40</v>
      </c>
      <c r="I596" s="43" t="s">
        <v>104</v>
      </c>
      <c r="K596" s="43">
        <v>40</v>
      </c>
      <c r="L596" s="43" t="s">
        <v>65</v>
      </c>
      <c r="N596" s="43">
        <v>40</v>
      </c>
      <c r="O596" s="43" t="s">
        <v>65</v>
      </c>
      <c r="Q596" s="43">
        <v>40</v>
      </c>
      <c r="R596" s="43" t="s">
        <v>123</v>
      </c>
    </row>
    <row r="597" spans="2:18" ht="15" customHeight="1" x14ac:dyDescent="0.2">
      <c r="B597" s="43">
        <v>48</v>
      </c>
      <c r="C597" s="43" t="s">
        <v>65</v>
      </c>
      <c r="E597" s="43">
        <v>48</v>
      </c>
      <c r="F597" s="43" t="s">
        <v>65</v>
      </c>
      <c r="H597" s="43">
        <v>48</v>
      </c>
      <c r="I597" s="43" t="s">
        <v>104</v>
      </c>
      <c r="K597" s="43">
        <v>48</v>
      </c>
      <c r="L597" s="43" t="s">
        <v>65</v>
      </c>
      <c r="N597" s="43">
        <v>48</v>
      </c>
      <c r="O597" s="43" t="s">
        <v>65</v>
      </c>
      <c r="Q597" s="43">
        <v>48</v>
      </c>
      <c r="R597" s="43" t="s">
        <v>123</v>
      </c>
    </row>
    <row r="598" spans="2:18" ht="15" customHeight="1" x14ac:dyDescent="0.2">
      <c r="B598" s="43">
        <v>49</v>
      </c>
      <c r="C598" s="43" t="s">
        <v>65</v>
      </c>
      <c r="E598" s="43">
        <v>49</v>
      </c>
      <c r="F598" s="43" t="s">
        <v>65</v>
      </c>
      <c r="H598" s="43">
        <v>49</v>
      </c>
      <c r="I598" s="43" t="s">
        <v>104</v>
      </c>
      <c r="K598" s="43">
        <v>49</v>
      </c>
      <c r="L598" s="43" t="s">
        <v>65</v>
      </c>
      <c r="N598" s="43">
        <v>49</v>
      </c>
      <c r="O598" s="43" t="s">
        <v>65</v>
      </c>
      <c r="Q598" s="43">
        <v>49</v>
      </c>
      <c r="R598" s="43" t="s">
        <v>123</v>
      </c>
    </row>
    <row r="599" spans="2:18" ht="15" customHeight="1" x14ac:dyDescent="0.2">
      <c r="B599" s="43">
        <v>50</v>
      </c>
      <c r="C599" s="43" t="s">
        <v>65</v>
      </c>
      <c r="E599" s="43">
        <v>50</v>
      </c>
      <c r="F599" s="43" t="s">
        <v>65</v>
      </c>
      <c r="H599" s="43">
        <v>50</v>
      </c>
      <c r="I599" s="43" t="s">
        <v>104</v>
      </c>
      <c r="K599" s="43">
        <v>50</v>
      </c>
      <c r="L599" s="43" t="s">
        <v>65</v>
      </c>
      <c r="N599" s="43">
        <v>50</v>
      </c>
      <c r="O599" s="43" t="s">
        <v>65</v>
      </c>
      <c r="Q599" s="43">
        <v>50</v>
      </c>
      <c r="R599" s="43" t="s">
        <v>123</v>
      </c>
    </row>
    <row r="600" spans="2:18" ht="15" customHeight="1" x14ac:dyDescent="0.2">
      <c r="B600" s="43">
        <v>51</v>
      </c>
      <c r="C600" s="43" t="s">
        <v>65</v>
      </c>
      <c r="E600" s="43">
        <v>51</v>
      </c>
      <c r="F600" s="43" t="s">
        <v>65</v>
      </c>
      <c r="H600" s="43">
        <v>51</v>
      </c>
      <c r="I600" s="43" t="s">
        <v>104</v>
      </c>
      <c r="K600" s="43">
        <v>51</v>
      </c>
      <c r="L600" s="43" t="s">
        <v>65</v>
      </c>
      <c r="N600" s="43">
        <v>51</v>
      </c>
      <c r="O600" s="43" t="s">
        <v>65</v>
      </c>
      <c r="Q600" s="43">
        <v>51</v>
      </c>
      <c r="R600" s="43" t="s">
        <v>123</v>
      </c>
    </row>
    <row r="601" spans="2:18" ht="15" customHeight="1" x14ac:dyDescent="0.2">
      <c r="B601" s="43">
        <v>52</v>
      </c>
      <c r="C601" s="43" t="s">
        <v>65</v>
      </c>
      <c r="E601" s="43">
        <v>52</v>
      </c>
      <c r="F601" s="43" t="s">
        <v>65</v>
      </c>
      <c r="H601" s="43">
        <v>52</v>
      </c>
      <c r="I601" s="43" t="s">
        <v>104</v>
      </c>
      <c r="K601" s="43">
        <v>52</v>
      </c>
      <c r="L601" s="43" t="s">
        <v>65</v>
      </c>
      <c r="N601" s="43">
        <v>52</v>
      </c>
      <c r="O601" s="43" t="s">
        <v>65</v>
      </c>
      <c r="Q601" s="43">
        <v>52</v>
      </c>
      <c r="R601" s="43" t="s">
        <v>123</v>
      </c>
    </row>
    <row r="602" spans="2:18" ht="15" customHeight="1" x14ac:dyDescent="0.2">
      <c r="B602" s="43">
        <v>26</v>
      </c>
      <c r="C602" s="43" t="s">
        <v>65</v>
      </c>
      <c r="E602" s="43">
        <v>26</v>
      </c>
      <c r="F602" s="43" t="s">
        <v>65</v>
      </c>
      <c r="H602" s="43">
        <v>26</v>
      </c>
      <c r="I602" s="43" t="s">
        <v>104</v>
      </c>
      <c r="K602" s="43">
        <v>26</v>
      </c>
      <c r="L602" s="43" t="s">
        <v>65</v>
      </c>
      <c r="N602" s="43">
        <v>26</v>
      </c>
      <c r="O602" s="43" t="s">
        <v>65</v>
      </c>
      <c r="Q602" s="43">
        <v>26</v>
      </c>
      <c r="R602" s="43" t="s">
        <v>123</v>
      </c>
    </row>
    <row r="603" spans="2:18" ht="15" customHeight="1" x14ac:dyDescent="0.2">
      <c r="B603" s="43">
        <v>29</v>
      </c>
      <c r="C603" s="43" t="s">
        <v>65</v>
      </c>
      <c r="E603" s="43">
        <v>29</v>
      </c>
      <c r="F603" s="43" t="s">
        <v>65</v>
      </c>
      <c r="H603" s="43">
        <v>29</v>
      </c>
      <c r="I603" s="43" t="s">
        <v>104</v>
      </c>
      <c r="K603" s="43">
        <v>29</v>
      </c>
      <c r="L603" s="43" t="s">
        <v>65</v>
      </c>
      <c r="N603" s="43">
        <v>29</v>
      </c>
      <c r="O603" s="43" t="s">
        <v>65</v>
      </c>
      <c r="Q603" s="43">
        <v>29</v>
      </c>
      <c r="R603" s="43" t="s">
        <v>123</v>
      </c>
    </row>
    <row r="604" spans="2:18" ht="15" customHeight="1" x14ac:dyDescent="0.2">
      <c r="B604" s="43">
        <v>32</v>
      </c>
      <c r="C604" s="43" t="s">
        <v>65</v>
      </c>
      <c r="E604" s="43">
        <v>32</v>
      </c>
      <c r="F604" s="43" t="s">
        <v>65</v>
      </c>
      <c r="H604" s="43">
        <v>32</v>
      </c>
      <c r="I604" s="43" t="s">
        <v>104</v>
      </c>
      <c r="K604" s="43">
        <v>32</v>
      </c>
      <c r="L604" s="43" t="s">
        <v>65</v>
      </c>
      <c r="N604" s="43">
        <v>32</v>
      </c>
      <c r="O604" s="43" t="s">
        <v>65</v>
      </c>
      <c r="Q604" s="43">
        <v>32</v>
      </c>
      <c r="R604" s="43" t="s">
        <v>123</v>
      </c>
    </row>
    <row r="605" spans="2:18" ht="15" customHeight="1" x14ac:dyDescent="0.2">
      <c r="B605" s="43">
        <v>35</v>
      </c>
      <c r="C605" s="43" t="s">
        <v>65</v>
      </c>
      <c r="E605" s="43">
        <v>35</v>
      </c>
      <c r="F605" s="43" t="s">
        <v>65</v>
      </c>
      <c r="H605" s="43">
        <v>35</v>
      </c>
      <c r="I605" s="43" t="s">
        <v>104</v>
      </c>
      <c r="K605" s="43">
        <v>35</v>
      </c>
      <c r="L605" s="43" t="s">
        <v>65</v>
      </c>
      <c r="N605" s="43">
        <v>35</v>
      </c>
      <c r="O605" s="43" t="s">
        <v>65</v>
      </c>
      <c r="Q605" s="43">
        <v>35</v>
      </c>
      <c r="R605" s="43" t="s">
        <v>123</v>
      </c>
    </row>
    <row r="606" spans="2:18" ht="15" customHeight="1" x14ac:dyDescent="0.2">
      <c r="B606" s="43">
        <v>38</v>
      </c>
      <c r="C606" s="43" t="s">
        <v>65</v>
      </c>
      <c r="E606" s="43">
        <v>38</v>
      </c>
      <c r="F606" s="43" t="s">
        <v>65</v>
      </c>
      <c r="H606" s="43">
        <v>38</v>
      </c>
      <c r="I606" s="43" t="s">
        <v>104</v>
      </c>
      <c r="K606" s="43">
        <v>38</v>
      </c>
      <c r="L606" s="43" t="s">
        <v>65</v>
      </c>
      <c r="N606" s="43">
        <v>38</v>
      </c>
      <c r="O606" s="43" t="s">
        <v>65</v>
      </c>
      <c r="Q606" s="43">
        <v>38</v>
      </c>
      <c r="R606" s="43" t="s">
        <v>123</v>
      </c>
    </row>
    <row r="607" spans="2:18" ht="15" customHeight="1" x14ac:dyDescent="0.2">
      <c r="B607" s="43">
        <v>41</v>
      </c>
      <c r="C607" s="43" t="s">
        <v>65</v>
      </c>
      <c r="E607" s="43">
        <v>41</v>
      </c>
      <c r="F607" s="43" t="s">
        <v>65</v>
      </c>
      <c r="H607" s="43">
        <v>41</v>
      </c>
      <c r="I607" s="43" t="s">
        <v>104</v>
      </c>
      <c r="K607" s="43">
        <v>41</v>
      </c>
      <c r="L607" s="43" t="s">
        <v>65</v>
      </c>
      <c r="N607" s="43">
        <v>41</v>
      </c>
      <c r="O607" s="43" t="s">
        <v>65</v>
      </c>
      <c r="Q607" s="43">
        <v>41</v>
      </c>
      <c r="R607" s="43" t="s">
        <v>123</v>
      </c>
    </row>
    <row r="608" spans="2:18" ht="15" customHeight="1" x14ac:dyDescent="0.2">
      <c r="B608" s="43">
        <v>53</v>
      </c>
      <c r="C608" s="43" t="s">
        <v>65</v>
      </c>
      <c r="E608" s="43">
        <v>53</v>
      </c>
      <c r="F608" s="43" t="s">
        <v>65</v>
      </c>
      <c r="H608" s="43">
        <v>53</v>
      </c>
      <c r="I608" s="43" t="s">
        <v>104</v>
      </c>
      <c r="K608" s="43">
        <v>53</v>
      </c>
      <c r="L608" s="43" t="s">
        <v>65</v>
      </c>
      <c r="N608" s="43">
        <v>53</v>
      </c>
      <c r="O608" s="43" t="s">
        <v>65</v>
      </c>
      <c r="Q608" s="43">
        <v>53</v>
      </c>
      <c r="R608" s="43" t="s">
        <v>123</v>
      </c>
    </row>
    <row r="609" spans="2:18" ht="15" customHeight="1" x14ac:dyDescent="0.2">
      <c r="B609" s="43">
        <v>54</v>
      </c>
      <c r="C609" s="43" t="s">
        <v>65</v>
      </c>
      <c r="E609" s="43">
        <v>54</v>
      </c>
      <c r="F609" s="43" t="s">
        <v>65</v>
      </c>
      <c r="H609" s="43">
        <v>54</v>
      </c>
      <c r="I609" s="43" t="s">
        <v>104</v>
      </c>
      <c r="K609" s="43">
        <v>54</v>
      </c>
      <c r="L609" s="43" t="s">
        <v>65</v>
      </c>
      <c r="N609" s="43">
        <v>54</v>
      </c>
      <c r="O609" s="43" t="s">
        <v>65</v>
      </c>
      <c r="Q609" s="43">
        <v>54</v>
      </c>
      <c r="R609" s="43" t="s">
        <v>123</v>
      </c>
    </row>
    <row r="610" spans="2:18" ht="15" customHeight="1" x14ac:dyDescent="0.2">
      <c r="B610" s="43">
        <v>55</v>
      </c>
      <c r="C610" s="43" t="s">
        <v>65</v>
      </c>
      <c r="E610" s="43">
        <v>55</v>
      </c>
      <c r="F610" s="43" t="s">
        <v>65</v>
      </c>
      <c r="H610" s="43">
        <v>55</v>
      </c>
      <c r="I610" s="43" t="s">
        <v>104</v>
      </c>
      <c r="K610" s="43">
        <v>55</v>
      </c>
      <c r="L610" s="43" t="s">
        <v>65</v>
      </c>
      <c r="N610" s="43">
        <v>55</v>
      </c>
      <c r="O610" s="43" t="s">
        <v>65</v>
      </c>
      <c r="Q610" s="43">
        <v>55</v>
      </c>
      <c r="R610" s="43" t="s">
        <v>123</v>
      </c>
    </row>
    <row r="611" spans="2:18" ht="15" customHeight="1" x14ac:dyDescent="0.2">
      <c r="B611" s="43">
        <v>56</v>
      </c>
      <c r="C611" s="43" t="s">
        <v>65</v>
      </c>
      <c r="E611" s="43">
        <v>56</v>
      </c>
      <c r="F611" s="43" t="s">
        <v>65</v>
      </c>
      <c r="H611" s="43">
        <v>56</v>
      </c>
      <c r="I611" s="43" t="s">
        <v>104</v>
      </c>
      <c r="K611" s="43">
        <v>56</v>
      </c>
      <c r="L611" s="43" t="s">
        <v>65</v>
      </c>
      <c r="N611" s="43">
        <v>56</v>
      </c>
      <c r="O611" s="43" t="s">
        <v>65</v>
      </c>
      <c r="Q611" s="43">
        <v>56</v>
      </c>
      <c r="R611" s="43" t="s">
        <v>123</v>
      </c>
    </row>
    <row r="612" spans="2:18" ht="15" customHeight="1" x14ac:dyDescent="0.2">
      <c r="B612" s="43">
        <v>57</v>
      </c>
      <c r="C612" s="43" t="s">
        <v>65</v>
      </c>
      <c r="E612" s="43">
        <v>57</v>
      </c>
      <c r="F612" s="43" t="s">
        <v>65</v>
      </c>
      <c r="H612" s="43">
        <v>57</v>
      </c>
      <c r="I612" s="43" t="s">
        <v>104</v>
      </c>
      <c r="K612" s="43">
        <v>57</v>
      </c>
      <c r="L612" s="43" t="s">
        <v>65</v>
      </c>
      <c r="N612" s="43">
        <v>57</v>
      </c>
      <c r="O612" s="43" t="s">
        <v>65</v>
      </c>
      <c r="Q612" s="43">
        <v>57</v>
      </c>
      <c r="R612" s="43" t="s">
        <v>123</v>
      </c>
    </row>
    <row r="613" spans="2:18" ht="15" customHeight="1" x14ac:dyDescent="0.2">
      <c r="B613" s="43">
        <v>27</v>
      </c>
      <c r="C613" s="43" t="s">
        <v>65</v>
      </c>
      <c r="E613" s="43">
        <v>27</v>
      </c>
      <c r="F613" s="43" t="s">
        <v>65</v>
      </c>
      <c r="H613" s="43">
        <v>27</v>
      </c>
      <c r="I613" s="43" t="s">
        <v>104</v>
      </c>
      <c r="K613" s="43">
        <v>27</v>
      </c>
      <c r="L613" s="43" t="s">
        <v>65</v>
      </c>
      <c r="N613" s="43">
        <v>27</v>
      </c>
      <c r="O613" s="43" t="s">
        <v>65</v>
      </c>
      <c r="Q613" s="43">
        <v>27</v>
      </c>
      <c r="R613" s="43" t="s">
        <v>123</v>
      </c>
    </row>
    <row r="614" spans="2:18" ht="15" customHeight="1" x14ac:dyDescent="0.2">
      <c r="B614" s="43">
        <v>30</v>
      </c>
      <c r="C614" s="43" t="s">
        <v>65</v>
      </c>
      <c r="E614" s="43">
        <v>30</v>
      </c>
      <c r="F614" s="43" t="s">
        <v>65</v>
      </c>
      <c r="H614" s="43">
        <v>30</v>
      </c>
      <c r="I614" s="43" t="s">
        <v>104</v>
      </c>
      <c r="K614" s="43">
        <v>30</v>
      </c>
      <c r="L614" s="43" t="s">
        <v>65</v>
      </c>
      <c r="N614" s="43">
        <v>30</v>
      </c>
      <c r="O614" s="43" t="s">
        <v>65</v>
      </c>
      <c r="Q614" s="43">
        <v>30</v>
      </c>
      <c r="R614" s="43" t="s">
        <v>123</v>
      </c>
    </row>
    <row r="615" spans="2:18" ht="15" customHeight="1" x14ac:dyDescent="0.2">
      <c r="B615" s="43">
        <v>33</v>
      </c>
      <c r="C615" s="43" t="s">
        <v>65</v>
      </c>
      <c r="E615" s="43">
        <v>33</v>
      </c>
      <c r="F615" s="43" t="s">
        <v>65</v>
      </c>
      <c r="H615" s="43">
        <v>33</v>
      </c>
      <c r="I615" s="43" t="s">
        <v>104</v>
      </c>
      <c r="K615" s="43">
        <v>33</v>
      </c>
      <c r="L615" s="43" t="s">
        <v>65</v>
      </c>
      <c r="N615" s="43">
        <v>33</v>
      </c>
      <c r="O615" s="43" t="s">
        <v>65</v>
      </c>
      <c r="Q615" s="43">
        <v>33</v>
      </c>
      <c r="R615" s="43" t="s">
        <v>123</v>
      </c>
    </row>
    <row r="616" spans="2:18" ht="15" customHeight="1" x14ac:dyDescent="0.2">
      <c r="B616" s="43">
        <v>36</v>
      </c>
      <c r="C616" s="43" t="s">
        <v>65</v>
      </c>
      <c r="E616" s="43">
        <v>36</v>
      </c>
      <c r="F616" s="43" t="s">
        <v>65</v>
      </c>
      <c r="H616" s="43">
        <v>36</v>
      </c>
      <c r="I616" s="43" t="s">
        <v>104</v>
      </c>
      <c r="K616" s="43">
        <v>36</v>
      </c>
      <c r="L616" s="43" t="s">
        <v>65</v>
      </c>
      <c r="N616" s="43">
        <v>36</v>
      </c>
      <c r="O616" s="43" t="s">
        <v>65</v>
      </c>
      <c r="Q616" s="43">
        <v>36</v>
      </c>
      <c r="R616" s="43" t="s">
        <v>123</v>
      </c>
    </row>
    <row r="617" spans="2:18" ht="15" customHeight="1" x14ac:dyDescent="0.2">
      <c r="B617" s="43">
        <v>39</v>
      </c>
      <c r="C617" s="43" t="s">
        <v>65</v>
      </c>
      <c r="E617" s="43">
        <v>39</v>
      </c>
      <c r="F617" s="43" t="s">
        <v>65</v>
      </c>
      <c r="H617" s="43">
        <v>39</v>
      </c>
      <c r="I617" s="43" t="s">
        <v>104</v>
      </c>
      <c r="K617" s="43">
        <v>39</v>
      </c>
      <c r="L617" s="43" t="s">
        <v>65</v>
      </c>
      <c r="N617" s="43">
        <v>39</v>
      </c>
      <c r="O617" s="43" t="s">
        <v>65</v>
      </c>
      <c r="Q617" s="43">
        <v>39</v>
      </c>
      <c r="R617" s="43" t="s">
        <v>123</v>
      </c>
    </row>
    <row r="618" spans="2:18" ht="15" customHeight="1" x14ac:dyDescent="0.2">
      <c r="B618" s="43">
        <v>42</v>
      </c>
      <c r="C618" s="43" t="s">
        <v>65</v>
      </c>
      <c r="E618" s="43">
        <v>42</v>
      </c>
      <c r="F618" s="43" t="s">
        <v>65</v>
      </c>
      <c r="H618" s="43">
        <v>42</v>
      </c>
      <c r="I618" s="43" t="s">
        <v>104</v>
      </c>
      <c r="K618" s="43">
        <v>42</v>
      </c>
      <c r="L618" s="43" t="s">
        <v>65</v>
      </c>
      <c r="N618" s="43">
        <v>42</v>
      </c>
      <c r="O618" s="43" t="s">
        <v>65</v>
      </c>
      <c r="Q618" s="43">
        <v>42</v>
      </c>
      <c r="R618" s="43" t="s">
        <v>123</v>
      </c>
    </row>
    <row r="619" spans="2:18" ht="15" customHeight="1" x14ac:dyDescent="0.2">
      <c r="B619" s="43">
        <v>58</v>
      </c>
      <c r="C619" s="43" t="s">
        <v>65</v>
      </c>
      <c r="E619" s="43">
        <v>58</v>
      </c>
      <c r="F619" s="43" t="s">
        <v>65</v>
      </c>
      <c r="H619" s="43">
        <v>58</v>
      </c>
      <c r="I619" s="43" t="s">
        <v>104</v>
      </c>
      <c r="K619" s="43">
        <v>58</v>
      </c>
      <c r="L619" s="43" t="s">
        <v>65</v>
      </c>
      <c r="N619" s="43">
        <v>58</v>
      </c>
      <c r="O619" s="43" t="s">
        <v>65</v>
      </c>
      <c r="Q619" s="43">
        <v>58</v>
      </c>
      <c r="R619" s="43" t="s">
        <v>123</v>
      </c>
    </row>
    <row r="620" spans="2:18" ht="15" customHeight="1" x14ac:dyDescent="0.2">
      <c r="B620" s="43">
        <v>59</v>
      </c>
      <c r="C620" s="43" t="s">
        <v>65</v>
      </c>
      <c r="E620" s="43">
        <v>59</v>
      </c>
      <c r="F620" s="43" t="s">
        <v>65</v>
      </c>
      <c r="H620" s="43">
        <v>59</v>
      </c>
      <c r="I620" s="43" t="s">
        <v>104</v>
      </c>
      <c r="K620" s="43">
        <v>59</v>
      </c>
      <c r="L620" s="43" t="s">
        <v>65</v>
      </c>
      <c r="N620" s="43">
        <v>59</v>
      </c>
      <c r="O620" s="43" t="s">
        <v>65</v>
      </c>
      <c r="Q620" s="43">
        <v>59</v>
      </c>
      <c r="R620" s="43" t="s">
        <v>123</v>
      </c>
    </row>
    <row r="621" spans="2:18" ht="15" customHeight="1" x14ac:dyDescent="0.2">
      <c r="B621" s="43">
        <v>60</v>
      </c>
      <c r="C621" s="43" t="s">
        <v>65</v>
      </c>
      <c r="E621" s="43">
        <v>60</v>
      </c>
      <c r="F621" s="43" t="s">
        <v>65</v>
      </c>
      <c r="H621" s="43">
        <v>60</v>
      </c>
      <c r="I621" s="43" t="s">
        <v>104</v>
      </c>
      <c r="K621" s="43">
        <v>60</v>
      </c>
      <c r="L621" s="43" t="s">
        <v>65</v>
      </c>
      <c r="N621" s="43">
        <v>60</v>
      </c>
      <c r="O621" s="43" t="s">
        <v>65</v>
      </c>
      <c r="Q621" s="43">
        <v>60</v>
      </c>
      <c r="R621" s="43" t="s">
        <v>123</v>
      </c>
    </row>
    <row r="622" spans="2:18" ht="15" customHeight="1" x14ac:dyDescent="0.2">
      <c r="B622" s="43">
        <v>61</v>
      </c>
      <c r="C622" s="43" t="s">
        <v>65</v>
      </c>
      <c r="E622" s="43">
        <v>61</v>
      </c>
      <c r="F622" s="43" t="s">
        <v>65</v>
      </c>
      <c r="H622" s="43">
        <v>61</v>
      </c>
      <c r="I622" s="43" t="s">
        <v>104</v>
      </c>
      <c r="K622" s="43">
        <v>61</v>
      </c>
      <c r="L622" s="43" t="s">
        <v>65</v>
      </c>
      <c r="N622" s="43">
        <v>61</v>
      </c>
      <c r="O622" s="43" t="s">
        <v>65</v>
      </c>
      <c r="Q622" s="43">
        <v>61</v>
      </c>
      <c r="R622" s="43" t="s">
        <v>123</v>
      </c>
    </row>
    <row r="623" spans="2:18" ht="15" customHeight="1" x14ac:dyDescent="0.2">
      <c r="B623" s="43">
        <v>62</v>
      </c>
      <c r="C623" s="43" t="s">
        <v>65</v>
      </c>
      <c r="E623" s="43">
        <v>62</v>
      </c>
      <c r="F623" s="43" t="s">
        <v>65</v>
      </c>
      <c r="H623" s="43">
        <v>62</v>
      </c>
      <c r="I623" s="43" t="s">
        <v>104</v>
      </c>
      <c r="K623" s="43">
        <v>62</v>
      </c>
      <c r="L623" s="43" t="s">
        <v>65</v>
      </c>
      <c r="N623" s="43">
        <v>62</v>
      </c>
      <c r="O623" s="43" t="s">
        <v>65</v>
      </c>
      <c r="Q623" s="43">
        <v>62</v>
      </c>
      <c r="R623" s="43" t="s">
        <v>123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8" t="s">
        <v>106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107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2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2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2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2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2">
      <c r="B7" s="27" t="s">
        <v>327</v>
      </c>
      <c r="C7" s="45">
        <v>1</v>
      </c>
      <c r="D7" s="45">
        <v>0</v>
      </c>
      <c r="E7" s="45">
        <v>0</v>
      </c>
      <c r="F7" s="45">
        <v>0</v>
      </c>
      <c r="G7" s="45">
        <v>1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N7" s="27" t="s">
        <v>327</v>
      </c>
      <c r="O7" s="45">
        <v>1</v>
      </c>
      <c r="P7" s="45">
        <v>0</v>
      </c>
      <c r="Q7" s="45">
        <v>0</v>
      </c>
      <c r="R7" s="45">
        <v>0</v>
      </c>
      <c r="S7" s="45">
        <v>1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278</v>
      </c>
      <c r="C8" s="45">
        <v>1</v>
      </c>
      <c r="D8" s="45">
        <v>0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278</v>
      </c>
      <c r="O8" s="45">
        <v>1</v>
      </c>
      <c r="P8" s="45">
        <v>0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229</v>
      </c>
      <c r="C9" s="45">
        <v>1</v>
      </c>
      <c r="D9" s="45">
        <v>0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229</v>
      </c>
      <c r="O9" s="45">
        <v>1</v>
      </c>
      <c r="P9" s="45">
        <v>0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180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180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131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131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2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2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2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2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911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911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2">
      <c r="U32" s="46"/>
    </row>
  </sheetData>
  <mergeCells count="30"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8" t="s">
        <v>120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121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2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2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2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2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2">
      <c r="B7" s="27" t="s">
        <v>327</v>
      </c>
      <c r="C7" s="45">
        <v>1</v>
      </c>
      <c r="D7" s="45">
        <v>0</v>
      </c>
      <c r="E7" s="45">
        <v>0</v>
      </c>
      <c r="F7" s="45">
        <v>0</v>
      </c>
      <c r="G7" s="45">
        <v>1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N7" s="27" t="s">
        <v>327</v>
      </c>
      <c r="O7" s="45">
        <v>1</v>
      </c>
      <c r="P7" s="45">
        <v>0</v>
      </c>
      <c r="Q7" s="45">
        <v>0</v>
      </c>
      <c r="R7" s="45">
        <v>0</v>
      </c>
      <c r="S7" s="45">
        <v>1</v>
      </c>
      <c r="T7" s="45">
        <v>0</v>
      </c>
      <c r="U7" s="45">
        <v>0</v>
      </c>
      <c r="V7" s="45">
        <v>0</v>
      </c>
      <c r="W7" s="45">
        <v>0</v>
      </c>
      <c r="X7" s="45">
        <v>0</v>
      </c>
    </row>
    <row r="8" spans="2:24" ht="15" customHeight="1" x14ac:dyDescent="0.2">
      <c r="B8" s="27" t="s">
        <v>278</v>
      </c>
      <c r="C8" s="45">
        <v>1</v>
      </c>
      <c r="D8" s="45">
        <v>0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278</v>
      </c>
      <c r="O8" s="45">
        <v>1</v>
      </c>
      <c r="P8" s="45">
        <v>0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229</v>
      </c>
      <c r="C9" s="45">
        <v>1</v>
      </c>
      <c r="D9" s="45">
        <v>0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229</v>
      </c>
      <c r="O9" s="45">
        <v>1</v>
      </c>
      <c r="P9" s="45">
        <v>0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180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180</v>
      </c>
      <c r="O10" s="45">
        <v>1</v>
      </c>
      <c r="P10" s="45">
        <v>0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131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131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2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2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2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2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911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911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4" t="s">
        <v>7</v>
      </c>
      <c r="C4" s="34" t="s">
        <v>8</v>
      </c>
      <c r="D4" s="34" t="s">
        <v>9</v>
      </c>
      <c r="E4" s="34" t="s">
        <v>947</v>
      </c>
      <c r="F4" s="34" t="s">
        <v>948</v>
      </c>
      <c r="G4" s="54" t="s">
        <v>11</v>
      </c>
      <c r="K4" s="34" t="s">
        <v>947</v>
      </c>
      <c r="L4" s="34" t="s">
        <v>948</v>
      </c>
      <c r="P4" s="54" t="s">
        <v>7</v>
      </c>
      <c r="Q4" s="34" t="s">
        <v>8</v>
      </c>
      <c r="R4" s="34" t="s">
        <v>9</v>
      </c>
      <c r="S4" s="34" t="s">
        <v>947</v>
      </c>
      <c r="T4" s="34" t="s">
        <v>948</v>
      </c>
      <c r="U4" s="54" t="s">
        <v>11</v>
      </c>
    </row>
    <row r="5" spans="2:21" ht="13.9" customHeight="1" x14ac:dyDescent="0.2">
      <c r="B5" s="54"/>
      <c r="C5" s="25" t="s">
        <v>6</v>
      </c>
      <c r="D5" s="25" t="s">
        <v>10</v>
      </c>
      <c r="E5" s="25" t="s">
        <v>6</v>
      </c>
      <c r="F5" s="25" t="s">
        <v>949</v>
      </c>
      <c r="G5" s="54"/>
      <c r="K5" s="25" t="s">
        <v>6</v>
      </c>
      <c r="L5" s="25" t="s">
        <v>949</v>
      </c>
      <c r="P5" s="54"/>
      <c r="Q5" s="25" t="s">
        <v>6</v>
      </c>
      <c r="R5" s="25" t="s">
        <v>10</v>
      </c>
      <c r="S5" s="25" t="s">
        <v>6</v>
      </c>
      <c r="T5" s="25" t="s">
        <v>949</v>
      </c>
      <c r="U5" s="54"/>
    </row>
    <row r="6" spans="2:21" ht="13.9" customHeight="1" x14ac:dyDescent="0.2">
      <c r="B6" s="27">
        <v>0</v>
      </c>
      <c r="C6" s="30">
        <v>-1.0962213640408966E-6</v>
      </c>
      <c r="D6" s="30">
        <v>-1.302396412938833E-12</v>
      </c>
      <c r="E6" s="30">
        <f>ABS(C6)/'İtme Analizi'!$C$17</f>
        <v>8.0845889803823004E-7</v>
      </c>
      <c r="F6" s="30">
        <f>ABS(D6)/'İtme Analizi'!$C$14</f>
        <v>7.3216463148574428E-16</v>
      </c>
      <c r="G6" s="30"/>
      <c r="K6" s="30">
        <v>0</v>
      </c>
      <c r="L6" s="30">
        <v>0</v>
      </c>
      <c r="P6" s="27">
        <v>0</v>
      </c>
      <c r="Q6" s="30">
        <v>-1.0962213640408966E-6</v>
      </c>
      <c r="R6" s="30">
        <v>-1.302396412938833E-12</v>
      </c>
      <c r="S6" s="30">
        <f>ABS(Q6)/'İtme Analizi'!$C$17</f>
        <v>8.0845889803823004E-7</v>
      </c>
      <c r="T6" s="30">
        <f>ABS(R6)/'İtme Analizi'!$C$14</f>
        <v>7.3216463148574428E-16</v>
      </c>
      <c r="U6" s="30"/>
    </row>
    <row r="7" spans="2:21" ht="13.9" customHeight="1" x14ac:dyDescent="0.2">
      <c r="B7" s="27">
        <v>1</v>
      </c>
      <c r="C7" s="30">
        <v>-6.8350025469737406E-4</v>
      </c>
      <c r="D7" s="30">
        <v>20.570659496767515</v>
      </c>
      <c r="E7" s="30">
        <f>ABS(C7)/'İtme Analizi'!$C$17</f>
        <v>5.0407872063773561E-4</v>
      </c>
      <c r="F7" s="30">
        <f>ABS(D7)/'İtme Analizi'!$C$14</f>
        <v>1.1564151421366714E-2</v>
      </c>
      <c r="G7" s="30">
        <f>G6+(E7-E6)*((F7+F6)/2)</f>
        <v>2.9099467563145441E-6</v>
      </c>
      <c r="K7" s="30">
        <f>'İtme Analizi'!$C$24</f>
        <v>3.0196215905458176E-2</v>
      </c>
      <c r="L7" s="30">
        <f>'İtme Analizi'!$C$21</f>
        <v>0.69774931395894624</v>
      </c>
      <c r="P7" s="27">
        <v>1</v>
      </c>
      <c r="Q7" s="30">
        <v>-8.1998102136404097E-4</v>
      </c>
      <c r="R7" s="30">
        <v>24.684790190140376</v>
      </c>
      <c r="S7" s="30">
        <f>ABS(Q7)/'İtme Analizi'!$C$17</f>
        <v>6.0473274348583428E-4</v>
      </c>
      <c r="T7" s="30">
        <f>ABS(R7)/'İtme Analizi'!$C$14</f>
        <v>1.3876981027677215E-2</v>
      </c>
      <c r="U7" s="30">
        <f>U6+(S7-S6)*((T7+T6)/2)</f>
        <v>4.1903229196894113E-6</v>
      </c>
    </row>
    <row r="8" spans="2:21" ht="13.9" customHeight="1" x14ac:dyDescent="0.2">
      <c r="B8" s="27">
        <v>2</v>
      </c>
      <c r="C8" s="30">
        <v>-1.3659042880307074E-3</v>
      </c>
      <c r="D8" s="30">
        <v>41.130869415348201</v>
      </c>
      <c r="E8" s="30">
        <f>ABS(C8)/'İtme Analizi'!$C$17</f>
        <v>1.007348982377433E-3</v>
      </c>
      <c r="F8" s="30">
        <f>ABS(D8)/'İtme Analizi'!$C$14</f>
        <v>2.3122428431927061E-2</v>
      </c>
      <c r="G8" s="30">
        <f>G7+(E8-E7)*((F8+F7)/2)</f>
        <v>1.1638308817125581E-5</v>
      </c>
      <c r="H8" s="47"/>
      <c r="I8" s="47"/>
      <c r="J8" s="47"/>
      <c r="K8" s="30">
        <f>'İtme Analizi'!$C$24</f>
        <v>3.0196215905458176E-2</v>
      </c>
      <c r="L8" s="30">
        <v>0</v>
      </c>
      <c r="P8" s="27">
        <v>2</v>
      </c>
      <c r="Q8" s="30">
        <v>-1.638865821364041E-3</v>
      </c>
      <c r="R8" s="30">
        <v>49.355633046287871</v>
      </c>
      <c r="S8" s="30">
        <f>ABS(Q8)/'İtme Analizi'!$C$17</f>
        <v>1.2086570280736304E-3</v>
      </c>
      <c r="T8" s="30">
        <f>ABS(R8)/'İtme Analizi'!$C$14</f>
        <v>2.7746121320727356E-2</v>
      </c>
      <c r="U8" s="30">
        <f>U7+(S8-S7)*((T8+T7)/2)</f>
        <v>1.6758924073731835E-5</v>
      </c>
    </row>
    <row r="9" spans="2:21" ht="13.9" customHeight="1" x14ac:dyDescent="0.2">
      <c r="B9" s="27">
        <v>3</v>
      </c>
      <c r="C9" s="30">
        <v>-2.0483083213640408E-3</v>
      </c>
      <c r="D9" s="30">
        <v>61.692175560254626</v>
      </c>
      <c r="E9" s="30">
        <f>ABS(C9)/'İtme Analizi'!$C$17</f>
        <v>1.5106192441171305E-3</v>
      </c>
      <c r="F9" s="30">
        <f>ABS(D9)/'İtme Analizi'!$C$14</f>
        <v>3.4681321705044517E-2</v>
      </c>
      <c r="G9" s="30">
        <f>G8+(E9-E8)*((F9+F8)/2)</f>
        <v>2.6183763047610462E-5</v>
      </c>
      <c r="H9" s="47"/>
      <c r="I9" s="47"/>
      <c r="J9" s="47"/>
      <c r="P9" s="27">
        <v>3</v>
      </c>
      <c r="Q9" s="30">
        <v>-2.4577506213640412E-3</v>
      </c>
      <c r="R9" s="30">
        <v>74.02910142633587</v>
      </c>
      <c r="S9" s="30">
        <f>ABS(Q9)/'İtme Analizi'!$C$17</f>
        <v>1.8125813126614264E-3</v>
      </c>
      <c r="T9" s="30">
        <f>ABS(R9)/'İtme Analizi'!$C$14</f>
        <v>4.1616737597372021E-2</v>
      </c>
      <c r="U9" s="30">
        <f t="shared" ref="U9:U72" si="0">U8+(S9-S8)*((T9+T8)/2)</f>
        <v>3.7703881548270533E-5</v>
      </c>
    </row>
    <row r="10" spans="2:21" ht="13.9" customHeight="1" x14ac:dyDescent="0.2">
      <c r="B10" s="27">
        <v>4</v>
      </c>
      <c r="C10" s="30">
        <v>-2.7307123546973741E-3</v>
      </c>
      <c r="D10" s="30">
        <v>82.252736934671688</v>
      </c>
      <c r="E10" s="30">
        <f>ABS(C10)/'İtme Analizi'!$C$17</f>
        <v>2.0138895058568278E-3</v>
      </c>
      <c r="F10" s="30">
        <f>ABS(D10)/'İtme Analizi'!$C$14</f>
        <v>4.623979629257173E-2</v>
      </c>
      <c r="G10" s="30">
        <f>G9+(E10-E9)*((F10+F9)/2)</f>
        <v>4.6546359165075093E-5</v>
      </c>
      <c r="H10" s="47"/>
      <c r="I10" s="47"/>
      <c r="J10" s="47"/>
      <c r="K10" s="82" t="s">
        <v>20</v>
      </c>
      <c r="L10" s="83"/>
      <c r="P10" s="27">
        <v>4</v>
      </c>
      <c r="Q10" s="30">
        <v>-3.2766354213640413E-3</v>
      </c>
      <c r="R10" s="30">
        <v>98.700622741130843</v>
      </c>
      <c r="S10" s="30">
        <f>ABS(Q10)/'İtme Analizi'!$C$17</f>
        <v>2.4165055972492225E-3</v>
      </c>
      <c r="T10" s="30">
        <f>ABS(R10)/'İtme Analizi'!$C$14</f>
        <v>5.5486259297665513E-2</v>
      </c>
      <c r="U10" s="30">
        <f t="shared" si="0"/>
        <v>6.7025310513853795E-5</v>
      </c>
    </row>
    <row r="11" spans="2:21" ht="13.9" customHeight="1" x14ac:dyDescent="0.2">
      <c r="B11" s="27">
        <v>5</v>
      </c>
      <c r="C11" s="30">
        <v>-3.4131163880307077E-3</v>
      </c>
      <c r="D11" s="30">
        <v>102.81274330442425</v>
      </c>
      <c r="E11" s="30">
        <f>ABS(C11)/'İtme Analizi'!$C$17</f>
        <v>2.5171597675965256E-3</v>
      </c>
      <c r="F11" s="30">
        <f>ABS(D11)/'İtme Analizi'!$C$14</f>
        <v>5.7797958874643743E-2</v>
      </c>
      <c r="G11" s="30">
        <f>G10+(E11-E10)*((F11+F10)/2)</f>
        <v>7.2725913301982658E-5</v>
      </c>
      <c r="H11" s="47"/>
      <c r="I11" s="47"/>
      <c r="J11" s="47"/>
      <c r="K11" s="84"/>
      <c r="L11" s="85"/>
      <c r="P11" s="27">
        <v>5</v>
      </c>
      <c r="Q11" s="30">
        <v>-4.0955202213640417E-3</v>
      </c>
      <c r="R11" s="30">
        <v>123.37218542788867</v>
      </c>
      <c r="S11" s="30">
        <f>ABS(Q11)/'İtme Analizi'!$C$17</f>
        <v>3.0204298818370186E-3</v>
      </c>
      <c r="T11" s="30">
        <f>ABS(R11)/'İtme Analizi'!$C$14</f>
        <v>6.9355804255922276E-2</v>
      </c>
      <c r="U11" s="30">
        <f t="shared" si="0"/>
        <v>1.0472288747288613E-4</v>
      </c>
    </row>
    <row r="12" spans="2:21" ht="13.9" customHeight="1" x14ac:dyDescent="0.2">
      <c r="B12" s="27">
        <v>6</v>
      </c>
      <c r="C12" s="30">
        <v>-4.0955204213640409E-3</v>
      </c>
      <c r="D12" s="30">
        <v>123.37190465925332</v>
      </c>
      <c r="E12" s="30">
        <f>ABS(C12)/'İtme Analizi'!$C$17</f>
        <v>3.0204300293362233E-3</v>
      </c>
      <c r="F12" s="30">
        <f>ABS(D12)/'İtme Analizi'!$C$14</f>
        <v>6.9355646416985994E-2</v>
      </c>
      <c r="G12" s="30">
        <f t="shared" ref="G12:G75" si="1">G11+(E12-E11)*((F12+F11)/2)</f>
        <v>1.0472222741011501E-4</v>
      </c>
      <c r="H12" s="47"/>
      <c r="I12" s="47"/>
      <c r="J12" s="47"/>
      <c r="K12" s="34" t="s">
        <v>947</v>
      </c>
      <c r="L12" s="34" t="s">
        <v>948</v>
      </c>
      <c r="P12" s="27">
        <v>6</v>
      </c>
      <c r="Q12" s="30">
        <v>-4.9144050213640418E-3</v>
      </c>
      <c r="R12" s="30">
        <v>148.03593559058277</v>
      </c>
      <c r="S12" s="30">
        <f>ABS(Q12)/'İtme Analizi'!$C$17</f>
        <v>3.6243541664248147E-3</v>
      </c>
      <c r="T12" s="30">
        <f>ABS(R12)/'İtme Analizi'!$C$14</f>
        <v>8.3220957268880916E-2</v>
      </c>
      <c r="U12" s="30">
        <f t="shared" si="0"/>
        <v>1.5079529324718091E-4</v>
      </c>
    </row>
    <row r="13" spans="2:21" ht="13.9" customHeight="1" x14ac:dyDescent="0.2">
      <c r="B13" s="27">
        <v>7</v>
      </c>
      <c r="C13" s="30">
        <v>-4.7779244546973746E-3</v>
      </c>
      <c r="D13" s="30">
        <v>143.92490846120606</v>
      </c>
      <c r="E13" s="30">
        <f>ABS(C13)/'İtme Analizi'!$C$17</f>
        <v>3.523700291075921E-3</v>
      </c>
      <c r="F13" s="30">
        <f>ABS(D13)/'İtme Analizi'!$C$14</f>
        <v>8.090987238465884E-2</v>
      </c>
      <c r="G13" s="30">
        <f t="shared" si="1"/>
        <v>1.4253431089899265E-4</v>
      </c>
      <c r="H13" s="47"/>
      <c r="I13" s="47"/>
      <c r="J13" s="47"/>
      <c r="K13" s="25" t="s">
        <v>6</v>
      </c>
      <c r="L13" s="25" t="s">
        <v>949</v>
      </c>
      <c r="P13" s="27">
        <v>7</v>
      </c>
      <c r="Q13" s="30">
        <v>-5.7332898213640418E-3</v>
      </c>
      <c r="R13" s="30">
        <v>172.70062662113324</v>
      </c>
      <c r="S13" s="30">
        <f>ABS(Q13)/'İtme Analizi'!$C$17</f>
        <v>4.2282784510126112E-3</v>
      </c>
      <c r="T13" s="30">
        <f>ABS(R13)/'İtme Analizi'!$C$14</f>
        <v>9.7086639206950612E-2</v>
      </c>
      <c r="U13" s="30">
        <f t="shared" si="0"/>
        <v>2.0524136135088674E-4</v>
      </c>
    </row>
    <row r="14" spans="2:21" ht="13.9" customHeight="1" x14ac:dyDescent="0.2">
      <c r="B14" s="27">
        <v>8</v>
      </c>
      <c r="C14" s="30">
        <v>-5.4603284880307083E-3</v>
      </c>
      <c r="D14" s="30">
        <v>164.47896299804822</v>
      </c>
      <c r="E14" s="30">
        <f>ABS(C14)/'İtme Analizi'!$C$17</f>
        <v>4.0269705528156183E-3</v>
      </c>
      <c r="F14" s="30">
        <f>ABS(D14)/'İtme Analizi'!$C$14</f>
        <v>9.2464689041092382E-2</v>
      </c>
      <c r="G14" s="30">
        <f t="shared" si="1"/>
        <v>1.8616144135286418E-4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-6.5521746213640418E-3</v>
      </c>
      <c r="R14" s="30">
        <v>197.36575212305863</v>
      </c>
      <c r="S14" s="30">
        <f>ABS(Q14)/'İtme Analizi'!$C$17</f>
        <v>4.8322027356004068E-3</v>
      </c>
      <c r="T14" s="30">
        <f>ABS(R14)/'İtme Analizi'!$C$14</f>
        <v>0.11095256539060555</v>
      </c>
      <c r="U14" s="30">
        <f t="shared" si="0"/>
        <v>2.6806132525228332E-4</v>
      </c>
    </row>
    <row r="15" spans="2:21" ht="13.9" customHeight="1" x14ac:dyDescent="0.2">
      <c r="B15" s="27">
        <v>9</v>
      </c>
      <c r="C15" s="30">
        <v>-6.1427325213640411E-3</v>
      </c>
      <c r="D15" s="30">
        <v>185.03323516584646</v>
      </c>
      <c r="E15" s="30">
        <f>ABS(C15)/'İtme Analizi'!$C$17</f>
        <v>4.530240814555316E-3</v>
      </c>
      <c r="F15" s="30">
        <f>ABS(D15)/'İtme Analizi'!$C$14</f>
        <v>0.10401962804252564</v>
      </c>
      <c r="G15" s="30">
        <f t="shared" si="1"/>
        <v>2.3560379819607328E-4</v>
      </c>
      <c r="H15" s="47"/>
      <c r="I15" s="47"/>
      <c r="J15" s="47"/>
      <c r="K15" s="30"/>
      <c r="L15" s="30">
        <f>K15*'İtme Analizi'!$C$23</f>
        <v>0</v>
      </c>
      <c r="P15" s="27">
        <v>9</v>
      </c>
      <c r="Q15" s="30">
        <v>-7.3710594213640419E-3</v>
      </c>
      <c r="R15" s="30">
        <v>222.0304132108601</v>
      </c>
      <c r="S15" s="30">
        <f>ABS(Q15)/'İtme Analizi'!$C$17</f>
        <v>5.4361270201882025E-3</v>
      </c>
      <c r="T15" s="30">
        <f>ABS(R15)/'İtme Analizi'!$C$14</f>
        <v>0.12481823049584188</v>
      </c>
      <c r="U15" s="30">
        <f t="shared" si="0"/>
        <v>3.3925517986849228E-4</v>
      </c>
    </row>
    <row r="16" spans="2:21" ht="13.9" customHeight="1" x14ac:dyDescent="0.2">
      <c r="B16" s="27">
        <v>10</v>
      </c>
      <c r="C16" s="30">
        <v>-6.8251365546973747E-3</v>
      </c>
      <c r="D16" s="30">
        <v>205.58750750315176</v>
      </c>
      <c r="E16" s="30">
        <f>ABS(C16)/'İtme Analizi'!$C$17</f>
        <v>5.0335110762950138E-3</v>
      </c>
      <c r="F16" s="30">
        <f>ABS(D16)/'İtme Analizi'!$C$14</f>
        <v>0.11557456713925021</v>
      </c>
      <c r="G16" s="30">
        <f t="shared" si="1"/>
        <v>2.9086141223889857E-4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-8.189944221364041E-3</v>
      </c>
      <c r="R16" s="30">
        <v>246.69482284666051</v>
      </c>
      <c r="S16" s="30">
        <f>ABS(Q16)/'İtme Analizi'!$C$17</f>
        <v>6.0400513047759981E-3</v>
      </c>
      <c r="T16" s="30">
        <f>ABS(R16)/'İtme Analizi'!$C$14</f>
        <v>0.13868375424299409</v>
      </c>
      <c r="U16" s="30">
        <f t="shared" si="0"/>
        <v>4.1882280367892518E-4</v>
      </c>
    </row>
    <row r="17" spans="2:21" ht="13.9" customHeight="1" x14ac:dyDescent="0.2">
      <c r="B17" s="27">
        <v>11</v>
      </c>
      <c r="C17" s="30">
        <v>-7.5075405880307084E-3</v>
      </c>
      <c r="D17" s="30">
        <v>226.14125318060826</v>
      </c>
      <c r="E17" s="30">
        <f>ABS(C17)/'İtme Analizi'!$C$17</f>
        <v>5.5367813380347115E-3</v>
      </c>
      <c r="F17" s="30">
        <f>ABS(D17)/'İtme Analizi'!$C$14</f>
        <v>0.12712921016504716</v>
      </c>
      <c r="G17" s="30">
        <f t="shared" si="1"/>
        <v>3.5193420900347212E-4</v>
      </c>
      <c r="H17" s="47"/>
      <c r="I17" s="47"/>
      <c r="J17" s="47"/>
      <c r="P17" s="27">
        <v>0</v>
      </c>
      <c r="Q17" s="30">
        <v>-8.189944221364041E-3</v>
      </c>
      <c r="R17" s="30">
        <v>246.69482284666051</v>
      </c>
      <c r="S17" s="30">
        <f>ABS(Q17)/'İtme Analizi'!$C$17</f>
        <v>6.0400513047759981E-3</v>
      </c>
      <c r="T17" s="30">
        <f>ABS(R17)/'İtme Analizi'!$C$14</f>
        <v>0.13868375424299409</v>
      </c>
      <c r="U17" s="30">
        <f t="shared" si="0"/>
        <v>4.1882280367892518E-4</v>
      </c>
    </row>
    <row r="18" spans="2:21" ht="13.9" customHeight="1" x14ac:dyDescent="0.2">
      <c r="B18" s="27">
        <v>12</v>
      </c>
      <c r="C18" s="30">
        <v>-8.1899446213640412E-3</v>
      </c>
      <c r="D18" s="30">
        <v>246.69477363736456</v>
      </c>
      <c r="E18" s="30">
        <f>ABS(C18)/'İtme Analizi'!$C$17</f>
        <v>6.0400515997744084E-3</v>
      </c>
      <c r="F18" s="30">
        <f>ABS(D18)/'İtme Analizi'!$C$14</f>
        <v>0.13868372657913869</v>
      </c>
      <c r="G18" s="30">
        <f t="shared" si="1"/>
        <v>4.1882208212799408E-4</v>
      </c>
      <c r="H18" s="47"/>
      <c r="I18" s="47"/>
      <c r="J18" s="47"/>
      <c r="K18" s="51" t="s">
        <v>13</v>
      </c>
      <c r="L18" s="52"/>
      <c r="P18" s="27">
        <v>1</v>
      </c>
      <c r="Q18" s="30">
        <v>-9.0088290213640402E-3</v>
      </c>
      <c r="R18" s="30">
        <v>271.36915452065028</v>
      </c>
      <c r="S18" s="30">
        <f>ABS(Q18)/'İtme Analizi'!$C$17</f>
        <v>6.6439755893637938E-3</v>
      </c>
      <c r="T18" s="30">
        <f>ABS(R18)/'İtme Analizi'!$C$14</f>
        <v>0.15255485583523429</v>
      </c>
      <c r="U18" s="30">
        <f t="shared" si="0"/>
        <v>5.0676583829684422E-4</v>
      </c>
    </row>
    <row r="19" spans="2:21" ht="13.9" customHeight="1" x14ac:dyDescent="0.2">
      <c r="B19" s="27">
        <v>13</v>
      </c>
      <c r="C19" s="30">
        <v>-8.8723486546973748E-3</v>
      </c>
      <c r="D19" s="30">
        <v>267.24012704604831</v>
      </c>
      <c r="E19" s="30">
        <f>ABS(C19)/'İtme Analizi'!$C$17</f>
        <v>6.5433218615141061E-3</v>
      </c>
      <c r="F19" s="30">
        <f>ABS(D19)/'İtme Analizi'!$C$14</f>
        <v>0.15023365174613915</v>
      </c>
      <c r="G19" s="30">
        <f t="shared" si="1"/>
        <v>4.9152384443344906E-4</v>
      </c>
      <c r="H19" s="47"/>
      <c r="I19" s="47"/>
      <c r="J19" s="47"/>
      <c r="K19" s="30" t="s">
        <v>36</v>
      </c>
      <c r="L19" s="30">
        <f>VLOOKUP($L$16,$F$6:$G$100,2,FALSE)</f>
        <v>1.1514780017367852E-4</v>
      </c>
      <c r="P19" s="27">
        <v>2</v>
      </c>
      <c r="Q19" s="30">
        <v>-9.8277138213640394E-3</v>
      </c>
      <c r="R19" s="30">
        <v>296.03920698325214</v>
      </c>
      <c r="S19" s="30">
        <f>ABS(Q19)/'İtme Analizi'!$C$17</f>
        <v>7.2478998739515894E-3</v>
      </c>
      <c r="T19" s="30">
        <f>ABS(R19)/'İtme Analizi'!$C$14</f>
        <v>0.16642355179490534</v>
      </c>
      <c r="U19" s="30">
        <f t="shared" si="0"/>
        <v>6.0308524161033737E-4</v>
      </c>
    </row>
    <row r="20" spans="2:21" ht="13.9" customHeight="1" x14ac:dyDescent="0.2">
      <c r="B20" s="27">
        <v>14</v>
      </c>
      <c r="C20" s="30">
        <v>-9.5547526880307068E-3</v>
      </c>
      <c r="D20" s="30">
        <v>287.7839423732492</v>
      </c>
      <c r="E20" s="30">
        <f>ABS(C20)/'İtme Analizi'!$C$17</f>
        <v>7.0465921232538021E-3</v>
      </c>
      <c r="F20" s="30">
        <f>ABS(D20)/'İtme Analizi'!$C$14</f>
        <v>0.16178271225407656</v>
      </c>
      <c r="G20" s="30">
        <f t="shared" si="1"/>
        <v>5.7003812302217744E-4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-1.0646598621364039E-2</v>
      </c>
      <c r="R20" s="30">
        <v>320.70507022359567</v>
      </c>
      <c r="S20" s="30">
        <f>ABS(Q20)/'İtme Analizi'!$C$17</f>
        <v>7.851824158539385E-3</v>
      </c>
      <c r="T20" s="30">
        <f>ABS(R20)/'İtme Analizi'!$C$14</f>
        <v>0.18028989271095025</v>
      </c>
      <c r="U20" s="30">
        <f t="shared" si="0"/>
        <v>7.0777957607542203E-4</v>
      </c>
    </row>
    <row r="21" spans="2:21" ht="13.9" customHeight="1" x14ac:dyDescent="0.2">
      <c r="B21" s="27">
        <v>15</v>
      </c>
      <c r="C21" s="30">
        <v>-1.0237156721364039E-2</v>
      </c>
      <c r="D21" s="30">
        <v>308.32476289717226</v>
      </c>
      <c r="E21" s="30">
        <f>ABS(C21)/'İtme Analizi'!$C$17</f>
        <v>7.549862384993499E-3</v>
      </c>
      <c r="F21" s="30">
        <f>ABS(D21)/'İtme Analizi'!$C$14</f>
        <v>0.17333008918164128</v>
      </c>
      <c r="G21" s="30">
        <f t="shared" si="1"/>
        <v>6.5436427666761584E-4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-1.1465483421364038E-2</v>
      </c>
      <c r="R21" s="30">
        <v>345.37310787612086</v>
      </c>
      <c r="S21" s="30">
        <f>ABS(Q21)/'İtme Analizi'!$C$17</f>
        <v>8.4557484431271798E-3</v>
      </c>
      <c r="T21" s="30">
        <f>ABS(R21)/'İtme Analizi'!$C$14</f>
        <v>0.19415745601034781</v>
      </c>
      <c r="U21" s="30">
        <f t="shared" si="0"/>
        <v>8.2084849967157527E-4</v>
      </c>
    </row>
    <row r="22" spans="2:21" ht="13.9" customHeight="1" x14ac:dyDescent="0.2">
      <c r="B22" s="27">
        <v>16</v>
      </c>
      <c r="C22" s="30">
        <v>-1.0919560754697372E-2</v>
      </c>
      <c r="D22" s="30">
        <v>328.86720002619472</v>
      </c>
      <c r="E22" s="30">
        <f>ABS(C22)/'İtme Analizi'!$C$17</f>
        <v>8.0531326467331958E-3</v>
      </c>
      <c r="F22" s="30">
        <f>ABS(D22)/'İtme Analizi'!$C$14</f>
        <v>0.18487837491167589</v>
      </c>
      <c r="G22" s="30">
        <f t="shared" si="1"/>
        <v>7.445021104084251E-4</v>
      </c>
      <c r="H22" s="47"/>
      <c r="I22" s="47"/>
      <c r="J22" s="47"/>
      <c r="P22" s="27">
        <v>5</v>
      </c>
      <c r="Q22" s="30">
        <v>-1.2284368221364037E-2</v>
      </c>
      <c r="R22" s="30">
        <v>370.04057633071704</v>
      </c>
      <c r="S22" s="30">
        <f>ABS(Q22)/'İtme Analizi'!$C$17</f>
        <v>9.0596727277149746E-3</v>
      </c>
      <c r="T22" s="30">
        <f>ABS(R22)/'İtme Analizi'!$C$14</f>
        <v>0.20802469932530146</v>
      </c>
      <c r="U22" s="30">
        <f t="shared" si="0"/>
        <v>9.4229228488910488E-4</v>
      </c>
    </row>
    <row r="23" spans="2:21" ht="13.9" customHeight="1" x14ac:dyDescent="0.2">
      <c r="B23" s="27">
        <v>17</v>
      </c>
      <c r="C23" s="30">
        <v>-1.1601964788030704E-2</v>
      </c>
      <c r="D23" s="30">
        <v>349.40900129727208</v>
      </c>
      <c r="E23" s="30">
        <f>ABS(C23)/'İtme Analizi'!$C$17</f>
        <v>8.5564029084728935E-3</v>
      </c>
      <c r="F23" s="30">
        <f>ABS(D23)/'İtme Analizi'!$C$14</f>
        <v>0.19642630318318757</v>
      </c>
      <c r="G23" s="30">
        <f t="shared" si="1"/>
        <v>8.4045176298211161E-4</v>
      </c>
      <c r="H23" s="47"/>
      <c r="I23" s="47"/>
      <c r="J23" s="47"/>
      <c r="K23" s="7" t="s">
        <v>950</v>
      </c>
      <c r="L23" s="30" t="e">
        <f>Spektrum!$C$4*9.8067/$L$15</f>
        <v>#DIV/0!</v>
      </c>
      <c r="P23" s="27">
        <v>6</v>
      </c>
      <c r="Q23" s="30">
        <v>-1.3103253021364036E-2</v>
      </c>
      <c r="R23" s="30">
        <v>394.70967066626417</v>
      </c>
      <c r="S23" s="30">
        <f>ABS(Q23)/'İtme Analizi'!$C$17</f>
        <v>9.6635970123027711E-3</v>
      </c>
      <c r="T23" s="30">
        <f>ABS(R23)/'İtme Analizi'!$C$14</f>
        <v>0.2218928566573051</v>
      </c>
      <c r="U23" s="30">
        <f t="shared" si="0"/>
        <v>1.0721111111033697E-3</v>
      </c>
    </row>
    <row r="24" spans="2:21" ht="13.9" customHeight="1" x14ac:dyDescent="0.2">
      <c r="B24" s="27">
        <v>18</v>
      </c>
      <c r="C24" s="30">
        <v>-1.2284368821364038E-2</v>
      </c>
      <c r="D24" s="30">
        <v>369.95026460505596</v>
      </c>
      <c r="E24" s="30">
        <f>ABS(C24)/'İtme Analizi'!$C$17</f>
        <v>9.0596731702125913E-3</v>
      </c>
      <c r="F24" s="30">
        <f>ABS(D24)/'İtme Analizi'!$C$14</f>
        <v>0.20797392902934503</v>
      </c>
      <c r="G24" s="30">
        <f t="shared" si="1"/>
        <v>9.4221306833870949E-4</v>
      </c>
      <c r="H24" s="47"/>
      <c r="I24" s="47"/>
      <c r="J24" s="47"/>
      <c r="K24" s="7" t="s">
        <v>951</v>
      </c>
      <c r="L24" s="30" t="e">
        <f>(1+($L$23-1)*'İtme Analizi'!$C$20/'İtme Analizi'!$C$18)/$L$23</f>
        <v>#DIV/0!</v>
      </c>
      <c r="P24" s="27">
        <v>7</v>
      </c>
      <c r="Q24" s="30">
        <v>-1.3922137821364035E-2</v>
      </c>
      <c r="R24" s="30">
        <v>419.37361200557859</v>
      </c>
      <c r="S24" s="30">
        <f>ABS(Q24)/'İtme Analizi'!$C$17</f>
        <v>1.0267521296890566E-2</v>
      </c>
      <c r="T24" s="30">
        <f>ABS(R24)/'İtme Analizi'!$C$14</f>
        <v>0.23575811714350184</v>
      </c>
      <c r="U24" s="30">
        <f t="shared" si="0"/>
        <v>1.2103043795751497E-3</v>
      </c>
    </row>
    <row r="25" spans="2:21" ht="13.9" customHeight="1" x14ac:dyDescent="0.2">
      <c r="B25" s="27">
        <v>19</v>
      </c>
      <c r="C25" s="30">
        <v>-1.296677285469737E-2</v>
      </c>
      <c r="D25" s="30">
        <v>390.49361685822163</v>
      </c>
      <c r="E25" s="30">
        <f>ABS(C25)/'İtme Analizi'!$C$17</f>
        <v>9.5629434319522873E-3</v>
      </c>
      <c r="F25" s="30">
        <f>ABS(D25)/'İtme Analizi'!$C$14</f>
        <v>0.21952272921221783</v>
      </c>
      <c r="G25" s="30">
        <f t="shared" si="1"/>
        <v>1.0497862458817479E-3</v>
      </c>
      <c r="H25" s="47"/>
      <c r="I25" s="47"/>
      <c r="J25" s="47"/>
      <c r="P25" s="27">
        <v>8</v>
      </c>
      <c r="Q25" s="30">
        <v>-1.4741022621364036E-2</v>
      </c>
      <c r="R25" s="30">
        <v>444.03948569433436</v>
      </c>
      <c r="S25" s="30">
        <f>ABS(Q25)/'İtme Analizi'!$C$17</f>
        <v>1.0871445581478362E-2</v>
      </c>
      <c r="T25" s="30">
        <f>ABS(R25)/'İtme Analizi'!$C$14</f>
        <v>0.24962446393330209</v>
      </c>
      <c r="U25" s="30">
        <f t="shared" si="0"/>
        <v>1.3568715435892432E-3</v>
      </c>
    </row>
    <row r="26" spans="2:21" ht="13.9" customHeight="1" x14ac:dyDescent="0.2">
      <c r="B26" s="27">
        <v>20</v>
      </c>
      <c r="C26" s="30">
        <v>-1.3649176888030702E-2</v>
      </c>
      <c r="D26" s="30">
        <v>411.03219386928589</v>
      </c>
      <c r="E26" s="30">
        <f>ABS(C26)/'İtme Analizi'!$C$17</f>
        <v>1.0066213693691983E-2</v>
      </c>
      <c r="F26" s="30">
        <f>ABS(D26)/'İtme Analizi'!$C$14</f>
        <v>0.23106884491029114</v>
      </c>
      <c r="G26" s="30">
        <f t="shared" si="1"/>
        <v>1.1631709156049164E-3</v>
      </c>
      <c r="H26" s="47"/>
      <c r="I26" s="47"/>
      <c r="J26" s="47"/>
      <c r="P26" s="27">
        <v>9</v>
      </c>
      <c r="Q26" s="30">
        <v>-1.5559907421364035E-2</v>
      </c>
      <c r="R26" s="30">
        <v>468.70573948798869</v>
      </c>
      <c r="S26" s="30">
        <f>ABS(Q26)/'İtme Analizi'!$C$17</f>
        <v>1.1475369866066157E-2</v>
      </c>
      <c r="T26" s="30">
        <f>ABS(R26)/'İtme Analizi'!$C$14</f>
        <v>0.26349102440563421</v>
      </c>
      <c r="U26" s="30">
        <f t="shared" si="0"/>
        <v>1.5118129956922478E-3</v>
      </c>
    </row>
    <row r="27" spans="2:21" ht="13.9" customHeight="1" x14ac:dyDescent="0.2">
      <c r="B27" s="27">
        <v>21</v>
      </c>
      <c r="C27" s="30">
        <v>-1.4331580921364035E-2</v>
      </c>
      <c r="D27" s="30">
        <v>431.5720746947095</v>
      </c>
      <c r="E27" s="30">
        <f>ABS(C27)/'İtme Analizi'!$C$17</f>
        <v>1.0569483955431681E-2</v>
      </c>
      <c r="F27" s="30">
        <f>ABS(D27)/'İtme Analizi'!$C$14</f>
        <v>0.24261569357011903</v>
      </c>
      <c r="G27" s="30">
        <f t="shared" si="1"/>
        <v>1.2823665864364583E-3</v>
      </c>
      <c r="H27" s="47"/>
      <c r="I27" s="47"/>
      <c r="J27" s="47"/>
      <c r="P27" s="27">
        <v>10</v>
      </c>
      <c r="Q27" s="30">
        <v>-1.6378792221364034E-2</v>
      </c>
      <c r="R27" s="30">
        <v>493.35732118693608</v>
      </c>
      <c r="S27" s="30">
        <f>ABS(Q27)/'İtme Analizi'!$C$17</f>
        <v>1.2079294150653954E-2</v>
      </c>
      <c r="T27" s="30">
        <f>ABS(R27)/'İtme Analizi'!$C$14</f>
        <v>0.27734933670658973</v>
      </c>
      <c r="U27" s="30">
        <f t="shared" si="0"/>
        <v>1.6751263097727004E-3</v>
      </c>
    </row>
    <row r="28" spans="2:21" ht="13.9" customHeight="1" x14ac:dyDescent="0.2">
      <c r="B28" s="27">
        <v>22</v>
      </c>
      <c r="C28" s="30">
        <v>-1.5013984954697367E-2</v>
      </c>
      <c r="D28" s="30">
        <v>452.11254859768155</v>
      </c>
      <c r="E28" s="30">
        <f>ABS(C28)/'İtme Analizi'!$C$17</f>
        <v>1.1072754217171377E-2</v>
      </c>
      <c r="F28" s="30">
        <f>ABS(D28)/'İtme Analizi'!$C$14</f>
        <v>0.25416287563873119</v>
      </c>
      <c r="G28" s="30">
        <f t="shared" si="1"/>
        <v>1.407373526712663E-3</v>
      </c>
      <c r="H28" s="47"/>
      <c r="I28" s="47"/>
      <c r="J28" s="47"/>
      <c r="P28" s="27">
        <v>0</v>
      </c>
      <c r="Q28" s="30">
        <v>-1.6378792221364034E-2</v>
      </c>
      <c r="R28" s="30">
        <v>493.35732118693608</v>
      </c>
      <c r="S28" s="30">
        <f>ABS(Q28)/'İtme Analizi'!$C$17</f>
        <v>1.2079294150653954E-2</v>
      </c>
      <c r="T28" s="30">
        <f>ABS(R28)/'İtme Analizi'!$C$14</f>
        <v>0.27734933670658973</v>
      </c>
      <c r="U28" s="30">
        <f t="shared" si="0"/>
        <v>1.6751263097727004E-3</v>
      </c>
    </row>
    <row r="29" spans="2:21" ht="13.9" customHeight="1" x14ac:dyDescent="0.2">
      <c r="B29" s="27">
        <v>23</v>
      </c>
      <c r="C29" s="30">
        <v>-1.5696388988030701E-2</v>
      </c>
      <c r="D29" s="30">
        <v>472.64417395722609</v>
      </c>
      <c r="E29" s="30">
        <f>ABS(C29)/'İtme Analizi'!$C$17</f>
        <v>1.1576024478911075E-2</v>
      </c>
      <c r="F29" s="30">
        <f>ABS(D29)/'İtme Analizi'!$C$14</f>
        <v>0.26570508334587134</v>
      </c>
      <c r="G29" s="30">
        <f t="shared" si="1"/>
        <v>1.5381905686067947E-3</v>
      </c>
      <c r="H29" s="47"/>
      <c r="I29" s="47"/>
      <c r="J29" s="47"/>
      <c r="P29" s="27">
        <v>1</v>
      </c>
      <c r="Q29" s="30">
        <v>-1.7197677021364034E-2</v>
      </c>
      <c r="R29" s="30">
        <v>518.01354834519293</v>
      </c>
      <c r="S29" s="30">
        <f>ABS(Q29)/'İtme Analizi'!$C$17</f>
        <v>1.2683218435241748E-2</v>
      </c>
      <c r="T29" s="30">
        <f>ABS(R29)/'İtme Analizi'!$C$14</f>
        <v>0.29121026053270727</v>
      </c>
      <c r="U29" s="30">
        <f t="shared" si="0"/>
        <v>1.8468097837768341E-3</v>
      </c>
    </row>
    <row r="30" spans="2:21" ht="13.9" customHeight="1" x14ac:dyDescent="0.2">
      <c r="B30" s="27">
        <v>24</v>
      </c>
      <c r="C30" s="30">
        <v>-1.6378793021364031E-2</v>
      </c>
      <c r="D30" s="30">
        <v>493.17889440012351</v>
      </c>
      <c r="E30" s="30">
        <f>ABS(C30)/'İtme Analizi'!$C$17</f>
        <v>1.2079294740650771E-2</v>
      </c>
      <c r="F30" s="30">
        <f>ABS(D30)/'İtme Analizi'!$C$14</f>
        <v>0.27724903100755988</v>
      </c>
      <c r="G30" s="30">
        <f t="shared" si="1"/>
        <v>1.6748168982284428E-3</v>
      </c>
      <c r="H30" s="47"/>
      <c r="I30" s="47"/>
      <c r="J30" s="47"/>
      <c r="P30" s="27">
        <v>2</v>
      </c>
      <c r="Q30" s="30">
        <v>-1.8016561821364033E-2</v>
      </c>
      <c r="R30" s="30">
        <v>542.67052581169037</v>
      </c>
      <c r="S30" s="30">
        <f>ABS(Q30)/'İtme Analizi'!$C$17</f>
        <v>1.3287142719829543E-2</v>
      </c>
      <c r="T30" s="30">
        <f>ABS(R30)/'İtme Analizi'!$C$14</f>
        <v>0.30507160615755757</v>
      </c>
      <c r="U30" s="30">
        <f t="shared" si="0"/>
        <v>2.0268643336536305E-3</v>
      </c>
    </row>
    <row r="31" spans="2:21" ht="13.9" customHeight="1" x14ac:dyDescent="0.2">
      <c r="B31" s="27">
        <v>25</v>
      </c>
      <c r="C31" s="30">
        <v>-1.7061197054697368E-2</v>
      </c>
      <c r="D31" s="30">
        <v>513.71220172962001</v>
      </c>
      <c r="E31" s="30">
        <f>ABS(C31)/'İtme Analizi'!$C$17</f>
        <v>1.258256500239047E-2</v>
      </c>
      <c r="F31" s="30">
        <f>ABS(D31)/'İtme Analizi'!$C$14</f>
        <v>0.2887921842631504</v>
      </c>
      <c r="G31" s="30">
        <f t="shared" si="1"/>
        <v>1.8172527535108168E-3</v>
      </c>
      <c r="H31" s="47"/>
      <c r="I31" s="47"/>
      <c r="J31" s="47"/>
      <c r="P31" s="27">
        <v>3</v>
      </c>
      <c r="Q31" s="30">
        <v>-1.8835446621364032E-2</v>
      </c>
      <c r="R31" s="30">
        <v>567.32730385341506</v>
      </c>
      <c r="S31" s="30">
        <f>ABS(Q31)/'İtme Analizi'!$C$17</f>
        <v>1.389106700441734E-2</v>
      </c>
      <c r="T31" s="30">
        <f>ABS(R31)/'İtme Analizi'!$C$14</f>
        <v>0.31893283967232849</v>
      </c>
      <c r="U31" s="30">
        <f t="shared" si="0"/>
        <v>2.2152900529173397E-3</v>
      </c>
    </row>
    <row r="32" spans="2:21" ht="13.9" customHeight="1" x14ac:dyDescent="0.2">
      <c r="B32" s="27">
        <v>26</v>
      </c>
      <c r="C32" s="30">
        <v>-1.7743601088030702E-2</v>
      </c>
      <c r="D32" s="30">
        <v>534.24612391959886</v>
      </c>
      <c r="E32" s="30">
        <f>ABS(C32)/'İtme Analizi'!$C$17</f>
        <v>1.3085835264130168E-2</v>
      </c>
      <c r="F32" s="30">
        <f>ABS(D32)/'İtme Analizi'!$C$14</f>
        <v>0.30033568317317766</v>
      </c>
      <c r="G32" s="30">
        <f t="shared" si="1"/>
        <v>1.9654980215322321E-3</v>
      </c>
      <c r="H32" s="47"/>
      <c r="I32" s="47"/>
      <c r="J32" s="47"/>
      <c r="P32" s="27">
        <v>4</v>
      </c>
      <c r="Q32" s="30">
        <v>-1.9654331421364031E-2</v>
      </c>
      <c r="R32" s="30">
        <v>591.93624420474077</v>
      </c>
      <c r="S32" s="30">
        <f>ABS(Q32)/'İtme Analizi'!$C$17</f>
        <v>1.4494991289005135E-2</v>
      </c>
      <c r="T32" s="30">
        <f>ABS(R32)/'İtme Analizi'!$C$14</f>
        <v>0.33276718040344755</v>
      </c>
      <c r="U32" s="30">
        <f t="shared" si="0"/>
        <v>2.4120787871123972E-3</v>
      </c>
    </row>
    <row r="33" spans="2:21" ht="13.9" customHeight="1" x14ac:dyDescent="0.2">
      <c r="B33" s="27">
        <v>27</v>
      </c>
      <c r="C33" s="30">
        <v>-1.8426005121364036E-2</v>
      </c>
      <c r="D33" s="30">
        <v>554.77987159540578</v>
      </c>
      <c r="E33" s="30">
        <f>ABS(C33)/'İtme Analizi'!$C$17</f>
        <v>1.3589105525869866E-2</v>
      </c>
      <c r="F33" s="30">
        <f>ABS(D33)/'İtme Analizi'!$C$14</f>
        <v>0.31187908397704989</v>
      </c>
      <c r="G33" s="30">
        <f t="shared" si="1"/>
        <v>2.1195527645845339E-3</v>
      </c>
      <c r="H33" s="47"/>
      <c r="I33" s="47"/>
      <c r="J33" s="47"/>
      <c r="P33" s="27">
        <v>5</v>
      </c>
      <c r="Q33" s="30">
        <v>-2.047321622136403E-2</v>
      </c>
      <c r="R33" s="30">
        <v>616.56182004272318</v>
      </c>
      <c r="S33" s="30">
        <f>ABS(Q33)/'İtme Analizi'!$C$17</f>
        <v>1.5098915573592929E-2</v>
      </c>
      <c r="T33" s="30">
        <f>ABS(R33)/'İtme Analizi'!$C$14</f>
        <v>0.34661087306062888</v>
      </c>
      <c r="U33" s="30">
        <f t="shared" si="0"/>
        <v>2.6172252395638678E-3</v>
      </c>
    </row>
    <row r="34" spans="2:21" ht="13.9" customHeight="1" x14ac:dyDescent="0.2">
      <c r="B34" s="27">
        <v>28</v>
      </c>
      <c r="C34" s="30">
        <v>-1.9108409154697369E-2</v>
      </c>
      <c r="D34" s="30">
        <v>575.31398687164426</v>
      </c>
      <c r="E34" s="30">
        <f>ABS(C34)/'İtme Analizi'!$C$17</f>
        <v>1.4092375787609563E-2</v>
      </c>
      <c r="F34" s="30">
        <f>ABS(D34)/'İtme Analizi'!$C$14</f>
        <v>0.32342269143385194</v>
      </c>
      <c r="G34" s="30">
        <f t="shared" si="1"/>
        <v>2.2794170099819035E-3</v>
      </c>
      <c r="H34" s="47"/>
      <c r="I34" s="47"/>
      <c r="J34" s="47"/>
      <c r="P34" s="27">
        <v>6</v>
      </c>
      <c r="Q34" s="30">
        <v>-2.1292101021364029E-2</v>
      </c>
      <c r="R34" s="30">
        <v>641.18532065892043</v>
      </c>
      <c r="S34" s="30">
        <f>ABS(Q34)/'İtme Analizi'!$C$17</f>
        <v>1.5702839858180724E-2</v>
      </c>
      <c r="T34" s="30">
        <f>ABS(R34)/'İtme Analizi'!$C$14</f>
        <v>0.36045339909605167</v>
      </c>
      <c r="U34" s="30">
        <f t="shared" si="0"/>
        <v>2.8307318819237744E-3</v>
      </c>
    </row>
    <row r="35" spans="2:21" ht="13.9" customHeight="1" x14ac:dyDescent="0.2">
      <c r="B35" s="27">
        <v>29</v>
      </c>
      <c r="C35" s="30">
        <v>-1.9790813188030703E-2</v>
      </c>
      <c r="D35" s="30">
        <v>595.79348862603786</v>
      </c>
      <c r="E35" s="30">
        <f>ABS(C35)/'İtme Analizi'!$C$17</f>
        <v>1.4595646049349261E-2</v>
      </c>
      <c r="F35" s="30">
        <f>ABS(D35)/'İtme Analizi'!$C$14</f>
        <v>0.33493559695635927</v>
      </c>
      <c r="G35" s="30">
        <f t="shared" si="1"/>
        <v>2.4450830840402238E-3</v>
      </c>
      <c r="H35" s="47"/>
      <c r="I35" s="47"/>
      <c r="J35" s="47"/>
      <c r="P35" s="27">
        <v>7</v>
      </c>
      <c r="Q35" s="30">
        <v>-2.2110985821364029E-2</v>
      </c>
      <c r="R35" s="30">
        <v>665.80648321086005</v>
      </c>
      <c r="S35" s="30">
        <f>ABS(Q35)/'İtme Analizi'!$C$17</f>
        <v>1.6306764142768521E-2</v>
      </c>
      <c r="T35" s="30">
        <f>ABS(R35)/'İtme Analizi'!$C$14</f>
        <v>0.37429461074828163</v>
      </c>
      <c r="U35" s="30">
        <f t="shared" si="0"/>
        <v>3.0525979650225478E-3</v>
      </c>
    </row>
    <row r="36" spans="2:21" ht="13.9" customHeight="1" x14ac:dyDescent="0.2">
      <c r="B36" s="27">
        <v>30</v>
      </c>
      <c r="C36" s="30">
        <v>-2.047321722136404E-2</v>
      </c>
      <c r="D36" s="30">
        <v>616.30254274746096</v>
      </c>
      <c r="E36" s="30">
        <f>ABS(C36)/'İtme Analizi'!$C$17</f>
        <v>1.5098916311088962E-2</v>
      </c>
      <c r="F36" s="30">
        <f>ABS(D36)/'İtme Analizi'!$C$14</f>
        <v>0.34646511585226103</v>
      </c>
      <c r="G36" s="30">
        <f t="shared" si="1"/>
        <v>2.6165474415826306E-3</v>
      </c>
      <c r="H36" s="47"/>
      <c r="I36" s="47"/>
      <c r="J36" s="47"/>
      <c r="P36" s="27">
        <v>8</v>
      </c>
      <c r="Q36" s="30">
        <v>-2.2929870621364028E-2</v>
      </c>
      <c r="R36" s="30">
        <v>690.42291677759556</v>
      </c>
      <c r="S36" s="30">
        <f>ABS(Q36)/'İtme Analizi'!$C$17</f>
        <v>1.6910688427356317E-2</v>
      </c>
      <c r="T36" s="30">
        <f>ABS(R36)/'İtme Analizi'!$C$14</f>
        <v>0.38813316391982561</v>
      </c>
      <c r="U36" s="30">
        <f t="shared" si="0"/>
        <v>3.2828222892056988E-3</v>
      </c>
    </row>
    <row r="37" spans="2:21" ht="13.9" customHeight="1" x14ac:dyDescent="0.2">
      <c r="B37" s="27">
        <v>31</v>
      </c>
      <c r="C37" s="30">
        <v>-2.1155621254697374E-2</v>
      </c>
      <c r="D37" s="30">
        <v>636.80870438511818</v>
      </c>
      <c r="E37" s="30">
        <f>ABS(C37)/'İtme Analizi'!$C$17</f>
        <v>1.560218657282866E-2</v>
      </c>
      <c r="F37" s="30">
        <f>ABS(D37)/'İtme Analizi'!$C$14</f>
        <v>0.35799300868847039</v>
      </c>
      <c r="G37" s="30">
        <f t="shared" si="1"/>
        <v>2.793813853943766E-3</v>
      </c>
      <c r="H37" s="47"/>
      <c r="I37" s="47"/>
      <c r="J37" s="47"/>
      <c r="P37" s="27">
        <v>9</v>
      </c>
      <c r="Q37" s="30">
        <v>-2.3748755421364027E-2</v>
      </c>
      <c r="R37" s="30">
        <v>715.00008238594455</v>
      </c>
      <c r="S37" s="30">
        <f>ABS(Q37)/'İtme Analizi'!$C$17</f>
        <v>1.751461271194411E-2</v>
      </c>
      <c r="T37" s="30">
        <f>ABS(R37)/'İtme Analizi'!$C$14</f>
        <v>0.40194964193053867</v>
      </c>
      <c r="U37" s="30">
        <f t="shared" si="0"/>
        <v>3.5213973858498476E-3</v>
      </c>
    </row>
    <row r="38" spans="2:21" ht="13.9" customHeight="1" x14ac:dyDescent="0.2">
      <c r="B38" s="27">
        <v>32</v>
      </c>
      <c r="C38" s="30">
        <v>-2.1838025288030707E-2</v>
      </c>
      <c r="D38" s="30">
        <v>657.3129477012144</v>
      </c>
      <c r="E38" s="30">
        <f>ABS(C38)/'İtme Analizi'!$C$17</f>
        <v>1.6105456834568356E-2</v>
      </c>
      <c r="F38" s="30">
        <f>ABS(D38)/'İtme Analizi'!$C$14</f>
        <v>0.36951982310709142</v>
      </c>
      <c r="G38" s="30">
        <f t="shared" si="1"/>
        <v>2.9768816405821357E-3</v>
      </c>
      <c r="H38" s="47"/>
      <c r="I38" s="47"/>
      <c r="J38" s="47"/>
      <c r="P38" s="27">
        <v>10</v>
      </c>
      <c r="Q38" s="30">
        <v>-2.4567640221364026E-2</v>
      </c>
      <c r="R38" s="30">
        <v>739.58662142256333</v>
      </c>
      <c r="S38" s="30">
        <f>ABS(Q38)/'İtme Analizi'!$C$17</f>
        <v>1.8118536996531907E-2</v>
      </c>
      <c r="T38" s="30">
        <f>ABS(R38)/'İtme Analizi'!$C$14</f>
        <v>0.41577138937580077</v>
      </c>
      <c r="U38" s="30">
        <f t="shared" si="0"/>
        <v>3.7683181802618858E-3</v>
      </c>
    </row>
    <row r="39" spans="2:21" ht="13.9" customHeight="1" x14ac:dyDescent="0.2">
      <c r="B39" s="27">
        <v>33</v>
      </c>
      <c r="C39" s="30">
        <v>-2.2520429321364041E-2</v>
      </c>
      <c r="D39" s="30">
        <v>677.81511511088729</v>
      </c>
      <c r="E39" s="30">
        <f>ABS(C39)/'İtme Analizi'!$C$17</f>
        <v>1.6608727096308055E-2</v>
      </c>
      <c r="F39" s="30">
        <f>ABS(D39)/'İtme Analizi'!$C$14</f>
        <v>0.38104547051907273</v>
      </c>
      <c r="G39" s="30">
        <f t="shared" si="1"/>
        <v>3.1657502364701227E-3</v>
      </c>
      <c r="H39" s="47"/>
      <c r="I39" s="47"/>
      <c r="J39" s="47"/>
      <c r="P39" s="27">
        <v>0</v>
      </c>
      <c r="Q39" s="30">
        <v>-2.4567640221364026E-2</v>
      </c>
      <c r="R39" s="30">
        <v>739.58662142256333</v>
      </c>
      <c r="S39" s="30">
        <f>ABS(Q39)/'İtme Analizi'!$C$17</f>
        <v>1.8118536996531907E-2</v>
      </c>
      <c r="T39" s="30">
        <f>ABS(R39)/'İtme Analizi'!$C$14</f>
        <v>0.41577138937580077</v>
      </c>
      <c r="U39" s="30">
        <f t="shared" si="0"/>
        <v>3.7683181802618858E-3</v>
      </c>
    </row>
    <row r="40" spans="2:21" ht="13.9" customHeight="1" x14ac:dyDescent="0.2">
      <c r="B40" s="27">
        <v>34</v>
      </c>
      <c r="C40" s="30">
        <v>-2.3202833354697375E-2</v>
      </c>
      <c r="D40" s="30">
        <v>698.31094306339151</v>
      </c>
      <c r="E40" s="30">
        <f>ABS(C40)/'İtme Analizi'!$C$17</f>
        <v>1.7111997358047751E-2</v>
      </c>
      <c r="F40" s="30">
        <f>ABS(D40)/'İtme Analizi'!$C$14</f>
        <v>0.39256755409574579</v>
      </c>
      <c r="G40" s="30">
        <f t="shared" si="1"/>
        <v>3.3604184511616913E-3</v>
      </c>
      <c r="H40" s="47"/>
      <c r="I40" s="47"/>
      <c r="J40" s="47"/>
      <c r="P40" s="27">
        <v>1</v>
      </c>
      <c r="Q40" s="30">
        <v>-2.5386525021364025E-2</v>
      </c>
      <c r="R40" s="30">
        <v>764.19000835544364</v>
      </c>
      <c r="S40" s="30">
        <f>ABS(Q40)/'İtme Analizi'!$C$17</f>
        <v>1.8722461281119703E-2</v>
      </c>
      <c r="T40" s="30">
        <f>ABS(R40)/'İtme Analizi'!$C$14</f>
        <v>0.42960260815685214</v>
      </c>
      <c r="U40" s="30">
        <f t="shared" si="0"/>
        <v>4.0235891235964024E-3</v>
      </c>
    </row>
    <row r="41" spans="2:21" ht="13.9" customHeight="1" x14ac:dyDescent="0.2">
      <c r="B41" s="27">
        <v>35</v>
      </c>
      <c r="C41" s="30">
        <v>-2.3885237388030712E-2</v>
      </c>
      <c r="D41" s="30">
        <v>718.77032870664914</v>
      </c>
      <c r="E41" s="30">
        <f>ABS(C41)/'İtme Analizi'!$C$17</f>
        <v>1.7615267619787454E-2</v>
      </c>
      <c r="F41" s="30">
        <f>ABS(D41)/'İtme Analizi'!$C$14</f>
        <v>0.40406915099904134</v>
      </c>
      <c r="G41" s="30">
        <f t="shared" si="1"/>
        <v>3.5608802327039453E-3</v>
      </c>
      <c r="H41" s="47"/>
      <c r="I41" s="47"/>
      <c r="J41" s="47"/>
      <c r="P41" s="27">
        <v>2</v>
      </c>
      <c r="Q41" s="30">
        <v>-2.6205409821364024E-2</v>
      </c>
      <c r="R41" s="30">
        <v>788.66307180837168</v>
      </c>
      <c r="S41" s="30">
        <f>ABS(Q41)/'İtme Analizi'!$C$17</f>
        <v>1.9326385565707496E-2</v>
      </c>
      <c r="T41" s="30">
        <f>ABS(R41)/'İtme Analizi'!$C$14</f>
        <v>0.44336056334340551</v>
      </c>
      <c r="U41" s="30">
        <f t="shared" si="0"/>
        <v>4.2871909530062943E-3</v>
      </c>
    </row>
    <row r="42" spans="2:21" ht="13.9" customHeight="1" x14ac:dyDescent="0.2">
      <c r="B42" s="27">
        <v>36</v>
      </c>
      <c r="C42" s="30">
        <v>-2.4567641421364046E-2</v>
      </c>
      <c r="D42" s="30">
        <v>739.24692042147308</v>
      </c>
      <c r="E42" s="30">
        <f>ABS(C42)/'İtme Analizi'!$C$17</f>
        <v>1.811853788152715E-2</v>
      </c>
      <c r="F42" s="30">
        <f>ABS(D42)/'İtme Analizi'!$C$14</f>
        <v>0.41558042059255812</v>
      </c>
      <c r="G42" s="30">
        <f t="shared" si="1"/>
        <v>3.7671328599188122E-3</v>
      </c>
      <c r="H42" s="47"/>
      <c r="I42" s="47"/>
      <c r="J42" s="47"/>
      <c r="P42" s="27">
        <v>3</v>
      </c>
      <c r="Q42" s="30">
        <v>-2.7024294621364024E-2</v>
      </c>
      <c r="R42" s="30">
        <v>813.19100539476472</v>
      </c>
      <c r="S42" s="30">
        <f>ABS(Q42)/'İtme Analizi'!$C$17</f>
        <v>1.9930309850295293E-2</v>
      </c>
      <c r="T42" s="30">
        <f>ABS(R42)/'İtme Analizi'!$C$14</f>
        <v>0.45714936472290657</v>
      </c>
      <c r="U42" s="30">
        <f t="shared" si="0"/>
        <v>4.5591108600421225E-3</v>
      </c>
    </row>
    <row r="43" spans="2:21" ht="13.9" customHeight="1" x14ac:dyDescent="0.2">
      <c r="B43" s="27">
        <v>37</v>
      </c>
      <c r="C43" s="30">
        <v>-2.5250045454697379E-2</v>
      </c>
      <c r="D43" s="30">
        <v>759.72177066935274</v>
      </c>
      <c r="E43" s="30">
        <f>ABS(C43)/'İtme Analizi'!$C$17</f>
        <v>1.862180814326685E-2</v>
      </c>
      <c r="F43" s="30">
        <f>ABS(D43)/'İtme Analizi'!$C$14</f>
        <v>0.42709071119036296</v>
      </c>
      <c r="G43" s="30">
        <f t="shared" si="1"/>
        <v>3.9791785204452519E-3</v>
      </c>
      <c r="H43" s="47"/>
      <c r="I43" s="47"/>
      <c r="J43" s="47"/>
      <c r="P43" s="27">
        <v>4</v>
      </c>
      <c r="Q43" s="30">
        <v>-2.7843179421364023E-2</v>
      </c>
      <c r="R43" s="30">
        <v>837.61964772205499</v>
      </c>
      <c r="S43" s="30">
        <f>ABS(Q43)/'İtme Analizi'!$C$17</f>
        <v>2.0534234134883089E-2</v>
      </c>
      <c r="T43" s="30">
        <f>ABS(R43)/'İtme Analizi'!$C$14</f>
        <v>0.47088234780668103</v>
      </c>
      <c r="U43" s="30">
        <f t="shared" si="0"/>
        <v>4.8393413040742315E-3</v>
      </c>
    </row>
    <row r="44" spans="2:21" ht="13.9" customHeight="1" x14ac:dyDescent="0.2">
      <c r="B44" s="27">
        <v>38</v>
      </c>
      <c r="C44" s="30">
        <v>-2.5932449488030713E-2</v>
      </c>
      <c r="D44" s="30">
        <v>780.09315244925654</v>
      </c>
      <c r="E44" s="30">
        <f>ABS(C44)/'İtme Analizi'!$C$17</f>
        <v>1.9125078405006546E-2</v>
      </c>
      <c r="F44" s="30">
        <f>ABS(D44)/'İtme Analizi'!$C$14</f>
        <v>0.43854283520234699</v>
      </c>
      <c r="G44" s="30">
        <f t="shared" si="1"/>
        <v>4.1970023311771118E-3</v>
      </c>
      <c r="H44" s="47"/>
      <c r="I44" s="47"/>
      <c r="J44" s="47"/>
      <c r="P44" s="27">
        <v>5</v>
      </c>
      <c r="Q44" s="30">
        <v>-2.8662064221364025E-2</v>
      </c>
      <c r="R44" s="30">
        <v>861.84760878021132</v>
      </c>
      <c r="S44" s="30">
        <f>ABS(Q44)/'İtme Analizi'!$C$17</f>
        <v>2.1138158419470886E-2</v>
      </c>
      <c r="T44" s="30">
        <f>ABS(R44)/'İtme Analizi'!$C$14</f>
        <v>0.48450251444992953</v>
      </c>
      <c r="U44" s="30">
        <f t="shared" si="0"/>
        <v>5.1278313637963986E-3</v>
      </c>
    </row>
    <row r="45" spans="2:21" ht="13.9" customHeight="1" x14ac:dyDescent="0.2">
      <c r="B45" s="27">
        <v>39</v>
      </c>
      <c r="C45" s="30">
        <v>-2.6614853521364047E-2</v>
      </c>
      <c r="D45" s="30">
        <v>800.50635045913407</v>
      </c>
      <c r="E45" s="30">
        <f>ABS(C45)/'İtme Analizi'!$C$17</f>
        <v>1.9628348666746245E-2</v>
      </c>
      <c r="F45" s="30">
        <f>ABS(D45)/'İtme Analizi'!$C$14</f>
        <v>0.45001846693003467</v>
      </c>
      <c r="G45" s="30">
        <f t="shared" si="1"/>
        <v>4.4205955707250777E-3</v>
      </c>
      <c r="H45" s="47"/>
      <c r="I45" s="47"/>
      <c r="J45" s="47"/>
      <c r="P45" s="27">
        <v>6</v>
      </c>
      <c r="Q45" s="30">
        <v>-2.9480949021364024E-2</v>
      </c>
      <c r="R45" s="30">
        <v>886.14923696062885</v>
      </c>
      <c r="S45" s="30">
        <f>ABS(Q45)/'İtme Analizi'!$C$17</f>
        <v>2.1742082704058682E-2</v>
      </c>
      <c r="T45" s="30">
        <f>ABS(R45)/'İtme Analizi'!$C$14</f>
        <v>0.49816409433793762</v>
      </c>
      <c r="U45" s="30">
        <f t="shared" si="0"/>
        <v>5.4245594781466627E-3</v>
      </c>
    </row>
    <row r="46" spans="2:21" ht="13.9" customHeight="1" x14ac:dyDescent="0.2">
      <c r="B46" s="27">
        <v>40</v>
      </c>
      <c r="C46" s="30">
        <v>-2.7297257554697384E-2</v>
      </c>
      <c r="D46" s="30">
        <v>820.86377031320478</v>
      </c>
      <c r="E46" s="30">
        <f>ABS(C46)/'İtme Analizi'!$C$17</f>
        <v>2.0131618928485945E-2</v>
      </c>
      <c r="F46" s="30">
        <f>ABS(D46)/'İtme Analizi'!$C$14</f>
        <v>0.46146274200433668</v>
      </c>
      <c r="G46" s="30">
        <f t="shared" si="1"/>
        <v>4.6499562640206875E-3</v>
      </c>
      <c r="H46" s="47"/>
      <c r="I46" s="47"/>
      <c r="J46" s="47"/>
      <c r="P46" s="27">
        <v>7</v>
      </c>
      <c r="Q46" s="30">
        <v>-3.0299833821364024E-2</v>
      </c>
      <c r="R46" s="30">
        <v>910.35672499508519</v>
      </c>
      <c r="S46" s="30">
        <f>ABS(Q46)/'İtme Analizi'!$C$17</f>
        <v>2.2346006988646479E-2</v>
      </c>
      <c r="T46" s="30">
        <f>ABS(R46)/'İtme Analizi'!$C$14</f>
        <v>0.51177275171741377</v>
      </c>
      <c r="U46" s="30">
        <f t="shared" si="0"/>
        <v>5.7295221717630794E-3</v>
      </c>
    </row>
    <row r="47" spans="2:21" ht="13.9" customHeight="1" x14ac:dyDescent="0.2">
      <c r="B47" s="27">
        <v>41</v>
      </c>
      <c r="C47" s="30">
        <v>-2.7979661588030717E-2</v>
      </c>
      <c r="D47" s="30">
        <v>841.22152565735553</v>
      </c>
      <c r="E47" s="30">
        <f>ABS(C47)/'İtme Analizi'!$C$17</f>
        <v>2.0634889190225641E-2</v>
      </c>
      <c r="F47" s="30">
        <f>ABS(D47)/'İtme Analizi'!$C$14</f>
        <v>0.47290720568017997</v>
      </c>
      <c r="G47" s="30">
        <f t="shared" si="1"/>
        <v>4.8850765680871341E-3</v>
      </c>
      <c r="H47" s="47"/>
      <c r="I47" s="47"/>
      <c r="J47" s="47"/>
      <c r="P47" s="27">
        <v>8</v>
      </c>
      <c r="Q47" s="30">
        <v>-3.1118718621364023E-2</v>
      </c>
      <c r="R47" s="30">
        <v>933.90235813094296</v>
      </c>
      <c r="S47" s="30">
        <f>ABS(Q47)/'İtme Analizi'!$C$17</f>
        <v>2.2949931273234272E-2</v>
      </c>
      <c r="T47" s="30">
        <f>ABS(R47)/'İtme Analizi'!$C$14</f>
        <v>0.52500933593766175</v>
      </c>
      <c r="U47" s="30">
        <f t="shared" si="0"/>
        <v>6.0425911120433442E-3</v>
      </c>
    </row>
    <row r="48" spans="2:21" ht="13.9" customHeight="1" x14ac:dyDescent="0.2">
      <c r="B48" s="27">
        <v>42</v>
      </c>
      <c r="C48" s="30">
        <v>-2.8662065621364051E-2</v>
      </c>
      <c r="D48" s="30">
        <v>861.34855420647364</v>
      </c>
      <c r="E48" s="30">
        <f>ABS(C48)/'İtme Analizi'!$C$17</f>
        <v>2.113815945196534E-2</v>
      </c>
      <c r="F48" s="30">
        <f>ABS(D48)/'İtme Analizi'!$C$14</f>
        <v>0.4842219623043294</v>
      </c>
      <c r="G48" s="30">
        <f t="shared" si="1"/>
        <v>5.1259238915322665E-3</v>
      </c>
      <c r="H48" s="47"/>
      <c r="I48" s="47"/>
      <c r="J48" s="47"/>
      <c r="P48" s="27">
        <v>9</v>
      </c>
      <c r="Q48" s="30">
        <v>-3.1937603421364022E-2</v>
      </c>
      <c r="R48" s="30">
        <v>957.74193866195685</v>
      </c>
      <c r="S48" s="30">
        <f>ABS(Q48)/'İtme Analizi'!$C$17</f>
        <v>2.3553855557822068E-2</v>
      </c>
      <c r="T48" s="30">
        <f>ABS(R48)/'İtme Analizi'!$C$14</f>
        <v>0.53841116776156772</v>
      </c>
      <c r="U48" s="30">
        <f t="shared" si="0"/>
        <v>6.36370384549962E-3</v>
      </c>
    </row>
    <row r="49" spans="2:21" ht="13.9" customHeight="1" x14ac:dyDescent="0.2">
      <c r="B49" s="27">
        <v>43</v>
      </c>
      <c r="C49" s="30">
        <v>-2.9344469654697385E-2</v>
      </c>
      <c r="D49" s="30">
        <v>881.57304993152843</v>
      </c>
      <c r="E49" s="30">
        <f>ABS(C49)/'İtme Analizi'!$C$17</f>
        <v>2.1641429713705036E-2</v>
      </c>
      <c r="F49" s="30">
        <f>ABS(D49)/'İtme Analizi'!$C$14</f>
        <v>0.49559151178435795</v>
      </c>
      <c r="G49" s="30">
        <f t="shared" si="1"/>
        <v>5.3724793833126137E-3</v>
      </c>
      <c r="H49" s="47"/>
      <c r="I49" s="47"/>
      <c r="J49" s="47"/>
      <c r="P49" s="27">
        <v>10</v>
      </c>
      <c r="Q49" s="30">
        <v>-3.2756488221364025E-2</v>
      </c>
      <c r="R49" s="30">
        <v>981.58203398303283</v>
      </c>
      <c r="S49" s="30">
        <f>ABS(Q49)/'İtme Analizi'!$C$17</f>
        <v>2.4157779842409865E-2</v>
      </c>
      <c r="T49" s="30">
        <f>ABS(R49)/'İtme Analizi'!$C$14</f>
        <v>0.55181328898359561</v>
      </c>
      <c r="U49" s="30">
        <f t="shared" si="0"/>
        <v>6.6929103580395909E-3</v>
      </c>
    </row>
    <row r="50" spans="2:21" ht="13.9" customHeight="1" x14ac:dyDescent="0.2">
      <c r="B50" s="27">
        <v>44</v>
      </c>
      <c r="C50" s="30">
        <v>-3.0026873688030718E-2</v>
      </c>
      <c r="D50" s="30">
        <v>901.76813092040652</v>
      </c>
      <c r="E50" s="30">
        <f>ABS(C50)/'İtme Analizi'!$C$17</f>
        <v>2.2144699975444736E-2</v>
      </c>
      <c r="F50" s="30">
        <f>ABS(D50)/'İtme Analizi'!$C$14</f>
        <v>0.5069445252625524</v>
      </c>
      <c r="G50" s="30">
        <f t="shared" si="1"/>
        <v>5.6247526701966536E-3</v>
      </c>
      <c r="H50" s="47"/>
      <c r="I50" s="47"/>
      <c r="J50" s="47"/>
      <c r="P50" s="27">
        <v>0</v>
      </c>
      <c r="Q50" s="30">
        <v>-3.2756488221364025E-2</v>
      </c>
      <c r="R50" s="30">
        <v>981.58203398303283</v>
      </c>
      <c r="S50" s="30">
        <f>ABS(Q50)/'İtme Analizi'!$C$17</f>
        <v>2.4157779842409865E-2</v>
      </c>
      <c r="T50" s="30">
        <f>ABS(R50)/'İtme Analizi'!$C$14</f>
        <v>0.55181328898359561</v>
      </c>
      <c r="U50" s="30">
        <f t="shared" si="0"/>
        <v>6.6929103580395909E-3</v>
      </c>
    </row>
    <row r="51" spans="2:21" ht="13.9" customHeight="1" x14ac:dyDescent="0.2">
      <c r="B51" s="27">
        <v>45</v>
      </c>
      <c r="C51" s="30">
        <v>-3.0709277721364055E-2</v>
      </c>
      <c r="D51" s="30">
        <v>921.40975811349006</v>
      </c>
      <c r="E51" s="30">
        <f>ABS(C51)/'İtme Analizi'!$C$17</f>
        <v>2.2647970237184435E-2</v>
      </c>
      <c r="F51" s="30">
        <f>ABS(D51)/'İtme Analizi'!$C$14</f>
        <v>0.51798640513317806</v>
      </c>
      <c r="G51" s="30">
        <f t="shared" si="1"/>
        <v>5.88266129899934E-3</v>
      </c>
      <c r="H51" s="47"/>
      <c r="I51" s="47"/>
      <c r="J51" s="47"/>
      <c r="P51" s="27">
        <v>1</v>
      </c>
      <c r="Q51" s="30">
        <v>-3.357537302136402E-2</v>
      </c>
      <c r="R51" s="30">
        <v>1005.6034997546008</v>
      </c>
      <c r="S51" s="30">
        <f>ABS(Q51)/'İtme Analizi'!$C$17</f>
        <v>2.4761704126997658E-2</v>
      </c>
      <c r="T51" s="30">
        <f>ABS(R51)/'İtme Analizi'!$C$14</f>
        <v>0.56531737073601784</v>
      </c>
      <c r="U51" s="30">
        <f t="shared" si="0"/>
        <v>7.0302415252707189E-3</v>
      </c>
    </row>
    <row r="52" spans="2:21" ht="13.9" customHeight="1" x14ac:dyDescent="0.2">
      <c r="B52" s="27">
        <v>46</v>
      </c>
      <c r="C52" s="30">
        <v>-3.1391681754697386E-2</v>
      </c>
      <c r="D52" s="30">
        <v>941.24862871744381</v>
      </c>
      <c r="E52" s="30">
        <f>ABS(C52)/'İtme Analizi'!$C$17</f>
        <v>2.3151240498924131E-2</v>
      </c>
      <c r="F52" s="30">
        <f>ABS(D52)/'İtme Analizi'!$C$14</f>
        <v>0.52913916879294665</v>
      </c>
      <c r="G52" s="30">
        <f t="shared" si="1"/>
        <v>6.1461548798314048E-3</v>
      </c>
      <c r="H52" s="47"/>
      <c r="I52" s="47"/>
      <c r="J52" s="47"/>
      <c r="P52" s="27">
        <v>2</v>
      </c>
      <c r="Q52" s="30">
        <v>-3.4394257821364023E-2</v>
      </c>
      <c r="R52" s="30">
        <v>1029.6250891523855</v>
      </c>
      <c r="S52" s="30">
        <f>ABS(Q52)/'İtme Analizi'!$C$17</f>
        <v>2.5365628411585458E-2</v>
      </c>
      <c r="T52" s="30">
        <f>ABS(R52)/'İtme Analizi'!$C$14</f>
        <v>0.5788215219870525</v>
      </c>
      <c r="U52" s="30">
        <f t="shared" si="0"/>
        <v>7.3757281563991478E-3</v>
      </c>
    </row>
    <row r="53" spans="2:21" ht="13.9" customHeight="1" x14ac:dyDescent="0.2">
      <c r="B53" s="27">
        <v>47</v>
      </c>
      <c r="C53" s="30">
        <v>-3.2074085788030719E-2</v>
      </c>
      <c r="D53" s="30">
        <v>961.08878973567846</v>
      </c>
      <c r="E53" s="30">
        <f>ABS(C53)/'İtme Analizi'!$C$17</f>
        <v>2.3654510760663827E-2</v>
      </c>
      <c r="F53" s="30">
        <f>ABS(D53)/'İtme Analizi'!$C$14</f>
        <v>0.54029265788138436</v>
      </c>
      <c r="G53" s="30">
        <f t="shared" si="1"/>
        <v>6.4152614974929811E-3</v>
      </c>
      <c r="H53" s="47"/>
      <c r="I53" s="47"/>
      <c r="J53" s="47"/>
      <c r="P53" s="27">
        <v>3</v>
      </c>
      <c r="Q53" s="30">
        <v>-3.5213142621364019E-2</v>
      </c>
      <c r="R53" s="30">
        <v>1053.6444611507811</v>
      </c>
      <c r="S53" s="30">
        <f>ABS(Q53)/'İtme Analizi'!$C$17</f>
        <v>2.5969552696173251E-2</v>
      </c>
      <c r="T53" s="30">
        <f>ABS(R53)/'İtme Analizi'!$C$14</f>
        <v>0.59232442668873353</v>
      </c>
      <c r="U53" s="30">
        <f t="shared" si="0"/>
        <v>7.7293698960001055E-3</v>
      </c>
    </row>
    <row r="54" spans="2:21" ht="13.9" customHeight="1" x14ac:dyDescent="0.2">
      <c r="B54" s="27">
        <v>48</v>
      </c>
      <c r="C54" s="30">
        <v>-3.275648982136406E-2</v>
      </c>
      <c r="D54" s="30">
        <v>980.92884897322324</v>
      </c>
      <c r="E54" s="30">
        <f>ABS(C54)/'İtme Analizi'!$C$17</f>
        <v>2.415778102240353E-2</v>
      </c>
      <c r="F54" s="30">
        <f>ABS(D54)/'İtme Analizi'!$C$14</f>
        <v>0.55144608975204978</v>
      </c>
      <c r="G54" s="30">
        <f t="shared" si="1"/>
        <v>6.6899813201294085E-3</v>
      </c>
      <c r="H54" s="47"/>
      <c r="I54" s="47"/>
      <c r="J54" s="47"/>
      <c r="P54" s="27">
        <v>4</v>
      </c>
      <c r="Q54" s="30">
        <v>-3.6032027421364021E-2</v>
      </c>
      <c r="R54" s="30">
        <v>1077.6604126448483</v>
      </c>
      <c r="S54" s="30">
        <f>ABS(Q54)/'İtme Analizi'!$C$17</f>
        <v>2.6573476980761047E-2</v>
      </c>
      <c r="T54" s="30">
        <f>ABS(R54)/'İtme Analizi'!$C$14</f>
        <v>0.6058254084948459</v>
      </c>
      <c r="U54" s="30">
        <f t="shared" si="0"/>
        <v>8.0911657870212199E-3</v>
      </c>
    </row>
    <row r="55" spans="2:21" ht="13.9" customHeight="1" x14ac:dyDescent="0.2">
      <c r="B55" s="27">
        <v>49</v>
      </c>
      <c r="C55" s="30">
        <v>-3.3438893854697394E-2</v>
      </c>
      <c r="D55" s="30">
        <v>1000.7657525034249</v>
      </c>
      <c r="E55" s="30">
        <f>ABS(C55)/'İtme Analizi'!$C$17</f>
        <v>2.466105128414323E-2</v>
      </c>
      <c r="F55" s="30">
        <f>ABS(D55)/'İtme Analizi'!$C$14</f>
        <v>0.56259774758734393</v>
      </c>
      <c r="G55" s="30">
        <f t="shared" si="1"/>
        <v>6.9703138869330562E-3</v>
      </c>
      <c r="H55" s="47"/>
      <c r="I55" s="47"/>
      <c r="J55" s="47"/>
      <c r="P55" s="27">
        <v>5</v>
      </c>
      <c r="Q55" s="30">
        <v>-3.6850912221364024E-2</v>
      </c>
      <c r="R55" s="30">
        <v>1100.6793252823563</v>
      </c>
      <c r="S55" s="30">
        <f>ABS(Q55)/'İtme Analizi'!$C$17</f>
        <v>2.7177401265348844E-2</v>
      </c>
      <c r="T55" s="30">
        <f>ABS(R55)/'İtme Analizi'!$C$14</f>
        <v>0.61876588769227681</v>
      </c>
      <c r="U55" s="30">
        <f t="shared" si="0"/>
        <v>8.4609459982523446E-3</v>
      </c>
    </row>
    <row r="56" spans="2:21" ht="13.9" customHeight="1" x14ac:dyDescent="0.2">
      <c r="B56" s="27">
        <v>50</v>
      </c>
      <c r="C56" s="30">
        <v>-3.4121297888030727E-2</v>
      </c>
      <c r="D56" s="30">
        <v>1020.6035048495493</v>
      </c>
      <c r="E56" s="30">
        <f>ABS(C56)/'İtme Analizi'!$C$17</f>
        <v>2.5164321545882926E-2</v>
      </c>
      <c r="F56" s="30">
        <f>ABS(D56)/'İtme Analizi'!$C$14</f>
        <v>0.57374988259916515</v>
      </c>
      <c r="G56" s="30">
        <f t="shared" si="1"/>
        <v>7.2562588715686799E-3</v>
      </c>
      <c r="H56" s="47"/>
      <c r="I56" s="47"/>
      <c r="J56" s="47"/>
      <c r="P56" s="27">
        <v>6</v>
      </c>
      <c r="Q56" s="30">
        <v>-3.766979702136402E-2</v>
      </c>
      <c r="R56" s="30">
        <v>1123.9329918505848</v>
      </c>
      <c r="S56" s="30">
        <f>ABS(Q56)/'İtme Analizi'!$C$17</f>
        <v>2.7781325549936637E-2</v>
      </c>
      <c r="T56" s="30">
        <f>ABS(R56)/'İtme Analizi'!$C$14</f>
        <v>0.63183833786526344</v>
      </c>
      <c r="U56" s="30">
        <f t="shared" si="0"/>
        <v>8.8385811293634989E-3</v>
      </c>
    </row>
    <row r="57" spans="2:21" ht="13.9" customHeight="1" x14ac:dyDescent="0.2">
      <c r="B57" s="27">
        <v>51</v>
      </c>
      <c r="C57" s="30">
        <v>-3.4803701921364061E-2</v>
      </c>
      <c r="D57" s="30">
        <v>1040.4410240050061</v>
      </c>
      <c r="E57" s="30">
        <f>ABS(C57)/'İtme Analizi'!$C$17</f>
        <v>2.5667591807622625E-2</v>
      </c>
      <c r="F57" s="30">
        <f>ABS(D57)/'İtme Analizi'!$C$14</f>
        <v>0.58490188651882624</v>
      </c>
      <c r="G57" s="30">
        <f t="shared" si="1"/>
        <v>7.5478163611232682E-3</v>
      </c>
      <c r="H57" s="47"/>
      <c r="I57" s="47"/>
      <c r="J57" s="47"/>
      <c r="P57" s="27">
        <v>7</v>
      </c>
      <c r="Q57" s="30">
        <v>-3.8488681821364022E-2</v>
      </c>
      <c r="R57" s="30">
        <v>1147.1949519372977</v>
      </c>
      <c r="S57" s="30">
        <f>ABS(Q57)/'İtme Analizi'!$C$17</f>
        <v>2.8385249834524437E-2</v>
      </c>
      <c r="T57" s="30">
        <f>ABS(R57)/'İtme Analizi'!$C$14</f>
        <v>0.6449154503828668</v>
      </c>
      <c r="U57" s="30">
        <f t="shared" si="0"/>
        <v>9.2241124384447558E-3</v>
      </c>
    </row>
    <row r="58" spans="2:21" ht="13.9" customHeight="1" x14ac:dyDescent="0.2">
      <c r="B58" s="27">
        <v>52</v>
      </c>
      <c r="C58" s="30">
        <v>-3.5486105954697394E-2</v>
      </c>
      <c r="D58" s="30">
        <v>1060.2755452783563</v>
      </c>
      <c r="E58" s="30">
        <f>ABS(C58)/'İtme Analizi'!$C$17</f>
        <v>2.6170862069362321E-2</v>
      </c>
      <c r="F58" s="30">
        <f>ABS(D58)/'İtme Analizi'!$C$14</f>
        <v>0.59605220512729795</v>
      </c>
      <c r="G58" s="30">
        <f t="shared" si="1"/>
        <v>7.8449858985259226E-3</v>
      </c>
      <c r="H58" s="47"/>
      <c r="I58" s="47"/>
      <c r="J58" s="47"/>
      <c r="P58" s="27">
        <v>8</v>
      </c>
      <c r="Q58" s="30">
        <v>-3.9307566621364018E-2</v>
      </c>
      <c r="R58" s="30">
        <v>1170.3704838034337</v>
      </c>
      <c r="S58" s="30">
        <f>ABS(Q58)/'İtme Analizi'!$C$17</f>
        <v>2.898917411911223E-2</v>
      </c>
      <c r="T58" s="30">
        <f>ABS(R58)/'İtme Analizi'!$C$14</f>
        <v>0.65794397578395181</v>
      </c>
      <c r="U58" s="30">
        <f t="shared" si="0"/>
        <v>9.6175266618778853E-3</v>
      </c>
    </row>
    <row r="59" spans="2:21" ht="13.9" customHeight="1" x14ac:dyDescent="0.2">
      <c r="B59" s="27">
        <v>53</v>
      </c>
      <c r="C59" s="30">
        <v>-3.6168509988030728E-2</v>
      </c>
      <c r="D59" s="30">
        <v>1080.1073065277897</v>
      </c>
      <c r="E59" s="30">
        <f>ABS(C59)/'İtme Analizi'!$C$17</f>
        <v>2.6674132331102021E-2</v>
      </c>
      <c r="F59" s="30">
        <f>ABS(D59)/'İtme Analizi'!$C$14</f>
        <v>0.60720097214066859</v>
      </c>
      <c r="G59" s="30">
        <f t="shared" si="1"/>
        <v>8.14776666925731E-3</v>
      </c>
      <c r="H59" s="47"/>
      <c r="I59" s="47"/>
      <c r="J59" s="47"/>
      <c r="P59" s="27">
        <v>9</v>
      </c>
      <c r="Q59" s="30">
        <v>-4.0126451421364021E-2</v>
      </c>
      <c r="R59" s="30">
        <v>1193.5293243628153</v>
      </c>
      <c r="S59" s="30">
        <f>ABS(Q59)/'İtme Analizi'!$C$17</f>
        <v>2.9593098403700027E-2</v>
      </c>
      <c r="T59" s="30">
        <f>ABS(R59)/'İtme Analizi'!$C$14</f>
        <v>0.67096311787874285</v>
      </c>
      <c r="U59" s="30">
        <f t="shared" si="0"/>
        <v>1.0018806294789831E-2</v>
      </c>
    </row>
    <row r="60" spans="2:21" ht="13.9" customHeight="1" x14ac:dyDescent="0.2">
      <c r="B60" s="27">
        <v>54</v>
      </c>
      <c r="C60" s="30">
        <v>-3.6850914021364062E-2</v>
      </c>
      <c r="D60" s="30">
        <v>1098.9911958682451</v>
      </c>
      <c r="E60" s="30">
        <f>ABS(C60)/'İtme Analizi'!$C$17</f>
        <v>2.7177402592841716E-2</v>
      </c>
      <c r="F60" s="30">
        <f>ABS(D60)/'İtme Analizi'!$C$14</f>
        <v>0.61781687659388629</v>
      </c>
      <c r="G60" s="30">
        <f t="shared" si="1"/>
        <v>8.4560241959415298E-3</v>
      </c>
      <c r="H60" s="47"/>
      <c r="I60" s="47"/>
      <c r="J60" s="47"/>
      <c r="P60" s="27">
        <v>10</v>
      </c>
      <c r="Q60" s="30">
        <v>-4.0945336221364016E-2</v>
      </c>
      <c r="R60" s="30">
        <v>1216.6888073171506</v>
      </c>
      <c r="S60" s="30">
        <f>ABS(Q60)/'İtme Analizi'!$C$17</f>
        <v>3.019702268828782E-2</v>
      </c>
      <c r="T60" s="30">
        <f>ABS(R60)/'İtme Analizi'!$C$14</f>
        <v>0.68398262110694896</v>
      </c>
      <c r="U60" s="30">
        <f t="shared" si="0"/>
        <v>1.0427948612825937E-2</v>
      </c>
    </row>
    <row r="61" spans="2:21" ht="13.9" customHeight="1" x14ac:dyDescent="0.2">
      <c r="B61" s="27">
        <v>55</v>
      </c>
      <c r="C61" s="30">
        <v>-3.7533318054697395E-2</v>
      </c>
      <c r="D61" s="30">
        <v>1118.198547569116</v>
      </c>
      <c r="E61" s="30">
        <f>ABS(C61)/'İtme Analizi'!$C$17</f>
        <v>2.7680672854581416E-2</v>
      </c>
      <c r="F61" s="30">
        <f>ABS(D61)/'İtme Analizi'!$C$14</f>
        <v>0.62861462099810528</v>
      </c>
      <c r="G61" s="30">
        <f t="shared" si="1"/>
        <v>8.7696701489583927E-3</v>
      </c>
      <c r="H61" s="47"/>
      <c r="I61" s="47"/>
      <c r="J61" s="47"/>
      <c r="P61" s="27"/>
      <c r="Q61" s="30"/>
      <c r="R61" s="30"/>
      <c r="S61" s="30">
        <f>ABS(Q61)/'İtme Analizi'!$C$17</f>
        <v>0</v>
      </c>
      <c r="T61" s="30">
        <f>ABS(R61)/'İtme Analizi'!$C$14</f>
        <v>0</v>
      </c>
      <c r="U61" s="30">
        <f t="shared" si="0"/>
        <v>1.00829248845382E-4</v>
      </c>
    </row>
    <row r="62" spans="2:21" ht="13.9" customHeight="1" x14ac:dyDescent="0.2">
      <c r="B62" s="27">
        <v>56</v>
      </c>
      <c r="C62" s="30">
        <v>-3.8215722088030729E-2</v>
      </c>
      <c r="D62" s="30">
        <v>1137.4084721265269</v>
      </c>
      <c r="E62" s="30">
        <f>ABS(C62)/'İtme Analizi'!$C$17</f>
        <v>2.8183943116321112E-2</v>
      </c>
      <c r="F62" s="30">
        <f>ABS(D62)/'İtme Analizi'!$C$14</f>
        <v>0.63941381177805279</v>
      </c>
      <c r="G62" s="30">
        <f t="shared" si="1"/>
        <v>9.0887506495867104E-3</v>
      </c>
      <c r="H62" s="47"/>
      <c r="I62" s="47"/>
      <c r="J62" s="47"/>
      <c r="P62" s="27"/>
      <c r="Q62" s="30"/>
      <c r="R62" s="30"/>
      <c r="S62" s="30">
        <f>ABS(Q62)/'İtme Analizi'!$C$17</f>
        <v>0</v>
      </c>
      <c r="T62" s="30">
        <f>ABS(R62)/'İtme Analizi'!$C$14</f>
        <v>0</v>
      </c>
      <c r="U62" s="30">
        <f t="shared" si="0"/>
        <v>1.00829248845382E-4</v>
      </c>
    </row>
    <row r="63" spans="2:21" ht="13.9" customHeight="1" x14ac:dyDescent="0.2">
      <c r="B63" s="27">
        <v>57</v>
      </c>
      <c r="C63" s="30">
        <v>-3.8898126121364063E-2</v>
      </c>
      <c r="D63" s="30">
        <v>1156.600145686856</v>
      </c>
      <c r="E63" s="30">
        <f>ABS(C63)/'İtme Analizi'!$C$17</f>
        <v>2.8687213378060811E-2</v>
      </c>
      <c r="F63" s="30">
        <f>ABS(D63)/'İtme Analizi'!$C$14</f>
        <v>0.6502027424448581</v>
      </c>
      <c r="G63" s="30">
        <f t="shared" si="1"/>
        <v>9.413263479980517E-3</v>
      </c>
      <c r="H63" s="47"/>
      <c r="I63" s="47"/>
      <c r="J63" s="47"/>
      <c r="P63" s="27"/>
      <c r="Q63" s="30"/>
      <c r="R63" s="30"/>
      <c r="S63" s="30">
        <f>ABS(Q63)/'İtme Analizi'!$C$17</f>
        <v>0</v>
      </c>
      <c r="T63" s="30">
        <f>ABS(R63)/'İtme Analizi'!$C$14</f>
        <v>0</v>
      </c>
      <c r="U63" s="30">
        <f t="shared" si="0"/>
        <v>1.00829248845382E-4</v>
      </c>
    </row>
    <row r="64" spans="2:21" ht="13.9" customHeight="1" x14ac:dyDescent="0.2">
      <c r="B64" s="27">
        <v>58</v>
      </c>
      <c r="C64" s="30">
        <v>-3.9580530154697403E-2</v>
      </c>
      <c r="D64" s="30">
        <v>1175.7217685568912</v>
      </c>
      <c r="E64" s="30">
        <f>ABS(C64)/'İtme Analizi'!$C$17</f>
        <v>2.9190483639800514E-2</v>
      </c>
      <c r="F64" s="30">
        <f>ABS(D64)/'İtme Analizi'!$C$14</f>
        <v>0.66095229290657787</v>
      </c>
      <c r="G64" s="30">
        <f t="shared" si="1"/>
        <v>9.7431961488918407E-3</v>
      </c>
      <c r="H64" s="47"/>
      <c r="I64" s="47"/>
      <c r="J64" s="47"/>
      <c r="P64" s="27"/>
      <c r="Q64" s="30"/>
      <c r="R64" s="30"/>
      <c r="S64" s="30">
        <f>ABS(Q64)/'İtme Analizi'!$C$17</f>
        <v>0</v>
      </c>
      <c r="T64" s="30">
        <f>ABS(R64)/'İtme Analizi'!$C$14</f>
        <v>0</v>
      </c>
      <c r="U64" s="30">
        <f t="shared" si="0"/>
        <v>1.00829248845382E-4</v>
      </c>
    </row>
    <row r="65" spans="2:21" ht="13.9" customHeight="1" x14ac:dyDescent="0.2">
      <c r="B65" s="27">
        <v>59</v>
      </c>
      <c r="C65" s="30">
        <v>-4.0262934188030737E-2</v>
      </c>
      <c r="D65" s="30">
        <v>1194.8572539254869</v>
      </c>
      <c r="E65" s="30">
        <f>ABS(C65)/'İtme Analizi'!$C$17</f>
        <v>2.969375390154021E-2</v>
      </c>
      <c r="F65" s="30">
        <f>ABS(D65)/'İtme Analizi'!$C$14</f>
        <v>0.6717096364112215</v>
      </c>
      <c r="G65" s="30">
        <f t="shared" si="1"/>
        <v>1.0078540707880989E-2</v>
      </c>
      <c r="H65" s="47"/>
      <c r="I65" s="47"/>
      <c r="J65" s="47"/>
      <c r="P65" s="27"/>
      <c r="Q65" s="30"/>
      <c r="R65" s="30"/>
      <c r="S65" s="30">
        <f>ABS(Q65)/'İtme Analizi'!$C$17</f>
        <v>0</v>
      </c>
      <c r="T65" s="30">
        <f>ABS(R65)/'İtme Analizi'!$C$14</f>
        <v>0</v>
      </c>
      <c r="U65" s="30">
        <f t="shared" si="0"/>
        <v>1.00829248845382E-4</v>
      </c>
    </row>
    <row r="66" spans="2:21" ht="13.9" customHeight="1" x14ac:dyDescent="0.2">
      <c r="B66" s="27">
        <v>60</v>
      </c>
      <c r="C66" s="30">
        <v>-4.0945338221364043E-2</v>
      </c>
      <c r="D66" s="30">
        <v>1213.9826003699823</v>
      </c>
      <c r="E66" s="30">
        <f>ABS(C66)/'İtme Analizi'!$C$17</f>
        <v>3.0197024163279889E-2</v>
      </c>
      <c r="F66" s="30">
        <f>ABS(D66)/'İtme Analizi'!$C$14</f>
        <v>0.68246128014461738</v>
      </c>
      <c r="G66" s="30">
        <f t="shared" si="1"/>
        <v>1.0419297683688647E-2</v>
      </c>
      <c r="H66" s="47"/>
      <c r="I66" s="47"/>
      <c r="J66" s="47"/>
      <c r="P66" s="27"/>
      <c r="Q66" s="30"/>
      <c r="R66" s="30"/>
      <c r="S66" s="30">
        <f>ABS(Q66)/'İtme Analizi'!$C$17</f>
        <v>0</v>
      </c>
      <c r="T66" s="30">
        <f>ABS(R66)/'İtme Analizi'!$C$14</f>
        <v>0</v>
      </c>
      <c r="U66" s="30">
        <f t="shared" si="0"/>
        <v>1.00829248845382E-4</v>
      </c>
    </row>
    <row r="67" spans="2:21" ht="13.9" customHeight="1" x14ac:dyDescent="0.2">
      <c r="B67" s="27"/>
      <c r="C67" s="30"/>
      <c r="D67" s="30"/>
      <c r="E67" s="30">
        <f>ABS(C67)/'İtme Analizi'!$C$17</f>
        <v>0</v>
      </c>
      <c r="F67" s="30">
        <f>ABS(D67)/'İtme Analizi'!$C$14</f>
        <v>0</v>
      </c>
      <c r="G67" s="30">
        <f t="shared" si="1"/>
        <v>1.1514780017367852E-4</v>
      </c>
      <c r="H67" s="47"/>
      <c r="I67" s="47"/>
      <c r="J67" s="47"/>
      <c r="P67" s="27"/>
      <c r="Q67" s="30"/>
      <c r="R67" s="30"/>
      <c r="S67" s="30">
        <f>ABS(Q67)/'İtme Analizi'!$C$17</f>
        <v>0</v>
      </c>
      <c r="T67" s="30">
        <f>ABS(R67)/'İtme Analizi'!$C$14</f>
        <v>0</v>
      </c>
      <c r="U67" s="30">
        <f t="shared" si="0"/>
        <v>1.00829248845382E-4</v>
      </c>
    </row>
    <row r="68" spans="2:21" ht="13.9" customHeight="1" x14ac:dyDescent="0.2">
      <c r="B68" s="27"/>
      <c r="C68" s="30"/>
      <c r="D68" s="30"/>
      <c r="E68" s="30">
        <f>ABS(C68)/'İtme Analizi'!$C$17</f>
        <v>0</v>
      </c>
      <c r="F68" s="30">
        <f>ABS(D68)/'İtme Analizi'!$C$14</f>
        <v>0</v>
      </c>
      <c r="G68" s="30">
        <f t="shared" si="1"/>
        <v>1.1514780017367852E-4</v>
      </c>
      <c r="H68" s="47"/>
      <c r="I68" s="47"/>
      <c r="J68" s="47"/>
      <c r="P68" s="27"/>
      <c r="Q68" s="30"/>
      <c r="R68" s="30"/>
      <c r="S68" s="30">
        <f>ABS(Q68)/'İtme Analizi'!$C$17</f>
        <v>0</v>
      </c>
      <c r="T68" s="30">
        <f>ABS(R68)/'İtme Analizi'!$C$14</f>
        <v>0</v>
      </c>
      <c r="U68" s="30">
        <f t="shared" si="0"/>
        <v>1.00829248845382E-4</v>
      </c>
    </row>
    <row r="69" spans="2:21" ht="13.9" customHeight="1" x14ac:dyDescent="0.2">
      <c r="B69" s="27"/>
      <c r="C69" s="30"/>
      <c r="D69" s="30"/>
      <c r="E69" s="30">
        <f>ABS(C69)/'İtme Analizi'!$C$17</f>
        <v>0</v>
      </c>
      <c r="F69" s="30">
        <f>ABS(D69)/'İtme Analizi'!$C$14</f>
        <v>0</v>
      </c>
      <c r="G69" s="30">
        <f t="shared" si="1"/>
        <v>1.1514780017367852E-4</v>
      </c>
      <c r="H69" s="47"/>
      <c r="I69" s="47"/>
      <c r="J69" s="47"/>
      <c r="P69" s="27"/>
      <c r="Q69" s="30"/>
      <c r="R69" s="30"/>
      <c r="S69" s="30">
        <f>ABS(Q69)/'İtme Analizi'!$C$17</f>
        <v>0</v>
      </c>
      <c r="T69" s="30">
        <f>ABS(R69)/'İtme Analizi'!$C$14</f>
        <v>0</v>
      </c>
      <c r="U69" s="30">
        <f t="shared" si="0"/>
        <v>1.00829248845382E-4</v>
      </c>
    </row>
    <row r="70" spans="2:21" ht="13.9" customHeight="1" x14ac:dyDescent="0.2">
      <c r="B70" s="27"/>
      <c r="C70" s="30"/>
      <c r="D70" s="30"/>
      <c r="E70" s="30">
        <f>ABS(C70)/'İtme Analizi'!$C$17</f>
        <v>0</v>
      </c>
      <c r="F70" s="30">
        <f>ABS(D70)/'İtme Analizi'!$C$14</f>
        <v>0</v>
      </c>
      <c r="G70" s="30">
        <f t="shared" si="1"/>
        <v>1.1514780017367852E-4</v>
      </c>
      <c r="H70" s="47"/>
      <c r="I70" s="47"/>
      <c r="J70" s="47"/>
      <c r="P70" s="27"/>
      <c r="Q70" s="30"/>
      <c r="R70" s="30"/>
      <c r="S70" s="30">
        <f>ABS(Q70)/'İtme Analizi'!$C$17</f>
        <v>0</v>
      </c>
      <c r="T70" s="30">
        <f>ABS(R70)/'İtme Analizi'!$C$14</f>
        <v>0</v>
      </c>
      <c r="U70" s="30">
        <f t="shared" si="0"/>
        <v>1.00829248845382E-4</v>
      </c>
    </row>
    <row r="71" spans="2:21" ht="13.9" customHeight="1" x14ac:dyDescent="0.2">
      <c r="B71" s="27"/>
      <c r="C71" s="30"/>
      <c r="D71" s="30"/>
      <c r="E71" s="30">
        <f>ABS(C71)/'İtme Analizi'!$C$17</f>
        <v>0</v>
      </c>
      <c r="F71" s="30">
        <f>ABS(D71)/'İtme Analizi'!$C$14</f>
        <v>0</v>
      </c>
      <c r="G71" s="30">
        <f t="shared" si="1"/>
        <v>1.1514780017367852E-4</v>
      </c>
      <c r="H71" s="47"/>
      <c r="I71" s="47"/>
      <c r="J71" s="47"/>
      <c r="P71" s="27"/>
      <c r="Q71" s="30"/>
      <c r="R71" s="30"/>
      <c r="S71" s="30">
        <f>ABS(Q71)/'İtme Analizi'!$C$17</f>
        <v>0</v>
      </c>
      <c r="T71" s="30">
        <f>ABS(R71)/'İtme Analizi'!$C$14</f>
        <v>0</v>
      </c>
      <c r="U71" s="30">
        <f t="shared" si="0"/>
        <v>1.00829248845382E-4</v>
      </c>
    </row>
    <row r="72" spans="2:21" ht="13.9" customHeight="1" x14ac:dyDescent="0.2">
      <c r="B72" s="27"/>
      <c r="C72" s="30"/>
      <c r="D72" s="30"/>
      <c r="E72" s="30">
        <f>ABS(C72)/'İtme Analizi'!$C$17</f>
        <v>0</v>
      </c>
      <c r="F72" s="30">
        <f>ABS(D72)/'İtme Analizi'!$C$14</f>
        <v>0</v>
      </c>
      <c r="G72" s="30">
        <f t="shared" si="1"/>
        <v>1.1514780017367852E-4</v>
      </c>
      <c r="H72" s="47"/>
      <c r="I72" s="47"/>
      <c r="J72" s="47"/>
      <c r="P72" s="27"/>
      <c r="Q72" s="30"/>
      <c r="R72" s="30"/>
      <c r="S72" s="30">
        <f>ABS(Q72)/'İtme Analizi'!$C$17</f>
        <v>0</v>
      </c>
      <c r="T72" s="30">
        <f>ABS(R72)/'İtme Analizi'!$C$14</f>
        <v>0</v>
      </c>
      <c r="U72" s="30">
        <f t="shared" si="0"/>
        <v>1.00829248845382E-4</v>
      </c>
    </row>
    <row r="73" spans="2:21" ht="13.9" customHeight="1" x14ac:dyDescent="0.2">
      <c r="B73" s="27"/>
      <c r="C73" s="30"/>
      <c r="D73" s="30"/>
      <c r="E73" s="30">
        <f>ABS(C73)/'İtme Analizi'!$C$17</f>
        <v>0</v>
      </c>
      <c r="F73" s="30">
        <f>ABS(D73)/'İtme Analizi'!$C$14</f>
        <v>0</v>
      </c>
      <c r="G73" s="30">
        <f t="shared" si="1"/>
        <v>1.1514780017367852E-4</v>
      </c>
      <c r="H73" s="47"/>
      <c r="I73" s="47"/>
      <c r="J73" s="47"/>
      <c r="P73" s="27"/>
      <c r="Q73" s="30"/>
      <c r="R73" s="30"/>
      <c r="S73" s="30">
        <f>ABS(Q73)/'İtme Analizi'!$C$17</f>
        <v>0</v>
      </c>
      <c r="T73" s="30">
        <f>ABS(R73)/'İtme Analizi'!$C$14</f>
        <v>0</v>
      </c>
      <c r="U73" s="30">
        <f t="shared" ref="U73:U84" si="2">U72+(S73-S72)*((T73+T72)/2)</f>
        <v>1.00829248845382E-4</v>
      </c>
    </row>
    <row r="74" spans="2:21" ht="13.9" customHeight="1" x14ac:dyDescent="0.2">
      <c r="B74" s="27"/>
      <c r="C74" s="30"/>
      <c r="D74" s="30"/>
      <c r="E74" s="30">
        <f>ABS(C74)/'İtme Analizi'!$C$17</f>
        <v>0</v>
      </c>
      <c r="F74" s="30">
        <f>ABS(D74)/'İtme Analizi'!$C$14</f>
        <v>0</v>
      </c>
      <c r="G74" s="30">
        <f t="shared" si="1"/>
        <v>1.1514780017367852E-4</v>
      </c>
      <c r="H74" s="47"/>
      <c r="I74" s="47"/>
      <c r="J74" s="47"/>
      <c r="P74" s="27"/>
      <c r="Q74" s="30"/>
      <c r="R74" s="30"/>
      <c r="S74" s="30">
        <f>ABS(Q74)/'İtme Analizi'!$C$17</f>
        <v>0</v>
      </c>
      <c r="T74" s="30">
        <f>ABS(R74)/'İtme Analizi'!$C$14</f>
        <v>0</v>
      </c>
      <c r="U74" s="30">
        <f t="shared" si="2"/>
        <v>1.00829248845382E-4</v>
      </c>
    </row>
    <row r="75" spans="2:21" ht="13.9" customHeight="1" x14ac:dyDescent="0.2">
      <c r="B75" s="27"/>
      <c r="C75" s="30"/>
      <c r="D75" s="30"/>
      <c r="E75" s="30">
        <f>ABS(C75)/'İtme Analizi'!$C$17</f>
        <v>0</v>
      </c>
      <c r="F75" s="30">
        <f>ABS(D75)/'İtme Analizi'!$C$14</f>
        <v>0</v>
      </c>
      <c r="G75" s="30">
        <f t="shared" si="1"/>
        <v>1.1514780017367852E-4</v>
      </c>
      <c r="H75" s="47"/>
      <c r="I75" s="47"/>
      <c r="J75" s="47"/>
      <c r="P75" s="27"/>
      <c r="Q75" s="30"/>
      <c r="R75" s="30"/>
      <c r="S75" s="30">
        <f>ABS(Q75)/'İtme Analizi'!$C$17</f>
        <v>0</v>
      </c>
      <c r="T75" s="30">
        <f>ABS(R75)/'İtme Analizi'!$C$14</f>
        <v>0</v>
      </c>
      <c r="U75" s="30">
        <f t="shared" si="2"/>
        <v>1.00829248845382E-4</v>
      </c>
    </row>
    <row r="76" spans="2:21" ht="13.9" customHeight="1" x14ac:dyDescent="0.2">
      <c r="B76" s="27"/>
      <c r="C76" s="30"/>
      <c r="D76" s="30"/>
      <c r="E76" s="30">
        <f>ABS(C76)/'İtme Analizi'!$C$17</f>
        <v>0</v>
      </c>
      <c r="F76" s="30">
        <f>ABS(D76)/'İtme Analizi'!$C$14</f>
        <v>0</v>
      </c>
      <c r="G76" s="30">
        <f t="shared" ref="G76:G100" si="3">G75+(E76-E75)*((F76+F75)/2)</f>
        <v>1.1514780017367852E-4</v>
      </c>
      <c r="H76" s="47"/>
      <c r="I76" s="47"/>
      <c r="J76" s="47"/>
      <c r="P76" s="27"/>
      <c r="Q76" s="30"/>
      <c r="R76" s="30"/>
      <c r="S76" s="30">
        <f>ABS(Q76)/'İtme Analizi'!$C$17</f>
        <v>0</v>
      </c>
      <c r="T76" s="30">
        <f>ABS(R76)/'İtme Analizi'!$C$14</f>
        <v>0</v>
      </c>
      <c r="U76" s="30">
        <f t="shared" si="2"/>
        <v>1.00829248845382E-4</v>
      </c>
    </row>
    <row r="77" spans="2:21" ht="13.9" customHeight="1" x14ac:dyDescent="0.2">
      <c r="B77" s="27"/>
      <c r="C77" s="30"/>
      <c r="D77" s="30"/>
      <c r="E77" s="30">
        <f>ABS(C77)/'İtme Analizi'!$C$17</f>
        <v>0</v>
      </c>
      <c r="F77" s="30">
        <f>ABS(D77)/'İtme Analizi'!$C$14</f>
        <v>0</v>
      </c>
      <c r="G77" s="30">
        <f t="shared" si="3"/>
        <v>1.1514780017367852E-4</v>
      </c>
      <c r="H77" s="47"/>
      <c r="I77" s="47"/>
      <c r="J77" s="47"/>
      <c r="P77" s="27"/>
      <c r="Q77" s="30"/>
      <c r="R77" s="30"/>
      <c r="S77" s="30">
        <f>ABS(Q77)/'İtme Analizi'!$C$17</f>
        <v>0</v>
      </c>
      <c r="T77" s="30">
        <f>ABS(R77)/'İtme Analizi'!$C$14</f>
        <v>0</v>
      </c>
      <c r="U77" s="30">
        <f t="shared" si="2"/>
        <v>1.00829248845382E-4</v>
      </c>
    </row>
    <row r="78" spans="2:21" ht="13.9" customHeight="1" x14ac:dyDescent="0.2">
      <c r="B78" s="27"/>
      <c r="C78" s="30"/>
      <c r="D78" s="30"/>
      <c r="E78" s="30">
        <f>ABS(C78)/'İtme Analizi'!$C$17</f>
        <v>0</v>
      </c>
      <c r="F78" s="30">
        <f>ABS(D78)/'İtme Analizi'!$C$14</f>
        <v>0</v>
      </c>
      <c r="G78" s="30">
        <f t="shared" si="3"/>
        <v>1.1514780017367852E-4</v>
      </c>
      <c r="H78" s="47"/>
      <c r="I78" s="47"/>
      <c r="J78" s="47"/>
      <c r="P78" s="27"/>
      <c r="Q78" s="30"/>
      <c r="R78" s="30"/>
      <c r="S78" s="30">
        <f>ABS(Q78)/'İtme Analizi'!$C$17</f>
        <v>0</v>
      </c>
      <c r="T78" s="30">
        <f>ABS(R78)/'İtme Analizi'!$C$14</f>
        <v>0</v>
      </c>
      <c r="U78" s="30">
        <f t="shared" si="2"/>
        <v>1.00829248845382E-4</v>
      </c>
    </row>
    <row r="79" spans="2:21" ht="13.9" customHeight="1" x14ac:dyDescent="0.2">
      <c r="B79" s="27"/>
      <c r="C79" s="30"/>
      <c r="D79" s="30"/>
      <c r="E79" s="30">
        <f>ABS(C79)/'İtme Analizi'!$C$17</f>
        <v>0</v>
      </c>
      <c r="F79" s="30">
        <f>ABS(D79)/'İtme Analizi'!$C$14</f>
        <v>0</v>
      </c>
      <c r="G79" s="30">
        <f t="shared" si="3"/>
        <v>1.1514780017367852E-4</v>
      </c>
      <c r="H79" s="47"/>
      <c r="I79" s="47"/>
      <c r="J79" s="47"/>
      <c r="P79" s="27"/>
      <c r="Q79" s="30"/>
      <c r="R79" s="30"/>
      <c r="S79" s="30">
        <f>ABS(Q79)/'İtme Analizi'!$C$17</f>
        <v>0</v>
      </c>
      <c r="T79" s="30">
        <f>ABS(R79)/'İtme Analizi'!$C$14</f>
        <v>0</v>
      </c>
      <c r="U79" s="30">
        <f t="shared" si="2"/>
        <v>1.00829248845382E-4</v>
      </c>
    </row>
    <row r="80" spans="2:21" ht="13.9" customHeight="1" x14ac:dyDescent="0.2">
      <c r="B80" s="27"/>
      <c r="C80" s="30"/>
      <c r="D80" s="30"/>
      <c r="E80" s="30">
        <f>ABS(C80)/'İtme Analizi'!$C$17</f>
        <v>0</v>
      </c>
      <c r="F80" s="30">
        <f>ABS(D80)/'İtme Analizi'!$C$14</f>
        <v>0</v>
      </c>
      <c r="G80" s="30">
        <f t="shared" si="3"/>
        <v>1.1514780017367852E-4</v>
      </c>
      <c r="H80" s="47"/>
      <c r="I80" s="47"/>
      <c r="J80" s="47"/>
      <c r="P80" s="27"/>
      <c r="Q80" s="30"/>
      <c r="R80" s="30"/>
      <c r="S80" s="30">
        <f>ABS(Q80)/'İtme Analizi'!$C$17</f>
        <v>0</v>
      </c>
      <c r="T80" s="30">
        <f>ABS(R80)/'İtme Analizi'!$C$14</f>
        <v>0</v>
      </c>
      <c r="U80" s="30">
        <f t="shared" si="2"/>
        <v>1.00829248845382E-4</v>
      </c>
    </row>
    <row r="81" spans="2:21" ht="13.9" customHeight="1" x14ac:dyDescent="0.2">
      <c r="B81" s="27"/>
      <c r="C81" s="30"/>
      <c r="D81" s="30"/>
      <c r="E81" s="30">
        <f>ABS(C81)/'İtme Analizi'!$C$17</f>
        <v>0</v>
      </c>
      <c r="F81" s="30">
        <f>ABS(D81)/'İtme Analizi'!$C$14</f>
        <v>0</v>
      </c>
      <c r="G81" s="30">
        <f t="shared" si="3"/>
        <v>1.1514780017367852E-4</v>
      </c>
      <c r="H81" s="47"/>
      <c r="I81" s="47"/>
      <c r="J81" s="47"/>
      <c r="P81" s="27"/>
      <c r="Q81" s="30"/>
      <c r="R81" s="30"/>
      <c r="S81" s="30">
        <f>ABS(Q81)/'İtme Analizi'!$C$17</f>
        <v>0</v>
      </c>
      <c r="T81" s="30">
        <f>ABS(R81)/'İtme Analizi'!$C$14</f>
        <v>0</v>
      </c>
      <c r="U81" s="30">
        <f t="shared" si="2"/>
        <v>1.00829248845382E-4</v>
      </c>
    </row>
    <row r="82" spans="2:21" ht="13.9" customHeight="1" x14ac:dyDescent="0.2">
      <c r="B82" s="27"/>
      <c r="C82" s="30"/>
      <c r="D82" s="30"/>
      <c r="E82" s="30">
        <f>ABS(C82)/'İtme Analizi'!$C$17</f>
        <v>0</v>
      </c>
      <c r="F82" s="30">
        <f>ABS(D82)/'İtme Analizi'!$C$14</f>
        <v>0</v>
      </c>
      <c r="G82" s="30">
        <f t="shared" si="3"/>
        <v>1.1514780017367852E-4</v>
      </c>
      <c r="H82" s="47"/>
      <c r="I82" s="47"/>
      <c r="J82" s="47"/>
      <c r="P82" s="27"/>
      <c r="Q82" s="30"/>
      <c r="R82" s="30"/>
      <c r="S82" s="30">
        <f>ABS(Q82)/'İtme Analizi'!$C$17</f>
        <v>0</v>
      </c>
      <c r="T82" s="30">
        <f>ABS(R82)/'İtme Analizi'!$C$14</f>
        <v>0</v>
      </c>
      <c r="U82" s="30">
        <f t="shared" si="2"/>
        <v>1.00829248845382E-4</v>
      </c>
    </row>
    <row r="83" spans="2:21" ht="13.9" customHeight="1" x14ac:dyDescent="0.2">
      <c r="B83" s="27"/>
      <c r="C83" s="30"/>
      <c r="D83" s="30"/>
      <c r="E83" s="30">
        <f>ABS(C83)/'İtme Analizi'!$C$17</f>
        <v>0</v>
      </c>
      <c r="F83" s="30">
        <f>ABS(D83)/'İtme Analizi'!$C$14</f>
        <v>0</v>
      </c>
      <c r="G83" s="30">
        <f t="shared" si="3"/>
        <v>1.1514780017367852E-4</v>
      </c>
      <c r="H83" s="47"/>
      <c r="I83" s="47"/>
      <c r="J83" s="47"/>
      <c r="P83" s="27"/>
      <c r="Q83" s="30"/>
      <c r="R83" s="30"/>
      <c r="S83" s="30">
        <f>ABS(Q83)/'İtme Analizi'!$C$17</f>
        <v>0</v>
      </c>
      <c r="T83" s="30">
        <f>ABS(R83)/'İtme Analizi'!$C$14</f>
        <v>0</v>
      </c>
      <c r="U83" s="30">
        <f t="shared" si="2"/>
        <v>1.00829248845382E-4</v>
      </c>
    </row>
    <row r="84" spans="2:21" ht="13.9" customHeight="1" x14ac:dyDescent="0.2">
      <c r="B84" s="27"/>
      <c r="C84" s="30"/>
      <c r="D84" s="30"/>
      <c r="E84" s="30">
        <f>ABS(C84)/'İtme Analizi'!$C$17</f>
        <v>0</v>
      </c>
      <c r="F84" s="30">
        <f>ABS(D84)/'İtme Analizi'!$C$14</f>
        <v>0</v>
      </c>
      <c r="G84" s="30">
        <f t="shared" si="3"/>
        <v>1.1514780017367852E-4</v>
      </c>
      <c r="H84" s="47"/>
      <c r="I84" s="47"/>
      <c r="J84" s="48"/>
      <c r="P84" s="27"/>
      <c r="Q84" s="30"/>
      <c r="R84" s="30"/>
      <c r="S84" s="30">
        <f>ABS(Q84)/'İtme Analizi'!$C$17</f>
        <v>0</v>
      </c>
      <c r="T84" s="30">
        <f>ABS(R84)/'İtme Analizi'!$C$14</f>
        <v>0</v>
      </c>
      <c r="U84" s="30">
        <f t="shared" si="2"/>
        <v>1.00829248845382E-4</v>
      </c>
    </row>
    <row r="85" spans="2:21" ht="13.9" customHeight="1" x14ac:dyDescent="0.2">
      <c r="B85" s="27"/>
      <c r="C85" s="30"/>
      <c r="D85" s="30"/>
      <c r="E85" s="30">
        <f>ABS(C85)/'İtme Analizi'!$C$17</f>
        <v>0</v>
      </c>
      <c r="F85" s="30">
        <f>ABS(D85)/'İtme Analizi'!$C$14</f>
        <v>0</v>
      </c>
      <c r="G85" s="30">
        <f t="shared" si="3"/>
        <v>1.1514780017367852E-4</v>
      </c>
      <c r="H85" s="47"/>
      <c r="I85" s="47"/>
      <c r="J85" s="47"/>
      <c r="P85" s="27"/>
      <c r="Q85" s="30"/>
      <c r="R85" s="30"/>
      <c r="S85" s="30">
        <f>ABS(Q85)/'İtme Analizi'!$C$17</f>
        <v>0</v>
      </c>
      <c r="T85" s="30">
        <f>ABS(R85)/'İtme Analizi'!$C$14</f>
        <v>0</v>
      </c>
      <c r="U85" s="30">
        <f t="shared" ref="U85:U106" si="4">U84+(S85-S84)*((T85+T84)/2)</f>
        <v>1.00829248845382E-4</v>
      </c>
    </row>
    <row r="86" spans="2:21" ht="13.9" customHeight="1" x14ac:dyDescent="0.2">
      <c r="B86" s="27"/>
      <c r="C86" s="30"/>
      <c r="D86" s="30"/>
      <c r="E86" s="30">
        <f>ABS(C86)/'İtme Analizi'!$C$17</f>
        <v>0</v>
      </c>
      <c r="F86" s="30">
        <f>ABS(D86)/'İtme Analizi'!$C$14</f>
        <v>0</v>
      </c>
      <c r="G86" s="30">
        <f t="shared" si="3"/>
        <v>1.1514780017367852E-4</v>
      </c>
      <c r="H86" s="47"/>
      <c r="I86" s="47"/>
      <c r="J86" s="47"/>
      <c r="P86" s="27"/>
      <c r="Q86" s="30"/>
      <c r="R86" s="30"/>
      <c r="S86" s="30">
        <f>ABS(Q86)/'İtme Analizi'!$C$17</f>
        <v>0</v>
      </c>
      <c r="T86" s="30">
        <f>ABS(R86)/'İtme Analizi'!$C$14</f>
        <v>0</v>
      </c>
      <c r="U86" s="30">
        <f t="shared" si="4"/>
        <v>1.00829248845382E-4</v>
      </c>
    </row>
    <row r="87" spans="2:21" ht="13.9" customHeight="1" x14ac:dyDescent="0.2">
      <c r="B87" s="27"/>
      <c r="C87" s="30"/>
      <c r="D87" s="30"/>
      <c r="E87" s="30">
        <f>ABS(C87)/'İtme Analizi'!$C$17</f>
        <v>0</v>
      </c>
      <c r="F87" s="30">
        <f>ABS(D87)/'İtme Analizi'!$C$14</f>
        <v>0</v>
      </c>
      <c r="G87" s="30">
        <f t="shared" si="3"/>
        <v>1.1514780017367852E-4</v>
      </c>
      <c r="P87" s="27"/>
      <c r="Q87" s="30"/>
      <c r="R87" s="30"/>
      <c r="S87" s="30">
        <f>ABS(Q87)/'İtme Analizi'!$C$17</f>
        <v>0</v>
      </c>
      <c r="T87" s="30">
        <f>ABS(R87)/'İtme Analizi'!$C$14</f>
        <v>0</v>
      </c>
      <c r="U87" s="30">
        <f t="shared" si="4"/>
        <v>1.00829248845382E-4</v>
      </c>
    </row>
    <row r="88" spans="2:21" ht="13.9" customHeight="1" x14ac:dyDescent="0.2">
      <c r="B88" s="27"/>
      <c r="C88" s="30"/>
      <c r="D88" s="30"/>
      <c r="E88" s="30">
        <f>ABS(C88)/'İtme Analizi'!$C$17</f>
        <v>0</v>
      </c>
      <c r="F88" s="30">
        <f>ABS(D88)/'İtme Analizi'!$C$14</f>
        <v>0</v>
      </c>
      <c r="G88" s="30">
        <f t="shared" si="3"/>
        <v>1.1514780017367852E-4</v>
      </c>
      <c r="P88" s="27"/>
      <c r="Q88" s="30"/>
      <c r="R88" s="30"/>
      <c r="S88" s="30">
        <f>ABS(Q88)/'İtme Analizi'!$C$17</f>
        <v>0</v>
      </c>
      <c r="T88" s="30">
        <f>ABS(R88)/'İtme Analizi'!$C$14</f>
        <v>0</v>
      </c>
      <c r="U88" s="30">
        <f t="shared" si="4"/>
        <v>1.00829248845382E-4</v>
      </c>
    </row>
    <row r="89" spans="2:21" ht="13.9" customHeight="1" x14ac:dyDescent="0.2">
      <c r="B89" s="27"/>
      <c r="C89" s="30"/>
      <c r="D89" s="30"/>
      <c r="E89" s="30">
        <f>ABS(C89)/'İtme Analizi'!$C$17</f>
        <v>0</v>
      </c>
      <c r="F89" s="30">
        <f>ABS(D89)/'İtme Analizi'!$C$14</f>
        <v>0</v>
      </c>
      <c r="G89" s="30">
        <f t="shared" si="3"/>
        <v>1.1514780017367852E-4</v>
      </c>
      <c r="P89" s="27"/>
      <c r="Q89" s="30"/>
      <c r="R89" s="30"/>
      <c r="S89" s="30">
        <f>ABS(Q89)/'İtme Analizi'!$C$17</f>
        <v>0</v>
      </c>
      <c r="T89" s="30">
        <f>ABS(R89)/'İtme Analizi'!$C$14</f>
        <v>0</v>
      </c>
      <c r="U89" s="30">
        <f t="shared" si="4"/>
        <v>1.00829248845382E-4</v>
      </c>
    </row>
    <row r="90" spans="2:21" ht="13.9" customHeight="1" x14ac:dyDescent="0.2">
      <c r="B90" s="27"/>
      <c r="C90" s="30"/>
      <c r="D90" s="30"/>
      <c r="E90" s="30">
        <f>ABS(C90)/'İtme Analizi'!$C$17</f>
        <v>0</v>
      </c>
      <c r="F90" s="30">
        <f>ABS(D90)/'İtme Analizi'!$C$14</f>
        <v>0</v>
      </c>
      <c r="G90" s="30">
        <f t="shared" si="3"/>
        <v>1.1514780017367852E-4</v>
      </c>
      <c r="P90" s="27"/>
      <c r="Q90" s="30"/>
      <c r="R90" s="30"/>
      <c r="S90" s="30">
        <f>ABS(Q90)/'İtme Analizi'!$C$17</f>
        <v>0</v>
      </c>
      <c r="T90" s="30">
        <f>ABS(R90)/'İtme Analizi'!$C$14</f>
        <v>0</v>
      </c>
      <c r="U90" s="30">
        <f t="shared" si="4"/>
        <v>1.00829248845382E-4</v>
      </c>
    </row>
    <row r="91" spans="2:21" ht="13.9" customHeight="1" x14ac:dyDescent="0.2">
      <c r="B91" s="27"/>
      <c r="C91" s="30"/>
      <c r="D91" s="30"/>
      <c r="E91" s="30">
        <f>ABS(C91)/'İtme Analizi'!$C$17</f>
        <v>0</v>
      </c>
      <c r="F91" s="30">
        <f>ABS(D91)/'İtme Analizi'!$C$14</f>
        <v>0</v>
      </c>
      <c r="G91" s="30">
        <f t="shared" si="3"/>
        <v>1.1514780017367852E-4</v>
      </c>
      <c r="P91" s="27"/>
      <c r="Q91" s="30"/>
      <c r="R91" s="30"/>
      <c r="S91" s="30">
        <f>ABS(Q91)/'İtme Analizi'!$C$17</f>
        <v>0</v>
      </c>
      <c r="T91" s="30">
        <f>ABS(R91)/'İtme Analizi'!$C$14</f>
        <v>0</v>
      </c>
      <c r="U91" s="30">
        <f t="shared" si="4"/>
        <v>1.00829248845382E-4</v>
      </c>
    </row>
    <row r="92" spans="2:21" ht="13.9" customHeight="1" x14ac:dyDescent="0.2">
      <c r="B92" s="27"/>
      <c r="C92" s="30"/>
      <c r="D92" s="30"/>
      <c r="E92" s="30">
        <f>ABS(C92)/'İtme Analizi'!$C$17</f>
        <v>0</v>
      </c>
      <c r="F92" s="30">
        <f>ABS(D92)/'İtme Analizi'!$C$14</f>
        <v>0</v>
      </c>
      <c r="G92" s="30">
        <f t="shared" si="3"/>
        <v>1.1514780017367852E-4</v>
      </c>
      <c r="P92" s="27"/>
      <c r="Q92" s="30"/>
      <c r="R92" s="30"/>
      <c r="S92" s="30">
        <f>ABS(Q92)/'İtme Analizi'!$C$17</f>
        <v>0</v>
      </c>
      <c r="T92" s="30">
        <f>ABS(R92)/'İtme Analizi'!$C$14</f>
        <v>0</v>
      </c>
      <c r="U92" s="30">
        <f t="shared" si="4"/>
        <v>1.00829248845382E-4</v>
      </c>
    </row>
    <row r="93" spans="2:21" ht="13.9" customHeight="1" x14ac:dyDescent="0.2">
      <c r="B93" s="27"/>
      <c r="C93" s="30"/>
      <c r="D93" s="30"/>
      <c r="E93" s="30">
        <f>ABS(C93)/'İtme Analizi'!$C$17</f>
        <v>0</v>
      </c>
      <c r="F93" s="30">
        <f>ABS(D93)/'İtme Analizi'!$C$14</f>
        <v>0</v>
      </c>
      <c r="G93" s="30">
        <f t="shared" si="3"/>
        <v>1.1514780017367852E-4</v>
      </c>
      <c r="P93" s="27"/>
      <c r="Q93" s="30"/>
      <c r="R93" s="30"/>
      <c r="S93" s="30">
        <f>ABS(Q93)/'İtme Analizi'!$C$17</f>
        <v>0</v>
      </c>
      <c r="T93" s="30">
        <f>ABS(R93)/'İtme Analizi'!$C$14</f>
        <v>0</v>
      </c>
      <c r="U93" s="30">
        <f t="shared" si="4"/>
        <v>1.00829248845382E-4</v>
      </c>
    </row>
    <row r="94" spans="2:21" ht="13.9" customHeight="1" x14ac:dyDescent="0.2">
      <c r="B94" s="27"/>
      <c r="C94" s="30"/>
      <c r="D94" s="30"/>
      <c r="E94" s="30">
        <f>ABS(C94)/'İtme Analizi'!$C$17</f>
        <v>0</v>
      </c>
      <c r="F94" s="30">
        <f>ABS(D94)/'İtme Analizi'!$C$14</f>
        <v>0</v>
      </c>
      <c r="G94" s="30">
        <f t="shared" si="3"/>
        <v>1.1514780017367852E-4</v>
      </c>
      <c r="P94" s="27"/>
      <c r="Q94" s="30"/>
      <c r="R94" s="30"/>
      <c r="S94" s="30">
        <f>ABS(Q94)/'İtme Analizi'!$C$17</f>
        <v>0</v>
      </c>
      <c r="T94" s="30">
        <f>ABS(R94)/'İtme Analizi'!$C$14</f>
        <v>0</v>
      </c>
      <c r="U94" s="30">
        <f t="shared" si="4"/>
        <v>1.00829248845382E-4</v>
      </c>
    </row>
    <row r="95" spans="2:21" ht="13.9" customHeight="1" x14ac:dyDescent="0.2">
      <c r="B95" s="27"/>
      <c r="C95" s="30"/>
      <c r="D95" s="30"/>
      <c r="E95" s="30">
        <f>ABS(C95)/'İtme Analizi'!$C$17</f>
        <v>0</v>
      </c>
      <c r="F95" s="30">
        <f>ABS(D95)/'İtme Analizi'!$C$14</f>
        <v>0</v>
      </c>
      <c r="G95" s="30">
        <f t="shared" si="3"/>
        <v>1.1514780017367852E-4</v>
      </c>
      <c r="P95" s="27"/>
      <c r="Q95" s="30"/>
      <c r="R95" s="30"/>
      <c r="S95" s="30">
        <f>ABS(Q95)/'İtme Analizi'!$C$17</f>
        <v>0</v>
      </c>
      <c r="T95" s="30">
        <f>ABS(R95)/'İtme Analizi'!$C$14</f>
        <v>0</v>
      </c>
      <c r="U95" s="30">
        <f t="shared" si="4"/>
        <v>1.00829248845382E-4</v>
      </c>
    </row>
    <row r="96" spans="2:21" ht="13.9" customHeight="1" x14ac:dyDescent="0.2">
      <c r="B96" s="27"/>
      <c r="C96" s="30"/>
      <c r="D96" s="30"/>
      <c r="E96" s="30">
        <f>ABS(C96)/'İtme Analizi'!$C$17</f>
        <v>0</v>
      </c>
      <c r="F96" s="30">
        <f>ABS(D96)/'İtme Analizi'!$C$14</f>
        <v>0</v>
      </c>
      <c r="G96" s="30">
        <f t="shared" si="3"/>
        <v>1.1514780017367852E-4</v>
      </c>
      <c r="P96" s="27"/>
      <c r="Q96" s="30"/>
      <c r="R96" s="30"/>
      <c r="S96" s="30">
        <f>ABS(Q96)/'İtme Analizi'!$C$17</f>
        <v>0</v>
      </c>
      <c r="T96" s="30">
        <f>ABS(R96)/'İtme Analizi'!$C$14</f>
        <v>0</v>
      </c>
      <c r="U96" s="30">
        <f t="shared" si="4"/>
        <v>1.00829248845382E-4</v>
      </c>
    </row>
    <row r="97" spans="2:21" ht="13.9" customHeight="1" x14ac:dyDescent="0.2">
      <c r="B97" s="27"/>
      <c r="C97" s="30"/>
      <c r="D97" s="30"/>
      <c r="E97" s="30">
        <f>ABS(C97)/'İtme Analizi'!$C$17</f>
        <v>0</v>
      </c>
      <c r="F97" s="30">
        <f>ABS(D97)/'İtme Analizi'!$C$14</f>
        <v>0</v>
      </c>
      <c r="G97" s="30">
        <f t="shared" si="3"/>
        <v>1.1514780017367852E-4</v>
      </c>
      <c r="P97" s="27"/>
      <c r="Q97" s="30"/>
      <c r="R97" s="30"/>
      <c r="S97" s="30">
        <f>ABS(Q97)/'İtme Analizi'!$C$17</f>
        <v>0</v>
      </c>
      <c r="T97" s="30">
        <f>ABS(R97)/'İtme Analizi'!$C$14</f>
        <v>0</v>
      </c>
      <c r="U97" s="30">
        <f t="shared" si="4"/>
        <v>1.00829248845382E-4</v>
      </c>
    </row>
    <row r="98" spans="2:21" ht="13.9" customHeight="1" x14ac:dyDescent="0.2">
      <c r="B98" s="27"/>
      <c r="C98" s="30"/>
      <c r="D98" s="30"/>
      <c r="E98" s="30">
        <f>ABS(C98)/'İtme Analizi'!$C$17</f>
        <v>0</v>
      </c>
      <c r="F98" s="30">
        <f>ABS(D98)/'İtme Analizi'!$C$14</f>
        <v>0</v>
      </c>
      <c r="G98" s="30">
        <f t="shared" si="3"/>
        <v>1.1514780017367852E-4</v>
      </c>
      <c r="P98" s="27"/>
      <c r="Q98" s="30"/>
      <c r="R98" s="30"/>
      <c r="S98" s="30">
        <f>ABS(Q98)/'İtme Analizi'!$C$17</f>
        <v>0</v>
      </c>
      <c r="T98" s="30">
        <f>ABS(R98)/'İtme Analizi'!$C$14</f>
        <v>0</v>
      </c>
      <c r="U98" s="30">
        <f t="shared" si="4"/>
        <v>1.00829248845382E-4</v>
      </c>
    </row>
    <row r="99" spans="2:21" ht="13.9" customHeight="1" x14ac:dyDescent="0.2">
      <c r="B99" s="27"/>
      <c r="C99" s="30"/>
      <c r="D99" s="30"/>
      <c r="E99" s="30">
        <f>ABS(C99)/'İtme Analizi'!$C$17</f>
        <v>0</v>
      </c>
      <c r="F99" s="30">
        <f>ABS(D99)/'İtme Analizi'!$C$14</f>
        <v>0</v>
      </c>
      <c r="G99" s="30">
        <f t="shared" si="3"/>
        <v>1.1514780017367852E-4</v>
      </c>
      <c r="P99" s="27"/>
      <c r="Q99" s="30"/>
      <c r="R99" s="30"/>
      <c r="S99" s="30">
        <f>ABS(Q99)/'İtme Analizi'!$C$17</f>
        <v>0</v>
      </c>
      <c r="T99" s="30">
        <f>ABS(R99)/'İtme Analizi'!$C$14</f>
        <v>0</v>
      </c>
      <c r="U99" s="30">
        <f t="shared" si="4"/>
        <v>1.00829248845382E-4</v>
      </c>
    </row>
    <row r="100" spans="2:21" ht="13.9" customHeight="1" x14ac:dyDescent="0.2">
      <c r="B100" s="27"/>
      <c r="C100" s="30"/>
      <c r="D100" s="30"/>
      <c r="E100" s="30">
        <f>ABS(C100)/'İtme Analizi'!$C$17</f>
        <v>0</v>
      </c>
      <c r="F100" s="30">
        <f>ABS(D100)/'İtme Analizi'!$C$14</f>
        <v>0</v>
      </c>
      <c r="G100" s="30">
        <f t="shared" si="3"/>
        <v>1.1514780017367852E-4</v>
      </c>
      <c r="P100" s="27"/>
      <c r="Q100" s="30"/>
      <c r="R100" s="30"/>
      <c r="S100" s="30">
        <f>ABS(Q100)/'İtme Analizi'!$C$17</f>
        <v>0</v>
      </c>
      <c r="T100" s="30">
        <f>ABS(R100)/'İtme Analizi'!$C$14</f>
        <v>0</v>
      </c>
      <c r="U100" s="30">
        <f t="shared" si="4"/>
        <v>1.00829248845382E-4</v>
      </c>
    </row>
    <row r="101" spans="2:21" ht="13.9" customHeight="1" x14ac:dyDescent="0.2">
      <c r="P101" s="27"/>
      <c r="Q101" s="30"/>
      <c r="R101" s="30"/>
      <c r="S101" s="30">
        <f>ABS(Q101)/'İtme Analizi'!$C$17</f>
        <v>0</v>
      </c>
      <c r="T101" s="30">
        <f>ABS(R101)/'İtme Analizi'!$C$14</f>
        <v>0</v>
      </c>
      <c r="U101" s="30">
        <f t="shared" si="4"/>
        <v>1.00829248845382E-4</v>
      </c>
    </row>
    <row r="102" spans="2:21" ht="13.9" customHeight="1" x14ac:dyDescent="0.2">
      <c r="P102" s="27"/>
      <c r="Q102" s="30"/>
      <c r="R102" s="30"/>
      <c r="S102" s="30">
        <f>ABS(Q102)/'İtme Analizi'!$C$17</f>
        <v>0</v>
      </c>
      <c r="T102" s="30">
        <f>ABS(R102)/'İtme Analizi'!$C$14</f>
        <v>0</v>
      </c>
      <c r="U102" s="30">
        <f t="shared" si="4"/>
        <v>1.00829248845382E-4</v>
      </c>
    </row>
    <row r="103" spans="2:21" ht="13.9" customHeight="1" x14ac:dyDescent="0.2">
      <c r="P103" s="27"/>
      <c r="Q103" s="30"/>
      <c r="R103" s="30"/>
      <c r="S103" s="30">
        <f>ABS(Q103)/'İtme Analizi'!$C$17</f>
        <v>0</v>
      </c>
      <c r="T103" s="30">
        <f>ABS(R103)/'İtme Analizi'!$C$14</f>
        <v>0</v>
      </c>
      <c r="U103" s="30">
        <f t="shared" si="4"/>
        <v>1.00829248845382E-4</v>
      </c>
    </row>
    <row r="104" spans="2:21" ht="13.9" customHeight="1" x14ac:dyDescent="0.2">
      <c r="P104" s="27"/>
      <c r="Q104" s="30"/>
      <c r="R104" s="30"/>
      <c r="S104" s="30">
        <f>ABS(Q104)/'İtme Analizi'!$C$17</f>
        <v>0</v>
      </c>
      <c r="T104" s="30">
        <f>ABS(R104)/'İtme Analizi'!$C$14</f>
        <v>0</v>
      </c>
      <c r="U104" s="30">
        <f t="shared" si="4"/>
        <v>1.00829248845382E-4</v>
      </c>
    </row>
    <row r="105" spans="2:21" ht="13.9" customHeight="1" x14ac:dyDescent="0.2">
      <c r="P105" s="27"/>
      <c r="Q105" s="30"/>
      <c r="R105" s="30"/>
      <c r="S105" s="30">
        <f>ABS(Q105)/'İtme Analizi'!$C$17</f>
        <v>0</v>
      </c>
      <c r="T105" s="30">
        <f>ABS(R105)/'İtme Analizi'!$C$14</f>
        <v>0</v>
      </c>
      <c r="U105" s="30">
        <f t="shared" si="4"/>
        <v>1.00829248845382E-4</v>
      </c>
    </row>
    <row r="106" spans="2:21" ht="13.9" customHeight="1" x14ac:dyDescent="0.2">
      <c r="P106" s="27"/>
      <c r="Q106" s="30"/>
      <c r="R106" s="30"/>
      <c r="S106" s="30">
        <f>ABS(Q106)/'İtme Analizi'!$C$17</f>
        <v>0</v>
      </c>
      <c r="T106" s="30">
        <f>ABS(R106)/'İtme Analizi'!$C$14</f>
        <v>0</v>
      </c>
      <c r="U106" s="30">
        <f t="shared" si="4"/>
        <v>1.00829248845382E-4</v>
      </c>
    </row>
    <row r="107" spans="2:21" ht="13.9" customHeight="1" x14ac:dyDescent="0.2">
      <c r="P107" s="27"/>
      <c r="Q107" s="30"/>
      <c r="R107" s="30"/>
      <c r="S107" s="30">
        <f>ABS(Q107)/'İtme Analizi'!$C$17</f>
        <v>0</v>
      </c>
      <c r="T107" s="30">
        <f>ABS(R107)/'İtme Analizi'!$C$14</f>
        <v>0</v>
      </c>
      <c r="U107" s="30">
        <f t="shared" ref="U107:U170" si="5">U106+(S107-S106)*((T107+T106)/2)</f>
        <v>1.00829248845382E-4</v>
      </c>
    </row>
    <row r="108" spans="2:21" ht="13.9" customHeight="1" x14ac:dyDescent="0.2">
      <c r="P108" s="27"/>
      <c r="Q108" s="30"/>
      <c r="R108" s="30"/>
      <c r="S108" s="30">
        <f>ABS(Q108)/'İtme Analizi'!$C$17</f>
        <v>0</v>
      </c>
      <c r="T108" s="30">
        <f>ABS(R108)/'İtme Analizi'!$C$14</f>
        <v>0</v>
      </c>
      <c r="U108" s="30">
        <f t="shared" si="5"/>
        <v>1.00829248845382E-4</v>
      </c>
    </row>
    <row r="109" spans="2:21" ht="13.9" customHeight="1" x14ac:dyDescent="0.2">
      <c r="P109" s="27"/>
      <c r="Q109" s="30"/>
      <c r="R109" s="30"/>
      <c r="S109" s="30">
        <f>ABS(Q109)/'İtme Analizi'!$C$17</f>
        <v>0</v>
      </c>
      <c r="T109" s="30">
        <f>ABS(R109)/'İtme Analizi'!$C$14</f>
        <v>0</v>
      </c>
      <c r="U109" s="30">
        <f t="shared" si="5"/>
        <v>1.00829248845382E-4</v>
      </c>
    </row>
    <row r="110" spans="2:21" ht="13.9" customHeight="1" x14ac:dyDescent="0.2">
      <c r="P110" s="27"/>
      <c r="Q110" s="30"/>
      <c r="R110" s="30"/>
      <c r="S110" s="30">
        <f>ABS(Q110)/'İtme Analizi'!$C$17</f>
        <v>0</v>
      </c>
      <c r="T110" s="30">
        <f>ABS(R110)/'İtme Analizi'!$C$14</f>
        <v>0</v>
      </c>
      <c r="U110" s="30">
        <f t="shared" si="5"/>
        <v>1.00829248845382E-4</v>
      </c>
    </row>
    <row r="111" spans="2:21" ht="13.9" customHeight="1" x14ac:dyDescent="0.2">
      <c r="P111" s="27"/>
      <c r="Q111" s="30"/>
      <c r="R111" s="30"/>
      <c r="S111" s="30">
        <f>ABS(Q111)/'İtme Analizi'!$C$17</f>
        <v>0</v>
      </c>
      <c r="T111" s="30">
        <f>ABS(R111)/'İtme Analizi'!$C$14</f>
        <v>0</v>
      </c>
      <c r="U111" s="30">
        <f t="shared" si="5"/>
        <v>1.00829248845382E-4</v>
      </c>
    </row>
    <row r="112" spans="2:21" ht="13.9" customHeight="1" x14ac:dyDescent="0.2">
      <c r="P112" s="27"/>
      <c r="Q112" s="30"/>
      <c r="R112" s="30"/>
      <c r="S112" s="30">
        <f>ABS(Q112)/'İtme Analizi'!$C$17</f>
        <v>0</v>
      </c>
      <c r="T112" s="30">
        <f>ABS(R112)/'İtme Analizi'!$C$14</f>
        <v>0</v>
      </c>
      <c r="U112" s="30">
        <f t="shared" si="5"/>
        <v>1.00829248845382E-4</v>
      </c>
    </row>
    <row r="113" spans="16:21" ht="13.9" customHeight="1" x14ac:dyDescent="0.2">
      <c r="P113" s="27"/>
      <c r="Q113" s="30"/>
      <c r="R113" s="30"/>
      <c r="S113" s="30">
        <f>ABS(Q113)/'İtme Analizi'!$C$17</f>
        <v>0</v>
      </c>
      <c r="T113" s="30">
        <f>ABS(R113)/'İtme Analizi'!$C$14</f>
        <v>0</v>
      </c>
      <c r="U113" s="30">
        <f t="shared" si="5"/>
        <v>1.00829248845382E-4</v>
      </c>
    </row>
    <row r="114" spans="16:21" ht="13.9" customHeight="1" x14ac:dyDescent="0.2">
      <c r="P114" s="27"/>
      <c r="Q114" s="30"/>
      <c r="R114" s="30"/>
      <c r="S114" s="30">
        <f>ABS(Q114)/'İtme Analizi'!$C$17</f>
        <v>0</v>
      </c>
      <c r="T114" s="30">
        <f>ABS(R114)/'İtme Analizi'!$C$14</f>
        <v>0</v>
      </c>
      <c r="U114" s="30">
        <f t="shared" si="5"/>
        <v>1.00829248845382E-4</v>
      </c>
    </row>
    <row r="115" spans="16:21" ht="13.9" customHeight="1" x14ac:dyDescent="0.2">
      <c r="P115" s="27"/>
      <c r="Q115" s="30"/>
      <c r="R115" s="30"/>
      <c r="S115" s="30">
        <f>ABS(Q115)/'İtme Analizi'!$C$17</f>
        <v>0</v>
      </c>
      <c r="T115" s="30">
        <f>ABS(R115)/'İtme Analizi'!$C$14</f>
        <v>0</v>
      </c>
      <c r="U115" s="30">
        <f t="shared" si="5"/>
        <v>1.00829248845382E-4</v>
      </c>
    </row>
    <row r="116" spans="16:21" ht="13.9" customHeight="1" x14ac:dyDescent="0.2">
      <c r="P116" s="27"/>
      <c r="Q116" s="30"/>
      <c r="R116" s="30"/>
      <c r="S116" s="30">
        <f>ABS(Q116)/'İtme Analizi'!$C$17</f>
        <v>0</v>
      </c>
      <c r="T116" s="30">
        <f>ABS(R116)/'İtme Analizi'!$C$14</f>
        <v>0</v>
      </c>
      <c r="U116" s="30">
        <f t="shared" si="5"/>
        <v>1.00829248845382E-4</v>
      </c>
    </row>
    <row r="117" spans="16:21" ht="13.9" customHeight="1" x14ac:dyDescent="0.2">
      <c r="P117" s="27"/>
      <c r="Q117" s="30"/>
      <c r="R117" s="30"/>
      <c r="S117" s="30">
        <f>ABS(Q117)/'İtme Analizi'!$C$17</f>
        <v>0</v>
      </c>
      <c r="T117" s="30">
        <f>ABS(R117)/'İtme Analizi'!$C$14</f>
        <v>0</v>
      </c>
      <c r="U117" s="30">
        <f t="shared" si="5"/>
        <v>1.00829248845382E-4</v>
      </c>
    </row>
    <row r="118" spans="16:21" ht="13.9" customHeight="1" x14ac:dyDescent="0.2">
      <c r="P118" s="27"/>
      <c r="Q118" s="30"/>
      <c r="R118" s="30"/>
      <c r="S118" s="30">
        <f>ABS(Q118)/'İtme Analizi'!$C$17</f>
        <v>0</v>
      </c>
      <c r="T118" s="30">
        <f>ABS(R118)/'İtme Analizi'!$C$14</f>
        <v>0</v>
      </c>
      <c r="U118" s="30">
        <f t="shared" si="5"/>
        <v>1.00829248845382E-4</v>
      </c>
    </row>
    <row r="119" spans="16:21" ht="13.9" customHeight="1" x14ac:dyDescent="0.2">
      <c r="P119" s="27"/>
      <c r="Q119" s="30"/>
      <c r="R119" s="30"/>
      <c r="S119" s="30">
        <f>ABS(Q119)/'İtme Analizi'!$C$17</f>
        <v>0</v>
      </c>
      <c r="T119" s="30">
        <f>ABS(R119)/'İtme Analizi'!$C$14</f>
        <v>0</v>
      </c>
      <c r="U119" s="30">
        <f t="shared" si="5"/>
        <v>1.00829248845382E-4</v>
      </c>
    </row>
    <row r="120" spans="16:21" ht="13.9" customHeight="1" x14ac:dyDescent="0.2">
      <c r="P120" s="27"/>
      <c r="Q120" s="30"/>
      <c r="R120" s="30"/>
      <c r="S120" s="30">
        <f>ABS(Q120)/'İtme Analizi'!$C$17</f>
        <v>0</v>
      </c>
      <c r="T120" s="30">
        <f>ABS(R120)/'İtme Analizi'!$C$14</f>
        <v>0</v>
      </c>
      <c r="U120" s="30">
        <f t="shared" si="5"/>
        <v>1.00829248845382E-4</v>
      </c>
    </row>
    <row r="121" spans="16:21" ht="13.9" customHeight="1" x14ac:dyDescent="0.2">
      <c r="P121" s="27"/>
      <c r="Q121" s="30"/>
      <c r="R121" s="30"/>
      <c r="S121" s="30">
        <f>ABS(Q121)/'İtme Analizi'!$C$17</f>
        <v>0</v>
      </c>
      <c r="T121" s="30">
        <f>ABS(R121)/'İtme Analizi'!$C$14</f>
        <v>0</v>
      </c>
      <c r="U121" s="30">
        <f t="shared" si="5"/>
        <v>1.00829248845382E-4</v>
      </c>
    </row>
    <row r="122" spans="16:21" ht="13.9" customHeight="1" x14ac:dyDescent="0.2">
      <c r="P122" s="27"/>
      <c r="Q122" s="30"/>
      <c r="R122" s="30"/>
      <c r="S122" s="30">
        <f>ABS(Q122)/'İtme Analizi'!$C$17</f>
        <v>0</v>
      </c>
      <c r="T122" s="30">
        <f>ABS(R122)/'İtme Analizi'!$C$14</f>
        <v>0</v>
      </c>
      <c r="U122" s="30">
        <f t="shared" si="5"/>
        <v>1.00829248845382E-4</v>
      </c>
    </row>
    <row r="123" spans="16:21" ht="13.9" customHeight="1" x14ac:dyDescent="0.2">
      <c r="P123" s="27"/>
      <c r="Q123" s="30"/>
      <c r="R123" s="30"/>
      <c r="S123" s="30">
        <f>ABS(Q123)/'İtme Analizi'!$C$17</f>
        <v>0</v>
      </c>
      <c r="T123" s="30">
        <f>ABS(R123)/'İtme Analizi'!$C$14</f>
        <v>0</v>
      </c>
      <c r="U123" s="30">
        <f t="shared" si="5"/>
        <v>1.00829248845382E-4</v>
      </c>
    </row>
    <row r="124" spans="16:21" ht="13.9" customHeight="1" x14ac:dyDescent="0.2">
      <c r="P124" s="27"/>
      <c r="Q124" s="30"/>
      <c r="R124" s="30"/>
      <c r="S124" s="30">
        <f>ABS(Q124)/'İtme Analizi'!$C$17</f>
        <v>0</v>
      </c>
      <c r="T124" s="30">
        <f>ABS(R124)/'İtme Analizi'!$C$14</f>
        <v>0</v>
      </c>
      <c r="U124" s="30">
        <f t="shared" si="5"/>
        <v>1.00829248845382E-4</v>
      </c>
    </row>
    <row r="125" spans="16:21" ht="13.9" customHeight="1" x14ac:dyDescent="0.2">
      <c r="P125" s="27"/>
      <c r="Q125" s="30"/>
      <c r="R125" s="30"/>
      <c r="S125" s="30">
        <f>ABS(Q125)/'İtme Analizi'!$C$17</f>
        <v>0</v>
      </c>
      <c r="T125" s="30">
        <f>ABS(R125)/'İtme Analizi'!$C$14</f>
        <v>0</v>
      </c>
      <c r="U125" s="30">
        <f t="shared" si="5"/>
        <v>1.00829248845382E-4</v>
      </c>
    </row>
    <row r="126" spans="16:21" ht="13.9" customHeight="1" x14ac:dyDescent="0.2">
      <c r="P126" s="27"/>
      <c r="Q126" s="30"/>
      <c r="R126" s="30"/>
      <c r="S126" s="30">
        <f>ABS(Q126)/'İtme Analizi'!$C$17</f>
        <v>0</v>
      </c>
      <c r="T126" s="30">
        <f>ABS(R126)/'İtme Analizi'!$C$14</f>
        <v>0</v>
      </c>
      <c r="U126" s="30">
        <f t="shared" si="5"/>
        <v>1.00829248845382E-4</v>
      </c>
    </row>
    <row r="127" spans="16:21" ht="13.9" customHeight="1" x14ac:dyDescent="0.2">
      <c r="P127" s="27"/>
      <c r="Q127" s="30"/>
      <c r="R127" s="30"/>
      <c r="S127" s="30">
        <f>ABS(Q127)/'İtme Analizi'!$C$17</f>
        <v>0</v>
      </c>
      <c r="T127" s="30">
        <f>ABS(R127)/'İtme Analizi'!$C$14</f>
        <v>0</v>
      </c>
      <c r="U127" s="30">
        <f t="shared" si="5"/>
        <v>1.00829248845382E-4</v>
      </c>
    </row>
    <row r="128" spans="16:21" ht="13.9" customHeight="1" x14ac:dyDescent="0.2">
      <c r="P128" s="27"/>
      <c r="Q128" s="30"/>
      <c r="R128" s="30"/>
      <c r="S128" s="30">
        <f>ABS(Q128)/'İtme Analizi'!$C$17</f>
        <v>0</v>
      </c>
      <c r="T128" s="30">
        <f>ABS(R128)/'İtme Analizi'!$C$14</f>
        <v>0</v>
      </c>
      <c r="U128" s="30">
        <f t="shared" si="5"/>
        <v>1.00829248845382E-4</v>
      </c>
    </row>
    <row r="129" spans="16:21" ht="13.9" customHeight="1" x14ac:dyDescent="0.2">
      <c r="P129" s="27"/>
      <c r="Q129" s="30"/>
      <c r="R129" s="30"/>
      <c r="S129" s="30">
        <f>ABS(Q129)/'İtme Analizi'!$C$17</f>
        <v>0</v>
      </c>
      <c r="T129" s="30">
        <f>ABS(R129)/'İtme Analizi'!$C$14</f>
        <v>0</v>
      </c>
      <c r="U129" s="30">
        <f t="shared" si="5"/>
        <v>1.00829248845382E-4</v>
      </c>
    </row>
    <row r="130" spans="16:21" ht="13.9" customHeight="1" x14ac:dyDescent="0.2">
      <c r="P130" s="27"/>
      <c r="Q130" s="30"/>
      <c r="R130" s="30"/>
      <c r="S130" s="30">
        <f>ABS(Q130)/'İtme Analizi'!$C$17</f>
        <v>0</v>
      </c>
      <c r="T130" s="30">
        <f>ABS(R130)/'İtme Analizi'!$C$14</f>
        <v>0</v>
      </c>
      <c r="U130" s="30">
        <f t="shared" si="5"/>
        <v>1.00829248845382E-4</v>
      </c>
    </row>
    <row r="131" spans="16:21" ht="13.9" customHeight="1" x14ac:dyDescent="0.2">
      <c r="P131" s="27"/>
      <c r="Q131" s="30"/>
      <c r="R131" s="30"/>
      <c r="S131" s="30">
        <f>ABS(Q131)/'İtme Analizi'!$C$17</f>
        <v>0</v>
      </c>
      <c r="T131" s="30">
        <f>ABS(R131)/'İtme Analizi'!$C$14</f>
        <v>0</v>
      </c>
      <c r="U131" s="30">
        <f t="shared" si="5"/>
        <v>1.00829248845382E-4</v>
      </c>
    </row>
    <row r="132" spans="16:21" ht="13.9" customHeight="1" x14ac:dyDescent="0.2">
      <c r="P132" s="27"/>
      <c r="Q132" s="30"/>
      <c r="R132" s="30"/>
      <c r="S132" s="30">
        <f>ABS(Q132)/'İtme Analizi'!$C$17</f>
        <v>0</v>
      </c>
      <c r="T132" s="30">
        <f>ABS(R132)/'İtme Analizi'!$C$14</f>
        <v>0</v>
      </c>
      <c r="U132" s="30">
        <f t="shared" si="5"/>
        <v>1.00829248845382E-4</v>
      </c>
    </row>
    <row r="133" spans="16:21" ht="13.9" customHeight="1" x14ac:dyDescent="0.2">
      <c r="P133" s="27"/>
      <c r="Q133" s="30"/>
      <c r="R133" s="30"/>
      <c r="S133" s="30">
        <f>ABS(Q133)/'İtme Analizi'!$C$17</f>
        <v>0</v>
      </c>
      <c r="T133" s="30">
        <f>ABS(R133)/'İtme Analizi'!$C$14</f>
        <v>0</v>
      </c>
      <c r="U133" s="30">
        <f t="shared" si="5"/>
        <v>1.00829248845382E-4</v>
      </c>
    </row>
    <row r="134" spans="16:21" ht="13.9" customHeight="1" x14ac:dyDescent="0.2">
      <c r="P134" s="27"/>
      <c r="Q134" s="30"/>
      <c r="R134" s="30"/>
      <c r="S134" s="30">
        <f>ABS(Q134)/'İtme Analizi'!$C$17</f>
        <v>0</v>
      </c>
      <c r="T134" s="30">
        <f>ABS(R134)/'İtme Analizi'!$C$14</f>
        <v>0</v>
      </c>
      <c r="U134" s="30">
        <f t="shared" si="5"/>
        <v>1.00829248845382E-4</v>
      </c>
    </row>
    <row r="135" spans="16:21" ht="13.9" customHeight="1" x14ac:dyDescent="0.2">
      <c r="P135" s="27"/>
      <c r="Q135" s="30"/>
      <c r="R135" s="30"/>
      <c r="S135" s="30">
        <f>ABS(Q135)/'İtme Analizi'!$C$17</f>
        <v>0</v>
      </c>
      <c r="T135" s="30">
        <f>ABS(R135)/'İtme Analizi'!$C$14</f>
        <v>0</v>
      </c>
      <c r="U135" s="30">
        <f t="shared" si="5"/>
        <v>1.00829248845382E-4</v>
      </c>
    </row>
    <row r="136" spans="16:21" ht="13.9" customHeight="1" x14ac:dyDescent="0.2">
      <c r="P136" s="27"/>
      <c r="Q136" s="30"/>
      <c r="R136" s="30"/>
      <c r="S136" s="30">
        <f>ABS(Q136)/'İtme Analizi'!$C$17</f>
        <v>0</v>
      </c>
      <c r="T136" s="30">
        <f>ABS(R136)/'İtme Analizi'!$C$14</f>
        <v>0</v>
      </c>
      <c r="U136" s="30">
        <f t="shared" si="5"/>
        <v>1.00829248845382E-4</v>
      </c>
    </row>
    <row r="137" spans="16:21" ht="13.9" customHeight="1" x14ac:dyDescent="0.2">
      <c r="P137" s="27"/>
      <c r="Q137" s="30"/>
      <c r="R137" s="30"/>
      <c r="S137" s="30">
        <f>ABS(Q137)/'İtme Analizi'!$C$17</f>
        <v>0</v>
      </c>
      <c r="T137" s="30">
        <f>ABS(R137)/'İtme Analizi'!$C$14</f>
        <v>0</v>
      </c>
      <c r="U137" s="30">
        <f t="shared" si="5"/>
        <v>1.00829248845382E-4</v>
      </c>
    </row>
    <row r="138" spans="16:21" ht="13.9" customHeight="1" x14ac:dyDescent="0.2">
      <c r="P138" s="27"/>
      <c r="Q138" s="30"/>
      <c r="R138" s="30"/>
      <c r="S138" s="30">
        <f>ABS(Q138)/'İtme Analizi'!$C$17</f>
        <v>0</v>
      </c>
      <c r="T138" s="30">
        <f>ABS(R138)/'İtme Analizi'!$C$14</f>
        <v>0</v>
      </c>
      <c r="U138" s="30">
        <f t="shared" si="5"/>
        <v>1.00829248845382E-4</v>
      </c>
    </row>
    <row r="139" spans="16:21" ht="13.9" customHeight="1" x14ac:dyDescent="0.2">
      <c r="P139" s="27"/>
      <c r="Q139" s="30"/>
      <c r="R139" s="30"/>
      <c r="S139" s="30">
        <f>ABS(Q139)/'İtme Analizi'!$C$17</f>
        <v>0</v>
      </c>
      <c r="T139" s="30">
        <f>ABS(R139)/'İtme Analizi'!$C$14</f>
        <v>0</v>
      </c>
      <c r="U139" s="30">
        <f t="shared" si="5"/>
        <v>1.00829248845382E-4</v>
      </c>
    </row>
    <row r="140" spans="16:21" ht="13.9" customHeight="1" x14ac:dyDescent="0.2">
      <c r="P140" s="27"/>
      <c r="Q140" s="30"/>
      <c r="R140" s="30"/>
      <c r="S140" s="30">
        <f>ABS(Q140)/'İtme Analizi'!$C$17</f>
        <v>0</v>
      </c>
      <c r="T140" s="30">
        <f>ABS(R140)/'İtme Analizi'!$C$14</f>
        <v>0</v>
      </c>
      <c r="U140" s="30">
        <f t="shared" si="5"/>
        <v>1.00829248845382E-4</v>
      </c>
    </row>
    <row r="141" spans="16:21" ht="13.9" customHeight="1" x14ac:dyDescent="0.2">
      <c r="P141" s="27"/>
      <c r="Q141" s="30"/>
      <c r="R141" s="30"/>
      <c r="S141" s="30">
        <f>ABS(Q141)/'İtme Analizi'!$C$17</f>
        <v>0</v>
      </c>
      <c r="T141" s="30">
        <f>ABS(R141)/'İtme Analizi'!$C$14</f>
        <v>0</v>
      </c>
      <c r="U141" s="30">
        <f t="shared" si="5"/>
        <v>1.00829248845382E-4</v>
      </c>
    </row>
    <row r="142" spans="16:21" ht="13.9" customHeight="1" x14ac:dyDescent="0.2">
      <c r="P142" s="27"/>
      <c r="Q142" s="30"/>
      <c r="R142" s="30"/>
      <c r="S142" s="30">
        <f>ABS(Q142)/'İtme Analizi'!$C$17</f>
        <v>0</v>
      </c>
      <c r="T142" s="30">
        <f>ABS(R142)/'İtme Analizi'!$C$14</f>
        <v>0</v>
      </c>
      <c r="U142" s="30">
        <f t="shared" si="5"/>
        <v>1.00829248845382E-4</v>
      </c>
    </row>
    <row r="143" spans="16:21" ht="13.9" customHeight="1" x14ac:dyDescent="0.2">
      <c r="P143" s="27"/>
      <c r="Q143" s="30"/>
      <c r="R143" s="30"/>
      <c r="S143" s="30">
        <f>ABS(Q143)/'İtme Analizi'!$C$17</f>
        <v>0</v>
      </c>
      <c r="T143" s="30">
        <f>ABS(R143)/'İtme Analizi'!$C$14</f>
        <v>0</v>
      </c>
      <c r="U143" s="30">
        <f t="shared" si="5"/>
        <v>1.00829248845382E-4</v>
      </c>
    </row>
    <row r="144" spans="16:21" ht="13.9" customHeight="1" x14ac:dyDescent="0.2">
      <c r="P144" s="27"/>
      <c r="Q144" s="30"/>
      <c r="R144" s="30"/>
      <c r="S144" s="30">
        <f>ABS(Q144)/'İtme Analizi'!$C$17</f>
        <v>0</v>
      </c>
      <c r="T144" s="30">
        <f>ABS(R144)/'İtme Analizi'!$C$14</f>
        <v>0</v>
      </c>
      <c r="U144" s="30">
        <f t="shared" si="5"/>
        <v>1.00829248845382E-4</v>
      </c>
    </row>
    <row r="145" spans="16:21" ht="13.9" customHeight="1" x14ac:dyDescent="0.2">
      <c r="P145" s="27"/>
      <c r="Q145" s="30"/>
      <c r="R145" s="30"/>
      <c r="S145" s="30">
        <f>ABS(Q145)/'İtme Analizi'!$C$17</f>
        <v>0</v>
      </c>
      <c r="T145" s="30">
        <f>ABS(R145)/'İtme Analizi'!$C$14</f>
        <v>0</v>
      </c>
      <c r="U145" s="30">
        <f t="shared" si="5"/>
        <v>1.00829248845382E-4</v>
      </c>
    </row>
    <row r="146" spans="16:21" ht="13.9" customHeight="1" x14ac:dyDescent="0.2">
      <c r="P146" s="27"/>
      <c r="Q146" s="30"/>
      <c r="R146" s="30"/>
      <c r="S146" s="30">
        <f>ABS(Q146)/'İtme Analizi'!$C$17</f>
        <v>0</v>
      </c>
      <c r="T146" s="30">
        <f>ABS(R146)/'İtme Analizi'!$C$14</f>
        <v>0</v>
      </c>
      <c r="U146" s="30">
        <f t="shared" si="5"/>
        <v>1.00829248845382E-4</v>
      </c>
    </row>
    <row r="147" spans="16:21" ht="13.9" customHeight="1" x14ac:dyDescent="0.2">
      <c r="P147" s="27"/>
      <c r="Q147" s="30"/>
      <c r="R147" s="30"/>
      <c r="S147" s="30">
        <f>ABS(Q147)/'İtme Analizi'!$C$17</f>
        <v>0</v>
      </c>
      <c r="T147" s="30">
        <f>ABS(R147)/'İtme Analizi'!$C$14</f>
        <v>0</v>
      </c>
      <c r="U147" s="30">
        <f t="shared" si="5"/>
        <v>1.00829248845382E-4</v>
      </c>
    </row>
    <row r="148" spans="16:21" ht="13.9" customHeight="1" x14ac:dyDescent="0.2">
      <c r="P148" s="27"/>
      <c r="Q148" s="30"/>
      <c r="R148" s="30"/>
      <c r="S148" s="30">
        <f>ABS(Q148)/'İtme Analizi'!$C$17</f>
        <v>0</v>
      </c>
      <c r="T148" s="30">
        <f>ABS(R148)/'İtme Analizi'!$C$14</f>
        <v>0</v>
      </c>
      <c r="U148" s="30">
        <f t="shared" si="5"/>
        <v>1.00829248845382E-4</v>
      </c>
    </row>
    <row r="149" spans="16:21" ht="13.9" customHeight="1" x14ac:dyDescent="0.2">
      <c r="P149" s="27"/>
      <c r="Q149" s="30"/>
      <c r="R149" s="30"/>
      <c r="S149" s="30">
        <f>ABS(Q149)/'İtme Analizi'!$C$17</f>
        <v>0</v>
      </c>
      <c r="T149" s="30">
        <f>ABS(R149)/'İtme Analizi'!$C$14</f>
        <v>0</v>
      </c>
      <c r="U149" s="30">
        <f t="shared" si="5"/>
        <v>1.00829248845382E-4</v>
      </c>
    </row>
    <row r="150" spans="16:21" ht="13.9" customHeight="1" x14ac:dyDescent="0.2">
      <c r="P150" s="27"/>
      <c r="Q150" s="30"/>
      <c r="R150" s="30"/>
      <c r="S150" s="30">
        <f>ABS(Q150)/'İtme Analizi'!$C$17</f>
        <v>0</v>
      </c>
      <c r="T150" s="30">
        <f>ABS(R150)/'İtme Analizi'!$C$14</f>
        <v>0</v>
      </c>
      <c r="U150" s="30">
        <f t="shared" si="5"/>
        <v>1.00829248845382E-4</v>
      </c>
    </row>
    <row r="151" spans="16:21" ht="13.9" customHeight="1" x14ac:dyDescent="0.2">
      <c r="P151" s="27"/>
      <c r="Q151" s="30"/>
      <c r="R151" s="30"/>
      <c r="S151" s="30">
        <f>ABS(Q151)/'İtme Analizi'!$C$17</f>
        <v>0</v>
      </c>
      <c r="T151" s="30">
        <f>ABS(R151)/'İtme Analizi'!$C$14</f>
        <v>0</v>
      </c>
      <c r="U151" s="30">
        <f t="shared" si="5"/>
        <v>1.00829248845382E-4</v>
      </c>
    </row>
    <row r="152" spans="16:21" ht="13.9" customHeight="1" x14ac:dyDescent="0.2">
      <c r="P152" s="27"/>
      <c r="Q152" s="30"/>
      <c r="R152" s="30"/>
      <c r="S152" s="30">
        <f>ABS(Q152)/'İtme Analizi'!$C$17</f>
        <v>0</v>
      </c>
      <c r="T152" s="30">
        <f>ABS(R152)/'İtme Analizi'!$C$14</f>
        <v>0</v>
      </c>
      <c r="U152" s="30">
        <f t="shared" si="5"/>
        <v>1.00829248845382E-4</v>
      </c>
    </row>
    <row r="153" spans="16:21" ht="13.9" customHeight="1" x14ac:dyDescent="0.2">
      <c r="P153" s="27"/>
      <c r="Q153" s="30"/>
      <c r="R153" s="30"/>
      <c r="S153" s="30">
        <f>ABS(Q153)/'İtme Analizi'!$C$17</f>
        <v>0</v>
      </c>
      <c r="T153" s="30">
        <f>ABS(R153)/'İtme Analizi'!$C$14</f>
        <v>0</v>
      </c>
      <c r="U153" s="30">
        <f t="shared" si="5"/>
        <v>1.00829248845382E-4</v>
      </c>
    </row>
    <row r="154" spans="16:21" ht="13.9" customHeight="1" x14ac:dyDescent="0.2">
      <c r="P154" s="27"/>
      <c r="Q154" s="30"/>
      <c r="R154" s="30"/>
      <c r="S154" s="30">
        <f>ABS(Q154)/'İtme Analizi'!$C$17</f>
        <v>0</v>
      </c>
      <c r="T154" s="30">
        <f>ABS(R154)/'İtme Analizi'!$C$14</f>
        <v>0</v>
      </c>
      <c r="U154" s="30">
        <f t="shared" si="5"/>
        <v>1.00829248845382E-4</v>
      </c>
    </row>
    <row r="155" spans="16:21" ht="13.9" customHeight="1" x14ac:dyDescent="0.2">
      <c r="P155" s="27"/>
      <c r="Q155" s="30"/>
      <c r="R155" s="30"/>
      <c r="S155" s="30">
        <f>ABS(Q155)/'İtme Analizi'!$C$17</f>
        <v>0</v>
      </c>
      <c r="T155" s="30">
        <f>ABS(R155)/'İtme Analizi'!$C$14</f>
        <v>0</v>
      </c>
      <c r="U155" s="30">
        <f t="shared" si="5"/>
        <v>1.00829248845382E-4</v>
      </c>
    </row>
    <row r="156" spans="16:21" ht="13.9" customHeight="1" x14ac:dyDescent="0.2">
      <c r="P156" s="27"/>
      <c r="Q156" s="30"/>
      <c r="R156" s="30"/>
      <c r="S156" s="30">
        <f>ABS(Q156)/'İtme Analizi'!$C$17</f>
        <v>0</v>
      </c>
      <c r="T156" s="30">
        <f>ABS(R156)/'İtme Analizi'!$C$14</f>
        <v>0</v>
      </c>
      <c r="U156" s="30">
        <f t="shared" si="5"/>
        <v>1.00829248845382E-4</v>
      </c>
    </row>
    <row r="157" spans="16:21" ht="13.9" customHeight="1" x14ac:dyDescent="0.2">
      <c r="P157" s="27"/>
      <c r="Q157" s="30"/>
      <c r="R157" s="30"/>
      <c r="S157" s="30">
        <f>ABS(Q157)/'İtme Analizi'!$C$17</f>
        <v>0</v>
      </c>
      <c r="T157" s="30">
        <f>ABS(R157)/'İtme Analizi'!$C$14</f>
        <v>0</v>
      </c>
      <c r="U157" s="30">
        <f t="shared" si="5"/>
        <v>1.00829248845382E-4</v>
      </c>
    </row>
    <row r="158" spans="16:21" ht="13.9" customHeight="1" x14ac:dyDescent="0.2">
      <c r="P158" s="27"/>
      <c r="Q158" s="30"/>
      <c r="R158" s="30"/>
      <c r="S158" s="30">
        <f>ABS(Q158)/'İtme Analizi'!$C$17</f>
        <v>0</v>
      </c>
      <c r="T158" s="30">
        <f>ABS(R158)/'İtme Analizi'!$C$14</f>
        <v>0</v>
      </c>
      <c r="U158" s="30">
        <f t="shared" si="5"/>
        <v>1.00829248845382E-4</v>
      </c>
    </row>
    <row r="159" spans="16:21" ht="13.9" customHeight="1" x14ac:dyDescent="0.2">
      <c r="P159" s="27"/>
      <c r="Q159" s="30"/>
      <c r="R159" s="30"/>
      <c r="S159" s="30">
        <f>ABS(Q159)/'İtme Analizi'!$C$17</f>
        <v>0</v>
      </c>
      <c r="T159" s="30">
        <f>ABS(R159)/'İtme Analizi'!$C$14</f>
        <v>0</v>
      </c>
      <c r="U159" s="30">
        <f t="shared" si="5"/>
        <v>1.00829248845382E-4</v>
      </c>
    </row>
    <row r="160" spans="16:21" ht="13.9" customHeight="1" x14ac:dyDescent="0.2">
      <c r="P160" s="27"/>
      <c r="Q160" s="30"/>
      <c r="R160" s="30"/>
      <c r="S160" s="30">
        <f>ABS(Q160)/'İtme Analizi'!$C$17</f>
        <v>0</v>
      </c>
      <c r="T160" s="30">
        <f>ABS(R160)/'İtme Analizi'!$C$14</f>
        <v>0</v>
      </c>
      <c r="U160" s="30">
        <f t="shared" si="5"/>
        <v>1.00829248845382E-4</v>
      </c>
    </row>
    <row r="161" spans="16:21" ht="13.9" customHeight="1" x14ac:dyDescent="0.2">
      <c r="P161" s="27"/>
      <c r="Q161" s="30"/>
      <c r="R161" s="30"/>
      <c r="S161" s="30">
        <f>ABS(Q161)/'İtme Analizi'!$C$17</f>
        <v>0</v>
      </c>
      <c r="T161" s="30">
        <f>ABS(R161)/'İtme Analizi'!$C$14</f>
        <v>0</v>
      </c>
      <c r="U161" s="30">
        <f t="shared" si="5"/>
        <v>1.00829248845382E-4</v>
      </c>
    </row>
    <row r="162" spans="16:21" ht="13.9" customHeight="1" x14ac:dyDescent="0.2">
      <c r="P162" s="27"/>
      <c r="Q162" s="30"/>
      <c r="R162" s="30"/>
      <c r="S162" s="30">
        <f>ABS(Q162)/'İtme Analizi'!$C$17</f>
        <v>0</v>
      </c>
      <c r="T162" s="30">
        <f>ABS(R162)/'İtme Analizi'!$C$14</f>
        <v>0</v>
      </c>
      <c r="U162" s="30">
        <f t="shared" si="5"/>
        <v>1.00829248845382E-4</v>
      </c>
    </row>
    <row r="163" spans="16:21" ht="13.9" customHeight="1" x14ac:dyDescent="0.2">
      <c r="P163" s="27"/>
      <c r="Q163" s="30"/>
      <c r="R163" s="30"/>
      <c r="S163" s="30">
        <f>ABS(Q163)/'İtme Analizi'!$C$17</f>
        <v>0</v>
      </c>
      <c r="T163" s="30">
        <f>ABS(R163)/'İtme Analizi'!$C$14</f>
        <v>0</v>
      </c>
      <c r="U163" s="30">
        <f t="shared" si="5"/>
        <v>1.00829248845382E-4</v>
      </c>
    </row>
    <row r="164" spans="16:21" ht="13.9" customHeight="1" x14ac:dyDescent="0.2">
      <c r="P164" s="27"/>
      <c r="Q164" s="30"/>
      <c r="R164" s="30"/>
      <c r="S164" s="30">
        <f>ABS(Q164)/'İtme Analizi'!$C$17</f>
        <v>0</v>
      </c>
      <c r="T164" s="30">
        <f>ABS(R164)/'İtme Analizi'!$C$14</f>
        <v>0</v>
      </c>
      <c r="U164" s="30">
        <f t="shared" si="5"/>
        <v>1.00829248845382E-4</v>
      </c>
    </row>
    <row r="165" spans="16:21" ht="13.9" customHeight="1" x14ac:dyDescent="0.2">
      <c r="P165" s="27"/>
      <c r="Q165" s="30"/>
      <c r="R165" s="30"/>
      <c r="S165" s="30">
        <f>ABS(Q165)/'İtme Analizi'!$C$17</f>
        <v>0</v>
      </c>
      <c r="T165" s="30">
        <f>ABS(R165)/'İtme Analizi'!$C$14</f>
        <v>0</v>
      </c>
      <c r="U165" s="30">
        <f t="shared" si="5"/>
        <v>1.00829248845382E-4</v>
      </c>
    </row>
    <row r="166" spans="16:21" ht="13.9" customHeight="1" x14ac:dyDescent="0.2">
      <c r="P166" s="27"/>
      <c r="Q166" s="30"/>
      <c r="R166" s="30"/>
      <c r="S166" s="30">
        <f>ABS(Q166)/'İtme Analizi'!$C$17</f>
        <v>0</v>
      </c>
      <c r="T166" s="30">
        <f>ABS(R166)/'İtme Analizi'!$C$14</f>
        <v>0</v>
      </c>
      <c r="U166" s="30">
        <f t="shared" si="5"/>
        <v>1.00829248845382E-4</v>
      </c>
    </row>
    <row r="167" spans="16:21" ht="13.9" customHeight="1" x14ac:dyDescent="0.2">
      <c r="P167" s="27"/>
      <c r="Q167" s="30"/>
      <c r="R167" s="30"/>
      <c r="S167" s="30">
        <f>ABS(Q167)/'İtme Analizi'!$C$17</f>
        <v>0</v>
      </c>
      <c r="T167" s="30">
        <f>ABS(R167)/'İtme Analizi'!$C$14</f>
        <v>0</v>
      </c>
      <c r="U167" s="30">
        <f t="shared" si="5"/>
        <v>1.00829248845382E-4</v>
      </c>
    </row>
    <row r="168" spans="16:21" ht="13.9" customHeight="1" x14ac:dyDescent="0.2">
      <c r="P168" s="27"/>
      <c r="Q168" s="30"/>
      <c r="R168" s="30"/>
      <c r="S168" s="30">
        <f>ABS(Q168)/'İtme Analizi'!$C$17</f>
        <v>0</v>
      </c>
      <c r="T168" s="30">
        <f>ABS(R168)/'İtme Analizi'!$C$14</f>
        <v>0</v>
      </c>
      <c r="U168" s="30">
        <f t="shared" si="5"/>
        <v>1.00829248845382E-4</v>
      </c>
    </row>
    <row r="169" spans="16:21" ht="13.9" customHeight="1" x14ac:dyDescent="0.2">
      <c r="P169" s="27"/>
      <c r="Q169" s="30"/>
      <c r="R169" s="30"/>
      <c r="S169" s="30">
        <f>ABS(Q169)/'İtme Analizi'!$C$17</f>
        <v>0</v>
      </c>
      <c r="T169" s="30">
        <f>ABS(R169)/'İtme Analizi'!$C$14</f>
        <v>0</v>
      </c>
      <c r="U169" s="30">
        <f t="shared" si="5"/>
        <v>1.00829248845382E-4</v>
      </c>
    </row>
    <row r="170" spans="16:21" ht="13.9" customHeight="1" x14ac:dyDescent="0.2">
      <c r="P170" s="27"/>
      <c r="Q170" s="30"/>
      <c r="R170" s="30"/>
      <c r="S170" s="30">
        <f>ABS(Q170)/'İtme Analizi'!$C$17</f>
        <v>0</v>
      </c>
      <c r="T170" s="30">
        <f>ABS(R170)/'İtme Analizi'!$C$14</f>
        <v>0</v>
      </c>
      <c r="U170" s="30">
        <f t="shared" si="5"/>
        <v>1.00829248845382E-4</v>
      </c>
    </row>
    <row r="171" spans="16:21" ht="13.9" customHeight="1" x14ac:dyDescent="0.2">
      <c r="P171" s="27"/>
      <c r="Q171" s="30"/>
      <c r="R171" s="30"/>
      <c r="S171" s="30">
        <f>ABS(Q171)/'İtme Analizi'!$C$17</f>
        <v>0</v>
      </c>
      <c r="T171" s="30">
        <f>ABS(R171)/'İtme Analizi'!$C$14</f>
        <v>0</v>
      </c>
      <c r="U171" s="30">
        <f t="shared" ref="U171:U234" si="6">U170+(S171-S170)*((T171+T170)/2)</f>
        <v>1.00829248845382E-4</v>
      </c>
    </row>
    <row r="172" spans="16:21" ht="13.9" customHeight="1" x14ac:dyDescent="0.2">
      <c r="P172" s="27"/>
      <c r="Q172" s="30"/>
      <c r="R172" s="30"/>
      <c r="S172" s="30">
        <f>ABS(Q172)/'İtme Analizi'!$C$17</f>
        <v>0</v>
      </c>
      <c r="T172" s="30">
        <f>ABS(R172)/'İtme Analizi'!$C$14</f>
        <v>0</v>
      </c>
      <c r="U172" s="30">
        <f t="shared" si="6"/>
        <v>1.00829248845382E-4</v>
      </c>
    </row>
    <row r="173" spans="16:21" ht="13.9" customHeight="1" x14ac:dyDescent="0.2">
      <c r="P173" s="27"/>
      <c r="Q173" s="30"/>
      <c r="R173" s="30"/>
      <c r="S173" s="30">
        <f>ABS(Q173)/'İtme Analizi'!$C$17</f>
        <v>0</v>
      </c>
      <c r="T173" s="30">
        <f>ABS(R173)/'İtme Analizi'!$C$14</f>
        <v>0</v>
      </c>
      <c r="U173" s="30">
        <f t="shared" si="6"/>
        <v>1.00829248845382E-4</v>
      </c>
    </row>
    <row r="174" spans="16:21" ht="13.9" customHeight="1" x14ac:dyDescent="0.2">
      <c r="P174" s="27"/>
      <c r="Q174" s="30"/>
      <c r="R174" s="30"/>
      <c r="S174" s="30">
        <f>ABS(Q174)/'İtme Analizi'!$C$17</f>
        <v>0</v>
      </c>
      <c r="T174" s="30">
        <f>ABS(R174)/'İtme Analizi'!$C$14</f>
        <v>0</v>
      </c>
      <c r="U174" s="30">
        <f t="shared" si="6"/>
        <v>1.00829248845382E-4</v>
      </c>
    </row>
    <row r="175" spans="16:21" ht="13.9" customHeight="1" x14ac:dyDescent="0.2">
      <c r="P175" s="27"/>
      <c r="Q175" s="30"/>
      <c r="R175" s="30"/>
      <c r="S175" s="30">
        <f>ABS(Q175)/'İtme Analizi'!$C$17</f>
        <v>0</v>
      </c>
      <c r="T175" s="30">
        <f>ABS(R175)/'İtme Analizi'!$C$14</f>
        <v>0</v>
      </c>
      <c r="U175" s="30">
        <f t="shared" si="6"/>
        <v>1.00829248845382E-4</v>
      </c>
    </row>
    <row r="176" spans="16:21" ht="13.9" customHeight="1" x14ac:dyDescent="0.2">
      <c r="P176" s="27"/>
      <c r="Q176" s="30"/>
      <c r="R176" s="30"/>
      <c r="S176" s="30">
        <f>ABS(Q176)/'İtme Analizi'!$C$17</f>
        <v>0</v>
      </c>
      <c r="T176" s="30">
        <f>ABS(R176)/'İtme Analizi'!$C$14</f>
        <v>0</v>
      </c>
      <c r="U176" s="30">
        <f t="shared" si="6"/>
        <v>1.00829248845382E-4</v>
      </c>
    </row>
    <row r="177" spans="16:21" ht="13.9" customHeight="1" x14ac:dyDescent="0.2">
      <c r="P177" s="27"/>
      <c r="Q177" s="30"/>
      <c r="R177" s="30"/>
      <c r="S177" s="30">
        <f>ABS(Q177)/'İtme Analizi'!$C$17</f>
        <v>0</v>
      </c>
      <c r="T177" s="30">
        <f>ABS(R177)/'İtme Analizi'!$C$14</f>
        <v>0</v>
      </c>
      <c r="U177" s="30">
        <f t="shared" si="6"/>
        <v>1.00829248845382E-4</v>
      </c>
    </row>
    <row r="178" spans="16:21" ht="13.9" customHeight="1" x14ac:dyDescent="0.2">
      <c r="P178" s="27"/>
      <c r="Q178" s="30"/>
      <c r="R178" s="30"/>
      <c r="S178" s="30">
        <f>ABS(Q178)/'İtme Analizi'!$C$17</f>
        <v>0</v>
      </c>
      <c r="T178" s="30">
        <f>ABS(R178)/'İtme Analizi'!$C$14</f>
        <v>0</v>
      </c>
      <c r="U178" s="30">
        <f t="shared" si="6"/>
        <v>1.00829248845382E-4</v>
      </c>
    </row>
    <row r="179" spans="16:21" ht="13.9" customHeight="1" x14ac:dyDescent="0.2">
      <c r="P179" s="27"/>
      <c r="Q179" s="30"/>
      <c r="R179" s="30"/>
      <c r="S179" s="30">
        <f>ABS(Q179)/'İtme Analizi'!$C$17</f>
        <v>0</v>
      </c>
      <c r="T179" s="30">
        <f>ABS(R179)/'İtme Analizi'!$C$14</f>
        <v>0</v>
      </c>
      <c r="U179" s="30">
        <f t="shared" si="6"/>
        <v>1.00829248845382E-4</v>
      </c>
    </row>
    <row r="180" spans="16:21" ht="13.9" customHeight="1" x14ac:dyDescent="0.2">
      <c r="P180" s="27"/>
      <c r="Q180" s="30"/>
      <c r="R180" s="30"/>
      <c r="S180" s="30">
        <f>ABS(Q180)/'İtme Analizi'!$C$17</f>
        <v>0</v>
      </c>
      <c r="T180" s="30">
        <f>ABS(R180)/'İtme Analizi'!$C$14</f>
        <v>0</v>
      </c>
      <c r="U180" s="30">
        <f t="shared" si="6"/>
        <v>1.00829248845382E-4</v>
      </c>
    </row>
    <row r="181" spans="16:21" ht="13.9" customHeight="1" x14ac:dyDescent="0.2">
      <c r="P181" s="27"/>
      <c r="Q181" s="30"/>
      <c r="R181" s="30"/>
      <c r="S181" s="30">
        <f>ABS(Q181)/'İtme Analizi'!$C$17</f>
        <v>0</v>
      </c>
      <c r="T181" s="30">
        <f>ABS(R181)/'İtme Analizi'!$C$14</f>
        <v>0</v>
      </c>
      <c r="U181" s="30">
        <f t="shared" si="6"/>
        <v>1.00829248845382E-4</v>
      </c>
    </row>
    <row r="182" spans="16:21" ht="13.9" customHeight="1" x14ac:dyDescent="0.2">
      <c r="P182" s="27"/>
      <c r="Q182" s="30"/>
      <c r="R182" s="30"/>
      <c r="S182" s="30">
        <f>ABS(Q182)/'İtme Analizi'!$C$17</f>
        <v>0</v>
      </c>
      <c r="T182" s="30">
        <f>ABS(R182)/'İtme Analizi'!$C$14</f>
        <v>0</v>
      </c>
      <c r="U182" s="30">
        <f t="shared" si="6"/>
        <v>1.00829248845382E-4</v>
      </c>
    </row>
    <row r="183" spans="16:21" ht="13.9" customHeight="1" x14ac:dyDescent="0.2">
      <c r="P183" s="27"/>
      <c r="Q183" s="30"/>
      <c r="R183" s="30"/>
      <c r="S183" s="30">
        <f>ABS(Q183)/'İtme Analizi'!$C$17</f>
        <v>0</v>
      </c>
      <c r="T183" s="30">
        <f>ABS(R183)/'İtme Analizi'!$C$14</f>
        <v>0</v>
      </c>
      <c r="U183" s="30">
        <f t="shared" si="6"/>
        <v>1.00829248845382E-4</v>
      </c>
    </row>
    <row r="184" spans="16:21" ht="13.9" customHeight="1" x14ac:dyDescent="0.2">
      <c r="P184" s="27"/>
      <c r="Q184" s="30"/>
      <c r="R184" s="30"/>
      <c r="S184" s="30">
        <f>ABS(Q184)/'İtme Analizi'!$C$17</f>
        <v>0</v>
      </c>
      <c r="T184" s="30">
        <f>ABS(R184)/'İtme Analizi'!$C$14</f>
        <v>0</v>
      </c>
      <c r="U184" s="30">
        <f t="shared" si="6"/>
        <v>1.00829248845382E-4</v>
      </c>
    </row>
    <row r="185" spans="16:21" ht="13.9" customHeight="1" x14ac:dyDescent="0.2">
      <c r="P185" s="27"/>
      <c r="Q185" s="30"/>
      <c r="R185" s="30"/>
      <c r="S185" s="30">
        <f>ABS(Q185)/'İtme Analizi'!$C$17</f>
        <v>0</v>
      </c>
      <c r="T185" s="30">
        <f>ABS(R185)/'İtme Analizi'!$C$14</f>
        <v>0</v>
      </c>
      <c r="U185" s="30">
        <f t="shared" si="6"/>
        <v>1.00829248845382E-4</v>
      </c>
    </row>
    <row r="186" spans="16:21" ht="13.9" customHeight="1" x14ac:dyDescent="0.2">
      <c r="P186" s="27"/>
      <c r="Q186" s="30"/>
      <c r="R186" s="30"/>
      <c r="S186" s="30">
        <f>ABS(Q186)/'İtme Analizi'!$C$17</f>
        <v>0</v>
      </c>
      <c r="T186" s="30">
        <f>ABS(R186)/'İtme Analizi'!$C$14</f>
        <v>0</v>
      </c>
      <c r="U186" s="30">
        <f t="shared" si="6"/>
        <v>1.00829248845382E-4</v>
      </c>
    </row>
    <row r="187" spans="16:21" ht="13.9" customHeight="1" x14ac:dyDescent="0.2">
      <c r="P187" s="27"/>
      <c r="Q187" s="30"/>
      <c r="R187" s="30"/>
      <c r="S187" s="30">
        <f>ABS(Q187)/'İtme Analizi'!$C$17</f>
        <v>0</v>
      </c>
      <c r="T187" s="30">
        <f>ABS(R187)/'İtme Analizi'!$C$14</f>
        <v>0</v>
      </c>
      <c r="U187" s="30">
        <f t="shared" si="6"/>
        <v>1.00829248845382E-4</v>
      </c>
    </row>
    <row r="188" spans="16:21" ht="13.9" customHeight="1" x14ac:dyDescent="0.2">
      <c r="P188" s="27"/>
      <c r="Q188" s="30"/>
      <c r="R188" s="30"/>
      <c r="S188" s="30">
        <f>ABS(Q188)/'İtme Analizi'!$C$17</f>
        <v>0</v>
      </c>
      <c r="T188" s="30">
        <f>ABS(R188)/'İtme Analizi'!$C$14</f>
        <v>0</v>
      </c>
      <c r="U188" s="30">
        <f t="shared" si="6"/>
        <v>1.00829248845382E-4</v>
      </c>
    </row>
    <row r="189" spans="16:21" ht="13.9" customHeight="1" x14ac:dyDescent="0.2">
      <c r="P189" s="27"/>
      <c r="Q189" s="30"/>
      <c r="R189" s="30"/>
      <c r="S189" s="30">
        <f>ABS(Q189)/'İtme Analizi'!$C$17</f>
        <v>0</v>
      </c>
      <c r="T189" s="30">
        <f>ABS(R189)/'İtme Analizi'!$C$14</f>
        <v>0</v>
      </c>
      <c r="U189" s="30">
        <f t="shared" si="6"/>
        <v>1.00829248845382E-4</v>
      </c>
    </row>
    <row r="190" spans="16:21" ht="13.9" customHeight="1" x14ac:dyDescent="0.2">
      <c r="P190" s="27"/>
      <c r="Q190" s="30"/>
      <c r="R190" s="30"/>
      <c r="S190" s="30">
        <f>ABS(Q190)/'İtme Analizi'!$C$17</f>
        <v>0</v>
      </c>
      <c r="T190" s="30">
        <f>ABS(R190)/'İtme Analizi'!$C$14</f>
        <v>0</v>
      </c>
      <c r="U190" s="30">
        <f t="shared" si="6"/>
        <v>1.00829248845382E-4</v>
      </c>
    </row>
    <row r="191" spans="16:21" ht="13.9" customHeight="1" x14ac:dyDescent="0.2">
      <c r="P191" s="27"/>
      <c r="Q191" s="30"/>
      <c r="R191" s="30"/>
      <c r="S191" s="30">
        <f>ABS(Q191)/'İtme Analizi'!$C$17</f>
        <v>0</v>
      </c>
      <c r="T191" s="30">
        <f>ABS(R191)/'İtme Analizi'!$C$14</f>
        <v>0</v>
      </c>
      <c r="U191" s="30">
        <f t="shared" si="6"/>
        <v>1.00829248845382E-4</v>
      </c>
    </row>
    <row r="192" spans="16:21" ht="13.9" customHeight="1" x14ac:dyDescent="0.2">
      <c r="P192" s="27"/>
      <c r="Q192" s="30"/>
      <c r="R192" s="30"/>
      <c r="S192" s="30">
        <f>ABS(Q192)/'İtme Analizi'!$C$17</f>
        <v>0</v>
      </c>
      <c r="T192" s="30">
        <f>ABS(R192)/'İtme Analizi'!$C$14</f>
        <v>0</v>
      </c>
      <c r="U192" s="30">
        <f t="shared" si="6"/>
        <v>1.00829248845382E-4</v>
      </c>
    </row>
    <row r="193" spans="16:21" ht="13.9" customHeight="1" x14ac:dyDescent="0.2">
      <c r="P193" s="27"/>
      <c r="Q193" s="30"/>
      <c r="R193" s="30"/>
      <c r="S193" s="30">
        <f>ABS(Q193)/'İtme Analizi'!$C$17</f>
        <v>0</v>
      </c>
      <c r="T193" s="30">
        <f>ABS(R193)/'İtme Analizi'!$C$14</f>
        <v>0</v>
      </c>
      <c r="U193" s="30">
        <f t="shared" si="6"/>
        <v>1.00829248845382E-4</v>
      </c>
    </row>
    <row r="194" spans="16:21" ht="13.9" customHeight="1" x14ac:dyDescent="0.2">
      <c r="P194" s="27"/>
      <c r="Q194" s="30"/>
      <c r="R194" s="30"/>
      <c r="S194" s="30">
        <f>ABS(Q194)/'İtme Analizi'!$C$17</f>
        <v>0</v>
      </c>
      <c r="T194" s="30">
        <f>ABS(R194)/'İtme Analizi'!$C$14</f>
        <v>0</v>
      </c>
      <c r="U194" s="30">
        <f t="shared" si="6"/>
        <v>1.00829248845382E-4</v>
      </c>
    </row>
    <row r="195" spans="16:21" ht="13.9" customHeight="1" x14ac:dyDescent="0.2">
      <c r="P195" s="27"/>
      <c r="Q195" s="30"/>
      <c r="R195" s="30"/>
      <c r="S195" s="30">
        <f>ABS(Q195)/'İtme Analizi'!$C$17</f>
        <v>0</v>
      </c>
      <c r="T195" s="30">
        <f>ABS(R195)/'İtme Analizi'!$C$14</f>
        <v>0</v>
      </c>
      <c r="U195" s="30">
        <f t="shared" si="6"/>
        <v>1.00829248845382E-4</v>
      </c>
    </row>
    <row r="196" spans="16:21" ht="13.9" customHeight="1" x14ac:dyDescent="0.2">
      <c r="P196" s="27"/>
      <c r="Q196" s="30"/>
      <c r="R196" s="30"/>
      <c r="S196" s="30">
        <f>ABS(Q196)/'İtme Analizi'!$C$17</f>
        <v>0</v>
      </c>
      <c r="T196" s="30">
        <f>ABS(R196)/'İtme Analizi'!$C$14</f>
        <v>0</v>
      </c>
      <c r="U196" s="30">
        <f t="shared" si="6"/>
        <v>1.00829248845382E-4</v>
      </c>
    </row>
    <row r="197" spans="16:21" ht="13.9" customHeight="1" x14ac:dyDescent="0.2">
      <c r="P197" s="27"/>
      <c r="Q197" s="30"/>
      <c r="R197" s="30"/>
      <c r="S197" s="30">
        <f>ABS(Q197)/'İtme Analizi'!$C$17</f>
        <v>0</v>
      </c>
      <c r="T197" s="30">
        <f>ABS(R197)/'İtme Analizi'!$C$14</f>
        <v>0</v>
      </c>
      <c r="U197" s="30">
        <f t="shared" si="6"/>
        <v>1.00829248845382E-4</v>
      </c>
    </row>
    <row r="198" spans="16:21" ht="13.9" customHeight="1" x14ac:dyDescent="0.2">
      <c r="P198" s="27"/>
      <c r="Q198" s="30"/>
      <c r="R198" s="30"/>
      <c r="S198" s="30">
        <f>ABS(Q198)/'İtme Analizi'!$C$17</f>
        <v>0</v>
      </c>
      <c r="T198" s="30">
        <f>ABS(R198)/'İtme Analizi'!$C$14</f>
        <v>0</v>
      </c>
      <c r="U198" s="30">
        <f t="shared" si="6"/>
        <v>1.00829248845382E-4</v>
      </c>
    </row>
    <row r="199" spans="16:21" ht="13.9" customHeight="1" x14ac:dyDescent="0.2">
      <c r="P199" s="27"/>
      <c r="Q199" s="30"/>
      <c r="R199" s="30"/>
      <c r="S199" s="30">
        <f>ABS(Q199)/'İtme Analizi'!$C$17</f>
        <v>0</v>
      </c>
      <c r="T199" s="30">
        <f>ABS(R199)/'İtme Analizi'!$C$14</f>
        <v>0</v>
      </c>
      <c r="U199" s="30">
        <f t="shared" si="6"/>
        <v>1.00829248845382E-4</v>
      </c>
    </row>
    <row r="200" spans="16:21" ht="13.9" customHeight="1" x14ac:dyDescent="0.2">
      <c r="P200" s="27"/>
      <c r="Q200" s="30"/>
      <c r="R200" s="30"/>
      <c r="S200" s="30">
        <f>ABS(Q200)/'İtme Analizi'!$C$17</f>
        <v>0</v>
      </c>
      <c r="T200" s="30">
        <f>ABS(R200)/'İtme Analizi'!$C$14</f>
        <v>0</v>
      </c>
      <c r="U200" s="30">
        <f t="shared" si="6"/>
        <v>1.00829248845382E-4</v>
      </c>
    </row>
    <row r="201" spans="16:21" ht="13.9" customHeight="1" x14ac:dyDescent="0.2">
      <c r="P201" s="27"/>
      <c r="Q201" s="30"/>
      <c r="R201" s="30"/>
      <c r="S201" s="30">
        <f>ABS(Q201)/'İtme Analizi'!$C$17</f>
        <v>0</v>
      </c>
      <c r="T201" s="30">
        <f>ABS(R201)/'İtme Analizi'!$C$14</f>
        <v>0</v>
      </c>
      <c r="U201" s="30">
        <f t="shared" si="6"/>
        <v>1.00829248845382E-4</v>
      </c>
    </row>
    <row r="202" spans="16:21" ht="13.9" customHeight="1" x14ac:dyDescent="0.2">
      <c r="P202" s="27"/>
      <c r="Q202" s="30"/>
      <c r="R202" s="30"/>
      <c r="S202" s="30">
        <f>ABS(Q202)/'İtme Analizi'!$C$17</f>
        <v>0</v>
      </c>
      <c r="T202" s="30">
        <f>ABS(R202)/'İtme Analizi'!$C$14</f>
        <v>0</v>
      </c>
      <c r="U202" s="30">
        <f t="shared" si="6"/>
        <v>1.00829248845382E-4</v>
      </c>
    </row>
    <row r="203" spans="16:21" ht="13.9" customHeight="1" x14ac:dyDescent="0.2">
      <c r="P203" s="27"/>
      <c r="Q203" s="30"/>
      <c r="R203" s="30"/>
      <c r="S203" s="30">
        <f>ABS(Q203)/'İtme Analizi'!$C$17</f>
        <v>0</v>
      </c>
      <c r="T203" s="30">
        <f>ABS(R203)/'İtme Analizi'!$C$14</f>
        <v>0</v>
      </c>
      <c r="U203" s="30">
        <f t="shared" si="6"/>
        <v>1.00829248845382E-4</v>
      </c>
    </row>
    <row r="204" spans="16:21" ht="13.9" customHeight="1" x14ac:dyDescent="0.2">
      <c r="P204" s="27"/>
      <c r="Q204" s="30"/>
      <c r="R204" s="30"/>
      <c r="S204" s="30">
        <f>ABS(Q204)/'İtme Analizi'!$C$17</f>
        <v>0</v>
      </c>
      <c r="T204" s="30">
        <f>ABS(R204)/'İtme Analizi'!$C$14</f>
        <v>0</v>
      </c>
      <c r="U204" s="30">
        <f t="shared" si="6"/>
        <v>1.00829248845382E-4</v>
      </c>
    </row>
    <row r="205" spans="16:21" ht="13.9" customHeight="1" x14ac:dyDescent="0.2">
      <c r="P205" s="27"/>
      <c r="Q205" s="30"/>
      <c r="R205" s="30"/>
      <c r="S205" s="30">
        <f>ABS(Q205)/'İtme Analizi'!$C$17</f>
        <v>0</v>
      </c>
      <c r="T205" s="30">
        <f>ABS(R205)/'İtme Analizi'!$C$14</f>
        <v>0</v>
      </c>
      <c r="U205" s="30">
        <f t="shared" si="6"/>
        <v>1.00829248845382E-4</v>
      </c>
    </row>
    <row r="206" spans="16:21" ht="13.9" customHeight="1" x14ac:dyDescent="0.2">
      <c r="P206" s="27"/>
      <c r="Q206" s="30"/>
      <c r="R206" s="30"/>
      <c r="S206" s="30">
        <f>ABS(Q206)/'İtme Analizi'!$C$17</f>
        <v>0</v>
      </c>
      <c r="T206" s="30">
        <f>ABS(R206)/'İtme Analizi'!$C$14</f>
        <v>0</v>
      </c>
      <c r="U206" s="30">
        <f t="shared" si="6"/>
        <v>1.00829248845382E-4</v>
      </c>
    </row>
    <row r="207" spans="16:21" ht="13.9" customHeight="1" x14ac:dyDescent="0.2">
      <c r="P207" s="27"/>
      <c r="Q207" s="30"/>
      <c r="R207" s="30"/>
      <c r="S207" s="30">
        <f>ABS(Q207)/'İtme Analizi'!$C$17</f>
        <v>0</v>
      </c>
      <c r="T207" s="30">
        <f>ABS(R207)/'İtme Analizi'!$C$14</f>
        <v>0</v>
      </c>
      <c r="U207" s="30">
        <f t="shared" si="6"/>
        <v>1.00829248845382E-4</v>
      </c>
    </row>
    <row r="208" spans="16:21" ht="13.9" customHeight="1" x14ac:dyDescent="0.2">
      <c r="P208" s="27"/>
      <c r="Q208" s="30"/>
      <c r="R208" s="30"/>
      <c r="S208" s="30">
        <f>ABS(Q208)/'İtme Analizi'!$C$17</f>
        <v>0</v>
      </c>
      <c r="T208" s="30">
        <f>ABS(R208)/'İtme Analizi'!$C$14</f>
        <v>0</v>
      </c>
      <c r="U208" s="30">
        <f t="shared" si="6"/>
        <v>1.00829248845382E-4</v>
      </c>
    </row>
    <row r="209" spans="16:21" ht="13.9" customHeight="1" x14ac:dyDescent="0.2">
      <c r="P209" s="27"/>
      <c r="Q209" s="30"/>
      <c r="R209" s="30"/>
      <c r="S209" s="30">
        <f>ABS(Q209)/'İtme Analizi'!$C$17</f>
        <v>0</v>
      </c>
      <c r="T209" s="30">
        <f>ABS(R209)/'İtme Analizi'!$C$14</f>
        <v>0</v>
      </c>
      <c r="U209" s="30">
        <f t="shared" si="6"/>
        <v>1.00829248845382E-4</v>
      </c>
    </row>
    <row r="210" spans="16:21" ht="13.9" customHeight="1" x14ac:dyDescent="0.2">
      <c r="P210" s="27"/>
      <c r="Q210" s="30"/>
      <c r="R210" s="30"/>
      <c r="S210" s="30">
        <f>ABS(Q210)/'İtme Analizi'!$C$17</f>
        <v>0</v>
      </c>
      <c r="T210" s="30">
        <f>ABS(R210)/'İtme Analizi'!$C$14</f>
        <v>0</v>
      </c>
      <c r="U210" s="30">
        <f t="shared" si="6"/>
        <v>1.00829248845382E-4</v>
      </c>
    </row>
    <row r="211" spans="16:21" ht="13.9" customHeight="1" x14ac:dyDescent="0.2">
      <c r="P211" s="27"/>
      <c r="Q211" s="30"/>
      <c r="R211" s="30"/>
      <c r="S211" s="30">
        <f>ABS(Q211)/'İtme Analizi'!$C$17</f>
        <v>0</v>
      </c>
      <c r="T211" s="30">
        <f>ABS(R211)/'İtme Analizi'!$C$14</f>
        <v>0</v>
      </c>
      <c r="U211" s="30">
        <f t="shared" si="6"/>
        <v>1.00829248845382E-4</v>
      </c>
    </row>
    <row r="212" spans="16:21" ht="13.9" customHeight="1" x14ac:dyDescent="0.2">
      <c r="P212" s="27"/>
      <c r="Q212" s="30"/>
      <c r="R212" s="30"/>
      <c r="S212" s="30">
        <f>ABS(Q212)/'İtme Analizi'!$C$17</f>
        <v>0</v>
      </c>
      <c r="T212" s="30">
        <f>ABS(R212)/'İtme Analizi'!$C$14</f>
        <v>0</v>
      </c>
      <c r="U212" s="30">
        <f t="shared" si="6"/>
        <v>1.00829248845382E-4</v>
      </c>
    </row>
    <row r="213" spans="16:21" ht="13.9" customHeight="1" x14ac:dyDescent="0.2">
      <c r="P213" s="27"/>
      <c r="Q213" s="30"/>
      <c r="R213" s="30"/>
      <c r="S213" s="30">
        <f>ABS(Q213)/'İtme Analizi'!$C$17</f>
        <v>0</v>
      </c>
      <c r="T213" s="30">
        <f>ABS(R213)/'İtme Analizi'!$C$14</f>
        <v>0</v>
      </c>
      <c r="U213" s="30">
        <f t="shared" si="6"/>
        <v>1.00829248845382E-4</v>
      </c>
    </row>
    <row r="214" spans="16:21" ht="13.9" customHeight="1" x14ac:dyDescent="0.2">
      <c r="P214" s="27"/>
      <c r="Q214" s="30"/>
      <c r="R214" s="30"/>
      <c r="S214" s="30">
        <f>ABS(Q214)/'İtme Analizi'!$C$17</f>
        <v>0</v>
      </c>
      <c r="T214" s="30">
        <f>ABS(R214)/'İtme Analizi'!$C$14</f>
        <v>0</v>
      </c>
      <c r="U214" s="30">
        <f t="shared" si="6"/>
        <v>1.00829248845382E-4</v>
      </c>
    </row>
    <row r="215" spans="16:21" ht="13.9" customHeight="1" x14ac:dyDescent="0.2">
      <c r="P215" s="27"/>
      <c r="Q215" s="30"/>
      <c r="R215" s="30"/>
      <c r="S215" s="30">
        <f>ABS(Q215)/'İtme Analizi'!$C$17</f>
        <v>0</v>
      </c>
      <c r="T215" s="30">
        <f>ABS(R215)/'İtme Analizi'!$C$14</f>
        <v>0</v>
      </c>
      <c r="U215" s="30">
        <f t="shared" si="6"/>
        <v>1.00829248845382E-4</v>
      </c>
    </row>
    <row r="216" spans="16:21" ht="13.9" customHeight="1" x14ac:dyDescent="0.2">
      <c r="P216" s="27"/>
      <c r="Q216" s="30"/>
      <c r="R216" s="30"/>
      <c r="S216" s="30">
        <f>ABS(Q216)/'İtme Analizi'!$C$17</f>
        <v>0</v>
      </c>
      <c r="T216" s="30">
        <f>ABS(R216)/'İtme Analizi'!$C$14</f>
        <v>0</v>
      </c>
      <c r="U216" s="30">
        <f t="shared" si="6"/>
        <v>1.00829248845382E-4</v>
      </c>
    </row>
    <row r="217" spans="16:21" ht="13.9" customHeight="1" x14ac:dyDescent="0.2">
      <c r="P217" s="27"/>
      <c r="Q217" s="30"/>
      <c r="R217" s="30"/>
      <c r="S217" s="30">
        <f>ABS(Q217)/'İtme Analizi'!$C$17</f>
        <v>0</v>
      </c>
      <c r="T217" s="30">
        <f>ABS(R217)/'İtme Analizi'!$C$14</f>
        <v>0</v>
      </c>
      <c r="U217" s="30">
        <f t="shared" si="6"/>
        <v>1.00829248845382E-4</v>
      </c>
    </row>
    <row r="218" spans="16:21" ht="13.9" customHeight="1" x14ac:dyDescent="0.2">
      <c r="P218" s="27"/>
      <c r="Q218" s="30"/>
      <c r="R218" s="30"/>
      <c r="S218" s="30">
        <f>ABS(Q218)/'İtme Analizi'!$C$17</f>
        <v>0</v>
      </c>
      <c r="T218" s="30">
        <f>ABS(R218)/'İtme Analizi'!$C$14</f>
        <v>0</v>
      </c>
      <c r="U218" s="30">
        <f t="shared" si="6"/>
        <v>1.00829248845382E-4</v>
      </c>
    </row>
    <row r="219" spans="16:21" ht="13.9" customHeight="1" x14ac:dyDescent="0.2">
      <c r="P219" s="27"/>
      <c r="Q219" s="30"/>
      <c r="R219" s="30"/>
      <c r="S219" s="30">
        <f>ABS(Q219)/'İtme Analizi'!$C$17</f>
        <v>0</v>
      </c>
      <c r="T219" s="30">
        <f>ABS(R219)/'İtme Analizi'!$C$14</f>
        <v>0</v>
      </c>
      <c r="U219" s="30">
        <f t="shared" si="6"/>
        <v>1.00829248845382E-4</v>
      </c>
    </row>
    <row r="220" spans="16:21" ht="13.9" customHeight="1" x14ac:dyDescent="0.2">
      <c r="P220" s="27"/>
      <c r="Q220" s="30"/>
      <c r="R220" s="30"/>
      <c r="S220" s="30">
        <f>ABS(Q220)/'İtme Analizi'!$C$17</f>
        <v>0</v>
      </c>
      <c r="T220" s="30">
        <f>ABS(R220)/'İtme Analizi'!$C$14</f>
        <v>0</v>
      </c>
      <c r="U220" s="30">
        <f t="shared" si="6"/>
        <v>1.00829248845382E-4</v>
      </c>
    </row>
    <row r="221" spans="16:21" ht="13.9" customHeight="1" x14ac:dyDescent="0.2">
      <c r="P221" s="27"/>
      <c r="Q221" s="30"/>
      <c r="R221" s="30"/>
      <c r="S221" s="30">
        <f>ABS(Q221)/'İtme Analizi'!$C$17</f>
        <v>0</v>
      </c>
      <c r="T221" s="30">
        <f>ABS(R221)/'İtme Analizi'!$C$14</f>
        <v>0</v>
      </c>
      <c r="U221" s="30">
        <f t="shared" si="6"/>
        <v>1.00829248845382E-4</v>
      </c>
    </row>
    <row r="222" spans="16:21" ht="13.9" customHeight="1" x14ac:dyDescent="0.2">
      <c r="P222" s="27"/>
      <c r="Q222" s="30"/>
      <c r="R222" s="30"/>
      <c r="S222" s="30">
        <f>ABS(Q222)/'İtme Analizi'!$C$17</f>
        <v>0</v>
      </c>
      <c r="T222" s="30">
        <f>ABS(R222)/'İtme Analizi'!$C$14</f>
        <v>0</v>
      </c>
      <c r="U222" s="30">
        <f t="shared" si="6"/>
        <v>1.00829248845382E-4</v>
      </c>
    </row>
    <row r="223" spans="16:21" ht="13.9" customHeight="1" x14ac:dyDescent="0.2">
      <c r="P223" s="27"/>
      <c r="Q223" s="30"/>
      <c r="R223" s="30"/>
      <c r="S223" s="30">
        <f>ABS(Q223)/'İtme Analizi'!$C$17</f>
        <v>0</v>
      </c>
      <c r="T223" s="30">
        <f>ABS(R223)/'İtme Analizi'!$C$14</f>
        <v>0</v>
      </c>
      <c r="U223" s="30">
        <f t="shared" si="6"/>
        <v>1.00829248845382E-4</v>
      </c>
    </row>
    <row r="224" spans="16:21" ht="13.9" customHeight="1" x14ac:dyDescent="0.2">
      <c r="P224" s="27"/>
      <c r="Q224" s="30"/>
      <c r="R224" s="30"/>
      <c r="S224" s="30">
        <f>ABS(Q224)/'İtme Analizi'!$C$17</f>
        <v>0</v>
      </c>
      <c r="T224" s="30">
        <f>ABS(R224)/'İtme Analizi'!$C$14</f>
        <v>0</v>
      </c>
      <c r="U224" s="30">
        <f t="shared" si="6"/>
        <v>1.00829248845382E-4</v>
      </c>
    </row>
    <row r="225" spans="16:21" ht="13.9" customHeight="1" x14ac:dyDescent="0.2">
      <c r="P225" s="27"/>
      <c r="Q225" s="30"/>
      <c r="R225" s="30"/>
      <c r="S225" s="30">
        <f>ABS(Q225)/'İtme Analizi'!$C$17</f>
        <v>0</v>
      </c>
      <c r="T225" s="30">
        <f>ABS(R225)/'İtme Analizi'!$C$14</f>
        <v>0</v>
      </c>
      <c r="U225" s="30">
        <f t="shared" si="6"/>
        <v>1.00829248845382E-4</v>
      </c>
    </row>
    <row r="226" spans="16:21" ht="13.9" customHeight="1" x14ac:dyDescent="0.2">
      <c r="P226" s="27"/>
      <c r="Q226" s="30"/>
      <c r="R226" s="30"/>
      <c r="S226" s="30">
        <f>ABS(Q226)/'İtme Analizi'!$C$17</f>
        <v>0</v>
      </c>
      <c r="T226" s="30">
        <f>ABS(R226)/'İtme Analizi'!$C$14</f>
        <v>0</v>
      </c>
      <c r="U226" s="30">
        <f t="shared" si="6"/>
        <v>1.00829248845382E-4</v>
      </c>
    </row>
    <row r="227" spans="16:21" ht="13.9" customHeight="1" x14ac:dyDescent="0.2">
      <c r="P227" s="27"/>
      <c r="Q227" s="30"/>
      <c r="R227" s="30"/>
      <c r="S227" s="30">
        <f>ABS(Q227)/'İtme Analizi'!$C$17</f>
        <v>0</v>
      </c>
      <c r="T227" s="30">
        <f>ABS(R227)/'İtme Analizi'!$C$14</f>
        <v>0</v>
      </c>
      <c r="U227" s="30">
        <f t="shared" si="6"/>
        <v>1.00829248845382E-4</v>
      </c>
    </row>
    <row r="228" spans="16:21" ht="13.9" customHeight="1" x14ac:dyDescent="0.2">
      <c r="P228" s="27"/>
      <c r="Q228" s="30"/>
      <c r="R228" s="30"/>
      <c r="S228" s="30">
        <f>ABS(Q228)/'İtme Analizi'!$C$17</f>
        <v>0</v>
      </c>
      <c r="T228" s="30">
        <f>ABS(R228)/'İtme Analizi'!$C$14</f>
        <v>0</v>
      </c>
      <c r="U228" s="30">
        <f t="shared" si="6"/>
        <v>1.00829248845382E-4</v>
      </c>
    </row>
    <row r="229" spans="16:21" ht="13.9" customHeight="1" x14ac:dyDescent="0.2">
      <c r="P229" s="27"/>
      <c r="Q229" s="30"/>
      <c r="R229" s="30"/>
      <c r="S229" s="30">
        <f>ABS(Q229)/'İtme Analizi'!$C$17</f>
        <v>0</v>
      </c>
      <c r="T229" s="30">
        <f>ABS(R229)/'İtme Analizi'!$C$14</f>
        <v>0</v>
      </c>
      <c r="U229" s="30">
        <f t="shared" si="6"/>
        <v>1.00829248845382E-4</v>
      </c>
    </row>
    <row r="230" spans="16:21" ht="13.9" customHeight="1" x14ac:dyDescent="0.2">
      <c r="P230" s="27"/>
      <c r="Q230" s="30"/>
      <c r="R230" s="30"/>
      <c r="S230" s="30">
        <f>ABS(Q230)/'İtme Analizi'!$C$17</f>
        <v>0</v>
      </c>
      <c r="T230" s="30">
        <f>ABS(R230)/'İtme Analizi'!$C$14</f>
        <v>0</v>
      </c>
      <c r="U230" s="30">
        <f t="shared" si="6"/>
        <v>1.00829248845382E-4</v>
      </c>
    </row>
    <row r="231" spans="16:21" ht="13.9" customHeight="1" x14ac:dyDescent="0.2">
      <c r="P231" s="27"/>
      <c r="Q231" s="30"/>
      <c r="R231" s="30"/>
      <c r="S231" s="30">
        <f>ABS(Q231)/'İtme Analizi'!$C$17</f>
        <v>0</v>
      </c>
      <c r="T231" s="30">
        <f>ABS(R231)/'İtme Analizi'!$C$14</f>
        <v>0</v>
      </c>
      <c r="U231" s="30">
        <f t="shared" si="6"/>
        <v>1.00829248845382E-4</v>
      </c>
    </row>
    <row r="232" spans="16:21" ht="13.9" customHeight="1" x14ac:dyDescent="0.2">
      <c r="P232" s="27"/>
      <c r="Q232" s="30"/>
      <c r="R232" s="30"/>
      <c r="S232" s="30">
        <f>ABS(Q232)/'İtme Analizi'!$C$17</f>
        <v>0</v>
      </c>
      <c r="T232" s="30">
        <f>ABS(R232)/'İtme Analizi'!$C$14</f>
        <v>0</v>
      </c>
      <c r="U232" s="30">
        <f t="shared" si="6"/>
        <v>1.00829248845382E-4</v>
      </c>
    </row>
    <row r="233" spans="16:21" ht="13.9" customHeight="1" x14ac:dyDescent="0.2">
      <c r="P233" s="27"/>
      <c r="Q233" s="30"/>
      <c r="R233" s="30"/>
      <c r="S233" s="30">
        <f>ABS(Q233)/'İtme Analizi'!$C$17</f>
        <v>0</v>
      </c>
      <c r="T233" s="30">
        <f>ABS(R233)/'İtme Analizi'!$C$14</f>
        <v>0</v>
      </c>
      <c r="U233" s="30">
        <f t="shared" si="6"/>
        <v>1.00829248845382E-4</v>
      </c>
    </row>
    <row r="234" spans="16:21" ht="13.9" customHeight="1" x14ac:dyDescent="0.2">
      <c r="P234" s="27"/>
      <c r="Q234" s="30"/>
      <c r="R234" s="30"/>
      <c r="S234" s="30">
        <f>ABS(Q234)/'İtme Analizi'!$C$17</f>
        <v>0</v>
      </c>
      <c r="T234" s="30">
        <f>ABS(R234)/'İtme Analizi'!$C$14</f>
        <v>0</v>
      </c>
      <c r="U234" s="30">
        <f t="shared" si="6"/>
        <v>1.00829248845382E-4</v>
      </c>
    </row>
    <row r="235" spans="16:21" ht="13.9" customHeight="1" x14ac:dyDescent="0.2">
      <c r="P235" s="27"/>
      <c r="Q235" s="30"/>
      <c r="R235" s="30"/>
      <c r="S235" s="30">
        <f>ABS(Q235)/'İtme Analizi'!$C$17</f>
        <v>0</v>
      </c>
      <c r="T235" s="30">
        <f>ABS(R235)/'İtme Analizi'!$C$14</f>
        <v>0</v>
      </c>
      <c r="U235" s="30">
        <f t="shared" ref="U235:U298" si="7">U234+(S235-S234)*((T235+T234)/2)</f>
        <v>1.00829248845382E-4</v>
      </c>
    </row>
    <row r="236" spans="16:21" ht="13.9" customHeight="1" x14ac:dyDescent="0.2">
      <c r="P236" s="27"/>
      <c r="Q236" s="30"/>
      <c r="R236" s="30"/>
      <c r="S236" s="30">
        <f>ABS(Q236)/'İtme Analizi'!$C$17</f>
        <v>0</v>
      </c>
      <c r="T236" s="30">
        <f>ABS(R236)/'İtme Analizi'!$C$14</f>
        <v>0</v>
      </c>
      <c r="U236" s="30">
        <f t="shared" si="7"/>
        <v>1.00829248845382E-4</v>
      </c>
    </row>
    <row r="237" spans="16:21" ht="13.9" customHeight="1" x14ac:dyDescent="0.2">
      <c r="P237" s="27"/>
      <c r="Q237" s="30"/>
      <c r="R237" s="30"/>
      <c r="S237" s="30">
        <f>ABS(Q237)/'İtme Analizi'!$C$17</f>
        <v>0</v>
      </c>
      <c r="T237" s="30">
        <f>ABS(R237)/'İtme Analizi'!$C$14</f>
        <v>0</v>
      </c>
      <c r="U237" s="30">
        <f t="shared" si="7"/>
        <v>1.00829248845382E-4</v>
      </c>
    </row>
    <row r="238" spans="16:21" ht="13.9" customHeight="1" x14ac:dyDescent="0.2">
      <c r="P238" s="27"/>
      <c r="Q238" s="30"/>
      <c r="R238" s="30"/>
      <c r="S238" s="30">
        <f>ABS(Q238)/'İtme Analizi'!$C$17</f>
        <v>0</v>
      </c>
      <c r="T238" s="30">
        <f>ABS(R238)/'İtme Analizi'!$C$14</f>
        <v>0</v>
      </c>
      <c r="U238" s="30">
        <f t="shared" si="7"/>
        <v>1.00829248845382E-4</v>
      </c>
    </row>
    <row r="239" spans="16:21" ht="13.9" customHeight="1" x14ac:dyDescent="0.2">
      <c r="P239" s="27"/>
      <c r="Q239" s="30"/>
      <c r="R239" s="30"/>
      <c r="S239" s="30">
        <f>ABS(Q239)/'İtme Analizi'!$C$17</f>
        <v>0</v>
      </c>
      <c r="T239" s="30">
        <f>ABS(R239)/'İtme Analizi'!$C$14</f>
        <v>0</v>
      </c>
      <c r="U239" s="30">
        <f t="shared" si="7"/>
        <v>1.00829248845382E-4</v>
      </c>
    </row>
    <row r="240" spans="16:21" ht="13.9" customHeight="1" x14ac:dyDescent="0.2">
      <c r="P240" s="27"/>
      <c r="Q240" s="30"/>
      <c r="R240" s="30"/>
      <c r="S240" s="30">
        <f>ABS(Q240)/'İtme Analizi'!$C$17</f>
        <v>0</v>
      </c>
      <c r="T240" s="30">
        <f>ABS(R240)/'İtme Analizi'!$C$14</f>
        <v>0</v>
      </c>
      <c r="U240" s="30">
        <f t="shared" si="7"/>
        <v>1.00829248845382E-4</v>
      </c>
    </row>
    <row r="241" spans="16:21" ht="13.9" customHeight="1" x14ac:dyDescent="0.2">
      <c r="P241" s="27"/>
      <c r="Q241" s="30"/>
      <c r="R241" s="30"/>
      <c r="S241" s="30">
        <f>ABS(Q241)/'İtme Analizi'!$C$17</f>
        <v>0</v>
      </c>
      <c r="T241" s="30">
        <f>ABS(R241)/'İtme Analizi'!$C$14</f>
        <v>0</v>
      </c>
      <c r="U241" s="30">
        <f t="shared" si="7"/>
        <v>1.00829248845382E-4</v>
      </c>
    </row>
    <row r="242" spans="16:21" ht="13.9" customHeight="1" x14ac:dyDescent="0.2">
      <c r="P242" s="27"/>
      <c r="Q242" s="30"/>
      <c r="R242" s="30"/>
      <c r="S242" s="30">
        <f>ABS(Q242)/'İtme Analizi'!$C$17</f>
        <v>0</v>
      </c>
      <c r="T242" s="30">
        <f>ABS(R242)/'İtme Analizi'!$C$14</f>
        <v>0</v>
      </c>
      <c r="U242" s="30">
        <f t="shared" si="7"/>
        <v>1.00829248845382E-4</v>
      </c>
    </row>
    <row r="243" spans="16:21" ht="13.9" customHeight="1" x14ac:dyDescent="0.2">
      <c r="P243" s="27"/>
      <c r="Q243" s="30"/>
      <c r="R243" s="30"/>
      <c r="S243" s="30">
        <f>ABS(Q243)/'İtme Analizi'!$C$17</f>
        <v>0</v>
      </c>
      <c r="T243" s="30">
        <f>ABS(R243)/'İtme Analizi'!$C$14</f>
        <v>0</v>
      </c>
      <c r="U243" s="30">
        <f t="shared" si="7"/>
        <v>1.00829248845382E-4</v>
      </c>
    </row>
    <row r="244" spans="16:21" ht="13.9" customHeight="1" x14ac:dyDescent="0.2">
      <c r="P244" s="27"/>
      <c r="Q244" s="30"/>
      <c r="R244" s="30"/>
      <c r="S244" s="30">
        <f>ABS(Q244)/'İtme Analizi'!$C$17</f>
        <v>0</v>
      </c>
      <c r="T244" s="30">
        <f>ABS(R244)/'İtme Analizi'!$C$14</f>
        <v>0</v>
      </c>
      <c r="U244" s="30">
        <f t="shared" si="7"/>
        <v>1.00829248845382E-4</v>
      </c>
    </row>
    <row r="245" spans="16:21" ht="13.9" customHeight="1" x14ac:dyDescent="0.2">
      <c r="P245" s="27"/>
      <c r="Q245" s="30"/>
      <c r="R245" s="30"/>
      <c r="S245" s="30">
        <f>ABS(Q245)/'İtme Analizi'!$C$17</f>
        <v>0</v>
      </c>
      <c r="T245" s="30">
        <f>ABS(R245)/'İtme Analizi'!$C$14</f>
        <v>0</v>
      </c>
      <c r="U245" s="30">
        <f t="shared" si="7"/>
        <v>1.00829248845382E-4</v>
      </c>
    </row>
    <row r="246" spans="16:21" ht="13.9" customHeight="1" x14ac:dyDescent="0.2">
      <c r="P246" s="27"/>
      <c r="Q246" s="30"/>
      <c r="R246" s="30"/>
      <c r="S246" s="30">
        <f>ABS(Q246)/'İtme Analizi'!$C$17</f>
        <v>0</v>
      </c>
      <c r="T246" s="30">
        <f>ABS(R246)/'İtme Analizi'!$C$14</f>
        <v>0</v>
      </c>
      <c r="U246" s="30">
        <f t="shared" si="7"/>
        <v>1.00829248845382E-4</v>
      </c>
    </row>
    <row r="247" spans="16:21" ht="13.9" customHeight="1" x14ac:dyDescent="0.2">
      <c r="P247" s="27"/>
      <c r="Q247" s="30"/>
      <c r="R247" s="30"/>
      <c r="S247" s="30">
        <f>ABS(Q247)/'İtme Analizi'!$C$17</f>
        <v>0</v>
      </c>
      <c r="T247" s="30">
        <f>ABS(R247)/'İtme Analizi'!$C$14</f>
        <v>0</v>
      </c>
      <c r="U247" s="30">
        <f t="shared" si="7"/>
        <v>1.00829248845382E-4</v>
      </c>
    </row>
    <row r="248" spans="16:21" ht="13.9" customHeight="1" x14ac:dyDescent="0.2">
      <c r="P248" s="27"/>
      <c r="Q248" s="30"/>
      <c r="R248" s="30"/>
      <c r="S248" s="30">
        <f>ABS(Q248)/'İtme Analizi'!$C$17</f>
        <v>0</v>
      </c>
      <c r="T248" s="30">
        <f>ABS(R248)/'İtme Analizi'!$C$14</f>
        <v>0</v>
      </c>
      <c r="U248" s="30">
        <f t="shared" si="7"/>
        <v>1.00829248845382E-4</v>
      </c>
    </row>
    <row r="249" spans="16:21" ht="13.9" customHeight="1" x14ac:dyDescent="0.2">
      <c r="P249" s="27"/>
      <c r="Q249" s="30"/>
      <c r="R249" s="30"/>
      <c r="S249" s="30">
        <f>ABS(Q249)/'İtme Analizi'!$C$17</f>
        <v>0</v>
      </c>
      <c r="T249" s="30">
        <f>ABS(R249)/'İtme Analizi'!$C$14</f>
        <v>0</v>
      </c>
      <c r="U249" s="30">
        <f t="shared" si="7"/>
        <v>1.00829248845382E-4</v>
      </c>
    </row>
    <row r="250" spans="16:21" ht="13.9" customHeight="1" x14ac:dyDescent="0.2">
      <c r="P250" s="27"/>
      <c r="Q250" s="30"/>
      <c r="R250" s="30"/>
      <c r="S250" s="30">
        <f>ABS(Q250)/'İtme Analizi'!$C$17</f>
        <v>0</v>
      </c>
      <c r="T250" s="30">
        <f>ABS(R250)/'İtme Analizi'!$C$14</f>
        <v>0</v>
      </c>
      <c r="U250" s="30">
        <f t="shared" si="7"/>
        <v>1.00829248845382E-4</v>
      </c>
    </row>
    <row r="251" spans="16:21" ht="13.9" customHeight="1" x14ac:dyDescent="0.2">
      <c r="P251" s="27"/>
      <c r="Q251" s="30"/>
      <c r="R251" s="30"/>
      <c r="S251" s="30">
        <f>ABS(Q251)/'İtme Analizi'!$C$17</f>
        <v>0</v>
      </c>
      <c r="T251" s="30">
        <f>ABS(R251)/'İtme Analizi'!$C$14</f>
        <v>0</v>
      </c>
      <c r="U251" s="30">
        <f t="shared" si="7"/>
        <v>1.00829248845382E-4</v>
      </c>
    </row>
    <row r="252" spans="16:21" ht="13.9" customHeight="1" x14ac:dyDescent="0.2">
      <c r="P252" s="27"/>
      <c r="Q252" s="30"/>
      <c r="R252" s="30"/>
      <c r="S252" s="30">
        <f>ABS(Q252)/'İtme Analizi'!$C$17</f>
        <v>0</v>
      </c>
      <c r="T252" s="30">
        <f>ABS(R252)/'İtme Analizi'!$C$14</f>
        <v>0</v>
      </c>
      <c r="U252" s="30">
        <f t="shared" si="7"/>
        <v>1.00829248845382E-4</v>
      </c>
    </row>
    <row r="253" spans="16:21" ht="13.9" customHeight="1" x14ac:dyDescent="0.2">
      <c r="P253" s="27"/>
      <c r="Q253" s="30"/>
      <c r="R253" s="30"/>
      <c r="S253" s="30">
        <f>ABS(Q253)/'İtme Analizi'!$C$17</f>
        <v>0</v>
      </c>
      <c r="T253" s="30">
        <f>ABS(R253)/'İtme Analizi'!$C$14</f>
        <v>0</v>
      </c>
      <c r="U253" s="30">
        <f t="shared" si="7"/>
        <v>1.00829248845382E-4</v>
      </c>
    </row>
    <row r="254" spans="16:21" ht="13.9" customHeight="1" x14ac:dyDescent="0.2">
      <c r="P254" s="27"/>
      <c r="Q254" s="30"/>
      <c r="R254" s="30"/>
      <c r="S254" s="30">
        <f>ABS(Q254)/'İtme Analizi'!$C$17</f>
        <v>0</v>
      </c>
      <c r="T254" s="30">
        <f>ABS(R254)/'İtme Analizi'!$C$14</f>
        <v>0</v>
      </c>
      <c r="U254" s="30">
        <f t="shared" si="7"/>
        <v>1.00829248845382E-4</v>
      </c>
    </row>
    <row r="255" spans="16:21" ht="13.9" customHeight="1" x14ac:dyDescent="0.2">
      <c r="P255" s="27"/>
      <c r="Q255" s="30"/>
      <c r="R255" s="30"/>
      <c r="S255" s="30">
        <f>ABS(Q255)/'İtme Analizi'!$C$17</f>
        <v>0</v>
      </c>
      <c r="T255" s="30">
        <f>ABS(R255)/'İtme Analizi'!$C$14</f>
        <v>0</v>
      </c>
      <c r="U255" s="30">
        <f t="shared" si="7"/>
        <v>1.00829248845382E-4</v>
      </c>
    </row>
    <row r="256" spans="16:21" ht="13.9" customHeight="1" x14ac:dyDescent="0.2">
      <c r="P256" s="27"/>
      <c r="Q256" s="30"/>
      <c r="R256" s="30"/>
      <c r="S256" s="30">
        <f>ABS(Q256)/'İtme Analizi'!$C$17</f>
        <v>0</v>
      </c>
      <c r="T256" s="30">
        <f>ABS(R256)/'İtme Analizi'!$C$14</f>
        <v>0</v>
      </c>
      <c r="U256" s="30">
        <f t="shared" si="7"/>
        <v>1.00829248845382E-4</v>
      </c>
    </row>
    <row r="257" spans="16:21" ht="13.9" customHeight="1" x14ac:dyDescent="0.2">
      <c r="P257" s="27"/>
      <c r="Q257" s="30"/>
      <c r="R257" s="30"/>
      <c r="S257" s="30">
        <f>ABS(Q257)/'İtme Analizi'!$C$17</f>
        <v>0</v>
      </c>
      <c r="T257" s="30">
        <f>ABS(R257)/'İtme Analizi'!$C$14</f>
        <v>0</v>
      </c>
      <c r="U257" s="30">
        <f t="shared" si="7"/>
        <v>1.00829248845382E-4</v>
      </c>
    </row>
    <row r="258" spans="16:21" ht="13.9" customHeight="1" x14ac:dyDescent="0.2">
      <c r="P258" s="27"/>
      <c r="Q258" s="30"/>
      <c r="R258" s="30"/>
      <c r="S258" s="30">
        <f>ABS(Q258)/'İtme Analizi'!$C$17</f>
        <v>0</v>
      </c>
      <c r="T258" s="30">
        <f>ABS(R258)/'İtme Analizi'!$C$14</f>
        <v>0</v>
      </c>
      <c r="U258" s="30">
        <f t="shared" si="7"/>
        <v>1.00829248845382E-4</v>
      </c>
    </row>
    <row r="259" spans="16:21" ht="13.9" customHeight="1" x14ac:dyDescent="0.2">
      <c r="P259" s="27"/>
      <c r="Q259" s="30"/>
      <c r="R259" s="30"/>
      <c r="S259" s="30">
        <f>ABS(Q259)/'İtme Analizi'!$C$17</f>
        <v>0</v>
      </c>
      <c r="T259" s="30">
        <f>ABS(R259)/'İtme Analizi'!$C$14</f>
        <v>0</v>
      </c>
      <c r="U259" s="30">
        <f t="shared" si="7"/>
        <v>1.00829248845382E-4</v>
      </c>
    </row>
    <row r="260" spans="16:21" ht="13.9" customHeight="1" x14ac:dyDescent="0.2">
      <c r="P260" s="27"/>
      <c r="Q260" s="30"/>
      <c r="R260" s="30"/>
      <c r="S260" s="30">
        <f>ABS(Q260)/'İtme Analizi'!$C$17</f>
        <v>0</v>
      </c>
      <c r="T260" s="30">
        <f>ABS(R260)/'İtme Analizi'!$C$14</f>
        <v>0</v>
      </c>
      <c r="U260" s="30">
        <f t="shared" si="7"/>
        <v>1.00829248845382E-4</v>
      </c>
    </row>
    <row r="261" spans="16:21" ht="13.9" customHeight="1" x14ac:dyDescent="0.2">
      <c r="P261" s="27"/>
      <c r="Q261" s="30"/>
      <c r="R261" s="30"/>
      <c r="S261" s="30">
        <f>ABS(Q261)/'İtme Analizi'!$C$17</f>
        <v>0</v>
      </c>
      <c r="T261" s="30">
        <f>ABS(R261)/'İtme Analizi'!$C$14</f>
        <v>0</v>
      </c>
      <c r="U261" s="30">
        <f t="shared" si="7"/>
        <v>1.00829248845382E-4</v>
      </c>
    </row>
    <row r="262" spans="16:21" ht="13.9" customHeight="1" x14ac:dyDescent="0.2">
      <c r="P262" s="27"/>
      <c r="Q262" s="30"/>
      <c r="R262" s="30"/>
      <c r="S262" s="30">
        <f>ABS(Q262)/'İtme Analizi'!$C$17</f>
        <v>0</v>
      </c>
      <c r="T262" s="30">
        <f>ABS(R262)/'İtme Analizi'!$C$14</f>
        <v>0</v>
      </c>
      <c r="U262" s="30">
        <f t="shared" si="7"/>
        <v>1.00829248845382E-4</v>
      </c>
    </row>
    <row r="263" spans="16:21" ht="13.9" customHeight="1" x14ac:dyDescent="0.2">
      <c r="P263" s="27"/>
      <c r="Q263" s="30"/>
      <c r="R263" s="30"/>
      <c r="S263" s="30">
        <f>ABS(Q263)/'İtme Analizi'!$C$17</f>
        <v>0</v>
      </c>
      <c r="T263" s="30">
        <f>ABS(R263)/'İtme Analizi'!$C$14</f>
        <v>0</v>
      </c>
      <c r="U263" s="30">
        <f t="shared" si="7"/>
        <v>1.00829248845382E-4</v>
      </c>
    </row>
    <row r="264" spans="16:21" ht="13.9" customHeight="1" x14ac:dyDescent="0.2">
      <c r="P264" s="27"/>
      <c r="Q264" s="30"/>
      <c r="R264" s="30"/>
      <c r="S264" s="30">
        <f>ABS(Q264)/'İtme Analizi'!$C$17</f>
        <v>0</v>
      </c>
      <c r="T264" s="30">
        <f>ABS(R264)/'İtme Analizi'!$C$14</f>
        <v>0</v>
      </c>
      <c r="U264" s="30">
        <f t="shared" si="7"/>
        <v>1.00829248845382E-4</v>
      </c>
    </row>
    <row r="265" spans="16:21" ht="13.9" customHeight="1" x14ac:dyDescent="0.2">
      <c r="P265" s="27"/>
      <c r="Q265" s="30"/>
      <c r="R265" s="30"/>
      <c r="S265" s="30">
        <f>ABS(Q265)/'İtme Analizi'!$C$17</f>
        <v>0</v>
      </c>
      <c r="T265" s="30">
        <f>ABS(R265)/'İtme Analizi'!$C$14</f>
        <v>0</v>
      </c>
      <c r="U265" s="30">
        <f t="shared" si="7"/>
        <v>1.00829248845382E-4</v>
      </c>
    </row>
    <row r="266" spans="16:21" ht="13.9" customHeight="1" x14ac:dyDescent="0.2">
      <c r="P266" s="27"/>
      <c r="Q266" s="30"/>
      <c r="R266" s="30"/>
      <c r="S266" s="30">
        <f>ABS(Q266)/'İtme Analizi'!$C$17</f>
        <v>0</v>
      </c>
      <c r="T266" s="30">
        <f>ABS(R266)/'İtme Analizi'!$C$14</f>
        <v>0</v>
      </c>
      <c r="U266" s="30">
        <f t="shared" si="7"/>
        <v>1.00829248845382E-4</v>
      </c>
    </row>
    <row r="267" spans="16:21" ht="13.9" customHeight="1" x14ac:dyDescent="0.2">
      <c r="P267" s="27"/>
      <c r="Q267" s="30"/>
      <c r="R267" s="30"/>
      <c r="S267" s="30">
        <f>ABS(Q267)/'İtme Analizi'!$C$17</f>
        <v>0</v>
      </c>
      <c r="T267" s="30">
        <f>ABS(R267)/'İtme Analizi'!$C$14</f>
        <v>0</v>
      </c>
      <c r="U267" s="30">
        <f t="shared" si="7"/>
        <v>1.00829248845382E-4</v>
      </c>
    </row>
    <row r="268" spans="16:21" ht="13.9" customHeight="1" x14ac:dyDescent="0.2">
      <c r="P268" s="27"/>
      <c r="Q268" s="30"/>
      <c r="R268" s="30"/>
      <c r="S268" s="30">
        <f>ABS(Q268)/'İtme Analizi'!$C$17</f>
        <v>0</v>
      </c>
      <c r="T268" s="30">
        <f>ABS(R268)/'İtme Analizi'!$C$14</f>
        <v>0</v>
      </c>
      <c r="U268" s="30">
        <f t="shared" si="7"/>
        <v>1.00829248845382E-4</v>
      </c>
    </row>
    <row r="269" spans="16:21" ht="13.9" customHeight="1" x14ac:dyDescent="0.2">
      <c r="P269" s="27"/>
      <c r="Q269" s="30"/>
      <c r="R269" s="30"/>
      <c r="S269" s="30">
        <f>ABS(Q269)/'İtme Analizi'!$C$17</f>
        <v>0</v>
      </c>
      <c r="T269" s="30">
        <f>ABS(R269)/'İtme Analizi'!$C$14</f>
        <v>0</v>
      </c>
      <c r="U269" s="30">
        <f t="shared" si="7"/>
        <v>1.00829248845382E-4</v>
      </c>
    </row>
    <row r="270" spans="16:21" ht="13.9" customHeight="1" x14ac:dyDescent="0.2">
      <c r="P270" s="27"/>
      <c r="Q270" s="30"/>
      <c r="R270" s="30"/>
      <c r="S270" s="30">
        <f>ABS(Q270)/'İtme Analizi'!$C$17</f>
        <v>0</v>
      </c>
      <c r="T270" s="30">
        <f>ABS(R270)/'İtme Analizi'!$C$14</f>
        <v>0</v>
      </c>
      <c r="U270" s="30">
        <f t="shared" si="7"/>
        <v>1.00829248845382E-4</v>
      </c>
    </row>
    <row r="271" spans="16:21" ht="13.9" customHeight="1" x14ac:dyDescent="0.2">
      <c r="P271" s="27"/>
      <c r="Q271" s="30"/>
      <c r="R271" s="30"/>
      <c r="S271" s="30">
        <f>ABS(Q271)/'İtme Analizi'!$C$17</f>
        <v>0</v>
      </c>
      <c r="T271" s="30">
        <f>ABS(R271)/'İtme Analizi'!$C$14</f>
        <v>0</v>
      </c>
      <c r="U271" s="30">
        <f t="shared" si="7"/>
        <v>1.00829248845382E-4</v>
      </c>
    </row>
    <row r="272" spans="16:21" ht="13.9" customHeight="1" x14ac:dyDescent="0.2">
      <c r="P272" s="27"/>
      <c r="Q272" s="30"/>
      <c r="R272" s="30"/>
      <c r="S272" s="30">
        <f>ABS(Q272)/'İtme Analizi'!$C$17</f>
        <v>0</v>
      </c>
      <c r="T272" s="30">
        <f>ABS(R272)/'İtme Analizi'!$C$14</f>
        <v>0</v>
      </c>
      <c r="U272" s="30">
        <f t="shared" si="7"/>
        <v>1.00829248845382E-4</v>
      </c>
    </row>
    <row r="273" spans="16:21" ht="13.9" customHeight="1" x14ac:dyDescent="0.2">
      <c r="P273" s="27"/>
      <c r="Q273" s="30"/>
      <c r="R273" s="30"/>
      <c r="S273" s="30">
        <f>ABS(Q273)/'İtme Analizi'!$C$17</f>
        <v>0</v>
      </c>
      <c r="T273" s="30">
        <f>ABS(R273)/'İtme Analizi'!$C$14</f>
        <v>0</v>
      </c>
      <c r="U273" s="30">
        <f t="shared" si="7"/>
        <v>1.00829248845382E-4</v>
      </c>
    </row>
    <row r="274" spans="16:21" ht="13.9" customHeight="1" x14ac:dyDescent="0.2">
      <c r="P274" s="27"/>
      <c r="Q274" s="30"/>
      <c r="R274" s="30"/>
      <c r="S274" s="30">
        <f>ABS(Q274)/'İtme Analizi'!$C$17</f>
        <v>0</v>
      </c>
      <c r="T274" s="30">
        <f>ABS(R274)/'İtme Analizi'!$C$14</f>
        <v>0</v>
      </c>
      <c r="U274" s="30">
        <f t="shared" si="7"/>
        <v>1.00829248845382E-4</v>
      </c>
    </row>
    <row r="275" spans="16:21" ht="13.9" customHeight="1" x14ac:dyDescent="0.2">
      <c r="P275" s="27"/>
      <c r="Q275" s="30"/>
      <c r="R275" s="30"/>
      <c r="S275" s="30">
        <f>ABS(Q275)/'İtme Analizi'!$C$17</f>
        <v>0</v>
      </c>
      <c r="T275" s="30">
        <f>ABS(R275)/'İtme Analizi'!$C$14</f>
        <v>0</v>
      </c>
      <c r="U275" s="30">
        <f t="shared" si="7"/>
        <v>1.00829248845382E-4</v>
      </c>
    </row>
    <row r="276" spans="16:21" ht="13.9" customHeight="1" x14ac:dyDescent="0.2">
      <c r="P276" s="27"/>
      <c r="Q276" s="30"/>
      <c r="R276" s="30"/>
      <c r="S276" s="30">
        <f>ABS(Q276)/'İtme Analizi'!$C$17</f>
        <v>0</v>
      </c>
      <c r="T276" s="30">
        <f>ABS(R276)/'İtme Analizi'!$C$14</f>
        <v>0</v>
      </c>
      <c r="U276" s="30">
        <f t="shared" si="7"/>
        <v>1.00829248845382E-4</v>
      </c>
    </row>
    <row r="277" spans="16:21" ht="13.9" customHeight="1" x14ac:dyDescent="0.2">
      <c r="P277" s="27"/>
      <c r="Q277" s="30"/>
      <c r="R277" s="30"/>
      <c r="S277" s="30">
        <f>ABS(Q277)/'İtme Analizi'!$C$17</f>
        <v>0</v>
      </c>
      <c r="T277" s="30">
        <f>ABS(R277)/'İtme Analizi'!$C$14</f>
        <v>0</v>
      </c>
      <c r="U277" s="30">
        <f t="shared" si="7"/>
        <v>1.00829248845382E-4</v>
      </c>
    </row>
    <row r="278" spans="16:21" ht="13.9" customHeight="1" x14ac:dyDescent="0.2">
      <c r="P278" s="27"/>
      <c r="Q278" s="30"/>
      <c r="R278" s="30"/>
      <c r="S278" s="30">
        <f>ABS(Q278)/'İtme Analizi'!$C$17</f>
        <v>0</v>
      </c>
      <c r="T278" s="30">
        <f>ABS(R278)/'İtme Analizi'!$C$14</f>
        <v>0</v>
      </c>
      <c r="U278" s="30">
        <f t="shared" si="7"/>
        <v>1.00829248845382E-4</v>
      </c>
    </row>
    <row r="279" spans="16:21" ht="13.9" customHeight="1" x14ac:dyDescent="0.2">
      <c r="P279" s="27"/>
      <c r="Q279" s="30"/>
      <c r="R279" s="30"/>
      <c r="S279" s="30">
        <f>ABS(Q279)/'İtme Analizi'!$C$17</f>
        <v>0</v>
      </c>
      <c r="T279" s="30">
        <f>ABS(R279)/'İtme Analizi'!$C$14</f>
        <v>0</v>
      </c>
      <c r="U279" s="30">
        <f t="shared" si="7"/>
        <v>1.00829248845382E-4</v>
      </c>
    </row>
    <row r="280" spans="16:21" ht="13.9" customHeight="1" x14ac:dyDescent="0.2">
      <c r="P280" s="27"/>
      <c r="Q280" s="30"/>
      <c r="R280" s="30"/>
      <c r="S280" s="30">
        <f>ABS(Q280)/'İtme Analizi'!$C$17</f>
        <v>0</v>
      </c>
      <c r="T280" s="30">
        <f>ABS(R280)/'İtme Analizi'!$C$14</f>
        <v>0</v>
      </c>
      <c r="U280" s="30">
        <f t="shared" si="7"/>
        <v>1.00829248845382E-4</v>
      </c>
    </row>
    <row r="281" spans="16:21" ht="13.9" customHeight="1" x14ac:dyDescent="0.2">
      <c r="P281" s="27"/>
      <c r="Q281" s="30"/>
      <c r="R281" s="30"/>
      <c r="S281" s="30">
        <f>ABS(Q281)/'İtme Analizi'!$C$17</f>
        <v>0</v>
      </c>
      <c r="T281" s="30">
        <f>ABS(R281)/'İtme Analizi'!$C$14</f>
        <v>0</v>
      </c>
      <c r="U281" s="30">
        <f t="shared" si="7"/>
        <v>1.00829248845382E-4</v>
      </c>
    </row>
    <row r="282" spans="16:21" ht="13.9" customHeight="1" x14ac:dyDescent="0.2">
      <c r="P282" s="27"/>
      <c r="Q282" s="30"/>
      <c r="R282" s="30"/>
      <c r="S282" s="30">
        <f>ABS(Q282)/'İtme Analizi'!$C$17</f>
        <v>0</v>
      </c>
      <c r="T282" s="30">
        <f>ABS(R282)/'İtme Analizi'!$C$14</f>
        <v>0</v>
      </c>
      <c r="U282" s="30">
        <f t="shared" si="7"/>
        <v>1.00829248845382E-4</v>
      </c>
    </row>
    <row r="283" spans="16:21" ht="13.9" customHeight="1" x14ac:dyDescent="0.2">
      <c r="P283" s="27"/>
      <c r="Q283" s="30"/>
      <c r="R283" s="30"/>
      <c r="S283" s="30">
        <f>ABS(Q283)/'İtme Analizi'!$C$17</f>
        <v>0</v>
      </c>
      <c r="T283" s="30">
        <f>ABS(R283)/'İtme Analizi'!$C$14</f>
        <v>0</v>
      </c>
      <c r="U283" s="30">
        <f t="shared" si="7"/>
        <v>1.00829248845382E-4</v>
      </c>
    </row>
    <row r="284" spans="16:21" ht="13.9" customHeight="1" x14ac:dyDescent="0.2">
      <c r="P284" s="27"/>
      <c r="Q284" s="30"/>
      <c r="R284" s="30"/>
      <c r="S284" s="30">
        <f>ABS(Q284)/'İtme Analizi'!$C$17</f>
        <v>0</v>
      </c>
      <c r="T284" s="30">
        <f>ABS(R284)/'İtme Analizi'!$C$14</f>
        <v>0</v>
      </c>
      <c r="U284" s="30">
        <f t="shared" si="7"/>
        <v>1.00829248845382E-4</v>
      </c>
    </row>
    <row r="285" spans="16:21" ht="13.9" customHeight="1" x14ac:dyDescent="0.2">
      <c r="P285" s="27"/>
      <c r="Q285" s="30"/>
      <c r="R285" s="30"/>
      <c r="S285" s="30">
        <f>ABS(Q285)/'İtme Analizi'!$C$17</f>
        <v>0</v>
      </c>
      <c r="T285" s="30">
        <f>ABS(R285)/'İtme Analizi'!$C$14</f>
        <v>0</v>
      </c>
      <c r="U285" s="30">
        <f t="shared" si="7"/>
        <v>1.00829248845382E-4</v>
      </c>
    </row>
    <row r="286" spans="16:21" ht="13.9" customHeight="1" x14ac:dyDescent="0.2">
      <c r="P286" s="27"/>
      <c r="Q286" s="30"/>
      <c r="R286" s="30"/>
      <c r="S286" s="30">
        <f>ABS(Q286)/'İtme Analizi'!$C$17</f>
        <v>0</v>
      </c>
      <c r="T286" s="30">
        <f>ABS(R286)/'İtme Analizi'!$C$14</f>
        <v>0</v>
      </c>
      <c r="U286" s="30">
        <f t="shared" si="7"/>
        <v>1.00829248845382E-4</v>
      </c>
    </row>
    <row r="287" spans="16:21" ht="13.9" customHeight="1" x14ac:dyDescent="0.2">
      <c r="P287" s="27"/>
      <c r="Q287" s="30"/>
      <c r="R287" s="30"/>
      <c r="S287" s="30">
        <f>ABS(Q287)/'İtme Analizi'!$C$17</f>
        <v>0</v>
      </c>
      <c r="T287" s="30">
        <f>ABS(R287)/'İtme Analizi'!$C$14</f>
        <v>0</v>
      </c>
      <c r="U287" s="30">
        <f t="shared" si="7"/>
        <v>1.00829248845382E-4</v>
      </c>
    </row>
    <row r="288" spans="16:21" ht="13.9" customHeight="1" x14ac:dyDescent="0.2">
      <c r="P288" s="27"/>
      <c r="Q288" s="30"/>
      <c r="R288" s="30"/>
      <c r="S288" s="30">
        <f>ABS(Q288)/'İtme Analizi'!$C$17</f>
        <v>0</v>
      </c>
      <c r="T288" s="30">
        <f>ABS(R288)/'İtme Analizi'!$C$14</f>
        <v>0</v>
      </c>
      <c r="U288" s="30">
        <f t="shared" si="7"/>
        <v>1.00829248845382E-4</v>
      </c>
    </row>
    <row r="289" spans="16:21" ht="13.9" customHeight="1" x14ac:dyDescent="0.2">
      <c r="P289" s="27"/>
      <c r="Q289" s="30"/>
      <c r="R289" s="30"/>
      <c r="S289" s="30">
        <f>ABS(Q289)/'İtme Analizi'!$C$17</f>
        <v>0</v>
      </c>
      <c r="T289" s="30">
        <f>ABS(R289)/'İtme Analizi'!$C$14</f>
        <v>0</v>
      </c>
      <c r="U289" s="30">
        <f t="shared" si="7"/>
        <v>1.00829248845382E-4</v>
      </c>
    </row>
    <row r="290" spans="16:21" ht="13.9" customHeight="1" x14ac:dyDescent="0.2">
      <c r="P290" s="27"/>
      <c r="Q290" s="30"/>
      <c r="R290" s="30"/>
      <c r="S290" s="30">
        <f>ABS(Q290)/'İtme Analizi'!$C$17</f>
        <v>0</v>
      </c>
      <c r="T290" s="30">
        <f>ABS(R290)/'İtme Analizi'!$C$14</f>
        <v>0</v>
      </c>
      <c r="U290" s="30">
        <f t="shared" si="7"/>
        <v>1.00829248845382E-4</v>
      </c>
    </row>
    <row r="291" spans="16:21" ht="13.9" customHeight="1" x14ac:dyDescent="0.2">
      <c r="P291" s="27"/>
      <c r="Q291" s="30"/>
      <c r="R291" s="30"/>
      <c r="S291" s="30">
        <f>ABS(Q291)/'İtme Analizi'!$C$17</f>
        <v>0</v>
      </c>
      <c r="T291" s="30">
        <f>ABS(R291)/'İtme Analizi'!$C$14</f>
        <v>0</v>
      </c>
      <c r="U291" s="30">
        <f t="shared" si="7"/>
        <v>1.00829248845382E-4</v>
      </c>
    </row>
    <row r="292" spans="16:21" ht="13.9" customHeight="1" x14ac:dyDescent="0.2">
      <c r="P292" s="27"/>
      <c r="Q292" s="30"/>
      <c r="R292" s="30"/>
      <c r="S292" s="30">
        <f>ABS(Q292)/'İtme Analizi'!$C$17</f>
        <v>0</v>
      </c>
      <c r="T292" s="30">
        <f>ABS(R292)/'İtme Analizi'!$C$14</f>
        <v>0</v>
      </c>
      <c r="U292" s="30">
        <f t="shared" si="7"/>
        <v>1.00829248845382E-4</v>
      </c>
    </row>
    <row r="293" spans="16:21" ht="13.9" customHeight="1" x14ac:dyDescent="0.2">
      <c r="P293" s="27"/>
      <c r="Q293" s="30"/>
      <c r="R293" s="30"/>
      <c r="S293" s="30">
        <f>ABS(Q293)/'İtme Analizi'!$C$17</f>
        <v>0</v>
      </c>
      <c r="T293" s="30">
        <f>ABS(R293)/'İtme Analizi'!$C$14</f>
        <v>0</v>
      </c>
      <c r="U293" s="30">
        <f t="shared" si="7"/>
        <v>1.00829248845382E-4</v>
      </c>
    </row>
    <row r="294" spans="16:21" ht="13.9" customHeight="1" x14ac:dyDescent="0.2">
      <c r="P294" s="27"/>
      <c r="Q294" s="30"/>
      <c r="R294" s="30"/>
      <c r="S294" s="30">
        <f>ABS(Q294)/'İtme Analizi'!$C$17</f>
        <v>0</v>
      </c>
      <c r="T294" s="30">
        <f>ABS(R294)/'İtme Analizi'!$C$14</f>
        <v>0</v>
      </c>
      <c r="U294" s="30">
        <f t="shared" si="7"/>
        <v>1.00829248845382E-4</v>
      </c>
    </row>
    <row r="295" spans="16:21" ht="13.9" customHeight="1" x14ac:dyDescent="0.2">
      <c r="P295" s="27"/>
      <c r="Q295" s="30"/>
      <c r="R295" s="30"/>
      <c r="S295" s="30">
        <f>ABS(Q295)/'İtme Analizi'!$C$17</f>
        <v>0</v>
      </c>
      <c r="T295" s="30">
        <f>ABS(R295)/'İtme Analizi'!$C$14</f>
        <v>0</v>
      </c>
      <c r="U295" s="30">
        <f t="shared" si="7"/>
        <v>1.00829248845382E-4</v>
      </c>
    </row>
    <row r="296" spans="16:21" ht="13.9" customHeight="1" x14ac:dyDescent="0.2">
      <c r="P296" s="27"/>
      <c r="Q296" s="30"/>
      <c r="R296" s="30"/>
      <c r="S296" s="30">
        <f>ABS(Q296)/'İtme Analizi'!$C$17</f>
        <v>0</v>
      </c>
      <c r="T296" s="30">
        <f>ABS(R296)/'İtme Analizi'!$C$14</f>
        <v>0</v>
      </c>
      <c r="U296" s="30">
        <f t="shared" si="7"/>
        <v>1.00829248845382E-4</v>
      </c>
    </row>
    <row r="297" spans="16:21" ht="13.9" customHeight="1" x14ac:dyDescent="0.2">
      <c r="P297" s="27"/>
      <c r="Q297" s="30"/>
      <c r="R297" s="30"/>
      <c r="S297" s="30">
        <f>ABS(Q297)/'İtme Analizi'!$C$17</f>
        <v>0</v>
      </c>
      <c r="T297" s="30">
        <f>ABS(R297)/'İtme Analizi'!$C$14</f>
        <v>0</v>
      </c>
      <c r="U297" s="30">
        <f t="shared" si="7"/>
        <v>1.00829248845382E-4</v>
      </c>
    </row>
    <row r="298" spans="16:21" ht="13.9" customHeight="1" x14ac:dyDescent="0.2">
      <c r="P298" s="27"/>
      <c r="Q298" s="30"/>
      <c r="R298" s="30"/>
      <c r="S298" s="30">
        <f>ABS(Q298)/'İtme Analizi'!$C$17</f>
        <v>0</v>
      </c>
      <c r="T298" s="30">
        <f>ABS(R298)/'İtme Analizi'!$C$14</f>
        <v>0</v>
      </c>
      <c r="U298" s="30">
        <f t="shared" si="7"/>
        <v>1.00829248845382E-4</v>
      </c>
    </row>
    <row r="299" spans="16:21" ht="13.9" customHeight="1" x14ac:dyDescent="0.2">
      <c r="P299" s="27"/>
      <c r="Q299" s="30"/>
      <c r="R299" s="30"/>
      <c r="S299" s="30">
        <f>ABS(Q299)/'İtme Analizi'!$C$17</f>
        <v>0</v>
      </c>
      <c r="T299" s="30">
        <f>ABS(R299)/'İtme Analizi'!$C$14</f>
        <v>0</v>
      </c>
      <c r="U299" s="30">
        <f t="shared" ref="U299:U330" si="8">U298+(S299-S298)*((T299+T298)/2)</f>
        <v>1.00829248845382E-4</v>
      </c>
    </row>
    <row r="300" spans="16:21" ht="13.9" customHeight="1" x14ac:dyDescent="0.2">
      <c r="P300" s="27"/>
      <c r="Q300" s="30"/>
      <c r="R300" s="30"/>
      <c r="S300" s="30">
        <f>ABS(Q300)/'İtme Analizi'!$C$17</f>
        <v>0</v>
      </c>
      <c r="T300" s="30">
        <f>ABS(R300)/'İtme Analizi'!$C$14</f>
        <v>0</v>
      </c>
      <c r="U300" s="30">
        <f t="shared" si="8"/>
        <v>1.00829248845382E-4</v>
      </c>
    </row>
    <row r="301" spans="16:21" ht="13.9" customHeight="1" x14ac:dyDescent="0.2">
      <c r="P301" s="27"/>
      <c r="Q301" s="30"/>
      <c r="R301" s="30"/>
      <c r="S301" s="30">
        <f>ABS(Q301)/'İtme Analizi'!$C$17</f>
        <v>0</v>
      </c>
      <c r="T301" s="30">
        <f>ABS(R301)/'İtme Analizi'!$C$14</f>
        <v>0</v>
      </c>
      <c r="U301" s="30">
        <f t="shared" si="8"/>
        <v>1.00829248845382E-4</v>
      </c>
    </row>
    <row r="302" spans="16:21" ht="13.9" customHeight="1" x14ac:dyDescent="0.2">
      <c r="P302" s="27"/>
      <c r="Q302" s="30"/>
      <c r="R302" s="30"/>
      <c r="S302" s="30">
        <f>ABS(Q302)/'İtme Analizi'!$C$17</f>
        <v>0</v>
      </c>
      <c r="T302" s="30">
        <f>ABS(R302)/'İtme Analizi'!$C$14</f>
        <v>0</v>
      </c>
      <c r="U302" s="30">
        <f t="shared" si="8"/>
        <v>1.00829248845382E-4</v>
      </c>
    </row>
    <row r="303" spans="16:21" ht="13.9" customHeight="1" x14ac:dyDescent="0.2">
      <c r="P303" s="27"/>
      <c r="Q303" s="30"/>
      <c r="R303" s="30"/>
      <c r="S303" s="30">
        <f>ABS(Q303)/'İtme Analizi'!$C$17</f>
        <v>0</v>
      </c>
      <c r="T303" s="30">
        <f>ABS(R303)/'İtme Analizi'!$C$14</f>
        <v>0</v>
      </c>
      <c r="U303" s="30">
        <f t="shared" si="8"/>
        <v>1.00829248845382E-4</v>
      </c>
    </row>
    <row r="304" spans="16:21" ht="13.9" customHeight="1" x14ac:dyDescent="0.2">
      <c r="P304" s="27"/>
      <c r="Q304" s="30"/>
      <c r="R304" s="30"/>
      <c r="S304" s="30">
        <f>ABS(Q304)/'İtme Analizi'!$C$17</f>
        <v>0</v>
      </c>
      <c r="T304" s="30">
        <f>ABS(R304)/'İtme Analizi'!$C$14</f>
        <v>0</v>
      </c>
      <c r="U304" s="30">
        <f t="shared" si="8"/>
        <v>1.00829248845382E-4</v>
      </c>
    </row>
    <row r="305" spans="16:21" ht="13.9" customHeight="1" x14ac:dyDescent="0.2">
      <c r="P305" s="27"/>
      <c r="Q305" s="30"/>
      <c r="R305" s="30"/>
      <c r="S305" s="30">
        <f>ABS(Q305)/'İtme Analizi'!$C$17</f>
        <v>0</v>
      </c>
      <c r="T305" s="30">
        <f>ABS(R305)/'İtme Analizi'!$C$14</f>
        <v>0</v>
      </c>
      <c r="U305" s="30">
        <f t="shared" si="8"/>
        <v>1.00829248845382E-4</v>
      </c>
    </row>
    <row r="306" spans="16:21" ht="13.9" customHeight="1" x14ac:dyDescent="0.2">
      <c r="P306" s="27"/>
      <c r="Q306" s="30"/>
      <c r="R306" s="30"/>
      <c r="S306" s="30">
        <f>ABS(Q306)/'İtme Analizi'!$C$17</f>
        <v>0</v>
      </c>
      <c r="T306" s="30">
        <f>ABS(R306)/'İtme Analizi'!$C$14</f>
        <v>0</v>
      </c>
      <c r="U306" s="30">
        <f t="shared" si="8"/>
        <v>1.00829248845382E-4</v>
      </c>
    </row>
    <row r="307" spans="16:21" ht="13.9" customHeight="1" x14ac:dyDescent="0.2">
      <c r="P307" s="27"/>
      <c r="Q307" s="30"/>
      <c r="R307" s="30"/>
      <c r="S307" s="30">
        <f>ABS(Q307)/'İtme Analizi'!$C$17</f>
        <v>0</v>
      </c>
      <c r="T307" s="30">
        <f>ABS(R307)/'İtme Analizi'!$C$14</f>
        <v>0</v>
      </c>
      <c r="U307" s="30">
        <f t="shared" si="8"/>
        <v>1.00829248845382E-4</v>
      </c>
    </row>
    <row r="308" spans="16:21" ht="13.9" customHeight="1" x14ac:dyDescent="0.2">
      <c r="P308" s="27"/>
      <c r="Q308" s="30"/>
      <c r="R308" s="30"/>
      <c r="S308" s="30">
        <f>ABS(Q308)/'İtme Analizi'!$C$17</f>
        <v>0</v>
      </c>
      <c r="T308" s="30">
        <f>ABS(R308)/'İtme Analizi'!$C$14</f>
        <v>0</v>
      </c>
      <c r="U308" s="30">
        <f t="shared" si="8"/>
        <v>1.00829248845382E-4</v>
      </c>
    </row>
    <row r="309" spans="16:21" ht="13.9" customHeight="1" x14ac:dyDescent="0.2">
      <c r="P309" s="27"/>
      <c r="Q309" s="30"/>
      <c r="R309" s="30"/>
      <c r="S309" s="30">
        <f>ABS(Q309)/'İtme Analizi'!$C$17</f>
        <v>0</v>
      </c>
      <c r="T309" s="30">
        <f>ABS(R309)/'İtme Analizi'!$C$14</f>
        <v>0</v>
      </c>
      <c r="U309" s="30">
        <f t="shared" si="8"/>
        <v>1.00829248845382E-4</v>
      </c>
    </row>
    <row r="310" spans="16:21" ht="13.9" customHeight="1" x14ac:dyDescent="0.2">
      <c r="P310" s="27"/>
      <c r="Q310" s="30"/>
      <c r="R310" s="30"/>
      <c r="S310" s="30">
        <f>ABS(Q310)/'İtme Analizi'!$C$17</f>
        <v>0</v>
      </c>
      <c r="T310" s="30">
        <f>ABS(R310)/'İtme Analizi'!$C$14</f>
        <v>0</v>
      </c>
      <c r="U310" s="30">
        <f t="shared" si="8"/>
        <v>1.00829248845382E-4</v>
      </c>
    </row>
    <row r="311" spans="16:21" ht="13.9" customHeight="1" x14ac:dyDescent="0.2">
      <c r="P311" s="27"/>
      <c r="Q311" s="30"/>
      <c r="R311" s="30"/>
      <c r="S311" s="30">
        <f>ABS(Q311)/'İtme Analizi'!$C$17</f>
        <v>0</v>
      </c>
      <c r="T311" s="30">
        <f>ABS(R311)/'İtme Analizi'!$C$14</f>
        <v>0</v>
      </c>
      <c r="U311" s="30">
        <f t="shared" si="8"/>
        <v>1.00829248845382E-4</v>
      </c>
    </row>
    <row r="312" spans="16:21" ht="13.9" customHeight="1" x14ac:dyDescent="0.2">
      <c r="P312" s="27"/>
      <c r="Q312" s="30"/>
      <c r="R312" s="30"/>
      <c r="S312" s="30">
        <f>ABS(Q312)/'İtme Analizi'!$C$17</f>
        <v>0</v>
      </c>
      <c r="T312" s="30">
        <f>ABS(R312)/'İtme Analizi'!$C$14</f>
        <v>0</v>
      </c>
      <c r="U312" s="30">
        <f t="shared" si="8"/>
        <v>1.00829248845382E-4</v>
      </c>
    </row>
    <row r="313" spans="16:21" ht="13.9" customHeight="1" x14ac:dyDescent="0.2">
      <c r="P313" s="27"/>
      <c r="Q313" s="30"/>
      <c r="R313" s="30"/>
      <c r="S313" s="30">
        <f>ABS(Q313)/'İtme Analizi'!$C$17</f>
        <v>0</v>
      </c>
      <c r="T313" s="30">
        <f>ABS(R313)/'İtme Analizi'!$C$14</f>
        <v>0</v>
      </c>
      <c r="U313" s="30">
        <f t="shared" si="8"/>
        <v>1.00829248845382E-4</v>
      </c>
    </row>
    <row r="314" spans="16:21" ht="13.9" customHeight="1" x14ac:dyDescent="0.2">
      <c r="P314" s="27"/>
      <c r="Q314" s="30"/>
      <c r="R314" s="30"/>
      <c r="S314" s="30">
        <f>ABS(Q314)/'İtme Analizi'!$C$17</f>
        <v>0</v>
      </c>
      <c r="T314" s="30">
        <f>ABS(R314)/'İtme Analizi'!$C$14</f>
        <v>0</v>
      </c>
      <c r="U314" s="30">
        <f t="shared" si="8"/>
        <v>1.00829248845382E-4</v>
      </c>
    </row>
    <row r="315" spans="16:21" ht="13.9" customHeight="1" x14ac:dyDescent="0.2">
      <c r="P315" s="27"/>
      <c r="Q315" s="30"/>
      <c r="R315" s="30"/>
      <c r="S315" s="30">
        <f>ABS(Q315)/'İtme Analizi'!$C$17</f>
        <v>0</v>
      </c>
      <c r="T315" s="30">
        <f>ABS(R315)/'İtme Analizi'!$C$14</f>
        <v>0</v>
      </c>
      <c r="U315" s="30">
        <f t="shared" si="8"/>
        <v>1.00829248845382E-4</v>
      </c>
    </row>
    <row r="316" spans="16:21" ht="13.9" customHeight="1" x14ac:dyDescent="0.2">
      <c r="P316" s="27"/>
      <c r="Q316" s="30"/>
      <c r="R316" s="30"/>
      <c r="S316" s="30">
        <f>ABS(Q316)/'İtme Analizi'!$C$17</f>
        <v>0</v>
      </c>
      <c r="T316" s="30">
        <f>ABS(R316)/'İtme Analizi'!$C$14</f>
        <v>0</v>
      </c>
      <c r="U316" s="30">
        <f t="shared" si="8"/>
        <v>1.00829248845382E-4</v>
      </c>
    </row>
    <row r="317" spans="16:21" ht="13.9" customHeight="1" x14ac:dyDescent="0.2">
      <c r="P317" s="27"/>
      <c r="Q317" s="30"/>
      <c r="R317" s="30"/>
      <c r="S317" s="30">
        <f>ABS(Q317)/'İtme Analizi'!$C$17</f>
        <v>0</v>
      </c>
      <c r="T317" s="30">
        <f>ABS(R317)/'İtme Analizi'!$C$14</f>
        <v>0</v>
      </c>
      <c r="U317" s="30">
        <f t="shared" si="8"/>
        <v>1.00829248845382E-4</v>
      </c>
    </row>
    <row r="318" spans="16:21" ht="13.9" customHeight="1" x14ac:dyDescent="0.2">
      <c r="P318" s="27"/>
      <c r="Q318" s="30"/>
      <c r="R318" s="30"/>
      <c r="S318" s="30">
        <f>ABS(Q318)/'İtme Analizi'!$C$17</f>
        <v>0</v>
      </c>
      <c r="T318" s="30">
        <f>ABS(R318)/'İtme Analizi'!$C$14</f>
        <v>0</v>
      </c>
      <c r="U318" s="30">
        <f t="shared" si="8"/>
        <v>1.00829248845382E-4</v>
      </c>
    </row>
    <row r="319" spans="16:21" ht="13.9" customHeight="1" x14ac:dyDescent="0.2">
      <c r="P319" s="27"/>
      <c r="Q319" s="30"/>
      <c r="R319" s="30"/>
      <c r="S319" s="30">
        <f>ABS(Q319)/'İtme Analizi'!$C$17</f>
        <v>0</v>
      </c>
      <c r="T319" s="30">
        <f>ABS(R319)/'İtme Analizi'!$C$14</f>
        <v>0</v>
      </c>
      <c r="U319" s="30">
        <f t="shared" si="8"/>
        <v>1.00829248845382E-4</v>
      </c>
    </row>
    <row r="320" spans="16:21" ht="13.9" customHeight="1" x14ac:dyDescent="0.2">
      <c r="P320" s="27"/>
      <c r="Q320" s="30"/>
      <c r="R320" s="30"/>
      <c r="S320" s="30">
        <f>ABS(Q320)/'İtme Analizi'!$C$17</f>
        <v>0</v>
      </c>
      <c r="T320" s="30">
        <f>ABS(R320)/'İtme Analizi'!$C$14</f>
        <v>0</v>
      </c>
      <c r="U320" s="30">
        <f t="shared" si="8"/>
        <v>1.00829248845382E-4</v>
      </c>
    </row>
    <row r="321" spans="16:21" ht="13.9" customHeight="1" x14ac:dyDescent="0.2">
      <c r="P321" s="27"/>
      <c r="Q321" s="30"/>
      <c r="R321" s="30"/>
      <c r="S321" s="30">
        <f>ABS(Q321)/'İtme Analizi'!$C$17</f>
        <v>0</v>
      </c>
      <c r="T321" s="30">
        <f>ABS(R321)/'İtme Analizi'!$C$14</f>
        <v>0</v>
      </c>
      <c r="U321" s="30">
        <f t="shared" si="8"/>
        <v>1.00829248845382E-4</v>
      </c>
    </row>
    <row r="322" spans="16:21" ht="13.9" customHeight="1" x14ac:dyDescent="0.2">
      <c r="P322" s="27"/>
      <c r="Q322" s="30"/>
      <c r="R322" s="30"/>
      <c r="S322" s="30">
        <f>ABS(Q322)/'İtme Analizi'!$C$17</f>
        <v>0</v>
      </c>
      <c r="T322" s="30">
        <f>ABS(R322)/'İtme Analizi'!$C$14</f>
        <v>0</v>
      </c>
      <c r="U322" s="30">
        <f t="shared" si="8"/>
        <v>1.00829248845382E-4</v>
      </c>
    </row>
    <row r="323" spans="16:21" ht="13.9" customHeight="1" x14ac:dyDescent="0.2">
      <c r="P323" s="27"/>
      <c r="Q323" s="30"/>
      <c r="R323" s="30"/>
      <c r="S323" s="30">
        <f>ABS(Q323)/'İtme Analizi'!$C$17</f>
        <v>0</v>
      </c>
      <c r="T323" s="30">
        <f>ABS(R323)/'İtme Analizi'!$C$14</f>
        <v>0</v>
      </c>
      <c r="U323" s="30">
        <f t="shared" si="8"/>
        <v>1.00829248845382E-4</v>
      </c>
    </row>
    <row r="324" spans="16:21" ht="13.9" customHeight="1" x14ac:dyDescent="0.2">
      <c r="P324" s="27"/>
      <c r="Q324" s="30"/>
      <c r="R324" s="30"/>
      <c r="S324" s="30">
        <f>ABS(Q324)/'İtme Analizi'!$C$17</f>
        <v>0</v>
      </c>
      <c r="T324" s="30">
        <f>ABS(R324)/'İtme Analizi'!$C$14</f>
        <v>0</v>
      </c>
      <c r="U324" s="30">
        <f t="shared" si="8"/>
        <v>1.00829248845382E-4</v>
      </c>
    </row>
    <row r="325" spans="16:21" ht="13.9" customHeight="1" x14ac:dyDescent="0.2">
      <c r="P325" s="27"/>
      <c r="Q325" s="30"/>
      <c r="R325" s="30"/>
      <c r="S325" s="30">
        <f>ABS(Q325)/'İtme Analizi'!$C$17</f>
        <v>0</v>
      </c>
      <c r="T325" s="30">
        <f>ABS(R325)/'İtme Analizi'!$C$14</f>
        <v>0</v>
      </c>
      <c r="U325" s="30">
        <f t="shared" si="8"/>
        <v>1.00829248845382E-4</v>
      </c>
    </row>
    <row r="326" spans="16:21" ht="13.9" customHeight="1" x14ac:dyDescent="0.2">
      <c r="P326" s="27"/>
      <c r="Q326" s="30"/>
      <c r="R326" s="30"/>
      <c r="S326" s="30">
        <f>ABS(Q326)/'İtme Analizi'!$C$17</f>
        <v>0</v>
      </c>
      <c r="T326" s="30">
        <f>ABS(R326)/'İtme Analizi'!$C$14</f>
        <v>0</v>
      </c>
      <c r="U326" s="30">
        <f t="shared" si="8"/>
        <v>1.00829248845382E-4</v>
      </c>
    </row>
    <row r="327" spans="16:21" ht="13.9" customHeight="1" x14ac:dyDescent="0.2">
      <c r="P327" s="27"/>
      <c r="Q327" s="30"/>
      <c r="R327" s="30"/>
      <c r="S327" s="30">
        <f>ABS(Q327)/'İtme Analizi'!$C$17</f>
        <v>0</v>
      </c>
      <c r="T327" s="30">
        <f>ABS(R327)/'İtme Analizi'!$C$14</f>
        <v>0</v>
      </c>
      <c r="U327" s="30">
        <f t="shared" si="8"/>
        <v>1.00829248845382E-4</v>
      </c>
    </row>
    <row r="328" spans="16:21" ht="13.9" customHeight="1" x14ac:dyDescent="0.2">
      <c r="P328" s="27"/>
      <c r="Q328" s="30"/>
      <c r="R328" s="30"/>
      <c r="S328" s="30">
        <f>ABS(Q328)/'İtme Analizi'!$C$17</f>
        <v>0</v>
      </c>
      <c r="T328" s="30">
        <f>ABS(R328)/'İtme Analizi'!$C$14</f>
        <v>0</v>
      </c>
      <c r="U328" s="30">
        <f t="shared" si="8"/>
        <v>1.00829248845382E-4</v>
      </c>
    </row>
    <row r="329" spans="16:21" ht="13.9" customHeight="1" x14ac:dyDescent="0.2">
      <c r="P329" s="27"/>
      <c r="Q329" s="30"/>
      <c r="R329" s="30"/>
      <c r="S329" s="30">
        <f>ABS(Q329)/'İtme Analizi'!$C$17</f>
        <v>0</v>
      </c>
      <c r="T329" s="30">
        <f>ABS(R329)/'İtme Analizi'!$C$14</f>
        <v>0</v>
      </c>
      <c r="U329" s="30">
        <f t="shared" si="8"/>
        <v>1.00829248845382E-4</v>
      </c>
    </row>
    <row r="330" spans="16:21" ht="13.9" customHeight="1" x14ac:dyDescent="0.2">
      <c r="P330" s="27"/>
      <c r="Q330" s="30"/>
      <c r="R330" s="30"/>
      <c r="S330" s="30">
        <f>ABS(Q330)/'İtme Analizi'!$C$17</f>
        <v>0</v>
      </c>
      <c r="T330" s="30">
        <f>ABS(R330)/'İtme Analizi'!$C$14</f>
        <v>0</v>
      </c>
      <c r="U330" s="30">
        <f t="shared" si="8"/>
        <v>1.00829248845382E-4</v>
      </c>
    </row>
    <row r="331" spans="16:21" ht="13.9" customHeight="1" x14ac:dyDescent="0.2">
      <c r="P331" s="27"/>
      <c r="Q331" s="30"/>
      <c r="R331" s="30"/>
      <c r="S331" s="30">
        <f>ABS(Q331)/'İtme Analizi'!$C$17</f>
        <v>0</v>
      </c>
      <c r="T331" s="30">
        <f>ABS(R331)/'İtme Analizi'!$C$14</f>
        <v>0</v>
      </c>
      <c r="U331" s="30">
        <f>U330+(S331-S330)*((T331+T330)/2)</f>
        <v>1.00829248845382E-4</v>
      </c>
    </row>
    <row r="332" spans="16:21" ht="13.9" customHeight="1" x14ac:dyDescent="0.2">
      <c r="P332" s="27"/>
      <c r="Q332" s="30"/>
      <c r="R332" s="30"/>
      <c r="S332" s="30">
        <f>ABS(Q332)/'İtme Analizi'!$C$17</f>
        <v>0</v>
      </c>
      <c r="T332" s="30">
        <f>ABS(R332)/'İtme Analizi'!$C$14</f>
        <v>0</v>
      </c>
      <c r="U332" s="30">
        <f>U331+(S332-S331)*((T332+T331)/2)</f>
        <v>1.00829248845382E-4</v>
      </c>
    </row>
    <row r="333" spans="16:21" ht="13.9" customHeight="1" x14ac:dyDescent="0.2">
      <c r="P333" s="27"/>
      <c r="Q333" s="30"/>
      <c r="R333" s="30"/>
      <c r="S333" s="30">
        <f>ABS(Q333)/'İtme Analizi'!$C$17</f>
        <v>0</v>
      </c>
      <c r="T333" s="30">
        <f>ABS(R333)/'İtme Analizi'!$C$14</f>
        <v>0</v>
      </c>
      <c r="U333" s="30">
        <f t="shared" ref="U333:U396" si="9">U332+(S333-S332)*((T333+T332)/2)</f>
        <v>1.00829248845382E-4</v>
      </c>
    </row>
    <row r="334" spans="16:21" ht="13.9" customHeight="1" x14ac:dyDescent="0.2">
      <c r="P334" s="27"/>
      <c r="Q334" s="30"/>
      <c r="R334" s="30"/>
      <c r="S334" s="30">
        <f>ABS(Q334)/'İtme Analizi'!$C$17</f>
        <v>0</v>
      </c>
      <c r="T334" s="30">
        <f>ABS(R334)/'İtme Analizi'!$C$14</f>
        <v>0</v>
      </c>
      <c r="U334" s="30">
        <f t="shared" si="9"/>
        <v>1.00829248845382E-4</v>
      </c>
    </row>
    <row r="335" spans="16:21" ht="13.9" customHeight="1" x14ac:dyDescent="0.2">
      <c r="P335" s="27"/>
      <c r="Q335" s="30"/>
      <c r="R335" s="30"/>
      <c r="S335" s="30">
        <f>ABS(Q335)/'İtme Analizi'!$C$17</f>
        <v>0</v>
      </c>
      <c r="T335" s="30">
        <f>ABS(R335)/'İtme Analizi'!$C$14</f>
        <v>0</v>
      </c>
      <c r="U335" s="30">
        <f t="shared" si="9"/>
        <v>1.00829248845382E-4</v>
      </c>
    </row>
    <row r="336" spans="16:21" ht="13.9" customHeight="1" x14ac:dyDescent="0.2">
      <c r="P336" s="27"/>
      <c r="Q336" s="30"/>
      <c r="R336" s="30"/>
      <c r="S336" s="30">
        <f>ABS(Q336)/'İtme Analizi'!$C$17</f>
        <v>0</v>
      </c>
      <c r="T336" s="30">
        <f>ABS(R336)/'İtme Analizi'!$C$14</f>
        <v>0</v>
      </c>
      <c r="U336" s="30">
        <f t="shared" si="9"/>
        <v>1.00829248845382E-4</v>
      </c>
    </row>
    <row r="337" spans="16:21" ht="13.9" customHeight="1" x14ac:dyDescent="0.2">
      <c r="P337" s="27"/>
      <c r="Q337" s="30"/>
      <c r="R337" s="30"/>
      <c r="S337" s="30">
        <f>ABS(Q337)/'İtme Analizi'!$C$17</f>
        <v>0</v>
      </c>
      <c r="T337" s="30">
        <f>ABS(R337)/'İtme Analizi'!$C$14</f>
        <v>0</v>
      </c>
      <c r="U337" s="30">
        <f t="shared" si="9"/>
        <v>1.00829248845382E-4</v>
      </c>
    </row>
    <row r="338" spans="16:21" ht="13.9" customHeight="1" x14ac:dyDescent="0.2">
      <c r="P338" s="27"/>
      <c r="Q338" s="30"/>
      <c r="R338" s="30"/>
      <c r="S338" s="30">
        <f>ABS(Q338)/'İtme Analizi'!$C$17</f>
        <v>0</v>
      </c>
      <c r="T338" s="30">
        <f>ABS(R338)/'İtme Analizi'!$C$14</f>
        <v>0</v>
      </c>
      <c r="U338" s="30">
        <f t="shared" si="9"/>
        <v>1.00829248845382E-4</v>
      </c>
    </row>
    <row r="339" spans="16:21" ht="13.9" customHeight="1" x14ac:dyDescent="0.2">
      <c r="P339" s="27"/>
      <c r="Q339" s="30"/>
      <c r="R339" s="30"/>
      <c r="S339" s="30">
        <f>ABS(Q339)/'İtme Analizi'!$C$17</f>
        <v>0</v>
      </c>
      <c r="T339" s="30">
        <f>ABS(R339)/'İtme Analizi'!$C$14</f>
        <v>0</v>
      </c>
      <c r="U339" s="30">
        <f t="shared" si="9"/>
        <v>1.00829248845382E-4</v>
      </c>
    </row>
    <row r="340" spans="16:21" ht="13.9" customHeight="1" x14ac:dyDescent="0.2">
      <c r="P340" s="27"/>
      <c r="Q340" s="30"/>
      <c r="R340" s="30"/>
      <c r="S340" s="30">
        <f>ABS(Q340)/'İtme Analizi'!$C$17</f>
        <v>0</v>
      </c>
      <c r="T340" s="30">
        <f>ABS(R340)/'İtme Analizi'!$C$14</f>
        <v>0</v>
      </c>
      <c r="U340" s="30">
        <f t="shared" si="9"/>
        <v>1.00829248845382E-4</v>
      </c>
    </row>
    <row r="341" spans="16:21" ht="13.9" customHeight="1" x14ac:dyDescent="0.2">
      <c r="P341" s="27"/>
      <c r="Q341" s="30"/>
      <c r="R341" s="30"/>
      <c r="S341" s="30">
        <f>ABS(Q341)/'İtme Analizi'!$C$17</f>
        <v>0</v>
      </c>
      <c r="T341" s="30">
        <f>ABS(R341)/'İtme Analizi'!$C$14</f>
        <v>0</v>
      </c>
      <c r="U341" s="30">
        <f t="shared" si="9"/>
        <v>1.00829248845382E-4</v>
      </c>
    </row>
    <row r="342" spans="16:21" ht="13.9" customHeight="1" x14ac:dyDescent="0.2">
      <c r="P342" s="27"/>
      <c r="Q342" s="30"/>
      <c r="R342" s="30"/>
      <c r="S342" s="30">
        <f>ABS(Q342)/'İtme Analizi'!$C$17</f>
        <v>0</v>
      </c>
      <c r="T342" s="30">
        <f>ABS(R342)/'İtme Analizi'!$C$14</f>
        <v>0</v>
      </c>
      <c r="U342" s="30">
        <f t="shared" si="9"/>
        <v>1.00829248845382E-4</v>
      </c>
    </row>
    <row r="343" spans="16:21" ht="13.9" customHeight="1" x14ac:dyDescent="0.2">
      <c r="P343" s="27"/>
      <c r="Q343" s="30"/>
      <c r="R343" s="30"/>
      <c r="S343" s="30">
        <f>ABS(Q343)/'İtme Analizi'!$C$17</f>
        <v>0</v>
      </c>
      <c r="T343" s="30">
        <f>ABS(R343)/'İtme Analizi'!$C$14</f>
        <v>0</v>
      </c>
      <c r="U343" s="30">
        <f t="shared" si="9"/>
        <v>1.00829248845382E-4</v>
      </c>
    </row>
    <row r="344" spans="16:21" ht="13.9" customHeight="1" x14ac:dyDescent="0.2">
      <c r="P344" s="27"/>
      <c r="Q344" s="30"/>
      <c r="R344" s="30"/>
      <c r="S344" s="30">
        <f>ABS(Q344)/'İtme Analizi'!$C$17</f>
        <v>0</v>
      </c>
      <c r="T344" s="30">
        <f>ABS(R344)/'İtme Analizi'!$C$14</f>
        <v>0</v>
      </c>
      <c r="U344" s="30">
        <f t="shared" si="9"/>
        <v>1.00829248845382E-4</v>
      </c>
    </row>
    <row r="345" spans="16:21" ht="13.9" customHeight="1" x14ac:dyDescent="0.2">
      <c r="P345" s="27"/>
      <c r="Q345" s="30"/>
      <c r="R345" s="30"/>
      <c r="S345" s="30">
        <f>ABS(Q345)/'İtme Analizi'!$C$17</f>
        <v>0</v>
      </c>
      <c r="T345" s="30">
        <f>ABS(R345)/'İtme Analizi'!$C$14</f>
        <v>0</v>
      </c>
      <c r="U345" s="30">
        <f t="shared" si="9"/>
        <v>1.00829248845382E-4</v>
      </c>
    </row>
    <row r="346" spans="16:21" ht="13.9" customHeight="1" x14ac:dyDescent="0.2">
      <c r="P346" s="27"/>
      <c r="Q346" s="30"/>
      <c r="R346" s="30"/>
      <c r="S346" s="30">
        <f>ABS(Q346)/'İtme Analizi'!$C$17</f>
        <v>0</v>
      </c>
      <c r="T346" s="30">
        <f>ABS(R346)/'İtme Analizi'!$C$14</f>
        <v>0</v>
      </c>
      <c r="U346" s="30">
        <f t="shared" si="9"/>
        <v>1.00829248845382E-4</v>
      </c>
    </row>
    <row r="347" spans="16:21" ht="13.9" customHeight="1" x14ac:dyDescent="0.2">
      <c r="P347" s="27"/>
      <c r="Q347" s="30"/>
      <c r="R347" s="30"/>
      <c r="S347" s="30">
        <f>ABS(Q347)/'İtme Analizi'!$C$17</f>
        <v>0</v>
      </c>
      <c r="T347" s="30">
        <f>ABS(R347)/'İtme Analizi'!$C$14</f>
        <v>0</v>
      </c>
      <c r="U347" s="30">
        <f t="shared" si="9"/>
        <v>1.00829248845382E-4</v>
      </c>
    </row>
    <row r="348" spans="16:21" ht="13.9" customHeight="1" x14ac:dyDescent="0.2">
      <c r="P348" s="27"/>
      <c r="Q348" s="30"/>
      <c r="R348" s="30"/>
      <c r="S348" s="30">
        <f>ABS(Q348)/'İtme Analizi'!$C$17</f>
        <v>0</v>
      </c>
      <c r="T348" s="30">
        <f>ABS(R348)/'İtme Analizi'!$C$14</f>
        <v>0</v>
      </c>
      <c r="U348" s="30">
        <f t="shared" si="9"/>
        <v>1.00829248845382E-4</v>
      </c>
    </row>
    <row r="349" spans="16:21" ht="13.9" customHeight="1" x14ac:dyDescent="0.2">
      <c r="P349" s="27"/>
      <c r="Q349" s="30"/>
      <c r="R349" s="30"/>
      <c r="S349" s="30">
        <f>ABS(Q349)/'İtme Analizi'!$C$17</f>
        <v>0</v>
      </c>
      <c r="T349" s="30">
        <f>ABS(R349)/'İtme Analizi'!$C$14</f>
        <v>0</v>
      </c>
      <c r="U349" s="30">
        <f t="shared" si="9"/>
        <v>1.00829248845382E-4</v>
      </c>
    </row>
    <row r="350" spans="16:21" ht="13.9" customHeight="1" x14ac:dyDescent="0.2">
      <c r="P350" s="27"/>
      <c r="Q350" s="30"/>
      <c r="R350" s="30"/>
      <c r="S350" s="30">
        <f>ABS(Q350)/'İtme Analizi'!$C$17</f>
        <v>0</v>
      </c>
      <c r="T350" s="30">
        <f>ABS(R350)/'İtme Analizi'!$C$14</f>
        <v>0</v>
      </c>
      <c r="U350" s="30">
        <f t="shared" si="9"/>
        <v>1.00829248845382E-4</v>
      </c>
    </row>
    <row r="351" spans="16:21" ht="13.9" customHeight="1" x14ac:dyDescent="0.2">
      <c r="P351" s="27"/>
      <c r="Q351" s="30"/>
      <c r="R351" s="30"/>
      <c r="S351" s="30">
        <f>ABS(Q351)/'İtme Analizi'!$C$17</f>
        <v>0</v>
      </c>
      <c r="T351" s="30">
        <f>ABS(R351)/'İtme Analizi'!$C$14</f>
        <v>0</v>
      </c>
      <c r="U351" s="30">
        <f t="shared" si="9"/>
        <v>1.00829248845382E-4</v>
      </c>
    </row>
    <row r="352" spans="16:21" ht="13.9" customHeight="1" x14ac:dyDescent="0.2">
      <c r="P352" s="27"/>
      <c r="Q352" s="30"/>
      <c r="R352" s="30"/>
      <c r="S352" s="30">
        <f>ABS(Q352)/'İtme Analizi'!$C$17</f>
        <v>0</v>
      </c>
      <c r="T352" s="30">
        <f>ABS(R352)/'İtme Analizi'!$C$14</f>
        <v>0</v>
      </c>
      <c r="U352" s="30">
        <f t="shared" si="9"/>
        <v>1.00829248845382E-4</v>
      </c>
    </row>
    <row r="353" spans="16:21" ht="13.9" customHeight="1" x14ac:dyDescent="0.2">
      <c r="P353" s="27"/>
      <c r="Q353" s="30"/>
      <c r="R353" s="30"/>
      <c r="S353" s="30">
        <f>ABS(Q353)/'İtme Analizi'!$C$17</f>
        <v>0</v>
      </c>
      <c r="T353" s="30">
        <f>ABS(R353)/'İtme Analizi'!$C$14</f>
        <v>0</v>
      </c>
      <c r="U353" s="30">
        <f t="shared" si="9"/>
        <v>1.00829248845382E-4</v>
      </c>
    </row>
    <row r="354" spans="16:21" ht="13.9" customHeight="1" x14ac:dyDescent="0.2">
      <c r="P354" s="27"/>
      <c r="Q354" s="30"/>
      <c r="R354" s="30"/>
      <c r="S354" s="30">
        <f>ABS(Q354)/'İtme Analizi'!$C$17</f>
        <v>0</v>
      </c>
      <c r="T354" s="30">
        <f>ABS(R354)/'İtme Analizi'!$C$14</f>
        <v>0</v>
      </c>
      <c r="U354" s="30">
        <f t="shared" si="9"/>
        <v>1.00829248845382E-4</v>
      </c>
    </row>
    <row r="355" spans="16:21" ht="13.9" customHeight="1" x14ac:dyDescent="0.2">
      <c r="P355" s="27"/>
      <c r="Q355" s="30"/>
      <c r="R355" s="30"/>
      <c r="S355" s="30">
        <f>ABS(Q355)/'İtme Analizi'!$C$17</f>
        <v>0</v>
      </c>
      <c r="T355" s="30">
        <f>ABS(R355)/'İtme Analizi'!$C$14</f>
        <v>0</v>
      </c>
      <c r="U355" s="30">
        <f t="shared" si="9"/>
        <v>1.00829248845382E-4</v>
      </c>
    </row>
    <row r="356" spans="16:21" ht="13.9" customHeight="1" x14ac:dyDescent="0.2">
      <c r="P356" s="27"/>
      <c r="Q356" s="30"/>
      <c r="R356" s="30"/>
      <c r="S356" s="30">
        <f>ABS(Q356)/'İtme Analizi'!$C$17</f>
        <v>0</v>
      </c>
      <c r="T356" s="30">
        <f>ABS(R356)/'İtme Analizi'!$C$14</f>
        <v>0</v>
      </c>
      <c r="U356" s="30">
        <f t="shared" si="9"/>
        <v>1.00829248845382E-4</v>
      </c>
    </row>
    <row r="357" spans="16:21" ht="13.9" customHeight="1" x14ac:dyDescent="0.2">
      <c r="P357" s="27"/>
      <c r="Q357" s="30"/>
      <c r="R357" s="30"/>
      <c r="S357" s="30">
        <f>ABS(Q357)/'İtme Analizi'!$C$17</f>
        <v>0</v>
      </c>
      <c r="T357" s="30">
        <f>ABS(R357)/'İtme Analizi'!$C$14</f>
        <v>0</v>
      </c>
      <c r="U357" s="30">
        <f t="shared" si="9"/>
        <v>1.00829248845382E-4</v>
      </c>
    </row>
    <row r="358" spans="16:21" ht="13.9" customHeight="1" x14ac:dyDescent="0.2">
      <c r="P358" s="27"/>
      <c r="Q358" s="30"/>
      <c r="R358" s="30"/>
      <c r="S358" s="30">
        <f>ABS(Q358)/'İtme Analizi'!$C$17</f>
        <v>0</v>
      </c>
      <c r="T358" s="30">
        <f>ABS(R358)/'İtme Analizi'!$C$14</f>
        <v>0</v>
      </c>
      <c r="U358" s="30">
        <f t="shared" si="9"/>
        <v>1.00829248845382E-4</v>
      </c>
    </row>
    <row r="359" spans="16:21" ht="13.9" customHeight="1" x14ac:dyDescent="0.2">
      <c r="P359" s="27"/>
      <c r="Q359" s="30"/>
      <c r="R359" s="30"/>
      <c r="S359" s="30">
        <f>ABS(Q359)/'İtme Analizi'!$C$17</f>
        <v>0</v>
      </c>
      <c r="T359" s="30">
        <f>ABS(R359)/'İtme Analizi'!$C$14</f>
        <v>0</v>
      </c>
      <c r="U359" s="30">
        <f t="shared" si="9"/>
        <v>1.00829248845382E-4</v>
      </c>
    </row>
    <row r="360" spans="16:21" ht="13.9" customHeight="1" x14ac:dyDescent="0.2">
      <c r="P360" s="27"/>
      <c r="Q360" s="30"/>
      <c r="R360" s="30"/>
      <c r="S360" s="30">
        <f>ABS(Q360)/'İtme Analizi'!$C$17</f>
        <v>0</v>
      </c>
      <c r="T360" s="30">
        <f>ABS(R360)/'İtme Analizi'!$C$14</f>
        <v>0</v>
      </c>
      <c r="U360" s="30">
        <f t="shared" si="9"/>
        <v>1.00829248845382E-4</v>
      </c>
    </row>
    <row r="361" spans="16:21" ht="13.9" customHeight="1" x14ac:dyDescent="0.2">
      <c r="P361" s="27"/>
      <c r="Q361" s="30"/>
      <c r="R361" s="30"/>
      <c r="S361" s="30">
        <f>ABS(Q361)/'İtme Analizi'!$C$17</f>
        <v>0</v>
      </c>
      <c r="T361" s="30">
        <f>ABS(R361)/'İtme Analizi'!$C$14</f>
        <v>0</v>
      </c>
      <c r="U361" s="30">
        <f t="shared" si="9"/>
        <v>1.00829248845382E-4</v>
      </c>
    </row>
    <row r="362" spans="16:21" ht="13.9" customHeight="1" x14ac:dyDescent="0.2">
      <c r="P362" s="27"/>
      <c r="Q362" s="30"/>
      <c r="R362" s="30"/>
      <c r="S362" s="30">
        <f>ABS(Q362)/'İtme Analizi'!$C$17</f>
        <v>0</v>
      </c>
      <c r="T362" s="30">
        <f>ABS(R362)/'İtme Analizi'!$C$14</f>
        <v>0</v>
      </c>
      <c r="U362" s="30">
        <f t="shared" si="9"/>
        <v>1.00829248845382E-4</v>
      </c>
    </row>
    <row r="363" spans="16:21" ht="13.9" customHeight="1" x14ac:dyDescent="0.2">
      <c r="P363" s="27"/>
      <c r="Q363" s="30"/>
      <c r="R363" s="30"/>
      <c r="S363" s="30">
        <f>ABS(Q363)/'İtme Analizi'!$C$17</f>
        <v>0</v>
      </c>
      <c r="T363" s="30">
        <f>ABS(R363)/'İtme Analizi'!$C$14</f>
        <v>0</v>
      </c>
      <c r="U363" s="30">
        <f t="shared" si="9"/>
        <v>1.00829248845382E-4</v>
      </c>
    </row>
    <row r="364" spans="16:21" ht="13.9" customHeight="1" x14ac:dyDescent="0.2">
      <c r="P364" s="27"/>
      <c r="Q364" s="30"/>
      <c r="R364" s="30"/>
      <c r="S364" s="30">
        <f>ABS(Q364)/'İtme Analizi'!$C$17</f>
        <v>0</v>
      </c>
      <c r="T364" s="30">
        <f>ABS(R364)/'İtme Analizi'!$C$14</f>
        <v>0</v>
      </c>
      <c r="U364" s="30">
        <f t="shared" si="9"/>
        <v>1.00829248845382E-4</v>
      </c>
    </row>
    <row r="365" spans="16:21" ht="13.9" customHeight="1" x14ac:dyDescent="0.2">
      <c r="P365" s="27"/>
      <c r="Q365" s="30"/>
      <c r="R365" s="30"/>
      <c r="S365" s="30">
        <f>ABS(Q365)/'İtme Analizi'!$C$17</f>
        <v>0</v>
      </c>
      <c r="T365" s="30">
        <f>ABS(R365)/'İtme Analizi'!$C$14</f>
        <v>0</v>
      </c>
      <c r="U365" s="30">
        <f t="shared" si="9"/>
        <v>1.00829248845382E-4</v>
      </c>
    </row>
    <row r="366" spans="16:21" ht="13.9" customHeight="1" x14ac:dyDescent="0.2">
      <c r="P366" s="27"/>
      <c r="Q366" s="30"/>
      <c r="R366" s="30"/>
      <c r="S366" s="30">
        <f>ABS(Q366)/'İtme Analizi'!$C$17</f>
        <v>0</v>
      </c>
      <c r="T366" s="30">
        <f>ABS(R366)/'İtme Analizi'!$C$14</f>
        <v>0</v>
      </c>
      <c r="U366" s="30">
        <f t="shared" si="9"/>
        <v>1.00829248845382E-4</v>
      </c>
    </row>
    <row r="367" spans="16:21" ht="13.9" customHeight="1" x14ac:dyDescent="0.2">
      <c r="P367" s="27"/>
      <c r="Q367" s="30"/>
      <c r="R367" s="30"/>
      <c r="S367" s="30">
        <f>ABS(Q367)/'İtme Analizi'!$C$17</f>
        <v>0</v>
      </c>
      <c r="T367" s="30">
        <f>ABS(R367)/'İtme Analizi'!$C$14</f>
        <v>0</v>
      </c>
      <c r="U367" s="30">
        <f t="shared" si="9"/>
        <v>1.00829248845382E-4</v>
      </c>
    </row>
    <row r="368" spans="16:21" ht="13.9" customHeight="1" x14ac:dyDescent="0.2">
      <c r="P368" s="27"/>
      <c r="Q368" s="30"/>
      <c r="R368" s="30"/>
      <c r="S368" s="30">
        <f>ABS(Q368)/'İtme Analizi'!$C$17</f>
        <v>0</v>
      </c>
      <c r="T368" s="30">
        <f>ABS(R368)/'İtme Analizi'!$C$14</f>
        <v>0</v>
      </c>
      <c r="U368" s="30">
        <f t="shared" si="9"/>
        <v>1.00829248845382E-4</v>
      </c>
    </row>
    <row r="369" spans="16:21" ht="13.9" customHeight="1" x14ac:dyDescent="0.2">
      <c r="P369" s="27"/>
      <c r="Q369" s="30"/>
      <c r="R369" s="30"/>
      <c r="S369" s="30">
        <f>ABS(Q369)/'İtme Analizi'!$C$17</f>
        <v>0</v>
      </c>
      <c r="T369" s="30">
        <f>ABS(R369)/'İtme Analizi'!$C$14</f>
        <v>0</v>
      </c>
      <c r="U369" s="30">
        <f t="shared" si="9"/>
        <v>1.00829248845382E-4</v>
      </c>
    </row>
    <row r="370" spans="16:21" ht="13.9" customHeight="1" x14ac:dyDescent="0.2">
      <c r="P370" s="27"/>
      <c r="Q370" s="30"/>
      <c r="R370" s="30"/>
      <c r="S370" s="30">
        <f>ABS(Q370)/'İtme Analizi'!$C$17</f>
        <v>0</v>
      </c>
      <c r="T370" s="30">
        <f>ABS(R370)/'İtme Analizi'!$C$14</f>
        <v>0</v>
      </c>
      <c r="U370" s="30">
        <f t="shared" si="9"/>
        <v>1.00829248845382E-4</v>
      </c>
    </row>
    <row r="371" spans="16:21" ht="13.9" customHeight="1" x14ac:dyDescent="0.2">
      <c r="P371" s="27"/>
      <c r="Q371" s="30"/>
      <c r="R371" s="30"/>
      <c r="S371" s="30">
        <f>ABS(Q371)/'İtme Analizi'!$C$17</f>
        <v>0</v>
      </c>
      <c r="T371" s="30">
        <f>ABS(R371)/'İtme Analizi'!$C$14</f>
        <v>0</v>
      </c>
      <c r="U371" s="30">
        <f t="shared" si="9"/>
        <v>1.00829248845382E-4</v>
      </c>
    </row>
    <row r="372" spans="16:21" ht="13.9" customHeight="1" x14ac:dyDescent="0.2">
      <c r="P372" s="27"/>
      <c r="Q372" s="30"/>
      <c r="R372" s="30"/>
      <c r="S372" s="30">
        <f>ABS(Q372)/'İtme Analizi'!$C$17</f>
        <v>0</v>
      </c>
      <c r="T372" s="30">
        <f>ABS(R372)/'İtme Analizi'!$C$14</f>
        <v>0</v>
      </c>
      <c r="U372" s="30">
        <f t="shared" si="9"/>
        <v>1.00829248845382E-4</v>
      </c>
    </row>
    <row r="373" spans="16:21" ht="13.9" customHeight="1" x14ac:dyDescent="0.2">
      <c r="P373" s="27"/>
      <c r="Q373" s="30"/>
      <c r="R373" s="30"/>
      <c r="S373" s="30">
        <f>ABS(Q373)/'İtme Analizi'!$C$17</f>
        <v>0</v>
      </c>
      <c r="T373" s="30">
        <f>ABS(R373)/'İtme Analizi'!$C$14</f>
        <v>0</v>
      </c>
      <c r="U373" s="30">
        <f t="shared" si="9"/>
        <v>1.00829248845382E-4</v>
      </c>
    </row>
    <row r="374" spans="16:21" ht="13.9" customHeight="1" x14ac:dyDescent="0.2">
      <c r="P374" s="27"/>
      <c r="Q374" s="30"/>
      <c r="R374" s="30"/>
      <c r="S374" s="30">
        <f>ABS(Q374)/'İtme Analizi'!$C$17</f>
        <v>0</v>
      </c>
      <c r="T374" s="30">
        <f>ABS(R374)/'İtme Analizi'!$C$14</f>
        <v>0</v>
      </c>
      <c r="U374" s="30">
        <f t="shared" si="9"/>
        <v>1.00829248845382E-4</v>
      </c>
    </row>
    <row r="375" spans="16:21" ht="13.9" customHeight="1" x14ac:dyDescent="0.2">
      <c r="P375" s="27"/>
      <c r="Q375" s="30"/>
      <c r="R375" s="30"/>
      <c r="S375" s="30">
        <f>ABS(Q375)/'İtme Analizi'!$C$17</f>
        <v>0</v>
      </c>
      <c r="T375" s="30">
        <f>ABS(R375)/'İtme Analizi'!$C$14</f>
        <v>0</v>
      </c>
      <c r="U375" s="30">
        <f t="shared" si="9"/>
        <v>1.00829248845382E-4</v>
      </c>
    </row>
    <row r="376" spans="16:21" ht="13.9" customHeight="1" x14ac:dyDescent="0.2">
      <c r="P376" s="27"/>
      <c r="Q376" s="30"/>
      <c r="R376" s="30"/>
      <c r="S376" s="30">
        <f>ABS(Q376)/'İtme Analizi'!$C$17</f>
        <v>0</v>
      </c>
      <c r="T376" s="30">
        <f>ABS(R376)/'İtme Analizi'!$C$14</f>
        <v>0</v>
      </c>
      <c r="U376" s="30">
        <f t="shared" si="9"/>
        <v>1.00829248845382E-4</v>
      </c>
    </row>
    <row r="377" spans="16:21" ht="13.9" customHeight="1" x14ac:dyDescent="0.2">
      <c r="P377" s="27"/>
      <c r="Q377" s="30"/>
      <c r="R377" s="30"/>
      <c r="S377" s="30">
        <f>ABS(Q377)/'İtme Analizi'!$C$17</f>
        <v>0</v>
      </c>
      <c r="T377" s="30">
        <f>ABS(R377)/'İtme Analizi'!$C$14</f>
        <v>0</v>
      </c>
      <c r="U377" s="30">
        <f t="shared" si="9"/>
        <v>1.00829248845382E-4</v>
      </c>
    </row>
    <row r="378" spans="16:21" ht="13.9" customHeight="1" x14ac:dyDescent="0.2">
      <c r="P378" s="27"/>
      <c r="Q378" s="30"/>
      <c r="R378" s="30"/>
      <c r="S378" s="30">
        <f>ABS(Q378)/'İtme Analizi'!$C$17</f>
        <v>0</v>
      </c>
      <c r="T378" s="30">
        <f>ABS(R378)/'İtme Analizi'!$C$14</f>
        <v>0</v>
      </c>
      <c r="U378" s="30">
        <f t="shared" si="9"/>
        <v>1.00829248845382E-4</v>
      </c>
    </row>
    <row r="379" spans="16:21" ht="13.9" customHeight="1" x14ac:dyDescent="0.2">
      <c r="P379" s="27"/>
      <c r="Q379" s="30"/>
      <c r="R379" s="30"/>
      <c r="S379" s="30">
        <f>ABS(Q379)/'İtme Analizi'!$C$17</f>
        <v>0</v>
      </c>
      <c r="T379" s="30">
        <f>ABS(R379)/'İtme Analizi'!$C$14</f>
        <v>0</v>
      </c>
      <c r="U379" s="30">
        <f t="shared" si="9"/>
        <v>1.00829248845382E-4</v>
      </c>
    </row>
    <row r="380" spans="16:21" ht="13.9" customHeight="1" x14ac:dyDescent="0.2">
      <c r="P380" s="27"/>
      <c r="Q380" s="30"/>
      <c r="R380" s="30"/>
      <c r="S380" s="30">
        <f>ABS(Q380)/'İtme Analizi'!$C$17</f>
        <v>0</v>
      </c>
      <c r="T380" s="30">
        <f>ABS(R380)/'İtme Analizi'!$C$14</f>
        <v>0</v>
      </c>
      <c r="U380" s="30">
        <f t="shared" si="9"/>
        <v>1.00829248845382E-4</v>
      </c>
    </row>
    <row r="381" spans="16:21" ht="13.9" customHeight="1" x14ac:dyDescent="0.2">
      <c r="P381" s="27"/>
      <c r="Q381" s="30"/>
      <c r="R381" s="30"/>
      <c r="S381" s="30">
        <f>ABS(Q381)/'İtme Analizi'!$C$17</f>
        <v>0</v>
      </c>
      <c r="T381" s="30">
        <f>ABS(R381)/'İtme Analizi'!$C$14</f>
        <v>0</v>
      </c>
      <c r="U381" s="30">
        <f t="shared" si="9"/>
        <v>1.00829248845382E-4</v>
      </c>
    </row>
    <row r="382" spans="16:21" ht="13.9" customHeight="1" x14ac:dyDescent="0.2">
      <c r="P382" s="27"/>
      <c r="Q382" s="30"/>
      <c r="R382" s="30"/>
      <c r="S382" s="30">
        <f>ABS(Q382)/'İtme Analizi'!$C$17</f>
        <v>0</v>
      </c>
      <c r="T382" s="30">
        <f>ABS(R382)/'İtme Analizi'!$C$14</f>
        <v>0</v>
      </c>
      <c r="U382" s="30">
        <f t="shared" si="9"/>
        <v>1.00829248845382E-4</v>
      </c>
    </row>
    <row r="383" spans="16:21" ht="13.9" customHeight="1" x14ac:dyDescent="0.2">
      <c r="P383" s="27"/>
      <c r="Q383" s="30"/>
      <c r="R383" s="30"/>
      <c r="S383" s="30">
        <f>ABS(Q383)/'İtme Analizi'!$C$17</f>
        <v>0</v>
      </c>
      <c r="T383" s="30">
        <f>ABS(R383)/'İtme Analizi'!$C$14</f>
        <v>0</v>
      </c>
      <c r="U383" s="30">
        <f t="shared" si="9"/>
        <v>1.00829248845382E-4</v>
      </c>
    </row>
    <row r="384" spans="16:21" ht="13.9" customHeight="1" x14ac:dyDescent="0.2">
      <c r="P384" s="27"/>
      <c r="Q384" s="30"/>
      <c r="R384" s="30"/>
      <c r="S384" s="30">
        <f>ABS(Q384)/'İtme Analizi'!$C$17</f>
        <v>0</v>
      </c>
      <c r="T384" s="30">
        <f>ABS(R384)/'İtme Analizi'!$C$14</f>
        <v>0</v>
      </c>
      <c r="U384" s="30">
        <f t="shared" si="9"/>
        <v>1.00829248845382E-4</v>
      </c>
    </row>
    <row r="385" spans="16:21" ht="13.9" customHeight="1" x14ac:dyDescent="0.2">
      <c r="P385" s="27"/>
      <c r="Q385" s="30"/>
      <c r="R385" s="30"/>
      <c r="S385" s="30">
        <f>ABS(Q385)/'İtme Analizi'!$C$17</f>
        <v>0</v>
      </c>
      <c r="T385" s="30">
        <f>ABS(R385)/'İtme Analizi'!$C$14</f>
        <v>0</v>
      </c>
      <c r="U385" s="30">
        <f t="shared" si="9"/>
        <v>1.00829248845382E-4</v>
      </c>
    </row>
    <row r="386" spans="16:21" ht="13.9" customHeight="1" x14ac:dyDescent="0.2">
      <c r="P386" s="27"/>
      <c r="Q386" s="30"/>
      <c r="R386" s="30"/>
      <c r="S386" s="30">
        <f>ABS(Q386)/'İtme Analizi'!$C$17</f>
        <v>0</v>
      </c>
      <c r="T386" s="30">
        <f>ABS(R386)/'İtme Analizi'!$C$14</f>
        <v>0</v>
      </c>
      <c r="U386" s="30">
        <f t="shared" si="9"/>
        <v>1.00829248845382E-4</v>
      </c>
    </row>
    <row r="387" spans="16:21" ht="13.9" customHeight="1" x14ac:dyDescent="0.2">
      <c r="P387" s="27"/>
      <c r="Q387" s="30"/>
      <c r="R387" s="30"/>
      <c r="S387" s="30">
        <f>ABS(Q387)/'İtme Analizi'!$C$17</f>
        <v>0</v>
      </c>
      <c r="T387" s="30">
        <f>ABS(R387)/'İtme Analizi'!$C$14</f>
        <v>0</v>
      </c>
      <c r="U387" s="30">
        <f t="shared" si="9"/>
        <v>1.00829248845382E-4</v>
      </c>
    </row>
    <row r="388" spans="16:21" ht="13.9" customHeight="1" x14ac:dyDescent="0.2">
      <c r="P388" s="27"/>
      <c r="Q388" s="30"/>
      <c r="R388" s="30"/>
      <c r="S388" s="30">
        <f>ABS(Q388)/'İtme Analizi'!$C$17</f>
        <v>0</v>
      </c>
      <c r="T388" s="30">
        <f>ABS(R388)/'İtme Analizi'!$C$14</f>
        <v>0</v>
      </c>
      <c r="U388" s="30">
        <f t="shared" si="9"/>
        <v>1.00829248845382E-4</v>
      </c>
    </row>
    <row r="389" spans="16:21" ht="13.9" customHeight="1" x14ac:dyDescent="0.2">
      <c r="P389" s="27"/>
      <c r="Q389" s="30"/>
      <c r="R389" s="30"/>
      <c r="S389" s="30">
        <f>ABS(Q389)/'İtme Analizi'!$C$17</f>
        <v>0</v>
      </c>
      <c r="T389" s="30">
        <f>ABS(R389)/'İtme Analizi'!$C$14</f>
        <v>0</v>
      </c>
      <c r="U389" s="30">
        <f t="shared" si="9"/>
        <v>1.00829248845382E-4</v>
      </c>
    </row>
    <row r="390" spans="16:21" ht="13.9" customHeight="1" x14ac:dyDescent="0.2">
      <c r="P390" s="27"/>
      <c r="Q390" s="30"/>
      <c r="R390" s="30"/>
      <c r="S390" s="30">
        <f>ABS(Q390)/'İtme Analizi'!$C$17</f>
        <v>0</v>
      </c>
      <c r="T390" s="30">
        <f>ABS(R390)/'İtme Analizi'!$C$14</f>
        <v>0</v>
      </c>
      <c r="U390" s="30">
        <f t="shared" si="9"/>
        <v>1.00829248845382E-4</v>
      </c>
    </row>
    <row r="391" spans="16:21" ht="13.9" customHeight="1" x14ac:dyDescent="0.2">
      <c r="P391" s="27"/>
      <c r="Q391" s="30"/>
      <c r="R391" s="30"/>
      <c r="S391" s="30">
        <f>ABS(Q391)/'İtme Analizi'!$C$17</f>
        <v>0</v>
      </c>
      <c r="T391" s="30">
        <f>ABS(R391)/'İtme Analizi'!$C$14</f>
        <v>0</v>
      </c>
      <c r="U391" s="30">
        <f t="shared" si="9"/>
        <v>1.00829248845382E-4</v>
      </c>
    </row>
    <row r="392" spans="16:21" ht="13.9" customHeight="1" x14ac:dyDescent="0.2">
      <c r="P392" s="27"/>
      <c r="Q392" s="30"/>
      <c r="R392" s="30"/>
      <c r="S392" s="30">
        <f>ABS(Q392)/'İtme Analizi'!$C$17</f>
        <v>0</v>
      </c>
      <c r="T392" s="30">
        <f>ABS(R392)/'İtme Analizi'!$C$14</f>
        <v>0</v>
      </c>
      <c r="U392" s="30">
        <f t="shared" si="9"/>
        <v>1.00829248845382E-4</v>
      </c>
    </row>
    <row r="393" spans="16:21" ht="13.9" customHeight="1" x14ac:dyDescent="0.2">
      <c r="P393" s="27"/>
      <c r="Q393" s="30"/>
      <c r="R393" s="30"/>
      <c r="S393" s="30">
        <f>ABS(Q393)/'İtme Analizi'!$C$17</f>
        <v>0</v>
      </c>
      <c r="T393" s="30">
        <f>ABS(R393)/'İtme Analizi'!$C$14</f>
        <v>0</v>
      </c>
      <c r="U393" s="30">
        <f t="shared" si="9"/>
        <v>1.00829248845382E-4</v>
      </c>
    </row>
    <row r="394" spans="16:21" ht="13.9" customHeight="1" x14ac:dyDescent="0.2">
      <c r="P394" s="27"/>
      <c r="Q394" s="30"/>
      <c r="R394" s="30"/>
      <c r="S394" s="30">
        <f>ABS(Q394)/'İtme Analizi'!$C$17</f>
        <v>0</v>
      </c>
      <c r="T394" s="30">
        <f>ABS(R394)/'İtme Analizi'!$C$14</f>
        <v>0</v>
      </c>
      <c r="U394" s="30">
        <f t="shared" si="9"/>
        <v>1.00829248845382E-4</v>
      </c>
    </row>
    <row r="395" spans="16:21" ht="13.9" customHeight="1" x14ac:dyDescent="0.2">
      <c r="P395" s="27"/>
      <c r="Q395" s="30"/>
      <c r="R395" s="30"/>
      <c r="S395" s="30">
        <f>ABS(Q395)/'İtme Analizi'!$C$17</f>
        <v>0</v>
      </c>
      <c r="T395" s="30">
        <f>ABS(R395)/'İtme Analizi'!$C$14</f>
        <v>0</v>
      </c>
      <c r="U395" s="30">
        <f t="shared" si="9"/>
        <v>1.00829248845382E-4</v>
      </c>
    </row>
    <row r="396" spans="16:21" ht="13.9" customHeight="1" x14ac:dyDescent="0.2">
      <c r="P396" s="27"/>
      <c r="Q396" s="30"/>
      <c r="R396" s="30"/>
      <c r="S396" s="30">
        <f>ABS(Q396)/'İtme Analizi'!$C$17</f>
        <v>0</v>
      </c>
      <c r="T396" s="30">
        <f>ABS(R396)/'İtme Analizi'!$C$14</f>
        <v>0</v>
      </c>
      <c r="U396" s="30">
        <f t="shared" si="9"/>
        <v>1.00829248845382E-4</v>
      </c>
    </row>
    <row r="397" spans="16:21" ht="13.9" customHeight="1" x14ac:dyDescent="0.2">
      <c r="P397" s="27"/>
      <c r="Q397" s="30"/>
      <c r="R397" s="30"/>
      <c r="S397" s="30">
        <f>ABS(Q397)/'İtme Analizi'!$C$17</f>
        <v>0</v>
      </c>
      <c r="T397" s="30">
        <f>ABS(R397)/'İtme Analizi'!$C$14</f>
        <v>0</v>
      </c>
      <c r="U397" s="30">
        <f t="shared" ref="U397:U460" si="10">U396+(S397-S396)*((T397+T396)/2)</f>
        <v>1.00829248845382E-4</v>
      </c>
    </row>
    <row r="398" spans="16:21" ht="13.9" customHeight="1" x14ac:dyDescent="0.2">
      <c r="P398" s="27"/>
      <c r="Q398" s="30"/>
      <c r="R398" s="30"/>
      <c r="S398" s="30">
        <f>ABS(Q398)/'İtme Analizi'!$C$17</f>
        <v>0</v>
      </c>
      <c r="T398" s="30">
        <f>ABS(R398)/'İtme Analizi'!$C$14</f>
        <v>0</v>
      </c>
      <c r="U398" s="30">
        <f t="shared" si="10"/>
        <v>1.00829248845382E-4</v>
      </c>
    </row>
    <row r="399" spans="16:21" ht="13.9" customHeight="1" x14ac:dyDescent="0.2">
      <c r="P399" s="27"/>
      <c r="Q399" s="30"/>
      <c r="R399" s="30"/>
      <c r="S399" s="30">
        <f>ABS(Q399)/'İtme Analizi'!$C$17</f>
        <v>0</v>
      </c>
      <c r="T399" s="30">
        <f>ABS(R399)/'İtme Analizi'!$C$14</f>
        <v>0</v>
      </c>
      <c r="U399" s="30">
        <f t="shared" si="10"/>
        <v>1.00829248845382E-4</v>
      </c>
    </row>
    <row r="400" spans="16:21" ht="13.9" customHeight="1" x14ac:dyDescent="0.2">
      <c r="P400" s="27"/>
      <c r="Q400" s="30"/>
      <c r="R400" s="30"/>
      <c r="S400" s="30">
        <f>ABS(Q400)/'İtme Analizi'!$C$17</f>
        <v>0</v>
      </c>
      <c r="T400" s="30">
        <f>ABS(R400)/'İtme Analizi'!$C$14</f>
        <v>0</v>
      </c>
      <c r="U400" s="30">
        <f t="shared" si="10"/>
        <v>1.00829248845382E-4</v>
      </c>
    </row>
    <row r="401" spans="16:21" ht="13.9" customHeight="1" x14ac:dyDescent="0.2">
      <c r="P401" s="27"/>
      <c r="Q401" s="30"/>
      <c r="R401" s="30"/>
      <c r="S401" s="30">
        <f>ABS(Q401)/'İtme Analizi'!$C$17</f>
        <v>0</v>
      </c>
      <c r="T401" s="30">
        <f>ABS(R401)/'İtme Analizi'!$C$14</f>
        <v>0</v>
      </c>
      <c r="U401" s="30">
        <f t="shared" si="10"/>
        <v>1.00829248845382E-4</v>
      </c>
    </row>
    <row r="402" spans="16:21" ht="13.9" customHeight="1" x14ac:dyDescent="0.2">
      <c r="P402" s="27"/>
      <c r="Q402" s="30"/>
      <c r="R402" s="30"/>
      <c r="S402" s="30">
        <f>ABS(Q402)/'İtme Analizi'!$C$17</f>
        <v>0</v>
      </c>
      <c r="T402" s="30">
        <f>ABS(R402)/'İtme Analizi'!$C$14</f>
        <v>0</v>
      </c>
      <c r="U402" s="30">
        <f t="shared" si="10"/>
        <v>1.00829248845382E-4</v>
      </c>
    </row>
    <row r="403" spans="16:21" ht="13.9" customHeight="1" x14ac:dyDescent="0.2">
      <c r="P403" s="27"/>
      <c r="Q403" s="30"/>
      <c r="R403" s="30"/>
      <c r="S403" s="30">
        <f>ABS(Q403)/'İtme Analizi'!$C$17</f>
        <v>0</v>
      </c>
      <c r="T403" s="30">
        <f>ABS(R403)/'İtme Analizi'!$C$14</f>
        <v>0</v>
      </c>
      <c r="U403" s="30">
        <f t="shared" si="10"/>
        <v>1.00829248845382E-4</v>
      </c>
    </row>
    <row r="404" spans="16:21" ht="13.9" customHeight="1" x14ac:dyDescent="0.2">
      <c r="P404" s="27"/>
      <c r="Q404" s="30"/>
      <c r="R404" s="30"/>
      <c r="S404" s="30">
        <f>ABS(Q404)/'İtme Analizi'!$C$17</f>
        <v>0</v>
      </c>
      <c r="T404" s="30">
        <f>ABS(R404)/'İtme Analizi'!$C$14</f>
        <v>0</v>
      </c>
      <c r="U404" s="30">
        <f t="shared" si="10"/>
        <v>1.00829248845382E-4</v>
      </c>
    </row>
    <row r="405" spans="16:21" ht="13.9" customHeight="1" x14ac:dyDescent="0.2">
      <c r="P405" s="27"/>
      <c r="Q405" s="30"/>
      <c r="R405" s="30"/>
      <c r="S405" s="30">
        <f>ABS(Q405)/'İtme Analizi'!$C$17</f>
        <v>0</v>
      </c>
      <c r="T405" s="30">
        <f>ABS(R405)/'İtme Analizi'!$C$14</f>
        <v>0</v>
      </c>
      <c r="U405" s="30">
        <f t="shared" si="10"/>
        <v>1.00829248845382E-4</v>
      </c>
    </row>
    <row r="406" spans="16:21" ht="13.9" customHeight="1" x14ac:dyDescent="0.2">
      <c r="P406" s="27"/>
      <c r="Q406" s="30"/>
      <c r="R406" s="30"/>
      <c r="S406" s="30">
        <f>ABS(Q406)/'İtme Analizi'!$C$17</f>
        <v>0</v>
      </c>
      <c r="T406" s="30">
        <f>ABS(R406)/'İtme Analizi'!$C$14</f>
        <v>0</v>
      </c>
      <c r="U406" s="30">
        <f t="shared" si="10"/>
        <v>1.00829248845382E-4</v>
      </c>
    </row>
    <row r="407" spans="16:21" ht="13.9" customHeight="1" x14ac:dyDescent="0.2">
      <c r="P407" s="27"/>
      <c r="Q407" s="30"/>
      <c r="R407" s="30"/>
      <c r="S407" s="30">
        <f>ABS(Q407)/'İtme Analizi'!$C$17</f>
        <v>0</v>
      </c>
      <c r="T407" s="30">
        <f>ABS(R407)/'İtme Analizi'!$C$14</f>
        <v>0</v>
      </c>
      <c r="U407" s="30">
        <f t="shared" si="10"/>
        <v>1.00829248845382E-4</v>
      </c>
    </row>
    <row r="408" spans="16:21" ht="13.9" customHeight="1" x14ac:dyDescent="0.2">
      <c r="P408" s="27"/>
      <c r="Q408" s="30"/>
      <c r="R408" s="30"/>
      <c r="S408" s="30">
        <f>ABS(Q408)/'İtme Analizi'!$C$17</f>
        <v>0</v>
      </c>
      <c r="T408" s="30">
        <f>ABS(R408)/'İtme Analizi'!$C$14</f>
        <v>0</v>
      </c>
      <c r="U408" s="30">
        <f t="shared" si="10"/>
        <v>1.00829248845382E-4</v>
      </c>
    </row>
    <row r="409" spans="16:21" ht="13.9" customHeight="1" x14ac:dyDescent="0.2">
      <c r="P409" s="27"/>
      <c r="Q409" s="30"/>
      <c r="R409" s="30"/>
      <c r="S409" s="30">
        <f>ABS(Q409)/'İtme Analizi'!$C$17</f>
        <v>0</v>
      </c>
      <c r="T409" s="30">
        <f>ABS(R409)/'İtme Analizi'!$C$14</f>
        <v>0</v>
      </c>
      <c r="U409" s="30">
        <f t="shared" si="10"/>
        <v>1.00829248845382E-4</v>
      </c>
    </row>
    <row r="410" spans="16:21" ht="13.9" customHeight="1" x14ac:dyDescent="0.2">
      <c r="P410" s="27"/>
      <c r="Q410" s="30"/>
      <c r="R410" s="30"/>
      <c r="S410" s="30">
        <f>ABS(Q410)/'İtme Analizi'!$C$17</f>
        <v>0</v>
      </c>
      <c r="T410" s="30">
        <f>ABS(R410)/'İtme Analizi'!$C$14</f>
        <v>0</v>
      </c>
      <c r="U410" s="30">
        <f t="shared" si="10"/>
        <v>1.00829248845382E-4</v>
      </c>
    </row>
    <row r="411" spans="16:21" ht="13.9" customHeight="1" x14ac:dyDescent="0.2">
      <c r="P411" s="27"/>
      <c r="Q411" s="30"/>
      <c r="R411" s="30"/>
      <c r="S411" s="30">
        <f>ABS(Q411)/'İtme Analizi'!$C$17</f>
        <v>0</v>
      </c>
      <c r="T411" s="30">
        <f>ABS(R411)/'İtme Analizi'!$C$14</f>
        <v>0</v>
      </c>
      <c r="U411" s="30">
        <f t="shared" si="10"/>
        <v>1.00829248845382E-4</v>
      </c>
    </row>
    <row r="412" spans="16:21" ht="13.9" customHeight="1" x14ac:dyDescent="0.2">
      <c r="P412" s="27"/>
      <c r="Q412" s="30"/>
      <c r="R412" s="30"/>
      <c r="S412" s="30">
        <f>ABS(Q412)/'İtme Analizi'!$C$17</f>
        <v>0</v>
      </c>
      <c r="T412" s="30">
        <f>ABS(R412)/'İtme Analizi'!$C$14</f>
        <v>0</v>
      </c>
      <c r="U412" s="30">
        <f t="shared" si="10"/>
        <v>1.00829248845382E-4</v>
      </c>
    </row>
    <row r="413" spans="16:21" ht="13.9" customHeight="1" x14ac:dyDescent="0.2">
      <c r="P413" s="27"/>
      <c r="Q413" s="30"/>
      <c r="R413" s="30"/>
      <c r="S413" s="30">
        <f>ABS(Q413)/'İtme Analizi'!$C$17</f>
        <v>0</v>
      </c>
      <c r="T413" s="30">
        <f>ABS(R413)/'İtme Analizi'!$C$14</f>
        <v>0</v>
      </c>
      <c r="U413" s="30">
        <f t="shared" si="10"/>
        <v>1.00829248845382E-4</v>
      </c>
    </row>
    <row r="414" spans="16:21" ht="13.9" customHeight="1" x14ac:dyDescent="0.2">
      <c r="P414" s="27"/>
      <c r="Q414" s="30"/>
      <c r="R414" s="30"/>
      <c r="S414" s="30">
        <f>ABS(Q414)/'İtme Analizi'!$C$17</f>
        <v>0</v>
      </c>
      <c r="T414" s="30">
        <f>ABS(R414)/'İtme Analizi'!$C$14</f>
        <v>0</v>
      </c>
      <c r="U414" s="30">
        <f t="shared" si="10"/>
        <v>1.00829248845382E-4</v>
      </c>
    </row>
    <row r="415" spans="16:21" ht="13.9" customHeight="1" x14ac:dyDescent="0.2">
      <c r="P415" s="27"/>
      <c r="Q415" s="30"/>
      <c r="R415" s="30"/>
      <c r="S415" s="30">
        <f>ABS(Q415)/'İtme Analizi'!$C$17</f>
        <v>0</v>
      </c>
      <c r="T415" s="30">
        <f>ABS(R415)/'İtme Analizi'!$C$14</f>
        <v>0</v>
      </c>
      <c r="U415" s="30">
        <f t="shared" si="10"/>
        <v>1.00829248845382E-4</v>
      </c>
    </row>
    <row r="416" spans="16:21" ht="13.9" customHeight="1" x14ac:dyDescent="0.2">
      <c r="P416" s="27"/>
      <c r="Q416" s="30"/>
      <c r="R416" s="30"/>
      <c r="S416" s="30">
        <f>ABS(Q416)/'İtme Analizi'!$C$17</f>
        <v>0</v>
      </c>
      <c r="T416" s="30">
        <f>ABS(R416)/'İtme Analizi'!$C$14</f>
        <v>0</v>
      </c>
      <c r="U416" s="30">
        <f t="shared" si="10"/>
        <v>1.00829248845382E-4</v>
      </c>
    </row>
    <row r="417" spans="16:21" ht="13.9" customHeight="1" x14ac:dyDescent="0.2">
      <c r="P417" s="27"/>
      <c r="Q417" s="30"/>
      <c r="R417" s="30"/>
      <c r="S417" s="30">
        <f>ABS(Q417)/'İtme Analizi'!$C$17</f>
        <v>0</v>
      </c>
      <c r="T417" s="30">
        <f>ABS(R417)/'İtme Analizi'!$C$14</f>
        <v>0</v>
      </c>
      <c r="U417" s="30">
        <f t="shared" si="10"/>
        <v>1.00829248845382E-4</v>
      </c>
    </row>
    <row r="418" spans="16:21" ht="13.9" customHeight="1" x14ac:dyDescent="0.2">
      <c r="P418" s="27"/>
      <c r="Q418" s="30"/>
      <c r="R418" s="30"/>
      <c r="S418" s="30">
        <f>ABS(Q418)/'İtme Analizi'!$C$17</f>
        <v>0</v>
      </c>
      <c r="T418" s="30">
        <f>ABS(R418)/'İtme Analizi'!$C$14</f>
        <v>0</v>
      </c>
      <c r="U418" s="30">
        <f t="shared" si="10"/>
        <v>1.00829248845382E-4</v>
      </c>
    </row>
    <row r="419" spans="16:21" ht="13.9" customHeight="1" x14ac:dyDescent="0.2">
      <c r="P419" s="27"/>
      <c r="Q419" s="30"/>
      <c r="R419" s="30"/>
      <c r="S419" s="30">
        <f>ABS(Q419)/'İtme Analizi'!$C$17</f>
        <v>0</v>
      </c>
      <c r="T419" s="30">
        <f>ABS(R419)/'İtme Analizi'!$C$14</f>
        <v>0</v>
      </c>
      <c r="U419" s="30">
        <f t="shared" si="10"/>
        <v>1.00829248845382E-4</v>
      </c>
    </row>
    <row r="420" spans="16:21" ht="13.9" customHeight="1" x14ac:dyDescent="0.2">
      <c r="P420" s="27"/>
      <c r="Q420" s="30"/>
      <c r="R420" s="30"/>
      <c r="S420" s="30">
        <f>ABS(Q420)/'İtme Analizi'!$C$17</f>
        <v>0</v>
      </c>
      <c r="T420" s="30">
        <f>ABS(R420)/'İtme Analizi'!$C$14</f>
        <v>0</v>
      </c>
      <c r="U420" s="30">
        <f t="shared" si="10"/>
        <v>1.00829248845382E-4</v>
      </c>
    </row>
    <row r="421" spans="16:21" ht="13.9" customHeight="1" x14ac:dyDescent="0.2">
      <c r="P421" s="27"/>
      <c r="Q421" s="30"/>
      <c r="R421" s="30"/>
      <c r="S421" s="30">
        <f>ABS(Q421)/'İtme Analizi'!$C$17</f>
        <v>0</v>
      </c>
      <c r="T421" s="30">
        <f>ABS(R421)/'İtme Analizi'!$C$14</f>
        <v>0</v>
      </c>
      <c r="U421" s="30">
        <f t="shared" si="10"/>
        <v>1.00829248845382E-4</v>
      </c>
    </row>
    <row r="422" spans="16:21" ht="13.9" customHeight="1" x14ac:dyDescent="0.2">
      <c r="P422" s="27"/>
      <c r="Q422" s="30"/>
      <c r="R422" s="30"/>
      <c r="S422" s="30">
        <f>ABS(Q422)/'İtme Analizi'!$C$17</f>
        <v>0</v>
      </c>
      <c r="T422" s="30">
        <f>ABS(R422)/'İtme Analizi'!$C$14</f>
        <v>0</v>
      </c>
      <c r="U422" s="30">
        <f t="shared" si="10"/>
        <v>1.00829248845382E-4</v>
      </c>
    </row>
    <row r="423" spans="16:21" ht="13.9" customHeight="1" x14ac:dyDescent="0.2">
      <c r="P423" s="27"/>
      <c r="Q423" s="30"/>
      <c r="R423" s="30"/>
      <c r="S423" s="30">
        <f>ABS(Q423)/'İtme Analizi'!$C$17</f>
        <v>0</v>
      </c>
      <c r="T423" s="30">
        <f>ABS(R423)/'İtme Analizi'!$C$14</f>
        <v>0</v>
      </c>
      <c r="U423" s="30">
        <f t="shared" si="10"/>
        <v>1.00829248845382E-4</v>
      </c>
    </row>
    <row r="424" spans="16:21" ht="13.9" customHeight="1" x14ac:dyDescent="0.2">
      <c r="P424" s="27"/>
      <c r="Q424" s="30"/>
      <c r="R424" s="30"/>
      <c r="S424" s="30">
        <f>ABS(Q424)/'İtme Analizi'!$C$17</f>
        <v>0</v>
      </c>
      <c r="T424" s="30">
        <f>ABS(R424)/'İtme Analizi'!$C$14</f>
        <v>0</v>
      </c>
      <c r="U424" s="30">
        <f t="shared" si="10"/>
        <v>1.00829248845382E-4</v>
      </c>
    </row>
    <row r="425" spans="16:21" ht="13.9" customHeight="1" x14ac:dyDescent="0.2">
      <c r="P425" s="27"/>
      <c r="Q425" s="30"/>
      <c r="R425" s="30"/>
      <c r="S425" s="30">
        <f>ABS(Q425)/'İtme Analizi'!$C$17</f>
        <v>0</v>
      </c>
      <c r="T425" s="30">
        <f>ABS(R425)/'İtme Analizi'!$C$14</f>
        <v>0</v>
      </c>
      <c r="U425" s="30">
        <f t="shared" si="10"/>
        <v>1.00829248845382E-4</v>
      </c>
    </row>
    <row r="426" spans="16:21" ht="13.9" customHeight="1" x14ac:dyDescent="0.2">
      <c r="P426" s="27"/>
      <c r="Q426" s="30"/>
      <c r="R426" s="30"/>
      <c r="S426" s="30">
        <f>ABS(Q426)/'İtme Analizi'!$C$17</f>
        <v>0</v>
      </c>
      <c r="T426" s="30">
        <f>ABS(R426)/'İtme Analizi'!$C$14</f>
        <v>0</v>
      </c>
      <c r="U426" s="30">
        <f t="shared" si="10"/>
        <v>1.00829248845382E-4</v>
      </c>
    </row>
    <row r="427" spans="16:21" ht="13.9" customHeight="1" x14ac:dyDescent="0.2">
      <c r="P427" s="27"/>
      <c r="Q427" s="30"/>
      <c r="R427" s="30"/>
      <c r="S427" s="30">
        <f>ABS(Q427)/'İtme Analizi'!$C$17</f>
        <v>0</v>
      </c>
      <c r="T427" s="30">
        <f>ABS(R427)/'İtme Analizi'!$C$14</f>
        <v>0</v>
      </c>
      <c r="U427" s="30">
        <f t="shared" si="10"/>
        <v>1.00829248845382E-4</v>
      </c>
    </row>
    <row r="428" spans="16:21" ht="13.9" customHeight="1" x14ac:dyDescent="0.2">
      <c r="P428" s="27"/>
      <c r="Q428" s="30"/>
      <c r="R428" s="30"/>
      <c r="S428" s="30">
        <f>ABS(Q428)/'İtme Analizi'!$C$17</f>
        <v>0</v>
      </c>
      <c r="T428" s="30">
        <f>ABS(R428)/'İtme Analizi'!$C$14</f>
        <v>0</v>
      </c>
      <c r="U428" s="30">
        <f t="shared" si="10"/>
        <v>1.00829248845382E-4</v>
      </c>
    </row>
    <row r="429" spans="16:21" ht="13.9" customHeight="1" x14ac:dyDescent="0.2">
      <c r="P429" s="27"/>
      <c r="Q429" s="30"/>
      <c r="R429" s="30"/>
      <c r="S429" s="30">
        <f>ABS(Q429)/'İtme Analizi'!$C$17</f>
        <v>0</v>
      </c>
      <c r="T429" s="30">
        <f>ABS(R429)/'İtme Analizi'!$C$14</f>
        <v>0</v>
      </c>
      <c r="U429" s="30">
        <f t="shared" si="10"/>
        <v>1.00829248845382E-4</v>
      </c>
    </row>
    <row r="430" spans="16:21" ht="13.9" customHeight="1" x14ac:dyDescent="0.2">
      <c r="P430" s="27"/>
      <c r="Q430" s="30"/>
      <c r="R430" s="30"/>
      <c r="S430" s="30">
        <f>ABS(Q430)/'İtme Analizi'!$C$17</f>
        <v>0</v>
      </c>
      <c r="T430" s="30">
        <f>ABS(R430)/'İtme Analizi'!$C$14</f>
        <v>0</v>
      </c>
      <c r="U430" s="30">
        <f t="shared" si="10"/>
        <v>1.00829248845382E-4</v>
      </c>
    </row>
    <row r="431" spans="16:21" ht="13.9" customHeight="1" x14ac:dyDescent="0.2">
      <c r="P431" s="27"/>
      <c r="Q431" s="30"/>
      <c r="R431" s="30"/>
      <c r="S431" s="30">
        <f>ABS(Q431)/'İtme Analizi'!$C$17</f>
        <v>0</v>
      </c>
      <c r="T431" s="30">
        <f>ABS(R431)/'İtme Analizi'!$C$14</f>
        <v>0</v>
      </c>
      <c r="U431" s="30">
        <f t="shared" si="10"/>
        <v>1.00829248845382E-4</v>
      </c>
    </row>
    <row r="432" spans="16:21" ht="13.9" customHeight="1" x14ac:dyDescent="0.2">
      <c r="P432" s="27"/>
      <c r="Q432" s="30"/>
      <c r="R432" s="30"/>
      <c r="S432" s="30">
        <f>ABS(Q432)/'İtme Analizi'!$C$17</f>
        <v>0</v>
      </c>
      <c r="T432" s="30">
        <f>ABS(R432)/'İtme Analizi'!$C$14</f>
        <v>0</v>
      </c>
      <c r="U432" s="30">
        <f t="shared" si="10"/>
        <v>1.00829248845382E-4</v>
      </c>
    </row>
    <row r="433" spans="16:21" ht="13.9" customHeight="1" x14ac:dyDescent="0.2">
      <c r="P433" s="27"/>
      <c r="Q433" s="30"/>
      <c r="R433" s="30"/>
      <c r="S433" s="30">
        <f>ABS(Q433)/'İtme Analizi'!$C$17</f>
        <v>0</v>
      </c>
      <c r="T433" s="30">
        <f>ABS(R433)/'İtme Analizi'!$C$14</f>
        <v>0</v>
      </c>
      <c r="U433" s="30">
        <f t="shared" si="10"/>
        <v>1.00829248845382E-4</v>
      </c>
    </row>
    <row r="434" spans="16:21" ht="13.9" customHeight="1" x14ac:dyDescent="0.2">
      <c r="P434" s="27"/>
      <c r="Q434" s="30"/>
      <c r="R434" s="30"/>
      <c r="S434" s="30">
        <f>ABS(Q434)/'İtme Analizi'!$C$17</f>
        <v>0</v>
      </c>
      <c r="T434" s="30">
        <f>ABS(R434)/'İtme Analizi'!$C$14</f>
        <v>0</v>
      </c>
      <c r="U434" s="30">
        <f t="shared" si="10"/>
        <v>1.00829248845382E-4</v>
      </c>
    </row>
    <row r="435" spans="16:21" ht="13.9" customHeight="1" x14ac:dyDescent="0.2">
      <c r="P435" s="27"/>
      <c r="Q435" s="30"/>
      <c r="R435" s="30"/>
      <c r="S435" s="30">
        <f>ABS(Q435)/'İtme Analizi'!$C$17</f>
        <v>0</v>
      </c>
      <c r="T435" s="30">
        <f>ABS(R435)/'İtme Analizi'!$C$14</f>
        <v>0</v>
      </c>
      <c r="U435" s="30">
        <f t="shared" si="10"/>
        <v>1.00829248845382E-4</v>
      </c>
    </row>
    <row r="436" spans="16:21" ht="13.9" customHeight="1" x14ac:dyDescent="0.2">
      <c r="P436" s="27"/>
      <c r="Q436" s="30"/>
      <c r="R436" s="30"/>
      <c r="S436" s="30">
        <f>ABS(Q436)/'İtme Analizi'!$C$17</f>
        <v>0</v>
      </c>
      <c r="T436" s="30">
        <f>ABS(R436)/'İtme Analizi'!$C$14</f>
        <v>0</v>
      </c>
      <c r="U436" s="30">
        <f t="shared" si="10"/>
        <v>1.00829248845382E-4</v>
      </c>
    </row>
    <row r="437" spans="16:21" ht="13.9" customHeight="1" x14ac:dyDescent="0.2">
      <c r="P437" s="27"/>
      <c r="Q437" s="30"/>
      <c r="R437" s="30"/>
      <c r="S437" s="30">
        <f>ABS(Q437)/'İtme Analizi'!$C$17</f>
        <v>0</v>
      </c>
      <c r="T437" s="30">
        <f>ABS(R437)/'İtme Analizi'!$C$14</f>
        <v>0</v>
      </c>
      <c r="U437" s="30">
        <f t="shared" si="10"/>
        <v>1.00829248845382E-4</v>
      </c>
    </row>
    <row r="438" spans="16:21" ht="13.9" customHeight="1" x14ac:dyDescent="0.2">
      <c r="P438" s="27"/>
      <c r="Q438" s="30"/>
      <c r="R438" s="30"/>
      <c r="S438" s="30">
        <f>ABS(Q438)/'İtme Analizi'!$C$17</f>
        <v>0</v>
      </c>
      <c r="T438" s="30">
        <f>ABS(R438)/'İtme Analizi'!$C$14</f>
        <v>0</v>
      </c>
      <c r="U438" s="30">
        <f t="shared" si="10"/>
        <v>1.00829248845382E-4</v>
      </c>
    </row>
    <row r="439" spans="16:21" ht="13.9" customHeight="1" x14ac:dyDescent="0.2">
      <c r="P439" s="27"/>
      <c r="Q439" s="30"/>
      <c r="R439" s="30"/>
      <c r="S439" s="30">
        <f>ABS(Q439)/'İtme Analizi'!$C$17</f>
        <v>0</v>
      </c>
      <c r="T439" s="30">
        <f>ABS(R439)/'İtme Analizi'!$C$14</f>
        <v>0</v>
      </c>
      <c r="U439" s="30">
        <f t="shared" si="10"/>
        <v>1.00829248845382E-4</v>
      </c>
    </row>
    <row r="440" spans="16:21" ht="13.9" customHeight="1" x14ac:dyDescent="0.2">
      <c r="P440" s="27"/>
      <c r="Q440" s="30"/>
      <c r="R440" s="30"/>
      <c r="S440" s="30">
        <f>ABS(Q440)/'İtme Analizi'!$C$17</f>
        <v>0</v>
      </c>
      <c r="T440" s="30">
        <f>ABS(R440)/'İtme Analizi'!$C$14</f>
        <v>0</v>
      </c>
      <c r="U440" s="30">
        <f t="shared" si="10"/>
        <v>1.00829248845382E-4</v>
      </c>
    </row>
    <row r="441" spans="16:21" ht="13.9" customHeight="1" x14ac:dyDescent="0.2">
      <c r="P441" s="27"/>
      <c r="Q441" s="30"/>
      <c r="R441" s="30"/>
      <c r="S441" s="30">
        <f>ABS(Q441)/'İtme Analizi'!$C$17</f>
        <v>0</v>
      </c>
      <c r="T441" s="30">
        <f>ABS(R441)/'İtme Analizi'!$C$14</f>
        <v>0</v>
      </c>
      <c r="U441" s="30">
        <f t="shared" si="10"/>
        <v>1.00829248845382E-4</v>
      </c>
    </row>
    <row r="442" spans="16:21" ht="13.9" customHeight="1" x14ac:dyDescent="0.2">
      <c r="P442" s="27"/>
      <c r="Q442" s="30"/>
      <c r="R442" s="30"/>
      <c r="S442" s="30">
        <f>ABS(Q442)/'İtme Analizi'!$C$17</f>
        <v>0</v>
      </c>
      <c r="T442" s="30">
        <f>ABS(R442)/'İtme Analizi'!$C$14</f>
        <v>0</v>
      </c>
      <c r="U442" s="30">
        <f t="shared" si="10"/>
        <v>1.00829248845382E-4</v>
      </c>
    </row>
    <row r="443" spans="16:21" ht="13.9" customHeight="1" x14ac:dyDescent="0.2">
      <c r="P443" s="27"/>
      <c r="Q443" s="30"/>
      <c r="R443" s="30"/>
      <c r="S443" s="30">
        <f>ABS(Q443)/'İtme Analizi'!$C$17</f>
        <v>0</v>
      </c>
      <c r="T443" s="30">
        <f>ABS(R443)/'İtme Analizi'!$C$14</f>
        <v>0</v>
      </c>
      <c r="U443" s="30">
        <f t="shared" si="10"/>
        <v>1.00829248845382E-4</v>
      </c>
    </row>
    <row r="444" spans="16:21" ht="13.9" customHeight="1" x14ac:dyDescent="0.2">
      <c r="P444" s="27"/>
      <c r="Q444" s="30"/>
      <c r="R444" s="30"/>
      <c r="S444" s="30">
        <f>ABS(Q444)/'İtme Analizi'!$C$17</f>
        <v>0</v>
      </c>
      <c r="T444" s="30">
        <f>ABS(R444)/'İtme Analizi'!$C$14</f>
        <v>0</v>
      </c>
      <c r="U444" s="30">
        <f t="shared" si="10"/>
        <v>1.00829248845382E-4</v>
      </c>
    </row>
    <row r="445" spans="16:21" ht="13.9" customHeight="1" x14ac:dyDescent="0.2">
      <c r="P445" s="27"/>
      <c r="Q445" s="30"/>
      <c r="R445" s="30"/>
      <c r="S445" s="30">
        <f>ABS(Q445)/'İtme Analizi'!$C$17</f>
        <v>0</v>
      </c>
      <c r="T445" s="30">
        <f>ABS(R445)/'İtme Analizi'!$C$14</f>
        <v>0</v>
      </c>
      <c r="U445" s="30">
        <f t="shared" si="10"/>
        <v>1.00829248845382E-4</v>
      </c>
    </row>
    <row r="446" spans="16:21" ht="13.9" customHeight="1" x14ac:dyDescent="0.2">
      <c r="P446" s="27"/>
      <c r="Q446" s="30"/>
      <c r="R446" s="30"/>
      <c r="S446" s="30">
        <f>ABS(Q446)/'İtme Analizi'!$C$17</f>
        <v>0</v>
      </c>
      <c r="T446" s="30">
        <f>ABS(R446)/'İtme Analizi'!$C$14</f>
        <v>0</v>
      </c>
      <c r="U446" s="30">
        <f t="shared" si="10"/>
        <v>1.00829248845382E-4</v>
      </c>
    </row>
    <row r="447" spans="16:21" ht="13.9" customHeight="1" x14ac:dyDescent="0.2">
      <c r="P447" s="27"/>
      <c r="Q447" s="30"/>
      <c r="R447" s="30"/>
      <c r="S447" s="30">
        <f>ABS(Q447)/'İtme Analizi'!$C$17</f>
        <v>0</v>
      </c>
      <c r="T447" s="30">
        <f>ABS(R447)/'İtme Analizi'!$C$14</f>
        <v>0</v>
      </c>
      <c r="U447" s="30">
        <f t="shared" si="10"/>
        <v>1.00829248845382E-4</v>
      </c>
    </row>
    <row r="448" spans="16:21" ht="13.9" customHeight="1" x14ac:dyDescent="0.2">
      <c r="P448" s="27"/>
      <c r="Q448" s="30"/>
      <c r="R448" s="30"/>
      <c r="S448" s="30">
        <f>ABS(Q448)/'İtme Analizi'!$C$17</f>
        <v>0</v>
      </c>
      <c r="T448" s="30">
        <f>ABS(R448)/'İtme Analizi'!$C$14</f>
        <v>0</v>
      </c>
      <c r="U448" s="30">
        <f t="shared" si="10"/>
        <v>1.00829248845382E-4</v>
      </c>
    </row>
    <row r="449" spans="16:21" ht="13.9" customHeight="1" x14ac:dyDescent="0.2">
      <c r="P449" s="27"/>
      <c r="Q449" s="30"/>
      <c r="R449" s="30"/>
      <c r="S449" s="30">
        <f>ABS(Q449)/'İtme Analizi'!$C$17</f>
        <v>0</v>
      </c>
      <c r="T449" s="30">
        <f>ABS(R449)/'İtme Analizi'!$C$14</f>
        <v>0</v>
      </c>
      <c r="U449" s="30">
        <f t="shared" si="10"/>
        <v>1.00829248845382E-4</v>
      </c>
    </row>
    <row r="450" spans="16:21" ht="13.9" customHeight="1" x14ac:dyDescent="0.2">
      <c r="P450" s="27"/>
      <c r="Q450" s="30"/>
      <c r="R450" s="30"/>
      <c r="S450" s="30">
        <f>ABS(Q450)/'İtme Analizi'!$C$17</f>
        <v>0</v>
      </c>
      <c r="T450" s="30">
        <f>ABS(R450)/'İtme Analizi'!$C$14</f>
        <v>0</v>
      </c>
      <c r="U450" s="30">
        <f t="shared" si="10"/>
        <v>1.00829248845382E-4</v>
      </c>
    </row>
    <row r="451" spans="16:21" ht="13.9" customHeight="1" x14ac:dyDescent="0.2">
      <c r="P451" s="27"/>
      <c r="Q451" s="30"/>
      <c r="R451" s="30"/>
      <c r="S451" s="30">
        <f>ABS(Q451)/'İtme Analizi'!$C$17</f>
        <v>0</v>
      </c>
      <c r="T451" s="30">
        <f>ABS(R451)/'İtme Analizi'!$C$14</f>
        <v>0</v>
      </c>
      <c r="U451" s="30">
        <f t="shared" si="10"/>
        <v>1.00829248845382E-4</v>
      </c>
    </row>
    <row r="452" spans="16:21" ht="13.9" customHeight="1" x14ac:dyDescent="0.2">
      <c r="P452" s="27"/>
      <c r="Q452" s="30"/>
      <c r="R452" s="30"/>
      <c r="S452" s="30">
        <f>ABS(Q452)/'İtme Analizi'!$C$17</f>
        <v>0</v>
      </c>
      <c r="T452" s="30">
        <f>ABS(R452)/'İtme Analizi'!$C$14</f>
        <v>0</v>
      </c>
      <c r="U452" s="30">
        <f t="shared" si="10"/>
        <v>1.00829248845382E-4</v>
      </c>
    </row>
    <row r="453" spans="16:21" ht="13.9" customHeight="1" x14ac:dyDescent="0.2">
      <c r="P453" s="27"/>
      <c r="Q453" s="30"/>
      <c r="R453" s="30"/>
      <c r="S453" s="30">
        <f>ABS(Q453)/'İtme Analizi'!$C$17</f>
        <v>0</v>
      </c>
      <c r="T453" s="30">
        <f>ABS(R453)/'İtme Analizi'!$C$14</f>
        <v>0</v>
      </c>
      <c r="U453" s="30">
        <f t="shared" si="10"/>
        <v>1.00829248845382E-4</v>
      </c>
    </row>
    <row r="454" spans="16:21" ht="13.9" customHeight="1" x14ac:dyDescent="0.2">
      <c r="P454" s="27"/>
      <c r="Q454" s="30"/>
      <c r="R454" s="30"/>
      <c r="S454" s="30">
        <f>ABS(Q454)/'İtme Analizi'!$C$17</f>
        <v>0</v>
      </c>
      <c r="T454" s="30">
        <f>ABS(R454)/'İtme Analizi'!$C$14</f>
        <v>0</v>
      </c>
      <c r="U454" s="30">
        <f t="shared" si="10"/>
        <v>1.00829248845382E-4</v>
      </c>
    </row>
    <row r="455" spans="16:21" ht="13.9" customHeight="1" x14ac:dyDescent="0.2">
      <c r="P455" s="27"/>
      <c r="Q455" s="30"/>
      <c r="R455" s="30"/>
      <c r="S455" s="30">
        <f>ABS(Q455)/'İtme Analizi'!$C$17</f>
        <v>0</v>
      </c>
      <c r="T455" s="30">
        <f>ABS(R455)/'İtme Analizi'!$C$14</f>
        <v>0</v>
      </c>
      <c r="U455" s="30">
        <f t="shared" si="10"/>
        <v>1.00829248845382E-4</v>
      </c>
    </row>
    <row r="456" spans="16:21" ht="13.9" customHeight="1" x14ac:dyDescent="0.2">
      <c r="P456" s="27"/>
      <c r="Q456" s="30"/>
      <c r="R456" s="30"/>
      <c r="S456" s="30">
        <f>ABS(Q456)/'İtme Analizi'!$C$17</f>
        <v>0</v>
      </c>
      <c r="T456" s="30">
        <f>ABS(R456)/'İtme Analizi'!$C$14</f>
        <v>0</v>
      </c>
      <c r="U456" s="30">
        <f t="shared" si="10"/>
        <v>1.00829248845382E-4</v>
      </c>
    </row>
    <row r="457" spans="16:21" ht="13.9" customHeight="1" x14ac:dyDescent="0.2">
      <c r="P457" s="27"/>
      <c r="Q457" s="30"/>
      <c r="R457" s="30"/>
      <c r="S457" s="30">
        <f>ABS(Q457)/'İtme Analizi'!$C$17</f>
        <v>0</v>
      </c>
      <c r="T457" s="30">
        <f>ABS(R457)/'İtme Analizi'!$C$14</f>
        <v>0</v>
      </c>
      <c r="U457" s="30">
        <f t="shared" si="10"/>
        <v>1.00829248845382E-4</v>
      </c>
    </row>
    <row r="458" spans="16:21" ht="13.9" customHeight="1" x14ac:dyDescent="0.2">
      <c r="P458" s="27"/>
      <c r="Q458" s="30"/>
      <c r="R458" s="30"/>
      <c r="S458" s="30">
        <f>ABS(Q458)/'İtme Analizi'!$C$17</f>
        <v>0</v>
      </c>
      <c r="T458" s="30">
        <f>ABS(R458)/'İtme Analizi'!$C$14</f>
        <v>0</v>
      </c>
      <c r="U458" s="30">
        <f t="shared" si="10"/>
        <v>1.00829248845382E-4</v>
      </c>
    </row>
    <row r="459" spans="16:21" ht="13.9" customHeight="1" x14ac:dyDescent="0.2">
      <c r="P459" s="27"/>
      <c r="Q459" s="30"/>
      <c r="R459" s="30"/>
      <c r="S459" s="30">
        <f>ABS(Q459)/'İtme Analizi'!$C$17</f>
        <v>0</v>
      </c>
      <c r="T459" s="30">
        <f>ABS(R459)/'İtme Analizi'!$C$14</f>
        <v>0</v>
      </c>
      <c r="U459" s="30">
        <f t="shared" si="10"/>
        <v>1.00829248845382E-4</v>
      </c>
    </row>
    <row r="460" spans="16:21" ht="13.9" customHeight="1" x14ac:dyDescent="0.2">
      <c r="P460" s="27"/>
      <c r="Q460" s="30"/>
      <c r="R460" s="30"/>
      <c r="S460" s="30">
        <f>ABS(Q460)/'İtme Analizi'!$C$17</f>
        <v>0</v>
      </c>
      <c r="T460" s="30">
        <f>ABS(R460)/'İtme Analizi'!$C$14</f>
        <v>0</v>
      </c>
      <c r="U460" s="30">
        <f t="shared" si="10"/>
        <v>1.00829248845382E-4</v>
      </c>
    </row>
    <row r="461" spans="16:21" ht="13.9" customHeight="1" x14ac:dyDescent="0.2">
      <c r="P461" s="27"/>
      <c r="Q461" s="30"/>
      <c r="R461" s="30"/>
      <c r="S461" s="30">
        <f>ABS(Q461)/'İtme Analizi'!$C$17</f>
        <v>0</v>
      </c>
      <c r="T461" s="30">
        <f>ABS(R461)/'İtme Analizi'!$C$14</f>
        <v>0</v>
      </c>
      <c r="U461" s="30">
        <f t="shared" ref="U461:U524" si="11">U460+(S461-S460)*((T461+T460)/2)</f>
        <v>1.00829248845382E-4</v>
      </c>
    </row>
    <row r="462" spans="16:21" ht="13.9" customHeight="1" x14ac:dyDescent="0.2">
      <c r="P462" s="27"/>
      <c r="Q462" s="30"/>
      <c r="R462" s="30"/>
      <c r="S462" s="30">
        <f>ABS(Q462)/'İtme Analizi'!$C$17</f>
        <v>0</v>
      </c>
      <c r="T462" s="30">
        <f>ABS(R462)/'İtme Analizi'!$C$14</f>
        <v>0</v>
      </c>
      <c r="U462" s="30">
        <f t="shared" si="11"/>
        <v>1.00829248845382E-4</v>
      </c>
    </row>
    <row r="463" spans="16:21" ht="13.9" customHeight="1" x14ac:dyDescent="0.2">
      <c r="P463" s="27"/>
      <c r="Q463" s="30"/>
      <c r="R463" s="30"/>
      <c r="S463" s="30">
        <f>ABS(Q463)/'İtme Analizi'!$C$17</f>
        <v>0</v>
      </c>
      <c r="T463" s="30">
        <f>ABS(R463)/'İtme Analizi'!$C$14</f>
        <v>0</v>
      </c>
      <c r="U463" s="30">
        <f t="shared" si="11"/>
        <v>1.00829248845382E-4</v>
      </c>
    </row>
    <row r="464" spans="16:21" ht="13.9" customHeight="1" x14ac:dyDescent="0.2">
      <c r="P464" s="27"/>
      <c r="Q464" s="30"/>
      <c r="R464" s="30"/>
      <c r="S464" s="30">
        <f>ABS(Q464)/'İtme Analizi'!$C$17</f>
        <v>0</v>
      </c>
      <c r="T464" s="30">
        <f>ABS(R464)/'İtme Analizi'!$C$14</f>
        <v>0</v>
      </c>
      <c r="U464" s="30">
        <f t="shared" si="11"/>
        <v>1.00829248845382E-4</v>
      </c>
    </row>
    <row r="465" spans="16:21" ht="13.9" customHeight="1" x14ac:dyDescent="0.2">
      <c r="P465" s="27"/>
      <c r="Q465" s="30"/>
      <c r="R465" s="30"/>
      <c r="S465" s="30">
        <f>ABS(Q465)/'İtme Analizi'!$C$17</f>
        <v>0</v>
      </c>
      <c r="T465" s="30">
        <f>ABS(R465)/'İtme Analizi'!$C$14</f>
        <v>0</v>
      </c>
      <c r="U465" s="30">
        <f t="shared" si="11"/>
        <v>1.00829248845382E-4</v>
      </c>
    </row>
    <row r="466" spans="16:21" ht="13.9" customHeight="1" x14ac:dyDescent="0.2">
      <c r="P466" s="27"/>
      <c r="Q466" s="30"/>
      <c r="R466" s="30"/>
      <c r="S466" s="30">
        <f>ABS(Q466)/'İtme Analizi'!$C$17</f>
        <v>0</v>
      </c>
      <c r="T466" s="30">
        <f>ABS(R466)/'İtme Analizi'!$C$14</f>
        <v>0</v>
      </c>
      <c r="U466" s="30">
        <f t="shared" si="11"/>
        <v>1.00829248845382E-4</v>
      </c>
    </row>
    <row r="467" spans="16:21" ht="13.9" customHeight="1" x14ac:dyDescent="0.2">
      <c r="P467" s="27"/>
      <c r="Q467" s="30"/>
      <c r="R467" s="30"/>
      <c r="S467" s="30">
        <f>ABS(Q467)/'İtme Analizi'!$C$17</f>
        <v>0</v>
      </c>
      <c r="T467" s="30">
        <f>ABS(R467)/'İtme Analizi'!$C$14</f>
        <v>0</v>
      </c>
      <c r="U467" s="30">
        <f t="shared" si="11"/>
        <v>1.00829248845382E-4</v>
      </c>
    </row>
    <row r="468" spans="16:21" ht="13.9" customHeight="1" x14ac:dyDescent="0.2">
      <c r="P468" s="27"/>
      <c r="Q468" s="30"/>
      <c r="R468" s="30"/>
      <c r="S468" s="30">
        <f>ABS(Q468)/'İtme Analizi'!$C$17</f>
        <v>0</v>
      </c>
      <c r="T468" s="30">
        <f>ABS(R468)/'İtme Analizi'!$C$14</f>
        <v>0</v>
      </c>
      <c r="U468" s="30">
        <f t="shared" si="11"/>
        <v>1.00829248845382E-4</v>
      </c>
    </row>
    <row r="469" spans="16:21" ht="13.9" customHeight="1" x14ac:dyDescent="0.2">
      <c r="P469" s="27"/>
      <c r="Q469" s="30"/>
      <c r="R469" s="30"/>
      <c r="S469" s="30">
        <f>ABS(Q469)/'İtme Analizi'!$C$17</f>
        <v>0</v>
      </c>
      <c r="T469" s="30">
        <f>ABS(R469)/'İtme Analizi'!$C$14</f>
        <v>0</v>
      </c>
      <c r="U469" s="30">
        <f t="shared" si="11"/>
        <v>1.00829248845382E-4</v>
      </c>
    </row>
    <row r="470" spans="16:21" ht="13.9" customHeight="1" x14ac:dyDescent="0.2">
      <c r="P470" s="27"/>
      <c r="Q470" s="30"/>
      <c r="R470" s="30"/>
      <c r="S470" s="30">
        <f>ABS(Q470)/'İtme Analizi'!$C$17</f>
        <v>0</v>
      </c>
      <c r="T470" s="30">
        <f>ABS(R470)/'İtme Analizi'!$C$14</f>
        <v>0</v>
      </c>
      <c r="U470" s="30">
        <f t="shared" si="11"/>
        <v>1.00829248845382E-4</v>
      </c>
    </row>
    <row r="471" spans="16:21" ht="13.9" customHeight="1" x14ac:dyDescent="0.2">
      <c r="P471" s="27"/>
      <c r="Q471" s="30"/>
      <c r="R471" s="30"/>
      <c r="S471" s="30">
        <f>ABS(Q471)/'İtme Analizi'!$C$17</f>
        <v>0</v>
      </c>
      <c r="T471" s="30">
        <f>ABS(R471)/'İtme Analizi'!$C$14</f>
        <v>0</v>
      </c>
      <c r="U471" s="30">
        <f t="shared" si="11"/>
        <v>1.00829248845382E-4</v>
      </c>
    </row>
    <row r="472" spans="16:21" ht="13.9" customHeight="1" x14ac:dyDescent="0.2">
      <c r="P472" s="27"/>
      <c r="Q472" s="30"/>
      <c r="R472" s="30"/>
      <c r="S472" s="30">
        <f>ABS(Q472)/'İtme Analizi'!$C$17</f>
        <v>0</v>
      </c>
      <c r="T472" s="30">
        <f>ABS(R472)/'İtme Analizi'!$C$14</f>
        <v>0</v>
      </c>
      <c r="U472" s="30">
        <f t="shared" si="11"/>
        <v>1.00829248845382E-4</v>
      </c>
    </row>
    <row r="473" spans="16:21" ht="13.9" customHeight="1" x14ac:dyDescent="0.2">
      <c r="P473" s="27"/>
      <c r="Q473" s="30"/>
      <c r="R473" s="30"/>
      <c r="S473" s="30">
        <f>ABS(Q473)/'İtme Analizi'!$C$17</f>
        <v>0</v>
      </c>
      <c r="T473" s="30">
        <f>ABS(R473)/'İtme Analizi'!$C$14</f>
        <v>0</v>
      </c>
      <c r="U473" s="30">
        <f t="shared" si="11"/>
        <v>1.00829248845382E-4</v>
      </c>
    </row>
    <row r="474" spans="16:21" ht="13.9" customHeight="1" x14ac:dyDescent="0.2">
      <c r="P474" s="27"/>
      <c r="Q474" s="30"/>
      <c r="R474" s="30"/>
      <c r="S474" s="30">
        <f>ABS(Q474)/'İtme Analizi'!$C$17</f>
        <v>0</v>
      </c>
      <c r="T474" s="30">
        <f>ABS(R474)/'İtme Analizi'!$C$14</f>
        <v>0</v>
      </c>
      <c r="U474" s="30">
        <f t="shared" si="11"/>
        <v>1.00829248845382E-4</v>
      </c>
    </row>
    <row r="475" spans="16:21" ht="13.9" customHeight="1" x14ac:dyDescent="0.2">
      <c r="P475" s="27"/>
      <c r="Q475" s="30"/>
      <c r="R475" s="30"/>
      <c r="S475" s="30">
        <f>ABS(Q475)/'İtme Analizi'!$C$17</f>
        <v>0</v>
      </c>
      <c r="T475" s="30">
        <f>ABS(R475)/'İtme Analizi'!$C$14</f>
        <v>0</v>
      </c>
      <c r="U475" s="30">
        <f t="shared" si="11"/>
        <v>1.00829248845382E-4</v>
      </c>
    </row>
    <row r="476" spans="16:21" ht="13.9" customHeight="1" x14ac:dyDescent="0.2">
      <c r="P476" s="27"/>
      <c r="Q476" s="30"/>
      <c r="R476" s="30"/>
      <c r="S476" s="30">
        <f>ABS(Q476)/'İtme Analizi'!$C$17</f>
        <v>0</v>
      </c>
      <c r="T476" s="30">
        <f>ABS(R476)/'İtme Analizi'!$C$14</f>
        <v>0</v>
      </c>
      <c r="U476" s="30">
        <f t="shared" si="11"/>
        <v>1.00829248845382E-4</v>
      </c>
    </row>
    <row r="477" spans="16:21" ht="13.9" customHeight="1" x14ac:dyDescent="0.2">
      <c r="P477" s="27"/>
      <c r="Q477" s="30"/>
      <c r="R477" s="30"/>
      <c r="S477" s="30">
        <f>ABS(Q477)/'İtme Analizi'!$C$17</f>
        <v>0</v>
      </c>
      <c r="T477" s="30">
        <f>ABS(R477)/'İtme Analizi'!$C$14</f>
        <v>0</v>
      </c>
      <c r="U477" s="30">
        <f t="shared" si="11"/>
        <v>1.00829248845382E-4</v>
      </c>
    </row>
    <row r="478" spans="16:21" ht="13.9" customHeight="1" x14ac:dyDescent="0.2">
      <c r="P478" s="27"/>
      <c r="Q478" s="30"/>
      <c r="R478" s="30"/>
      <c r="S478" s="30">
        <f>ABS(Q478)/'İtme Analizi'!$C$17</f>
        <v>0</v>
      </c>
      <c r="T478" s="30">
        <f>ABS(R478)/'İtme Analizi'!$C$14</f>
        <v>0</v>
      </c>
      <c r="U478" s="30">
        <f t="shared" si="11"/>
        <v>1.00829248845382E-4</v>
      </c>
    </row>
    <row r="479" spans="16:21" ht="13.9" customHeight="1" x14ac:dyDescent="0.2">
      <c r="P479" s="27"/>
      <c r="Q479" s="30"/>
      <c r="R479" s="30"/>
      <c r="S479" s="30">
        <f>ABS(Q479)/'İtme Analizi'!$C$17</f>
        <v>0</v>
      </c>
      <c r="T479" s="30">
        <f>ABS(R479)/'İtme Analizi'!$C$14</f>
        <v>0</v>
      </c>
      <c r="U479" s="30">
        <f t="shared" si="11"/>
        <v>1.00829248845382E-4</v>
      </c>
    </row>
    <row r="480" spans="16:21" ht="13.9" customHeight="1" x14ac:dyDescent="0.2">
      <c r="P480" s="27"/>
      <c r="Q480" s="30"/>
      <c r="R480" s="30"/>
      <c r="S480" s="30">
        <f>ABS(Q480)/'İtme Analizi'!$C$17</f>
        <v>0</v>
      </c>
      <c r="T480" s="30">
        <f>ABS(R480)/'İtme Analizi'!$C$14</f>
        <v>0</v>
      </c>
      <c r="U480" s="30">
        <f t="shared" si="11"/>
        <v>1.00829248845382E-4</v>
      </c>
    </row>
    <row r="481" spans="16:21" ht="13.9" customHeight="1" x14ac:dyDescent="0.2">
      <c r="P481" s="27"/>
      <c r="Q481" s="30"/>
      <c r="R481" s="30"/>
      <c r="S481" s="30">
        <f>ABS(Q481)/'İtme Analizi'!$C$17</f>
        <v>0</v>
      </c>
      <c r="T481" s="30">
        <f>ABS(R481)/'İtme Analizi'!$C$14</f>
        <v>0</v>
      </c>
      <c r="U481" s="30">
        <f t="shared" si="11"/>
        <v>1.00829248845382E-4</v>
      </c>
    </row>
    <row r="482" spans="16:21" ht="13.9" customHeight="1" x14ac:dyDescent="0.2">
      <c r="P482" s="27"/>
      <c r="Q482" s="30"/>
      <c r="R482" s="30"/>
      <c r="S482" s="30">
        <f>ABS(Q482)/'İtme Analizi'!$C$17</f>
        <v>0</v>
      </c>
      <c r="T482" s="30">
        <f>ABS(R482)/'İtme Analizi'!$C$14</f>
        <v>0</v>
      </c>
      <c r="U482" s="30">
        <f t="shared" si="11"/>
        <v>1.00829248845382E-4</v>
      </c>
    </row>
    <row r="483" spans="16:21" ht="13.9" customHeight="1" x14ac:dyDescent="0.2">
      <c r="P483" s="27"/>
      <c r="Q483" s="30"/>
      <c r="R483" s="30"/>
      <c r="S483" s="30">
        <f>ABS(Q483)/'İtme Analizi'!$C$17</f>
        <v>0</v>
      </c>
      <c r="T483" s="30">
        <f>ABS(R483)/'İtme Analizi'!$C$14</f>
        <v>0</v>
      </c>
      <c r="U483" s="30">
        <f t="shared" si="11"/>
        <v>1.00829248845382E-4</v>
      </c>
    </row>
    <row r="484" spans="16:21" ht="13.9" customHeight="1" x14ac:dyDescent="0.2">
      <c r="P484" s="27"/>
      <c r="Q484" s="30"/>
      <c r="R484" s="30"/>
      <c r="S484" s="30">
        <f>ABS(Q484)/'İtme Analizi'!$C$17</f>
        <v>0</v>
      </c>
      <c r="T484" s="30">
        <f>ABS(R484)/'İtme Analizi'!$C$14</f>
        <v>0</v>
      </c>
      <c r="U484" s="30">
        <f t="shared" si="11"/>
        <v>1.00829248845382E-4</v>
      </c>
    </row>
    <row r="485" spans="16:21" ht="13.9" customHeight="1" x14ac:dyDescent="0.2">
      <c r="P485" s="27"/>
      <c r="Q485" s="30"/>
      <c r="R485" s="30"/>
      <c r="S485" s="30">
        <f>ABS(Q485)/'İtme Analizi'!$C$17</f>
        <v>0</v>
      </c>
      <c r="T485" s="30">
        <f>ABS(R485)/'İtme Analizi'!$C$14</f>
        <v>0</v>
      </c>
      <c r="U485" s="30">
        <f t="shared" si="11"/>
        <v>1.00829248845382E-4</v>
      </c>
    </row>
    <row r="486" spans="16:21" ht="13.9" customHeight="1" x14ac:dyDescent="0.2">
      <c r="P486" s="27"/>
      <c r="Q486" s="30"/>
      <c r="R486" s="30"/>
      <c r="S486" s="30">
        <f>ABS(Q486)/'İtme Analizi'!$C$17</f>
        <v>0</v>
      </c>
      <c r="T486" s="30">
        <f>ABS(R486)/'İtme Analizi'!$C$14</f>
        <v>0</v>
      </c>
      <c r="U486" s="30">
        <f t="shared" si="11"/>
        <v>1.00829248845382E-4</v>
      </c>
    </row>
    <row r="487" spans="16:21" ht="13.9" customHeight="1" x14ac:dyDescent="0.2">
      <c r="P487" s="27"/>
      <c r="Q487" s="30"/>
      <c r="R487" s="30"/>
      <c r="S487" s="30">
        <f>ABS(Q487)/'İtme Analizi'!$C$17</f>
        <v>0</v>
      </c>
      <c r="T487" s="30">
        <f>ABS(R487)/'İtme Analizi'!$C$14</f>
        <v>0</v>
      </c>
      <c r="U487" s="30">
        <f t="shared" si="11"/>
        <v>1.00829248845382E-4</v>
      </c>
    </row>
    <row r="488" spans="16:21" ht="13.9" customHeight="1" x14ac:dyDescent="0.2">
      <c r="P488" s="27"/>
      <c r="Q488" s="30"/>
      <c r="R488" s="30"/>
      <c r="S488" s="30">
        <f>ABS(Q488)/'İtme Analizi'!$C$17</f>
        <v>0</v>
      </c>
      <c r="T488" s="30">
        <f>ABS(R488)/'İtme Analizi'!$C$14</f>
        <v>0</v>
      </c>
      <c r="U488" s="30">
        <f t="shared" si="11"/>
        <v>1.00829248845382E-4</v>
      </c>
    </row>
    <row r="489" spans="16:21" ht="13.9" customHeight="1" x14ac:dyDescent="0.2">
      <c r="P489" s="27"/>
      <c r="Q489" s="30"/>
      <c r="R489" s="30"/>
      <c r="S489" s="30">
        <f>ABS(Q489)/'İtme Analizi'!$C$17</f>
        <v>0</v>
      </c>
      <c r="T489" s="30">
        <f>ABS(R489)/'İtme Analizi'!$C$14</f>
        <v>0</v>
      </c>
      <c r="U489" s="30">
        <f t="shared" si="11"/>
        <v>1.00829248845382E-4</v>
      </c>
    </row>
    <row r="490" spans="16:21" ht="13.9" customHeight="1" x14ac:dyDescent="0.2">
      <c r="P490" s="27"/>
      <c r="Q490" s="30"/>
      <c r="R490" s="30"/>
      <c r="S490" s="30">
        <f>ABS(Q490)/'İtme Analizi'!$C$17</f>
        <v>0</v>
      </c>
      <c r="T490" s="30">
        <f>ABS(R490)/'İtme Analizi'!$C$14</f>
        <v>0</v>
      </c>
      <c r="U490" s="30">
        <f t="shared" si="11"/>
        <v>1.00829248845382E-4</v>
      </c>
    </row>
    <row r="491" spans="16:21" ht="13.9" customHeight="1" x14ac:dyDescent="0.2">
      <c r="P491" s="27"/>
      <c r="Q491" s="30"/>
      <c r="R491" s="30"/>
      <c r="S491" s="30">
        <f>ABS(Q491)/'İtme Analizi'!$C$17</f>
        <v>0</v>
      </c>
      <c r="T491" s="30">
        <f>ABS(R491)/'İtme Analizi'!$C$14</f>
        <v>0</v>
      </c>
      <c r="U491" s="30">
        <f t="shared" si="11"/>
        <v>1.00829248845382E-4</v>
      </c>
    </row>
    <row r="492" spans="16:21" ht="13.9" customHeight="1" x14ac:dyDescent="0.2">
      <c r="P492" s="27"/>
      <c r="Q492" s="30"/>
      <c r="R492" s="30"/>
      <c r="S492" s="30">
        <f>ABS(Q492)/'İtme Analizi'!$C$17</f>
        <v>0</v>
      </c>
      <c r="T492" s="30">
        <f>ABS(R492)/'İtme Analizi'!$C$14</f>
        <v>0</v>
      </c>
      <c r="U492" s="30">
        <f t="shared" si="11"/>
        <v>1.00829248845382E-4</v>
      </c>
    </row>
    <row r="493" spans="16:21" ht="13.9" customHeight="1" x14ac:dyDescent="0.2">
      <c r="P493" s="27"/>
      <c r="Q493" s="30"/>
      <c r="R493" s="30"/>
      <c r="S493" s="30">
        <f>ABS(Q493)/'İtme Analizi'!$C$17</f>
        <v>0</v>
      </c>
      <c r="T493" s="30">
        <f>ABS(R493)/'İtme Analizi'!$C$14</f>
        <v>0</v>
      </c>
      <c r="U493" s="30">
        <f t="shared" si="11"/>
        <v>1.00829248845382E-4</v>
      </c>
    </row>
    <row r="494" spans="16:21" ht="13.9" customHeight="1" x14ac:dyDescent="0.2">
      <c r="P494" s="27"/>
      <c r="Q494" s="30"/>
      <c r="R494" s="30"/>
      <c r="S494" s="30">
        <f>ABS(Q494)/'İtme Analizi'!$C$17</f>
        <v>0</v>
      </c>
      <c r="T494" s="30">
        <f>ABS(R494)/'İtme Analizi'!$C$14</f>
        <v>0</v>
      </c>
      <c r="U494" s="30">
        <f t="shared" si="11"/>
        <v>1.00829248845382E-4</v>
      </c>
    </row>
    <row r="495" spans="16:21" ht="13.9" customHeight="1" x14ac:dyDescent="0.2">
      <c r="P495" s="27"/>
      <c r="Q495" s="30"/>
      <c r="R495" s="30"/>
      <c r="S495" s="30">
        <f>ABS(Q495)/'İtme Analizi'!$C$17</f>
        <v>0</v>
      </c>
      <c r="T495" s="30">
        <f>ABS(R495)/'İtme Analizi'!$C$14</f>
        <v>0</v>
      </c>
      <c r="U495" s="30">
        <f t="shared" si="11"/>
        <v>1.00829248845382E-4</v>
      </c>
    </row>
    <row r="496" spans="16:21" ht="13.9" customHeight="1" x14ac:dyDescent="0.2">
      <c r="P496" s="27"/>
      <c r="Q496" s="30"/>
      <c r="R496" s="30"/>
      <c r="S496" s="30">
        <f>ABS(Q496)/'İtme Analizi'!$C$17</f>
        <v>0</v>
      </c>
      <c r="T496" s="30">
        <f>ABS(R496)/'İtme Analizi'!$C$14</f>
        <v>0</v>
      </c>
      <c r="U496" s="30">
        <f t="shared" si="11"/>
        <v>1.00829248845382E-4</v>
      </c>
    </row>
    <row r="497" spans="16:21" ht="13.9" customHeight="1" x14ac:dyDescent="0.2">
      <c r="P497" s="27"/>
      <c r="Q497" s="30"/>
      <c r="R497" s="30"/>
      <c r="S497" s="30">
        <f>ABS(Q497)/'İtme Analizi'!$C$17</f>
        <v>0</v>
      </c>
      <c r="T497" s="30">
        <f>ABS(R497)/'İtme Analizi'!$C$14</f>
        <v>0</v>
      </c>
      <c r="U497" s="30">
        <f t="shared" si="11"/>
        <v>1.00829248845382E-4</v>
      </c>
    </row>
    <row r="498" spans="16:21" ht="13.9" customHeight="1" x14ac:dyDescent="0.2">
      <c r="P498" s="27"/>
      <c r="Q498" s="30"/>
      <c r="R498" s="30"/>
      <c r="S498" s="30">
        <f>ABS(Q498)/'İtme Analizi'!$C$17</f>
        <v>0</v>
      </c>
      <c r="T498" s="30">
        <f>ABS(R498)/'İtme Analizi'!$C$14</f>
        <v>0</v>
      </c>
      <c r="U498" s="30">
        <f t="shared" si="11"/>
        <v>1.00829248845382E-4</v>
      </c>
    </row>
    <row r="499" spans="16:21" ht="13.9" customHeight="1" x14ac:dyDescent="0.2">
      <c r="P499" s="27"/>
      <c r="Q499" s="30"/>
      <c r="R499" s="30"/>
      <c r="S499" s="30">
        <f>ABS(Q499)/'İtme Analizi'!$C$17</f>
        <v>0</v>
      </c>
      <c r="T499" s="30">
        <f>ABS(R499)/'İtme Analizi'!$C$14</f>
        <v>0</v>
      </c>
      <c r="U499" s="30">
        <f t="shared" si="11"/>
        <v>1.00829248845382E-4</v>
      </c>
    </row>
    <row r="500" spans="16:21" ht="13.9" customHeight="1" x14ac:dyDescent="0.2">
      <c r="P500" s="27"/>
      <c r="Q500" s="30"/>
      <c r="R500" s="30"/>
      <c r="S500" s="30">
        <f>ABS(Q500)/'İtme Analizi'!$C$17</f>
        <v>0</v>
      </c>
      <c r="T500" s="30">
        <f>ABS(R500)/'İtme Analizi'!$C$14</f>
        <v>0</v>
      </c>
      <c r="U500" s="30">
        <f t="shared" si="11"/>
        <v>1.00829248845382E-4</v>
      </c>
    </row>
    <row r="501" spans="16:21" ht="13.9" customHeight="1" x14ac:dyDescent="0.2">
      <c r="P501" s="27"/>
      <c r="Q501" s="30"/>
      <c r="R501" s="30"/>
      <c r="S501" s="30">
        <f>ABS(Q501)/'İtme Analizi'!$C$17</f>
        <v>0</v>
      </c>
      <c r="T501" s="30">
        <f>ABS(R501)/'İtme Analizi'!$C$14</f>
        <v>0</v>
      </c>
      <c r="U501" s="30">
        <f t="shared" si="11"/>
        <v>1.00829248845382E-4</v>
      </c>
    </row>
    <row r="502" spans="16:21" ht="13.9" customHeight="1" x14ac:dyDescent="0.2">
      <c r="P502" s="27"/>
      <c r="Q502" s="30"/>
      <c r="R502" s="30"/>
      <c r="S502" s="30">
        <f>ABS(Q502)/'İtme Analizi'!$C$17</f>
        <v>0</v>
      </c>
      <c r="T502" s="30">
        <f>ABS(R502)/'İtme Analizi'!$C$14</f>
        <v>0</v>
      </c>
      <c r="U502" s="30">
        <f t="shared" si="11"/>
        <v>1.00829248845382E-4</v>
      </c>
    </row>
    <row r="503" spans="16:21" ht="13.9" customHeight="1" x14ac:dyDescent="0.2">
      <c r="P503" s="27"/>
      <c r="Q503" s="30"/>
      <c r="R503" s="30"/>
      <c r="S503" s="30">
        <f>ABS(Q503)/'İtme Analizi'!$C$17</f>
        <v>0</v>
      </c>
      <c r="T503" s="30">
        <f>ABS(R503)/'İtme Analizi'!$C$14</f>
        <v>0</v>
      </c>
      <c r="U503" s="30">
        <f t="shared" si="11"/>
        <v>1.00829248845382E-4</v>
      </c>
    </row>
    <row r="504" spans="16:21" ht="13.9" customHeight="1" x14ac:dyDescent="0.2">
      <c r="P504" s="27"/>
      <c r="Q504" s="30"/>
      <c r="R504" s="30"/>
      <c r="S504" s="30">
        <f>ABS(Q504)/'İtme Analizi'!$C$17</f>
        <v>0</v>
      </c>
      <c r="T504" s="30">
        <f>ABS(R504)/'İtme Analizi'!$C$14</f>
        <v>0</v>
      </c>
      <c r="U504" s="30">
        <f t="shared" si="11"/>
        <v>1.00829248845382E-4</v>
      </c>
    </row>
    <row r="505" spans="16:21" ht="13.9" customHeight="1" x14ac:dyDescent="0.2">
      <c r="P505" s="27"/>
      <c r="Q505" s="30"/>
      <c r="R505" s="30"/>
      <c r="S505" s="30">
        <f>ABS(Q505)/'İtme Analizi'!$C$17</f>
        <v>0</v>
      </c>
      <c r="T505" s="30">
        <f>ABS(R505)/'İtme Analizi'!$C$14</f>
        <v>0</v>
      </c>
      <c r="U505" s="30">
        <f t="shared" si="11"/>
        <v>1.00829248845382E-4</v>
      </c>
    </row>
    <row r="506" spans="16:21" ht="13.9" customHeight="1" x14ac:dyDescent="0.2">
      <c r="P506" s="27"/>
      <c r="Q506" s="30"/>
      <c r="R506" s="30"/>
      <c r="S506" s="30">
        <f>ABS(Q506)/'İtme Analizi'!$C$17</f>
        <v>0</v>
      </c>
      <c r="T506" s="30">
        <f>ABS(R506)/'İtme Analizi'!$C$14</f>
        <v>0</v>
      </c>
      <c r="U506" s="30">
        <f t="shared" si="11"/>
        <v>1.00829248845382E-4</v>
      </c>
    </row>
    <row r="507" spans="16:21" ht="13.9" customHeight="1" x14ac:dyDescent="0.2">
      <c r="P507" s="27"/>
      <c r="Q507" s="30"/>
      <c r="R507" s="30"/>
      <c r="S507" s="30">
        <f>ABS(Q507)/'İtme Analizi'!$C$17</f>
        <v>0</v>
      </c>
      <c r="T507" s="30">
        <f>ABS(R507)/'İtme Analizi'!$C$14</f>
        <v>0</v>
      </c>
      <c r="U507" s="30">
        <f t="shared" si="11"/>
        <v>1.00829248845382E-4</v>
      </c>
    </row>
    <row r="508" spans="16:21" ht="13.9" customHeight="1" x14ac:dyDescent="0.2">
      <c r="P508" s="27"/>
      <c r="Q508" s="30"/>
      <c r="R508" s="30"/>
      <c r="S508" s="30">
        <f>ABS(Q508)/'İtme Analizi'!$C$17</f>
        <v>0</v>
      </c>
      <c r="T508" s="30">
        <f>ABS(R508)/'İtme Analizi'!$C$14</f>
        <v>0</v>
      </c>
      <c r="U508" s="30">
        <f t="shared" si="11"/>
        <v>1.00829248845382E-4</v>
      </c>
    </row>
    <row r="509" spans="16:21" ht="13.9" customHeight="1" x14ac:dyDescent="0.2">
      <c r="P509" s="27"/>
      <c r="Q509" s="30"/>
      <c r="R509" s="30"/>
      <c r="S509" s="30">
        <f>ABS(Q509)/'İtme Analizi'!$C$17</f>
        <v>0</v>
      </c>
      <c r="T509" s="30">
        <f>ABS(R509)/'İtme Analizi'!$C$14</f>
        <v>0</v>
      </c>
      <c r="U509" s="30">
        <f t="shared" si="11"/>
        <v>1.00829248845382E-4</v>
      </c>
    </row>
    <row r="510" spans="16:21" ht="13.9" customHeight="1" x14ac:dyDescent="0.2">
      <c r="P510" s="27"/>
      <c r="Q510" s="30"/>
      <c r="R510" s="30"/>
      <c r="S510" s="30">
        <f>ABS(Q510)/'İtme Analizi'!$C$17</f>
        <v>0</v>
      </c>
      <c r="T510" s="30">
        <f>ABS(R510)/'İtme Analizi'!$C$14</f>
        <v>0</v>
      </c>
      <c r="U510" s="30">
        <f t="shared" si="11"/>
        <v>1.00829248845382E-4</v>
      </c>
    </row>
    <row r="511" spans="16:21" ht="13.9" customHeight="1" x14ac:dyDescent="0.2">
      <c r="P511" s="27"/>
      <c r="Q511" s="30"/>
      <c r="R511" s="30"/>
      <c r="S511" s="30">
        <f>ABS(Q511)/'İtme Analizi'!$C$17</f>
        <v>0</v>
      </c>
      <c r="T511" s="30">
        <f>ABS(R511)/'İtme Analizi'!$C$14</f>
        <v>0</v>
      </c>
      <c r="U511" s="30">
        <f t="shared" si="11"/>
        <v>1.00829248845382E-4</v>
      </c>
    </row>
    <row r="512" spans="16:21" ht="13.9" customHeight="1" x14ac:dyDescent="0.2">
      <c r="P512" s="27"/>
      <c r="Q512" s="30"/>
      <c r="R512" s="30"/>
      <c r="S512" s="30">
        <f>ABS(Q512)/'İtme Analizi'!$C$17</f>
        <v>0</v>
      </c>
      <c r="T512" s="30">
        <f>ABS(R512)/'İtme Analizi'!$C$14</f>
        <v>0</v>
      </c>
      <c r="U512" s="30">
        <f t="shared" si="11"/>
        <v>1.00829248845382E-4</v>
      </c>
    </row>
    <row r="513" spans="16:21" ht="13.9" customHeight="1" x14ac:dyDescent="0.2">
      <c r="P513" s="27"/>
      <c r="Q513" s="30"/>
      <c r="R513" s="30"/>
      <c r="S513" s="30">
        <f>ABS(Q513)/'İtme Analizi'!$C$17</f>
        <v>0</v>
      </c>
      <c r="T513" s="30">
        <f>ABS(R513)/'İtme Analizi'!$C$14</f>
        <v>0</v>
      </c>
      <c r="U513" s="30">
        <f t="shared" si="11"/>
        <v>1.00829248845382E-4</v>
      </c>
    </row>
    <row r="514" spans="16:21" ht="13.9" customHeight="1" x14ac:dyDescent="0.2">
      <c r="P514" s="27"/>
      <c r="Q514" s="30"/>
      <c r="R514" s="30"/>
      <c r="S514" s="30">
        <f>ABS(Q514)/'İtme Analizi'!$C$17</f>
        <v>0</v>
      </c>
      <c r="T514" s="30">
        <f>ABS(R514)/'İtme Analizi'!$C$14</f>
        <v>0</v>
      </c>
      <c r="U514" s="30">
        <f t="shared" si="11"/>
        <v>1.00829248845382E-4</v>
      </c>
    </row>
    <row r="515" spans="16:21" ht="13.9" customHeight="1" x14ac:dyDescent="0.2">
      <c r="P515" s="27"/>
      <c r="Q515" s="30"/>
      <c r="R515" s="30"/>
      <c r="S515" s="30">
        <f>ABS(Q515)/'İtme Analizi'!$C$17</f>
        <v>0</v>
      </c>
      <c r="T515" s="30">
        <f>ABS(R515)/'İtme Analizi'!$C$14</f>
        <v>0</v>
      </c>
      <c r="U515" s="30">
        <f t="shared" si="11"/>
        <v>1.00829248845382E-4</v>
      </c>
    </row>
    <row r="516" spans="16:21" ht="13.9" customHeight="1" x14ac:dyDescent="0.2">
      <c r="P516" s="27"/>
      <c r="Q516" s="30"/>
      <c r="R516" s="30"/>
      <c r="S516" s="30">
        <f>ABS(Q516)/'İtme Analizi'!$C$17</f>
        <v>0</v>
      </c>
      <c r="T516" s="30">
        <f>ABS(R516)/'İtme Analizi'!$C$14</f>
        <v>0</v>
      </c>
      <c r="U516" s="30">
        <f t="shared" si="11"/>
        <v>1.00829248845382E-4</v>
      </c>
    </row>
    <row r="517" spans="16:21" ht="13.9" customHeight="1" x14ac:dyDescent="0.2">
      <c r="P517" s="27"/>
      <c r="Q517" s="30"/>
      <c r="R517" s="30"/>
      <c r="S517" s="30">
        <f>ABS(Q517)/'İtme Analizi'!$C$17</f>
        <v>0</v>
      </c>
      <c r="T517" s="30">
        <f>ABS(R517)/'İtme Analizi'!$C$14</f>
        <v>0</v>
      </c>
      <c r="U517" s="30">
        <f t="shared" si="11"/>
        <v>1.00829248845382E-4</v>
      </c>
    </row>
    <row r="518" spans="16:21" ht="13.9" customHeight="1" x14ac:dyDescent="0.2">
      <c r="P518" s="27"/>
      <c r="Q518" s="30"/>
      <c r="R518" s="30"/>
      <c r="S518" s="30">
        <f>ABS(Q518)/'İtme Analizi'!$C$17</f>
        <v>0</v>
      </c>
      <c r="T518" s="30">
        <f>ABS(R518)/'İtme Analizi'!$C$14</f>
        <v>0</v>
      </c>
      <c r="U518" s="30">
        <f t="shared" si="11"/>
        <v>1.00829248845382E-4</v>
      </c>
    </row>
    <row r="519" spans="16:21" ht="13.9" customHeight="1" x14ac:dyDescent="0.2">
      <c r="P519" s="27"/>
      <c r="Q519" s="30"/>
      <c r="R519" s="30"/>
      <c r="S519" s="30">
        <f>ABS(Q519)/'İtme Analizi'!$C$17</f>
        <v>0</v>
      </c>
      <c r="T519" s="30">
        <f>ABS(R519)/'İtme Analizi'!$C$14</f>
        <v>0</v>
      </c>
      <c r="U519" s="30">
        <f t="shared" si="11"/>
        <v>1.00829248845382E-4</v>
      </c>
    </row>
    <row r="520" spans="16:21" ht="13.9" customHeight="1" x14ac:dyDescent="0.2">
      <c r="P520" s="27"/>
      <c r="Q520" s="30"/>
      <c r="R520" s="30"/>
      <c r="S520" s="30">
        <f>ABS(Q520)/'İtme Analizi'!$C$17</f>
        <v>0</v>
      </c>
      <c r="T520" s="30">
        <f>ABS(R520)/'İtme Analizi'!$C$14</f>
        <v>0</v>
      </c>
      <c r="U520" s="30">
        <f t="shared" si="11"/>
        <v>1.00829248845382E-4</v>
      </c>
    </row>
    <row r="521" spans="16:21" ht="13.9" customHeight="1" x14ac:dyDescent="0.2">
      <c r="P521" s="27"/>
      <c r="Q521" s="30"/>
      <c r="R521" s="30"/>
      <c r="S521" s="30">
        <f>ABS(Q521)/'İtme Analizi'!$C$17</f>
        <v>0</v>
      </c>
      <c r="T521" s="30">
        <f>ABS(R521)/'İtme Analizi'!$C$14</f>
        <v>0</v>
      </c>
      <c r="U521" s="30">
        <f t="shared" si="11"/>
        <v>1.00829248845382E-4</v>
      </c>
    </row>
    <row r="522" spans="16:21" ht="13.9" customHeight="1" x14ac:dyDescent="0.2">
      <c r="P522" s="27"/>
      <c r="Q522" s="30"/>
      <c r="R522" s="30"/>
      <c r="S522" s="30">
        <f>ABS(Q522)/'İtme Analizi'!$C$17</f>
        <v>0</v>
      </c>
      <c r="T522" s="30">
        <f>ABS(R522)/'İtme Analizi'!$C$14</f>
        <v>0</v>
      </c>
      <c r="U522" s="30">
        <f t="shared" si="11"/>
        <v>1.00829248845382E-4</v>
      </c>
    </row>
    <row r="523" spans="16:21" ht="13.9" customHeight="1" x14ac:dyDescent="0.2">
      <c r="P523" s="27"/>
      <c r="Q523" s="30"/>
      <c r="R523" s="30"/>
      <c r="S523" s="30">
        <f>ABS(Q523)/'İtme Analizi'!$C$17</f>
        <v>0</v>
      </c>
      <c r="T523" s="30">
        <f>ABS(R523)/'İtme Analizi'!$C$14</f>
        <v>0</v>
      </c>
      <c r="U523" s="30">
        <f t="shared" si="11"/>
        <v>1.00829248845382E-4</v>
      </c>
    </row>
    <row r="524" spans="16:21" ht="13.9" customHeight="1" x14ac:dyDescent="0.2">
      <c r="P524" s="27"/>
      <c r="Q524" s="30"/>
      <c r="R524" s="30"/>
      <c r="S524" s="30">
        <f>ABS(Q524)/'İtme Analizi'!$C$17</f>
        <v>0</v>
      </c>
      <c r="T524" s="30">
        <f>ABS(R524)/'İtme Analizi'!$C$14</f>
        <v>0</v>
      </c>
      <c r="U524" s="30">
        <f t="shared" si="11"/>
        <v>1.00829248845382E-4</v>
      </c>
    </row>
    <row r="525" spans="16:21" ht="13.9" customHeight="1" x14ac:dyDescent="0.2">
      <c r="P525" s="27"/>
      <c r="Q525" s="30"/>
      <c r="R525" s="30"/>
      <c r="S525" s="30">
        <f>ABS(Q525)/'İtme Analizi'!$C$17</f>
        <v>0</v>
      </c>
      <c r="T525" s="30">
        <f>ABS(R525)/'İtme Analizi'!$C$14</f>
        <v>0</v>
      </c>
      <c r="U525" s="30">
        <f t="shared" ref="U525:U588" si="12">U524+(S525-S524)*((T525+T524)/2)</f>
        <v>1.00829248845382E-4</v>
      </c>
    </row>
    <row r="526" spans="16:21" ht="13.9" customHeight="1" x14ac:dyDescent="0.2">
      <c r="P526" s="27"/>
      <c r="Q526" s="30"/>
      <c r="R526" s="30"/>
      <c r="S526" s="30">
        <f>ABS(Q526)/'İtme Analizi'!$C$17</f>
        <v>0</v>
      </c>
      <c r="T526" s="30">
        <f>ABS(R526)/'İtme Analizi'!$C$14</f>
        <v>0</v>
      </c>
      <c r="U526" s="30">
        <f t="shared" si="12"/>
        <v>1.00829248845382E-4</v>
      </c>
    </row>
    <row r="527" spans="16:21" ht="13.9" customHeight="1" x14ac:dyDescent="0.2">
      <c r="P527" s="27"/>
      <c r="Q527" s="30"/>
      <c r="R527" s="30"/>
      <c r="S527" s="30">
        <f>ABS(Q527)/'İtme Analizi'!$C$17</f>
        <v>0</v>
      </c>
      <c r="T527" s="30">
        <f>ABS(R527)/'İtme Analizi'!$C$14</f>
        <v>0</v>
      </c>
      <c r="U527" s="30">
        <f t="shared" si="12"/>
        <v>1.00829248845382E-4</v>
      </c>
    </row>
    <row r="528" spans="16:21" ht="13.9" customHeight="1" x14ac:dyDescent="0.2">
      <c r="P528" s="27"/>
      <c r="Q528" s="30"/>
      <c r="R528" s="30"/>
      <c r="S528" s="30">
        <f>ABS(Q528)/'İtme Analizi'!$C$17</f>
        <v>0</v>
      </c>
      <c r="T528" s="30">
        <f>ABS(R528)/'İtme Analizi'!$C$14</f>
        <v>0</v>
      </c>
      <c r="U528" s="30">
        <f t="shared" si="12"/>
        <v>1.00829248845382E-4</v>
      </c>
    </row>
    <row r="529" spans="16:21" ht="13.9" customHeight="1" x14ac:dyDescent="0.2">
      <c r="P529" s="27"/>
      <c r="Q529" s="30"/>
      <c r="R529" s="30"/>
      <c r="S529" s="30">
        <f>ABS(Q529)/'İtme Analizi'!$C$17</f>
        <v>0</v>
      </c>
      <c r="T529" s="30">
        <f>ABS(R529)/'İtme Analizi'!$C$14</f>
        <v>0</v>
      </c>
      <c r="U529" s="30">
        <f t="shared" si="12"/>
        <v>1.00829248845382E-4</v>
      </c>
    </row>
    <row r="530" spans="16:21" ht="13.9" customHeight="1" x14ac:dyDescent="0.2">
      <c r="P530" s="27"/>
      <c r="Q530" s="30"/>
      <c r="R530" s="30"/>
      <c r="S530" s="30">
        <f>ABS(Q530)/'İtme Analizi'!$C$17</f>
        <v>0</v>
      </c>
      <c r="T530" s="30">
        <f>ABS(R530)/'İtme Analizi'!$C$14</f>
        <v>0</v>
      </c>
      <c r="U530" s="30">
        <f t="shared" si="12"/>
        <v>1.00829248845382E-4</v>
      </c>
    </row>
    <row r="531" spans="16:21" ht="13.9" customHeight="1" x14ac:dyDescent="0.2">
      <c r="P531" s="27"/>
      <c r="Q531" s="30"/>
      <c r="R531" s="30"/>
      <c r="S531" s="30">
        <f>ABS(Q531)/'İtme Analizi'!$C$17</f>
        <v>0</v>
      </c>
      <c r="T531" s="30">
        <f>ABS(R531)/'İtme Analizi'!$C$14</f>
        <v>0</v>
      </c>
      <c r="U531" s="30">
        <f t="shared" si="12"/>
        <v>1.00829248845382E-4</v>
      </c>
    </row>
    <row r="532" spans="16:21" ht="13.9" customHeight="1" x14ac:dyDescent="0.2">
      <c r="P532" s="27"/>
      <c r="Q532" s="30"/>
      <c r="R532" s="30"/>
      <c r="S532" s="30">
        <f>ABS(Q532)/'İtme Analizi'!$C$17</f>
        <v>0</v>
      </c>
      <c r="T532" s="30">
        <f>ABS(R532)/'İtme Analizi'!$C$14</f>
        <v>0</v>
      </c>
      <c r="U532" s="30">
        <f t="shared" si="12"/>
        <v>1.00829248845382E-4</v>
      </c>
    </row>
    <row r="533" spans="16:21" ht="13.9" customHeight="1" x14ac:dyDescent="0.2">
      <c r="P533" s="27"/>
      <c r="Q533" s="30"/>
      <c r="R533" s="30"/>
      <c r="S533" s="30">
        <f>ABS(Q533)/'İtme Analizi'!$C$17</f>
        <v>0</v>
      </c>
      <c r="T533" s="30">
        <f>ABS(R533)/'İtme Analizi'!$C$14</f>
        <v>0</v>
      </c>
      <c r="U533" s="30">
        <f t="shared" si="12"/>
        <v>1.00829248845382E-4</v>
      </c>
    </row>
    <row r="534" spans="16:21" ht="13.9" customHeight="1" x14ac:dyDescent="0.2">
      <c r="P534" s="27"/>
      <c r="Q534" s="30"/>
      <c r="R534" s="30"/>
      <c r="S534" s="30">
        <f>ABS(Q534)/'İtme Analizi'!$C$17</f>
        <v>0</v>
      </c>
      <c r="T534" s="30">
        <f>ABS(R534)/'İtme Analizi'!$C$14</f>
        <v>0</v>
      </c>
      <c r="U534" s="30">
        <f t="shared" si="12"/>
        <v>1.00829248845382E-4</v>
      </c>
    </row>
    <row r="535" spans="16:21" ht="13.9" customHeight="1" x14ac:dyDescent="0.2">
      <c r="P535" s="27"/>
      <c r="Q535" s="30"/>
      <c r="R535" s="30"/>
      <c r="S535" s="30">
        <f>ABS(Q535)/'İtme Analizi'!$C$17</f>
        <v>0</v>
      </c>
      <c r="T535" s="30">
        <f>ABS(R535)/'İtme Analizi'!$C$14</f>
        <v>0</v>
      </c>
      <c r="U535" s="30">
        <f t="shared" si="12"/>
        <v>1.00829248845382E-4</v>
      </c>
    </row>
    <row r="536" spans="16:21" ht="13.9" customHeight="1" x14ac:dyDescent="0.2">
      <c r="P536" s="27"/>
      <c r="Q536" s="30"/>
      <c r="R536" s="30"/>
      <c r="S536" s="30">
        <f>ABS(Q536)/'İtme Analizi'!$C$17</f>
        <v>0</v>
      </c>
      <c r="T536" s="30">
        <f>ABS(R536)/'İtme Analizi'!$C$14</f>
        <v>0</v>
      </c>
      <c r="U536" s="30">
        <f t="shared" si="12"/>
        <v>1.00829248845382E-4</v>
      </c>
    </row>
    <row r="537" spans="16:21" ht="13.9" customHeight="1" x14ac:dyDescent="0.2">
      <c r="P537" s="27"/>
      <c r="Q537" s="30"/>
      <c r="R537" s="30"/>
      <c r="S537" s="30">
        <f>ABS(Q537)/'İtme Analizi'!$C$17</f>
        <v>0</v>
      </c>
      <c r="T537" s="30">
        <f>ABS(R537)/'İtme Analizi'!$C$14</f>
        <v>0</v>
      </c>
      <c r="U537" s="30">
        <f t="shared" si="12"/>
        <v>1.00829248845382E-4</v>
      </c>
    </row>
    <row r="538" spans="16:21" ht="13.9" customHeight="1" x14ac:dyDescent="0.2">
      <c r="P538" s="27"/>
      <c r="Q538" s="30"/>
      <c r="R538" s="30"/>
      <c r="S538" s="30">
        <f>ABS(Q538)/'İtme Analizi'!$C$17</f>
        <v>0</v>
      </c>
      <c r="T538" s="30">
        <f>ABS(R538)/'İtme Analizi'!$C$14</f>
        <v>0</v>
      </c>
      <c r="U538" s="30">
        <f t="shared" si="12"/>
        <v>1.00829248845382E-4</v>
      </c>
    </row>
    <row r="539" spans="16:21" ht="13.9" customHeight="1" x14ac:dyDescent="0.2">
      <c r="P539" s="27"/>
      <c r="Q539" s="30"/>
      <c r="R539" s="30"/>
      <c r="S539" s="30">
        <f>ABS(Q539)/'İtme Analizi'!$C$17</f>
        <v>0</v>
      </c>
      <c r="T539" s="30">
        <f>ABS(R539)/'İtme Analizi'!$C$14</f>
        <v>0</v>
      </c>
      <c r="U539" s="30">
        <f t="shared" si="12"/>
        <v>1.00829248845382E-4</v>
      </c>
    </row>
    <row r="540" spans="16:21" ht="13.9" customHeight="1" x14ac:dyDescent="0.2">
      <c r="P540" s="27"/>
      <c r="Q540" s="30"/>
      <c r="R540" s="30"/>
      <c r="S540" s="30">
        <f>ABS(Q540)/'İtme Analizi'!$C$17</f>
        <v>0</v>
      </c>
      <c r="T540" s="30">
        <f>ABS(R540)/'İtme Analizi'!$C$14</f>
        <v>0</v>
      </c>
      <c r="U540" s="30">
        <f t="shared" si="12"/>
        <v>1.00829248845382E-4</v>
      </c>
    </row>
    <row r="541" spans="16:21" ht="13.9" customHeight="1" x14ac:dyDescent="0.2">
      <c r="P541" s="27"/>
      <c r="Q541" s="30"/>
      <c r="R541" s="30"/>
      <c r="S541" s="30">
        <f>ABS(Q541)/'İtme Analizi'!$C$17</f>
        <v>0</v>
      </c>
      <c r="T541" s="30">
        <f>ABS(R541)/'İtme Analizi'!$C$14</f>
        <v>0</v>
      </c>
      <c r="U541" s="30">
        <f t="shared" si="12"/>
        <v>1.00829248845382E-4</v>
      </c>
    </row>
    <row r="542" spans="16:21" ht="13.9" customHeight="1" x14ac:dyDescent="0.2">
      <c r="P542" s="27"/>
      <c r="Q542" s="30"/>
      <c r="R542" s="30"/>
      <c r="S542" s="30">
        <f>ABS(Q542)/'İtme Analizi'!$C$17</f>
        <v>0</v>
      </c>
      <c r="T542" s="30">
        <f>ABS(R542)/'İtme Analizi'!$C$14</f>
        <v>0</v>
      </c>
      <c r="U542" s="30">
        <f t="shared" si="12"/>
        <v>1.00829248845382E-4</v>
      </c>
    </row>
    <row r="543" spans="16:21" ht="13.9" customHeight="1" x14ac:dyDescent="0.2">
      <c r="P543" s="27"/>
      <c r="Q543" s="30"/>
      <c r="R543" s="30"/>
      <c r="S543" s="30">
        <f>ABS(Q543)/'İtme Analizi'!$C$17</f>
        <v>0</v>
      </c>
      <c r="T543" s="30">
        <f>ABS(R543)/'İtme Analizi'!$C$14</f>
        <v>0</v>
      </c>
      <c r="U543" s="30">
        <f t="shared" si="12"/>
        <v>1.00829248845382E-4</v>
      </c>
    </row>
    <row r="544" spans="16:21" ht="13.9" customHeight="1" x14ac:dyDescent="0.2">
      <c r="P544" s="27"/>
      <c r="Q544" s="30"/>
      <c r="R544" s="30"/>
      <c r="S544" s="30">
        <f>ABS(Q544)/'İtme Analizi'!$C$17</f>
        <v>0</v>
      </c>
      <c r="T544" s="30">
        <f>ABS(R544)/'İtme Analizi'!$C$14</f>
        <v>0</v>
      </c>
      <c r="U544" s="30">
        <f t="shared" si="12"/>
        <v>1.00829248845382E-4</v>
      </c>
    </row>
    <row r="545" spans="16:21" ht="13.9" customHeight="1" x14ac:dyDescent="0.2">
      <c r="P545" s="27"/>
      <c r="Q545" s="30"/>
      <c r="R545" s="30"/>
      <c r="S545" s="30">
        <f>ABS(Q545)/'İtme Analizi'!$C$17</f>
        <v>0</v>
      </c>
      <c r="T545" s="30">
        <f>ABS(R545)/'İtme Analizi'!$C$14</f>
        <v>0</v>
      </c>
      <c r="U545" s="30">
        <f t="shared" si="12"/>
        <v>1.00829248845382E-4</v>
      </c>
    </row>
    <row r="546" spans="16:21" ht="13.9" customHeight="1" x14ac:dyDescent="0.2">
      <c r="P546" s="27"/>
      <c r="Q546" s="30"/>
      <c r="R546" s="30"/>
      <c r="S546" s="30">
        <f>ABS(Q546)/'İtme Analizi'!$C$17</f>
        <v>0</v>
      </c>
      <c r="T546" s="30">
        <f>ABS(R546)/'İtme Analizi'!$C$14</f>
        <v>0</v>
      </c>
      <c r="U546" s="30">
        <f t="shared" si="12"/>
        <v>1.00829248845382E-4</v>
      </c>
    </row>
    <row r="547" spans="16:21" ht="13.9" customHeight="1" x14ac:dyDescent="0.2">
      <c r="P547" s="27"/>
      <c r="Q547" s="30"/>
      <c r="R547" s="30"/>
      <c r="S547" s="30">
        <f>ABS(Q547)/'İtme Analizi'!$C$17</f>
        <v>0</v>
      </c>
      <c r="T547" s="30">
        <f>ABS(R547)/'İtme Analizi'!$C$14</f>
        <v>0</v>
      </c>
      <c r="U547" s="30">
        <f t="shared" si="12"/>
        <v>1.00829248845382E-4</v>
      </c>
    </row>
    <row r="548" spans="16:21" ht="13.9" customHeight="1" x14ac:dyDescent="0.2">
      <c r="P548" s="27"/>
      <c r="Q548" s="30"/>
      <c r="R548" s="30"/>
      <c r="S548" s="30">
        <f>ABS(Q548)/'İtme Analizi'!$C$17</f>
        <v>0</v>
      </c>
      <c r="T548" s="30">
        <f>ABS(R548)/'İtme Analizi'!$C$14</f>
        <v>0</v>
      </c>
      <c r="U548" s="30">
        <f t="shared" si="12"/>
        <v>1.00829248845382E-4</v>
      </c>
    </row>
    <row r="549" spans="16:21" ht="13.9" customHeight="1" x14ac:dyDescent="0.2">
      <c r="P549" s="27"/>
      <c r="Q549" s="30"/>
      <c r="R549" s="30"/>
      <c r="S549" s="30">
        <f>ABS(Q549)/'İtme Analizi'!$C$17</f>
        <v>0</v>
      </c>
      <c r="T549" s="30">
        <f>ABS(R549)/'İtme Analizi'!$C$14</f>
        <v>0</v>
      </c>
      <c r="U549" s="30">
        <f t="shared" si="12"/>
        <v>1.00829248845382E-4</v>
      </c>
    </row>
    <row r="550" spans="16:21" ht="13.9" customHeight="1" x14ac:dyDescent="0.2">
      <c r="P550" s="27"/>
      <c r="Q550" s="30"/>
      <c r="R550" s="30"/>
      <c r="S550" s="30">
        <f>ABS(Q550)/'İtme Analizi'!$C$17</f>
        <v>0</v>
      </c>
      <c r="T550" s="30">
        <f>ABS(R550)/'İtme Analizi'!$C$14</f>
        <v>0</v>
      </c>
      <c r="U550" s="30">
        <f t="shared" si="12"/>
        <v>1.00829248845382E-4</v>
      </c>
    </row>
    <row r="551" spans="16:21" ht="13.9" customHeight="1" x14ac:dyDescent="0.2">
      <c r="P551" s="27"/>
      <c r="Q551" s="30"/>
      <c r="R551" s="30"/>
      <c r="S551" s="30">
        <f>ABS(Q551)/'İtme Analizi'!$C$17</f>
        <v>0</v>
      </c>
      <c r="T551" s="30">
        <f>ABS(R551)/'İtme Analizi'!$C$14</f>
        <v>0</v>
      </c>
      <c r="U551" s="30">
        <f t="shared" si="12"/>
        <v>1.00829248845382E-4</v>
      </c>
    </row>
    <row r="552" spans="16:21" ht="13.9" customHeight="1" x14ac:dyDescent="0.2">
      <c r="P552" s="27"/>
      <c r="Q552" s="30"/>
      <c r="R552" s="30"/>
      <c r="S552" s="30">
        <f>ABS(Q552)/'İtme Analizi'!$C$17</f>
        <v>0</v>
      </c>
      <c r="T552" s="30">
        <f>ABS(R552)/'İtme Analizi'!$C$14</f>
        <v>0</v>
      </c>
      <c r="U552" s="30">
        <f t="shared" si="12"/>
        <v>1.00829248845382E-4</v>
      </c>
    </row>
    <row r="553" spans="16:21" ht="13.9" customHeight="1" x14ac:dyDescent="0.2">
      <c r="P553" s="27"/>
      <c r="Q553" s="30"/>
      <c r="R553" s="30"/>
      <c r="S553" s="30">
        <f>ABS(Q553)/'İtme Analizi'!$C$17</f>
        <v>0</v>
      </c>
      <c r="T553" s="30">
        <f>ABS(R553)/'İtme Analizi'!$C$14</f>
        <v>0</v>
      </c>
      <c r="U553" s="30">
        <f t="shared" si="12"/>
        <v>1.00829248845382E-4</v>
      </c>
    </row>
    <row r="554" spans="16:21" ht="13.9" customHeight="1" x14ac:dyDescent="0.2">
      <c r="P554" s="27"/>
      <c r="Q554" s="30"/>
      <c r="R554" s="30"/>
      <c r="S554" s="30">
        <f>ABS(Q554)/'İtme Analizi'!$C$17</f>
        <v>0</v>
      </c>
      <c r="T554" s="30">
        <f>ABS(R554)/'İtme Analizi'!$C$14</f>
        <v>0</v>
      </c>
      <c r="U554" s="30">
        <f t="shared" si="12"/>
        <v>1.00829248845382E-4</v>
      </c>
    </row>
    <row r="555" spans="16:21" ht="13.9" customHeight="1" x14ac:dyDescent="0.2">
      <c r="P555" s="27"/>
      <c r="Q555" s="30"/>
      <c r="R555" s="30"/>
      <c r="S555" s="30">
        <f>ABS(Q555)/'İtme Analizi'!$C$17</f>
        <v>0</v>
      </c>
      <c r="T555" s="30">
        <f>ABS(R555)/'İtme Analizi'!$C$14</f>
        <v>0</v>
      </c>
      <c r="U555" s="30">
        <f t="shared" si="12"/>
        <v>1.00829248845382E-4</v>
      </c>
    </row>
    <row r="556" spans="16:21" ht="13.9" customHeight="1" x14ac:dyDescent="0.2">
      <c r="P556" s="27"/>
      <c r="Q556" s="30"/>
      <c r="R556" s="30"/>
      <c r="S556" s="30">
        <f>ABS(Q556)/'İtme Analizi'!$C$17</f>
        <v>0</v>
      </c>
      <c r="T556" s="30">
        <f>ABS(R556)/'İtme Analizi'!$C$14</f>
        <v>0</v>
      </c>
      <c r="U556" s="30">
        <f t="shared" si="12"/>
        <v>1.00829248845382E-4</v>
      </c>
    </row>
    <row r="557" spans="16:21" ht="13.9" customHeight="1" x14ac:dyDescent="0.2">
      <c r="P557" s="27"/>
      <c r="Q557" s="30"/>
      <c r="R557" s="30"/>
      <c r="S557" s="30">
        <f>ABS(Q557)/'İtme Analizi'!$C$17</f>
        <v>0</v>
      </c>
      <c r="T557" s="30">
        <f>ABS(R557)/'İtme Analizi'!$C$14</f>
        <v>0</v>
      </c>
      <c r="U557" s="30">
        <f t="shared" si="12"/>
        <v>1.00829248845382E-4</v>
      </c>
    </row>
    <row r="558" spans="16:21" ht="13.9" customHeight="1" x14ac:dyDescent="0.2">
      <c r="P558" s="27"/>
      <c r="Q558" s="30"/>
      <c r="R558" s="30"/>
      <c r="S558" s="30">
        <f>ABS(Q558)/'İtme Analizi'!$C$17</f>
        <v>0</v>
      </c>
      <c r="T558" s="30">
        <f>ABS(R558)/'İtme Analizi'!$C$14</f>
        <v>0</v>
      </c>
      <c r="U558" s="30">
        <f t="shared" si="12"/>
        <v>1.00829248845382E-4</v>
      </c>
    </row>
    <row r="559" spans="16:21" ht="13.9" customHeight="1" x14ac:dyDescent="0.2">
      <c r="P559" s="27"/>
      <c r="Q559" s="30"/>
      <c r="R559" s="30"/>
      <c r="S559" s="30">
        <f>ABS(Q559)/'İtme Analizi'!$C$17</f>
        <v>0</v>
      </c>
      <c r="T559" s="30">
        <f>ABS(R559)/'İtme Analizi'!$C$14</f>
        <v>0</v>
      </c>
      <c r="U559" s="30">
        <f t="shared" si="12"/>
        <v>1.00829248845382E-4</v>
      </c>
    </row>
    <row r="560" spans="16:21" ht="13.9" customHeight="1" x14ac:dyDescent="0.2">
      <c r="P560" s="27"/>
      <c r="Q560" s="30"/>
      <c r="R560" s="30"/>
      <c r="S560" s="30">
        <f>ABS(Q560)/'İtme Analizi'!$C$17</f>
        <v>0</v>
      </c>
      <c r="T560" s="30">
        <f>ABS(R560)/'İtme Analizi'!$C$14</f>
        <v>0</v>
      </c>
      <c r="U560" s="30">
        <f t="shared" si="12"/>
        <v>1.00829248845382E-4</v>
      </c>
    </row>
    <row r="561" spans="16:21" ht="13.9" customHeight="1" x14ac:dyDescent="0.2">
      <c r="P561" s="27"/>
      <c r="Q561" s="30"/>
      <c r="R561" s="30"/>
      <c r="S561" s="30">
        <f>ABS(Q561)/'İtme Analizi'!$C$17</f>
        <v>0</v>
      </c>
      <c r="T561" s="30">
        <f>ABS(R561)/'İtme Analizi'!$C$14</f>
        <v>0</v>
      </c>
      <c r="U561" s="30">
        <f t="shared" si="12"/>
        <v>1.00829248845382E-4</v>
      </c>
    </row>
    <row r="562" spans="16:21" ht="13.9" customHeight="1" x14ac:dyDescent="0.2">
      <c r="P562" s="27"/>
      <c r="Q562" s="30"/>
      <c r="R562" s="30"/>
      <c r="S562" s="30">
        <f>ABS(Q562)/'İtme Analizi'!$C$17</f>
        <v>0</v>
      </c>
      <c r="T562" s="30">
        <f>ABS(R562)/'İtme Analizi'!$C$14</f>
        <v>0</v>
      </c>
      <c r="U562" s="30">
        <f t="shared" si="12"/>
        <v>1.00829248845382E-4</v>
      </c>
    </row>
    <row r="563" spans="16:21" ht="13.9" customHeight="1" x14ac:dyDescent="0.2">
      <c r="P563" s="27"/>
      <c r="Q563" s="30"/>
      <c r="R563" s="30"/>
      <c r="S563" s="30">
        <f>ABS(Q563)/'İtme Analizi'!$C$17</f>
        <v>0</v>
      </c>
      <c r="T563" s="30">
        <f>ABS(R563)/'İtme Analizi'!$C$14</f>
        <v>0</v>
      </c>
      <c r="U563" s="30">
        <f t="shared" si="12"/>
        <v>1.00829248845382E-4</v>
      </c>
    </row>
    <row r="564" spans="16:21" ht="13.9" customHeight="1" x14ac:dyDescent="0.2">
      <c r="P564" s="27"/>
      <c r="Q564" s="30"/>
      <c r="R564" s="30"/>
      <c r="S564" s="30">
        <f>ABS(Q564)/'İtme Analizi'!$C$17</f>
        <v>0</v>
      </c>
      <c r="T564" s="30">
        <f>ABS(R564)/'İtme Analizi'!$C$14</f>
        <v>0</v>
      </c>
      <c r="U564" s="30">
        <f t="shared" si="12"/>
        <v>1.00829248845382E-4</v>
      </c>
    </row>
    <row r="565" spans="16:21" ht="13.9" customHeight="1" x14ac:dyDescent="0.2">
      <c r="P565" s="27"/>
      <c r="Q565" s="30"/>
      <c r="R565" s="30"/>
      <c r="S565" s="30">
        <f>ABS(Q565)/'İtme Analizi'!$C$17</f>
        <v>0</v>
      </c>
      <c r="T565" s="30">
        <f>ABS(R565)/'İtme Analizi'!$C$14</f>
        <v>0</v>
      </c>
      <c r="U565" s="30">
        <f t="shared" si="12"/>
        <v>1.00829248845382E-4</v>
      </c>
    </row>
    <row r="566" spans="16:21" ht="13.9" customHeight="1" x14ac:dyDescent="0.2">
      <c r="P566" s="27"/>
      <c r="Q566" s="30"/>
      <c r="R566" s="30"/>
      <c r="S566" s="30">
        <f>ABS(Q566)/'İtme Analizi'!$C$17</f>
        <v>0</v>
      </c>
      <c r="T566" s="30">
        <f>ABS(R566)/'İtme Analizi'!$C$14</f>
        <v>0</v>
      </c>
      <c r="U566" s="30">
        <f t="shared" si="12"/>
        <v>1.00829248845382E-4</v>
      </c>
    </row>
    <row r="567" spans="16:21" ht="13.9" customHeight="1" x14ac:dyDescent="0.2">
      <c r="P567" s="27"/>
      <c r="Q567" s="30"/>
      <c r="R567" s="30"/>
      <c r="S567" s="30">
        <f>ABS(Q567)/'İtme Analizi'!$C$17</f>
        <v>0</v>
      </c>
      <c r="T567" s="30">
        <f>ABS(R567)/'İtme Analizi'!$C$14</f>
        <v>0</v>
      </c>
      <c r="U567" s="30">
        <f t="shared" si="12"/>
        <v>1.00829248845382E-4</v>
      </c>
    </row>
    <row r="568" spans="16:21" ht="13.9" customHeight="1" x14ac:dyDescent="0.2">
      <c r="P568" s="27"/>
      <c r="Q568" s="30"/>
      <c r="R568" s="30"/>
      <c r="S568" s="30">
        <f>ABS(Q568)/'İtme Analizi'!$C$17</f>
        <v>0</v>
      </c>
      <c r="T568" s="30">
        <f>ABS(R568)/'İtme Analizi'!$C$14</f>
        <v>0</v>
      </c>
      <c r="U568" s="30">
        <f t="shared" si="12"/>
        <v>1.00829248845382E-4</v>
      </c>
    </row>
    <row r="569" spans="16:21" ht="13.9" customHeight="1" x14ac:dyDescent="0.2">
      <c r="P569" s="27"/>
      <c r="Q569" s="30"/>
      <c r="R569" s="30"/>
      <c r="S569" s="30">
        <f>ABS(Q569)/'İtme Analizi'!$C$17</f>
        <v>0</v>
      </c>
      <c r="T569" s="30">
        <f>ABS(R569)/'İtme Analizi'!$C$14</f>
        <v>0</v>
      </c>
      <c r="U569" s="30">
        <f t="shared" si="12"/>
        <v>1.00829248845382E-4</v>
      </c>
    </row>
    <row r="570" spans="16:21" ht="13.9" customHeight="1" x14ac:dyDescent="0.2">
      <c r="P570" s="27"/>
      <c r="Q570" s="30"/>
      <c r="R570" s="30"/>
      <c r="S570" s="30">
        <f>ABS(Q570)/'İtme Analizi'!$C$17</f>
        <v>0</v>
      </c>
      <c r="T570" s="30">
        <f>ABS(R570)/'İtme Analizi'!$C$14</f>
        <v>0</v>
      </c>
      <c r="U570" s="30">
        <f t="shared" si="12"/>
        <v>1.00829248845382E-4</v>
      </c>
    </row>
    <row r="571" spans="16:21" ht="13.9" customHeight="1" x14ac:dyDescent="0.2">
      <c r="P571" s="27"/>
      <c r="Q571" s="30"/>
      <c r="R571" s="30"/>
      <c r="S571" s="30">
        <f>ABS(Q571)/'İtme Analizi'!$C$17</f>
        <v>0</v>
      </c>
      <c r="T571" s="30">
        <f>ABS(R571)/'İtme Analizi'!$C$14</f>
        <v>0</v>
      </c>
      <c r="U571" s="30">
        <f t="shared" si="12"/>
        <v>1.00829248845382E-4</v>
      </c>
    </row>
    <row r="572" spans="16:21" ht="13.9" customHeight="1" x14ac:dyDescent="0.2">
      <c r="P572" s="27"/>
      <c r="Q572" s="30"/>
      <c r="R572" s="30"/>
      <c r="S572" s="30">
        <f>ABS(Q572)/'İtme Analizi'!$C$17</f>
        <v>0</v>
      </c>
      <c r="T572" s="30">
        <f>ABS(R572)/'İtme Analizi'!$C$14</f>
        <v>0</v>
      </c>
      <c r="U572" s="30">
        <f t="shared" si="12"/>
        <v>1.00829248845382E-4</v>
      </c>
    </row>
    <row r="573" spans="16:21" ht="13.9" customHeight="1" x14ac:dyDescent="0.2">
      <c r="P573" s="27"/>
      <c r="Q573" s="30"/>
      <c r="R573" s="30"/>
      <c r="S573" s="30">
        <f>ABS(Q573)/'İtme Analizi'!$C$17</f>
        <v>0</v>
      </c>
      <c r="T573" s="30">
        <f>ABS(R573)/'İtme Analizi'!$C$14</f>
        <v>0</v>
      </c>
      <c r="U573" s="30">
        <f t="shared" si="12"/>
        <v>1.00829248845382E-4</v>
      </c>
    </row>
    <row r="574" spans="16:21" ht="13.9" customHeight="1" x14ac:dyDescent="0.2">
      <c r="P574" s="27"/>
      <c r="Q574" s="30"/>
      <c r="R574" s="30"/>
      <c r="S574" s="30">
        <f>ABS(Q574)/'İtme Analizi'!$C$17</f>
        <v>0</v>
      </c>
      <c r="T574" s="30">
        <f>ABS(R574)/'İtme Analizi'!$C$14</f>
        <v>0</v>
      </c>
      <c r="U574" s="30">
        <f t="shared" si="12"/>
        <v>1.00829248845382E-4</v>
      </c>
    </row>
    <row r="575" spans="16:21" ht="13.9" customHeight="1" x14ac:dyDescent="0.2">
      <c r="P575" s="27"/>
      <c r="Q575" s="30"/>
      <c r="R575" s="30"/>
      <c r="S575" s="30">
        <f>ABS(Q575)/'İtme Analizi'!$C$17</f>
        <v>0</v>
      </c>
      <c r="T575" s="30">
        <f>ABS(R575)/'İtme Analizi'!$C$14</f>
        <v>0</v>
      </c>
      <c r="U575" s="30">
        <f t="shared" si="12"/>
        <v>1.00829248845382E-4</v>
      </c>
    </row>
    <row r="576" spans="16:21" ht="13.9" customHeight="1" x14ac:dyDescent="0.2">
      <c r="P576" s="27"/>
      <c r="Q576" s="30"/>
      <c r="R576" s="30"/>
      <c r="S576" s="30">
        <f>ABS(Q576)/'İtme Analizi'!$C$17</f>
        <v>0</v>
      </c>
      <c r="T576" s="30">
        <f>ABS(R576)/'İtme Analizi'!$C$14</f>
        <v>0</v>
      </c>
      <c r="U576" s="30">
        <f t="shared" si="12"/>
        <v>1.00829248845382E-4</v>
      </c>
    </row>
    <row r="577" spans="16:21" ht="13.9" customHeight="1" x14ac:dyDescent="0.2">
      <c r="P577" s="27"/>
      <c r="Q577" s="30"/>
      <c r="R577" s="30"/>
      <c r="S577" s="30">
        <f>ABS(Q577)/'İtme Analizi'!$C$17</f>
        <v>0</v>
      </c>
      <c r="T577" s="30">
        <f>ABS(R577)/'İtme Analizi'!$C$14</f>
        <v>0</v>
      </c>
      <c r="U577" s="30">
        <f t="shared" si="12"/>
        <v>1.00829248845382E-4</v>
      </c>
    </row>
    <row r="578" spans="16:21" ht="13.9" customHeight="1" x14ac:dyDescent="0.2">
      <c r="P578" s="27"/>
      <c r="Q578" s="30"/>
      <c r="R578" s="30"/>
      <c r="S578" s="30">
        <f>ABS(Q578)/'İtme Analizi'!$C$17</f>
        <v>0</v>
      </c>
      <c r="T578" s="30">
        <f>ABS(R578)/'İtme Analizi'!$C$14</f>
        <v>0</v>
      </c>
      <c r="U578" s="30">
        <f t="shared" si="12"/>
        <v>1.00829248845382E-4</v>
      </c>
    </row>
    <row r="579" spans="16:21" ht="13.9" customHeight="1" x14ac:dyDescent="0.2">
      <c r="P579" s="27"/>
      <c r="Q579" s="30"/>
      <c r="R579" s="30"/>
      <c r="S579" s="30">
        <f>ABS(Q579)/'İtme Analizi'!$C$17</f>
        <v>0</v>
      </c>
      <c r="T579" s="30">
        <f>ABS(R579)/'İtme Analizi'!$C$14</f>
        <v>0</v>
      </c>
      <c r="U579" s="30">
        <f t="shared" si="12"/>
        <v>1.00829248845382E-4</v>
      </c>
    </row>
    <row r="580" spans="16:21" ht="13.9" customHeight="1" x14ac:dyDescent="0.2">
      <c r="P580" s="27"/>
      <c r="Q580" s="30"/>
      <c r="R580" s="30"/>
      <c r="S580" s="30">
        <f>ABS(Q580)/'İtme Analizi'!$C$17</f>
        <v>0</v>
      </c>
      <c r="T580" s="30">
        <f>ABS(R580)/'İtme Analizi'!$C$14</f>
        <v>0</v>
      </c>
      <c r="U580" s="30">
        <f t="shared" si="12"/>
        <v>1.00829248845382E-4</v>
      </c>
    </row>
    <row r="581" spans="16:21" ht="13.9" customHeight="1" x14ac:dyDescent="0.2">
      <c r="P581" s="27"/>
      <c r="Q581" s="30"/>
      <c r="R581" s="30"/>
      <c r="S581" s="30">
        <f>ABS(Q581)/'İtme Analizi'!$C$17</f>
        <v>0</v>
      </c>
      <c r="T581" s="30">
        <f>ABS(R581)/'İtme Analizi'!$C$14</f>
        <v>0</v>
      </c>
      <c r="U581" s="30">
        <f t="shared" si="12"/>
        <v>1.00829248845382E-4</v>
      </c>
    </row>
    <row r="582" spans="16:21" ht="13.9" customHeight="1" x14ac:dyDescent="0.2">
      <c r="P582" s="27"/>
      <c r="Q582" s="30"/>
      <c r="R582" s="30"/>
      <c r="S582" s="30">
        <f>ABS(Q582)/'İtme Analizi'!$C$17</f>
        <v>0</v>
      </c>
      <c r="T582" s="30">
        <f>ABS(R582)/'İtme Analizi'!$C$14</f>
        <v>0</v>
      </c>
      <c r="U582" s="30">
        <f t="shared" si="12"/>
        <v>1.00829248845382E-4</v>
      </c>
    </row>
    <row r="583" spans="16:21" ht="13.9" customHeight="1" x14ac:dyDescent="0.2">
      <c r="P583" s="27"/>
      <c r="Q583" s="30"/>
      <c r="R583" s="30"/>
      <c r="S583" s="30">
        <f>ABS(Q583)/'İtme Analizi'!$C$17</f>
        <v>0</v>
      </c>
      <c r="T583" s="30">
        <f>ABS(R583)/'İtme Analizi'!$C$14</f>
        <v>0</v>
      </c>
      <c r="U583" s="30">
        <f t="shared" si="12"/>
        <v>1.00829248845382E-4</v>
      </c>
    </row>
    <row r="584" spans="16:21" ht="13.9" customHeight="1" x14ac:dyDescent="0.2">
      <c r="P584" s="27"/>
      <c r="Q584" s="30"/>
      <c r="R584" s="30"/>
      <c r="S584" s="30">
        <f>ABS(Q584)/'İtme Analizi'!$C$17</f>
        <v>0</v>
      </c>
      <c r="T584" s="30">
        <f>ABS(R584)/'İtme Analizi'!$C$14</f>
        <v>0</v>
      </c>
      <c r="U584" s="30">
        <f t="shared" si="12"/>
        <v>1.00829248845382E-4</v>
      </c>
    </row>
    <row r="585" spans="16:21" ht="13.9" customHeight="1" x14ac:dyDescent="0.2">
      <c r="P585" s="27"/>
      <c r="Q585" s="30"/>
      <c r="R585" s="30"/>
      <c r="S585" s="30">
        <f>ABS(Q585)/'İtme Analizi'!$C$17</f>
        <v>0</v>
      </c>
      <c r="T585" s="30">
        <f>ABS(R585)/'İtme Analizi'!$C$14</f>
        <v>0</v>
      </c>
      <c r="U585" s="30">
        <f t="shared" si="12"/>
        <v>1.00829248845382E-4</v>
      </c>
    </row>
    <row r="586" spans="16:21" ht="13.9" customHeight="1" x14ac:dyDescent="0.2">
      <c r="P586" s="27"/>
      <c r="Q586" s="30"/>
      <c r="R586" s="30"/>
      <c r="S586" s="30">
        <f>ABS(Q586)/'İtme Analizi'!$C$17</f>
        <v>0</v>
      </c>
      <c r="T586" s="30">
        <f>ABS(R586)/'İtme Analizi'!$C$14</f>
        <v>0</v>
      </c>
      <c r="U586" s="30">
        <f t="shared" si="12"/>
        <v>1.00829248845382E-4</v>
      </c>
    </row>
    <row r="587" spans="16:21" ht="13.9" customHeight="1" x14ac:dyDescent="0.2">
      <c r="P587" s="27"/>
      <c r="Q587" s="30"/>
      <c r="R587" s="30"/>
      <c r="S587" s="30">
        <f>ABS(Q587)/'İtme Analizi'!$C$17</f>
        <v>0</v>
      </c>
      <c r="T587" s="30">
        <f>ABS(R587)/'İtme Analizi'!$C$14</f>
        <v>0</v>
      </c>
      <c r="U587" s="30">
        <f t="shared" si="12"/>
        <v>1.00829248845382E-4</v>
      </c>
    </row>
    <row r="588" spans="16:21" ht="13.9" customHeight="1" x14ac:dyDescent="0.2">
      <c r="P588" s="27"/>
      <c r="Q588" s="30"/>
      <c r="R588" s="30"/>
      <c r="S588" s="30">
        <f>ABS(Q588)/'İtme Analizi'!$C$17</f>
        <v>0</v>
      </c>
      <c r="T588" s="30">
        <f>ABS(R588)/'İtme Analizi'!$C$14</f>
        <v>0</v>
      </c>
      <c r="U588" s="30">
        <f t="shared" si="12"/>
        <v>1.00829248845382E-4</v>
      </c>
    </row>
    <row r="589" spans="16:21" ht="13.9" customHeight="1" x14ac:dyDescent="0.2">
      <c r="P589" s="27"/>
      <c r="Q589" s="30"/>
      <c r="R589" s="30"/>
      <c r="S589" s="30">
        <f>ABS(Q589)/'İtme Analizi'!$C$17</f>
        <v>0</v>
      </c>
      <c r="T589" s="30">
        <f>ABS(R589)/'İtme Analizi'!$C$14</f>
        <v>0</v>
      </c>
      <c r="U589" s="30">
        <f t="shared" ref="U589:U652" si="13">U588+(S589-S588)*((T589+T588)/2)</f>
        <v>1.00829248845382E-4</v>
      </c>
    </row>
    <row r="590" spans="16:21" ht="13.9" customHeight="1" x14ac:dyDescent="0.2">
      <c r="P590" s="27"/>
      <c r="Q590" s="30"/>
      <c r="R590" s="30"/>
      <c r="S590" s="30">
        <f>ABS(Q590)/'İtme Analizi'!$C$17</f>
        <v>0</v>
      </c>
      <c r="T590" s="30">
        <f>ABS(R590)/'İtme Analizi'!$C$14</f>
        <v>0</v>
      </c>
      <c r="U590" s="30">
        <f t="shared" si="13"/>
        <v>1.00829248845382E-4</v>
      </c>
    </row>
    <row r="591" spans="16:21" ht="13.9" customHeight="1" x14ac:dyDescent="0.2">
      <c r="P591" s="27"/>
      <c r="Q591" s="30"/>
      <c r="R591" s="30"/>
      <c r="S591" s="30">
        <f>ABS(Q591)/'İtme Analizi'!$C$17</f>
        <v>0</v>
      </c>
      <c r="T591" s="30">
        <f>ABS(R591)/'İtme Analizi'!$C$14</f>
        <v>0</v>
      </c>
      <c r="U591" s="30">
        <f t="shared" si="13"/>
        <v>1.00829248845382E-4</v>
      </c>
    </row>
    <row r="592" spans="16:21" ht="13.9" customHeight="1" x14ac:dyDescent="0.2">
      <c r="P592" s="27"/>
      <c r="Q592" s="30"/>
      <c r="R592" s="30"/>
      <c r="S592" s="30">
        <f>ABS(Q592)/'İtme Analizi'!$C$17</f>
        <v>0</v>
      </c>
      <c r="T592" s="30">
        <f>ABS(R592)/'İtme Analizi'!$C$14</f>
        <v>0</v>
      </c>
      <c r="U592" s="30">
        <f t="shared" si="13"/>
        <v>1.00829248845382E-4</v>
      </c>
    </row>
    <row r="593" spans="16:21" ht="13.9" customHeight="1" x14ac:dyDescent="0.2">
      <c r="P593" s="27"/>
      <c r="Q593" s="30"/>
      <c r="R593" s="30"/>
      <c r="S593" s="30">
        <f>ABS(Q593)/'İtme Analizi'!$C$17</f>
        <v>0</v>
      </c>
      <c r="T593" s="30">
        <f>ABS(R593)/'İtme Analizi'!$C$14</f>
        <v>0</v>
      </c>
      <c r="U593" s="30">
        <f t="shared" si="13"/>
        <v>1.00829248845382E-4</v>
      </c>
    </row>
    <row r="594" spans="16:21" ht="13.9" customHeight="1" x14ac:dyDescent="0.2">
      <c r="P594" s="27"/>
      <c r="Q594" s="30"/>
      <c r="R594" s="30"/>
      <c r="S594" s="30">
        <f>ABS(Q594)/'İtme Analizi'!$C$17</f>
        <v>0</v>
      </c>
      <c r="T594" s="30">
        <f>ABS(R594)/'İtme Analizi'!$C$14</f>
        <v>0</v>
      </c>
      <c r="U594" s="30">
        <f t="shared" si="13"/>
        <v>1.00829248845382E-4</v>
      </c>
    </row>
    <row r="595" spans="16:21" ht="13.9" customHeight="1" x14ac:dyDescent="0.2">
      <c r="P595" s="27"/>
      <c r="Q595" s="30"/>
      <c r="R595" s="30"/>
      <c r="S595" s="30">
        <f>ABS(Q595)/'İtme Analizi'!$C$17</f>
        <v>0</v>
      </c>
      <c r="T595" s="30">
        <f>ABS(R595)/'İtme Analizi'!$C$14</f>
        <v>0</v>
      </c>
      <c r="U595" s="30">
        <f t="shared" si="13"/>
        <v>1.00829248845382E-4</v>
      </c>
    </row>
    <row r="596" spans="16:21" ht="13.9" customHeight="1" x14ac:dyDescent="0.2">
      <c r="P596" s="27"/>
      <c r="Q596" s="30"/>
      <c r="R596" s="30"/>
      <c r="S596" s="30">
        <f>ABS(Q596)/'İtme Analizi'!$C$17</f>
        <v>0</v>
      </c>
      <c r="T596" s="30">
        <f>ABS(R596)/'İtme Analizi'!$C$14</f>
        <v>0</v>
      </c>
      <c r="U596" s="30">
        <f t="shared" si="13"/>
        <v>1.00829248845382E-4</v>
      </c>
    </row>
    <row r="597" spans="16:21" ht="13.9" customHeight="1" x14ac:dyDescent="0.2">
      <c r="P597" s="27"/>
      <c r="Q597" s="30"/>
      <c r="R597" s="30"/>
      <c r="S597" s="30">
        <f>ABS(Q597)/'İtme Analizi'!$C$17</f>
        <v>0</v>
      </c>
      <c r="T597" s="30">
        <f>ABS(R597)/'İtme Analizi'!$C$14</f>
        <v>0</v>
      </c>
      <c r="U597" s="30">
        <f t="shared" si="13"/>
        <v>1.00829248845382E-4</v>
      </c>
    </row>
    <row r="598" spans="16:21" ht="13.9" customHeight="1" x14ac:dyDescent="0.2">
      <c r="P598" s="27"/>
      <c r="Q598" s="30"/>
      <c r="R598" s="30"/>
      <c r="S598" s="30">
        <f>ABS(Q598)/'İtme Analizi'!$C$17</f>
        <v>0</v>
      </c>
      <c r="T598" s="30">
        <f>ABS(R598)/'İtme Analizi'!$C$14</f>
        <v>0</v>
      </c>
      <c r="U598" s="30">
        <f t="shared" si="13"/>
        <v>1.00829248845382E-4</v>
      </c>
    </row>
    <row r="599" spans="16:21" ht="13.9" customHeight="1" x14ac:dyDescent="0.2">
      <c r="P599" s="27"/>
      <c r="Q599" s="30"/>
      <c r="R599" s="30"/>
      <c r="S599" s="30">
        <f>ABS(Q599)/'İtme Analizi'!$C$17</f>
        <v>0</v>
      </c>
      <c r="T599" s="30">
        <f>ABS(R599)/'İtme Analizi'!$C$14</f>
        <v>0</v>
      </c>
      <c r="U599" s="30">
        <f t="shared" si="13"/>
        <v>1.00829248845382E-4</v>
      </c>
    </row>
    <row r="600" spans="16:21" ht="13.9" customHeight="1" x14ac:dyDescent="0.2">
      <c r="P600" s="27"/>
      <c r="Q600" s="30"/>
      <c r="R600" s="30"/>
      <c r="S600" s="30">
        <f>ABS(Q600)/'İtme Analizi'!$C$17</f>
        <v>0</v>
      </c>
      <c r="T600" s="30">
        <f>ABS(R600)/'İtme Analizi'!$C$14</f>
        <v>0</v>
      </c>
      <c r="U600" s="30">
        <f t="shared" si="13"/>
        <v>1.00829248845382E-4</v>
      </c>
    </row>
    <row r="601" spans="16:21" ht="13.9" customHeight="1" x14ac:dyDescent="0.2">
      <c r="P601" s="27"/>
      <c r="Q601" s="30"/>
      <c r="R601" s="30"/>
      <c r="S601" s="30">
        <f>ABS(Q601)/'İtme Analizi'!$C$17</f>
        <v>0</v>
      </c>
      <c r="T601" s="30">
        <f>ABS(R601)/'İtme Analizi'!$C$14</f>
        <v>0</v>
      </c>
      <c r="U601" s="30">
        <f t="shared" si="13"/>
        <v>1.00829248845382E-4</v>
      </c>
    </row>
    <row r="602" spans="16:21" ht="13.9" customHeight="1" x14ac:dyDescent="0.2">
      <c r="P602" s="27"/>
      <c r="Q602" s="30"/>
      <c r="R602" s="30"/>
      <c r="S602" s="30">
        <f>ABS(Q602)/'İtme Analizi'!$C$17</f>
        <v>0</v>
      </c>
      <c r="T602" s="30">
        <f>ABS(R602)/'İtme Analizi'!$C$14</f>
        <v>0</v>
      </c>
      <c r="U602" s="30">
        <f t="shared" si="13"/>
        <v>1.00829248845382E-4</v>
      </c>
    </row>
    <row r="603" spans="16:21" ht="13.9" customHeight="1" x14ac:dyDescent="0.2">
      <c r="P603" s="27"/>
      <c r="Q603" s="30"/>
      <c r="R603" s="30"/>
      <c r="S603" s="30">
        <f>ABS(Q603)/'İtme Analizi'!$C$17</f>
        <v>0</v>
      </c>
      <c r="T603" s="30">
        <f>ABS(R603)/'İtme Analizi'!$C$14</f>
        <v>0</v>
      </c>
      <c r="U603" s="30">
        <f t="shared" si="13"/>
        <v>1.00829248845382E-4</v>
      </c>
    </row>
    <row r="604" spans="16:21" ht="13.9" customHeight="1" x14ac:dyDescent="0.2">
      <c r="P604" s="27"/>
      <c r="Q604" s="30"/>
      <c r="R604" s="30"/>
      <c r="S604" s="30">
        <f>ABS(Q604)/'İtme Analizi'!$C$17</f>
        <v>0</v>
      </c>
      <c r="T604" s="30">
        <f>ABS(R604)/'İtme Analizi'!$C$14</f>
        <v>0</v>
      </c>
      <c r="U604" s="30">
        <f t="shared" si="13"/>
        <v>1.00829248845382E-4</v>
      </c>
    </row>
    <row r="605" spans="16:21" ht="13.9" customHeight="1" x14ac:dyDescent="0.2">
      <c r="P605" s="27"/>
      <c r="Q605" s="30"/>
      <c r="R605" s="30"/>
      <c r="S605" s="30">
        <f>ABS(Q605)/'İtme Analizi'!$C$17</f>
        <v>0</v>
      </c>
      <c r="T605" s="30">
        <f>ABS(R605)/'İtme Analizi'!$C$14</f>
        <v>0</v>
      </c>
      <c r="U605" s="30">
        <f t="shared" si="13"/>
        <v>1.00829248845382E-4</v>
      </c>
    </row>
    <row r="606" spans="16:21" ht="13.9" customHeight="1" x14ac:dyDescent="0.2">
      <c r="P606" s="27"/>
      <c r="Q606" s="30"/>
      <c r="R606" s="30"/>
      <c r="S606" s="30">
        <f>ABS(Q606)/'İtme Analizi'!$C$17</f>
        <v>0</v>
      </c>
      <c r="T606" s="30">
        <f>ABS(R606)/'İtme Analizi'!$C$14</f>
        <v>0</v>
      </c>
      <c r="U606" s="30">
        <f t="shared" si="13"/>
        <v>1.00829248845382E-4</v>
      </c>
    </row>
    <row r="607" spans="16:21" ht="13.9" customHeight="1" x14ac:dyDescent="0.2">
      <c r="P607" s="27"/>
      <c r="Q607" s="30"/>
      <c r="R607" s="30"/>
      <c r="S607" s="30">
        <f>ABS(Q607)/'İtme Analizi'!$C$17</f>
        <v>0</v>
      </c>
      <c r="T607" s="30">
        <f>ABS(R607)/'İtme Analizi'!$C$14</f>
        <v>0</v>
      </c>
      <c r="U607" s="30">
        <f t="shared" si="13"/>
        <v>1.00829248845382E-4</v>
      </c>
    </row>
    <row r="608" spans="16:21" ht="13.9" customHeight="1" x14ac:dyDescent="0.2">
      <c r="P608" s="27"/>
      <c r="Q608" s="30"/>
      <c r="R608" s="30"/>
      <c r="S608" s="30">
        <f>ABS(Q608)/'İtme Analizi'!$C$17</f>
        <v>0</v>
      </c>
      <c r="T608" s="30">
        <f>ABS(R608)/'İtme Analizi'!$C$14</f>
        <v>0</v>
      </c>
      <c r="U608" s="30">
        <f t="shared" si="13"/>
        <v>1.00829248845382E-4</v>
      </c>
    </row>
    <row r="609" spans="16:21" ht="13.9" customHeight="1" x14ac:dyDescent="0.2">
      <c r="P609" s="27"/>
      <c r="Q609" s="30"/>
      <c r="R609" s="30"/>
      <c r="S609" s="30">
        <f>ABS(Q609)/'İtme Analizi'!$C$17</f>
        <v>0</v>
      </c>
      <c r="T609" s="30">
        <f>ABS(R609)/'İtme Analizi'!$C$14</f>
        <v>0</v>
      </c>
      <c r="U609" s="30">
        <f t="shared" si="13"/>
        <v>1.00829248845382E-4</v>
      </c>
    </row>
    <row r="610" spans="16:21" ht="13.9" customHeight="1" x14ac:dyDescent="0.2">
      <c r="P610" s="27"/>
      <c r="Q610" s="30"/>
      <c r="R610" s="30"/>
      <c r="S610" s="30">
        <f>ABS(Q610)/'İtme Analizi'!$C$17</f>
        <v>0</v>
      </c>
      <c r="T610" s="30">
        <f>ABS(R610)/'İtme Analizi'!$C$14</f>
        <v>0</v>
      </c>
      <c r="U610" s="30">
        <f t="shared" si="13"/>
        <v>1.00829248845382E-4</v>
      </c>
    </row>
    <row r="611" spans="16:21" ht="13.9" customHeight="1" x14ac:dyDescent="0.2">
      <c r="P611" s="27"/>
      <c r="Q611" s="30"/>
      <c r="R611" s="30"/>
      <c r="S611" s="30">
        <f>ABS(Q611)/'İtme Analizi'!$C$17</f>
        <v>0</v>
      </c>
      <c r="T611" s="30">
        <f>ABS(R611)/'İtme Analizi'!$C$14</f>
        <v>0</v>
      </c>
      <c r="U611" s="30">
        <f t="shared" si="13"/>
        <v>1.00829248845382E-4</v>
      </c>
    </row>
    <row r="612" spans="16:21" ht="13.9" customHeight="1" x14ac:dyDescent="0.2">
      <c r="P612" s="27"/>
      <c r="Q612" s="30"/>
      <c r="R612" s="30"/>
      <c r="S612" s="30">
        <f>ABS(Q612)/'İtme Analizi'!$C$17</f>
        <v>0</v>
      </c>
      <c r="T612" s="30">
        <f>ABS(R612)/'İtme Analizi'!$C$14</f>
        <v>0</v>
      </c>
      <c r="U612" s="30">
        <f t="shared" si="13"/>
        <v>1.00829248845382E-4</v>
      </c>
    </row>
    <row r="613" spans="16:21" ht="13.9" customHeight="1" x14ac:dyDescent="0.2">
      <c r="P613" s="27"/>
      <c r="Q613" s="30"/>
      <c r="R613" s="30"/>
      <c r="S613" s="30">
        <f>ABS(Q613)/'İtme Analizi'!$C$17</f>
        <v>0</v>
      </c>
      <c r="T613" s="30">
        <f>ABS(R613)/'İtme Analizi'!$C$14</f>
        <v>0</v>
      </c>
      <c r="U613" s="30">
        <f t="shared" si="13"/>
        <v>1.00829248845382E-4</v>
      </c>
    </row>
    <row r="614" spans="16:21" ht="13.9" customHeight="1" x14ac:dyDescent="0.2">
      <c r="P614" s="27"/>
      <c r="Q614" s="30"/>
      <c r="R614" s="30"/>
      <c r="S614" s="30">
        <f>ABS(Q614)/'İtme Analizi'!$C$17</f>
        <v>0</v>
      </c>
      <c r="T614" s="30">
        <f>ABS(R614)/'İtme Analizi'!$C$14</f>
        <v>0</v>
      </c>
      <c r="U614" s="30">
        <f t="shared" si="13"/>
        <v>1.00829248845382E-4</v>
      </c>
    </row>
    <row r="615" spans="16:21" ht="13.9" customHeight="1" x14ac:dyDescent="0.2">
      <c r="P615" s="27"/>
      <c r="Q615" s="30"/>
      <c r="R615" s="30"/>
      <c r="S615" s="30">
        <f>ABS(Q615)/'İtme Analizi'!$C$17</f>
        <v>0</v>
      </c>
      <c r="T615" s="30">
        <f>ABS(R615)/'İtme Analizi'!$C$14</f>
        <v>0</v>
      </c>
      <c r="U615" s="30">
        <f t="shared" si="13"/>
        <v>1.00829248845382E-4</v>
      </c>
    </row>
    <row r="616" spans="16:21" ht="13.9" customHeight="1" x14ac:dyDescent="0.2">
      <c r="P616" s="27"/>
      <c r="Q616" s="30"/>
      <c r="R616" s="30"/>
      <c r="S616" s="30">
        <f>ABS(Q616)/'İtme Analizi'!$C$17</f>
        <v>0</v>
      </c>
      <c r="T616" s="30">
        <f>ABS(R616)/'İtme Analizi'!$C$14</f>
        <v>0</v>
      </c>
      <c r="U616" s="30">
        <f t="shared" si="13"/>
        <v>1.00829248845382E-4</v>
      </c>
    </row>
    <row r="617" spans="16:21" ht="13.9" customHeight="1" x14ac:dyDescent="0.2">
      <c r="P617" s="27"/>
      <c r="Q617" s="30"/>
      <c r="R617" s="30"/>
      <c r="S617" s="30">
        <f>ABS(Q617)/'İtme Analizi'!$C$17</f>
        <v>0</v>
      </c>
      <c r="T617" s="30">
        <f>ABS(R617)/'İtme Analizi'!$C$14</f>
        <v>0</v>
      </c>
      <c r="U617" s="30">
        <f t="shared" si="13"/>
        <v>1.00829248845382E-4</v>
      </c>
    </row>
    <row r="618" spans="16:21" ht="13.9" customHeight="1" x14ac:dyDescent="0.2">
      <c r="P618" s="27"/>
      <c r="Q618" s="30"/>
      <c r="R618" s="30"/>
      <c r="S618" s="30">
        <f>ABS(Q618)/'İtme Analizi'!$C$17</f>
        <v>0</v>
      </c>
      <c r="T618" s="30">
        <f>ABS(R618)/'İtme Analizi'!$C$14</f>
        <v>0</v>
      </c>
      <c r="U618" s="30">
        <f t="shared" si="13"/>
        <v>1.00829248845382E-4</v>
      </c>
    </row>
    <row r="619" spans="16:21" ht="13.9" customHeight="1" x14ac:dyDescent="0.2">
      <c r="P619" s="27"/>
      <c r="Q619" s="30"/>
      <c r="R619" s="30"/>
      <c r="S619" s="30">
        <f>ABS(Q619)/'İtme Analizi'!$C$17</f>
        <v>0</v>
      </c>
      <c r="T619" s="30">
        <f>ABS(R619)/'İtme Analizi'!$C$14</f>
        <v>0</v>
      </c>
      <c r="U619" s="30">
        <f t="shared" si="13"/>
        <v>1.00829248845382E-4</v>
      </c>
    </row>
    <row r="620" spans="16:21" ht="13.9" customHeight="1" x14ac:dyDescent="0.2">
      <c r="P620" s="27"/>
      <c r="Q620" s="30"/>
      <c r="R620" s="30"/>
      <c r="S620" s="30">
        <f>ABS(Q620)/'İtme Analizi'!$C$17</f>
        <v>0</v>
      </c>
      <c r="T620" s="30">
        <f>ABS(R620)/'İtme Analizi'!$C$14</f>
        <v>0</v>
      </c>
      <c r="U620" s="30">
        <f t="shared" si="13"/>
        <v>1.00829248845382E-4</v>
      </c>
    </row>
    <row r="621" spans="16:21" ht="13.9" customHeight="1" x14ac:dyDescent="0.2">
      <c r="P621" s="27"/>
      <c r="Q621" s="30"/>
      <c r="R621" s="30"/>
      <c r="S621" s="30">
        <f>ABS(Q621)/'İtme Analizi'!$C$17</f>
        <v>0</v>
      </c>
      <c r="T621" s="30">
        <f>ABS(R621)/'İtme Analizi'!$C$14</f>
        <v>0</v>
      </c>
      <c r="U621" s="30">
        <f t="shared" si="13"/>
        <v>1.00829248845382E-4</v>
      </c>
    </row>
    <row r="622" spans="16:21" ht="13.9" customHeight="1" x14ac:dyDescent="0.2">
      <c r="P622" s="27"/>
      <c r="Q622" s="30"/>
      <c r="R622" s="30"/>
      <c r="S622" s="30">
        <f>ABS(Q622)/'İtme Analizi'!$C$17</f>
        <v>0</v>
      </c>
      <c r="T622" s="30">
        <f>ABS(R622)/'İtme Analizi'!$C$14</f>
        <v>0</v>
      </c>
      <c r="U622" s="30">
        <f t="shared" si="13"/>
        <v>1.00829248845382E-4</v>
      </c>
    </row>
    <row r="623" spans="16:21" ht="13.9" customHeight="1" x14ac:dyDescent="0.2">
      <c r="P623" s="27"/>
      <c r="Q623" s="30"/>
      <c r="R623" s="30"/>
      <c r="S623" s="30">
        <f>ABS(Q623)/'İtme Analizi'!$C$17</f>
        <v>0</v>
      </c>
      <c r="T623" s="30">
        <f>ABS(R623)/'İtme Analizi'!$C$14</f>
        <v>0</v>
      </c>
      <c r="U623" s="30">
        <f t="shared" si="13"/>
        <v>1.00829248845382E-4</v>
      </c>
    </row>
    <row r="624" spans="16:21" ht="13.9" customHeight="1" x14ac:dyDescent="0.2">
      <c r="P624" s="27"/>
      <c r="Q624" s="30"/>
      <c r="R624" s="30"/>
      <c r="S624" s="30">
        <f>ABS(Q624)/'İtme Analizi'!$C$17</f>
        <v>0</v>
      </c>
      <c r="T624" s="30">
        <f>ABS(R624)/'İtme Analizi'!$C$14</f>
        <v>0</v>
      </c>
      <c r="U624" s="30">
        <f t="shared" si="13"/>
        <v>1.00829248845382E-4</v>
      </c>
    </row>
    <row r="625" spans="16:21" ht="13.9" customHeight="1" x14ac:dyDescent="0.2">
      <c r="P625" s="27"/>
      <c r="Q625" s="30"/>
      <c r="R625" s="30"/>
      <c r="S625" s="30">
        <f>ABS(Q625)/'İtme Analizi'!$C$17</f>
        <v>0</v>
      </c>
      <c r="T625" s="30">
        <f>ABS(R625)/'İtme Analizi'!$C$14</f>
        <v>0</v>
      </c>
      <c r="U625" s="30">
        <f t="shared" si="13"/>
        <v>1.00829248845382E-4</v>
      </c>
    </row>
    <row r="626" spans="16:21" ht="13.9" customHeight="1" x14ac:dyDescent="0.2">
      <c r="P626" s="27"/>
      <c r="Q626" s="30"/>
      <c r="R626" s="30"/>
      <c r="S626" s="30">
        <f>ABS(Q626)/'İtme Analizi'!$C$17</f>
        <v>0</v>
      </c>
      <c r="T626" s="30">
        <f>ABS(R626)/'İtme Analizi'!$C$14</f>
        <v>0</v>
      </c>
      <c r="U626" s="30">
        <f t="shared" si="13"/>
        <v>1.00829248845382E-4</v>
      </c>
    </row>
    <row r="627" spans="16:21" ht="13.9" customHeight="1" x14ac:dyDescent="0.2">
      <c r="P627" s="27"/>
      <c r="Q627" s="30"/>
      <c r="R627" s="30"/>
      <c r="S627" s="30">
        <f>ABS(Q627)/'İtme Analizi'!$C$17</f>
        <v>0</v>
      </c>
      <c r="T627" s="30">
        <f>ABS(R627)/'İtme Analizi'!$C$14</f>
        <v>0</v>
      </c>
      <c r="U627" s="30">
        <f t="shared" si="13"/>
        <v>1.00829248845382E-4</v>
      </c>
    </row>
    <row r="628" spans="16:21" ht="13.9" customHeight="1" x14ac:dyDescent="0.2">
      <c r="P628" s="27"/>
      <c r="Q628" s="30"/>
      <c r="R628" s="30"/>
      <c r="S628" s="30">
        <f>ABS(Q628)/'İtme Analizi'!$C$17</f>
        <v>0</v>
      </c>
      <c r="T628" s="30">
        <f>ABS(R628)/'İtme Analizi'!$C$14</f>
        <v>0</v>
      </c>
      <c r="U628" s="30">
        <f t="shared" si="13"/>
        <v>1.00829248845382E-4</v>
      </c>
    </row>
    <row r="629" spans="16:21" ht="13.9" customHeight="1" x14ac:dyDescent="0.2">
      <c r="P629" s="27"/>
      <c r="Q629" s="30"/>
      <c r="R629" s="30"/>
      <c r="S629" s="30">
        <f>ABS(Q629)/'İtme Analizi'!$C$17</f>
        <v>0</v>
      </c>
      <c r="T629" s="30">
        <f>ABS(R629)/'İtme Analizi'!$C$14</f>
        <v>0</v>
      </c>
      <c r="U629" s="30">
        <f t="shared" si="13"/>
        <v>1.00829248845382E-4</v>
      </c>
    </row>
    <row r="630" spans="16:21" ht="13.9" customHeight="1" x14ac:dyDescent="0.2">
      <c r="P630" s="27"/>
      <c r="Q630" s="30"/>
      <c r="R630" s="30"/>
      <c r="S630" s="30">
        <f>ABS(Q630)/'İtme Analizi'!$C$17</f>
        <v>0</v>
      </c>
      <c r="T630" s="30">
        <f>ABS(R630)/'İtme Analizi'!$C$14</f>
        <v>0</v>
      </c>
      <c r="U630" s="30">
        <f t="shared" si="13"/>
        <v>1.00829248845382E-4</v>
      </c>
    </row>
    <row r="631" spans="16:21" ht="13.9" customHeight="1" x14ac:dyDescent="0.2">
      <c r="P631" s="27"/>
      <c r="Q631" s="30"/>
      <c r="R631" s="30"/>
      <c r="S631" s="30">
        <f>ABS(Q631)/'İtme Analizi'!$C$17</f>
        <v>0</v>
      </c>
      <c r="T631" s="30">
        <f>ABS(R631)/'İtme Analizi'!$C$14</f>
        <v>0</v>
      </c>
      <c r="U631" s="30">
        <f t="shared" si="13"/>
        <v>1.00829248845382E-4</v>
      </c>
    </row>
    <row r="632" spans="16:21" ht="13.9" customHeight="1" x14ac:dyDescent="0.2">
      <c r="P632" s="27"/>
      <c r="Q632" s="30"/>
      <c r="R632" s="30"/>
      <c r="S632" s="30">
        <f>ABS(Q632)/'İtme Analizi'!$C$17</f>
        <v>0</v>
      </c>
      <c r="T632" s="30">
        <f>ABS(R632)/'İtme Analizi'!$C$14</f>
        <v>0</v>
      </c>
      <c r="U632" s="30">
        <f t="shared" si="13"/>
        <v>1.00829248845382E-4</v>
      </c>
    </row>
    <row r="633" spans="16:21" ht="13.9" customHeight="1" x14ac:dyDescent="0.2">
      <c r="P633" s="27"/>
      <c r="Q633" s="30"/>
      <c r="R633" s="30"/>
      <c r="S633" s="30">
        <f>ABS(Q633)/'İtme Analizi'!$C$17</f>
        <v>0</v>
      </c>
      <c r="T633" s="30">
        <f>ABS(R633)/'İtme Analizi'!$C$14</f>
        <v>0</v>
      </c>
      <c r="U633" s="30">
        <f t="shared" si="13"/>
        <v>1.00829248845382E-4</v>
      </c>
    </row>
    <row r="634" spans="16:21" ht="13.9" customHeight="1" x14ac:dyDescent="0.2">
      <c r="P634" s="27"/>
      <c r="Q634" s="30"/>
      <c r="R634" s="30"/>
      <c r="S634" s="30">
        <f>ABS(Q634)/'İtme Analizi'!$C$17</f>
        <v>0</v>
      </c>
      <c r="T634" s="30">
        <f>ABS(R634)/'İtme Analizi'!$C$14</f>
        <v>0</v>
      </c>
      <c r="U634" s="30">
        <f t="shared" si="13"/>
        <v>1.00829248845382E-4</v>
      </c>
    </row>
    <row r="635" spans="16:21" ht="13.9" customHeight="1" x14ac:dyDescent="0.2">
      <c r="P635" s="27"/>
      <c r="Q635" s="30"/>
      <c r="R635" s="30"/>
      <c r="S635" s="30">
        <f>ABS(Q635)/'İtme Analizi'!$C$17</f>
        <v>0</v>
      </c>
      <c r="T635" s="30">
        <f>ABS(R635)/'İtme Analizi'!$C$14</f>
        <v>0</v>
      </c>
      <c r="U635" s="30">
        <f t="shared" si="13"/>
        <v>1.00829248845382E-4</v>
      </c>
    </row>
    <row r="636" spans="16:21" ht="13.9" customHeight="1" x14ac:dyDescent="0.2">
      <c r="P636" s="27"/>
      <c r="Q636" s="30"/>
      <c r="R636" s="30"/>
      <c r="S636" s="30">
        <f>ABS(Q636)/'İtme Analizi'!$C$17</f>
        <v>0</v>
      </c>
      <c r="T636" s="30">
        <f>ABS(R636)/'İtme Analizi'!$C$14</f>
        <v>0</v>
      </c>
      <c r="U636" s="30">
        <f t="shared" si="13"/>
        <v>1.00829248845382E-4</v>
      </c>
    </row>
    <row r="637" spans="16:21" ht="13.9" customHeight="1" x14ac:dyDescent="0.2">
      <c r="P637" s="27"/>
      <c r="Q637" s="30"/>
      <c r="R637" s="30"/>
      <c r="S637" s="30">
        <f>ABS(Q637)/'İtme Analizi'!$C$17</f>
        <v>0</v>
      </c>
      <c r="T637" s="30">
        <f>ABS(R637)/'İtme Analizi'!$C$14</f>
        <v>0</v>
      </c>
      <c r="U637" s="30">
        <f t="shared" si="13"/>
        <v>1.00829248845382E-4</v>
      </c>
    </row>
    <row r="638" spans="16:21" ht="13.9" customHeight="1" x14ac:dyDescent="0.2">
      <c r="P638" s="27"/>
      <c r="Q638" s="30"/>
      <c r="R638" s="30"/>
      <c r="S638" s="30">
        <f>ABS(Q638)/'İtme Analizi'!$C$17</f>
        <v>0</v>
      </c>
      <c r="T638" s="30">
        <f>ABS(R638)/'İtme Analizi'!$C$14</f>
        <v>0</v>
      </c>
      <c r="U638" s="30">
        <f t="shared" si="13"/>
        <v>1.00829248845382E-4</v>
      </c>
    </row>
    <row r="639" spans="16:21" ht="13.9" customHeight="1" x14ac:dyDescent="0.2">
      <c r="P639" s="27"/>
      <c r="Q639" s="30"/>
      <c r="R639" s="30"/>
      <c r="S639" s="30">
        <f>ABS(Q639)/'İtme Analizi'!$C$17</f>
        <v>0</v>
      </c>
      <c r="T639" s="30">
        <f>ABS(R639)/'İtme Analizi'!$C$14</f>
        <v>0</v>
      </c>
      <c r="U639" s="30">
        <f t="shared" si="13"/>
        <v>1.00829248845382E-4</v>
      </c>
    </row>
    <row r="640" spans="16:21" ht="13.9" customHeight="1" x14ac:dyDescent="0.2">
      <c r="P640" s="27"/>
      <c r="Q640" s="30"/>
      <c r="R640" s="30"/>
      <c r="S640" s="30">
        <f>ABS(Q640)/'İtme Analizi'!$C$17</f>
        <v>0</v>
      </c>
      <c r="T640" s="30">
        <f>ABS(R640)/'İtme Analizi'!$C$14</f>
        <v>0</v>
      </c>
      <c r="U640" s="30">
        <f t="shared" si="13"/>
        <v>1.00829248845382E-4</v>
      </c>
    </row>
    <row r="641" spans="16:21" ht="13.9" customHeight="1" x14ac:dyDescent="0.2">
      <c r="P641" s="27"/>
      <c r="Q641" s="30"/>
      <c r="R641" s="30"/>
      <c r="S641" s="30">
        <f>ABS(Q641)/'İtme Analizi'!$C$17</f>
        <v>0</v>
      </c>
      <c r="T641" s="30">
        <f>ABS(R641)/'İtme Analizi'!$C$14</f>
        <v>0</v>
      </c>
      <c r="U641" s="30">
        <f t="shared" si="13"/>
        <v>1.00829248845382E-4</v>
      </c>
    </row>
    <row r="642" spans="16:21" ht="13.9" customHeight="1" x14ac:dyDescent="0.2">
      <c r="P642" s="27"/>
      <c r="Q642" s="30"/>
      <c r="R642" s="30"/>
      <c r="S642" s="30">
        <f>ABS(Q642)/'İtme Analizi'!$C$17</f>
        <v>0</v>
      </c>
      <c r="T642" s="30">
        <f>ABS(R642)/'İtme Analizi'!$C$14</f>
        <v>0</v>
      </c>
      <c r="U642" s="30">
        <f t="shared" si="13"/>
        <v>1.00829248845382E-4</v>
      </c>
    </row>
    <row r="643" spans="16:21" ht="13.9" customHeight="1" x14ac:dyDescent="0.2">
      <c r="P643" s="27"/>
      <c r="Q643" s="30"/>
      <c r="R643" s="30"/>
      <c r="S643" s="30">
        <f>ABS(Q643)/'İtme Analizi'!$C$17</f>
        <v>0</v>
      </c>
      <c r="T643" s="30">
        <f>ABS(R643)/'İtme Analizi'!$C$14</f>
        <v>0</v>
      </c>
      <c r="U643" s="30">
        <f t="shared" si="13"/>
        <v>1.00829248845382E-4</v>
      </c>
    </row>
    <row r="644" spans="16:21" ht="13.9" customHeight="1" x14ac:dyDescent="0.2">
      <c r="P644" s="27"/>
      <c r="Q644" s="30"/>
      <c r="R644" s="30"/>
      <c r="S644" s="30">
        <f>ABS(Q644)/'İtme Analizi'!$C$17</f>
        <v>0</v>
      </c>
      <c r="T644" s="30">
        <f>ABS(R644)/'İtme Analizi'!$C$14</f>
        <v>0</v>
      </c>
      <c r="U644" s="30">
        <f t="shared" si="13"/>
        <v>1.00829248845382E-4</v>
      </c>
    </row>
    <row r="645" spans="16:21" ht="13.9" customHeight="1" x14ac:dyDescent="0.2">
      <c r="P645" s="27"/>
      <c r="Q645" s="30"/>
      <c r="R645" s="30"/>
      <c r="S645" s="30">
        <f>ABS(Q645)/'İtme Analizi'!$C$17</f>
        <v>0</v>
      </c>
      <c r="T645" s="30">
        <f>ABS(R645)/'İtme Analizi'!$C$14</f>
        <v>0</v>
      </c>
      <c r="U645" s="30">
        <f t="shared" si="13"/>
        <v>1.00829248845382E-4</v>
      </c>
    </row>
    <row r="646" spans="16:21" ht="13.9" customHeight="1" x14ac:dyDescent="0.2">
      <c r="P646" s="27"/>
      <c r="Q646" s="30"/>
      <c r="R646" s="30"/>
      <c r="S646" s="30">
        <f>ABS(Q646)/'İtme Analizi'!$C$17</f>
        <v>0</v>
      </c>
      <c r="T646" s="30">
        <f>ABS(R646)/'İtme Analizi'!$C$14</f>
        <v>0</v>
      </c>
      <c r="U646" s="30">
        <f t="shared" si="13"/>
        <v>1.00829248845382E-4</v>
      </c>
    </row>
    <row r="647" spans="16:21" ht="13.9" customHeight="1" x14ac:dyDescent="0.2">
      <c r="P647" s="27"/>
      <c r="Q647" s="30"/>
      <c r="R647" s="30"/>
      <c r="S647" s="30">
        <f>ABS(Q647)/'İtme Analizi'!$C$17</f>
        <v>0</v>
      </c>
      <c r="T647" s="30">
        <f>ABS(R647)/'İtme Analizi'!$C$14</f>
        <v>0</v>
      </c>
      <c r="U647" s="30">
        <f t="shared" si="13"/>
        <v>1.00829248845382E-4</v>
      </c>
    </row>
    <row r="648" spans="16:21" ht="13.9" customHeight="1" x14ac:dyDescent="0.2">
      <c r="P648" s="27"/>
      <c r="Q648" s="30"/>
      <c r="R648" s="30"/>
      <c r="S648" s="30">
        <f>ABS(Q648)/'İtme Analizi'!$C$17</f>
        <v>0</v>
      </c>
      <c r="T648" s="30">
        <f>ABS(R648)/'İtme Analizi'!$C$14</f>
        <v>0</v>
      </c>
      <c r="U648" s="30">
        <f t="shared" si="13"/>
        <v>1.00829248845382E-4</v>
      </c>
    </row>
    <row r="649" spans="16:21" ht="13.9" customHeight="1" x14ac:dyDescent="0.2">
      <c r="P649" s="27"/>
      <c r="Q649" s="30"/>
      <c r="R649" s="30"/>
      <c r="S649" s="30">
        <f>ABS(Q649)/'İtme Analizi'!$C$17</f>
        <v>0</v>
      </c>
      <c r="T649" s="30">
        <f>ABS(R649)/'İtme Analizi'!$C$14</f>
        <v>0</v>
      </c>
      <c r="U649" s="30">
        <f t="shared" si="13"/>
        <v>1.00829248845382E-4</v>
      </c>
    </row>
    <row r="650" spans="16:21" ht="13.9" customHeight="1" x14ac:dyDescent="0.2">
      <c r="P650" s="27"/>
      <c r="Q650" s="30"/>
      <c r="R650" s="30"/>
      <c r="S650" s="30">
        <f>ABS(Q650)/'İtme Analizi'!$C$17</f>
        <v>0</v>
      </c>
      <c r="T650" s="30">
        <f>ABS(R650)/'İtme Analizi'!$C$14</f>
        <v>0</v>
      </c>
      <c r="U650" s="30">
        <f t="shared" si="13"/>
        <v>1.00829248845382E-4</v>
      </c>
    </row>
    <row r="651" spans="16:21" ht="13.9" customHeight="1" x14ac:dyDescent="0.2">
      <c r="P651" s="27"/>
      <c r="Q651" s="30"/>
      <c r="R651" s="30"/>
      <c r="S651" s="30">
        <f>ABS(Q651)/'İtme Analizi'!$C$17</f>
        <v>0</v>
      </c>
      <c r="T651" s="30">
        <f>ABS(R651)/'İtme Analizi'!$C$14</f>
        <v>0</v>
      </c>
      <c r="U651" s="30">
        <f t="shared" si="13"/>
        <v>1.00829248845382E-4</v>
      </c>
    </row>
    <row r="652" spans="16:21" ht="13.9" customHeight="1" x14ac:dyDescent="0.2">
      <c r="P652" s="27"/>
      <c r="Q652" s="30"/>
      <c r="R652" s="30"/>
      <c r="S652" s="30">
        <f>ABS(Q652)/'İtme Analizi'!$C$17</f>
        <v>0</v>
      </c>
      <c r="T652" s="30">
        <f>ABS(R652)/'İtme Analizi'!$C$14</f>
        <v>0</v>
      </c>
      <c r="U652" s="30">
        <f t="shared" si="13"/>
        <v>1.00829248845382E-4</v>
      </c>
    </row>
    <row r="653" spans="16:21" ht="13.9" customHeight="1" x14ac:dyDescent="0.2">
      <c r="P653" s="27"/>
      <c r="Q653" s="30"/>
      <c r="R653" s="30"/>
      <c r="S653" s="30">
        <f>ABS(Q653)/'İtme Analizi'!$C$17</f>
        <v>0</v>
      </c>
      <c r="T653" s="30">
        <f>ABS(R653)/'İtme Analizi'!$C$14</f>
        <v>0</v>
      </c>
      <c r="U653" s="30">
        <f t="shared" ref="U653:U705" si="14">U652+(S653-S652)*((T653+T652)/2)</f>
        <v>1.00829248845382E-4</v>
      </c>
    </row>
    <row r="654" spans="16:21" ht="13.9" customHeight="1" x14ac:dyDescent="0.2">
      <c r="P654" s="27"/>
      <c r="Q654" s="30"/>
      <c r="R654" s="30"/>
      <c r="S654" s="30">
        <f>ABS(Q654)/'İtme Analizi'!$C$17</f>
        <v>0</v>
      </c>
      <c r="T654" s="30">
        <f>ABS(R654)/'İtme Analizi'!$C$14</f>
        <v>0</v>
      </c>
      <c r="U654" s="30">
        <f t="shared" si="14"/>
        <v>1.00829248845382E-4</v>
      </c>
    </row>
    <row r="655" spans="16:21" ht="13.9" customHeight="1" x14ac:dyDescent="0.2">
      <c r="P655" s="27"/>
      <c r="Q655" s="30"/>
      <c r="R655" s="30"/>
      <c r="S655" s="30">
        <f>ABS(Q655)/'İtme Analizi'!$C$17</f>
        <v>0</v>
      </c>
      <c r="T655" s="30">
        <f>ABS(R655)/'İtme Analizi'!$C$14</f>
        <v>0</v>
      </c>
      <c r="U655" s="30">
        <f t="shared" si="14"/>
        <v>1.00829248845382E-4</v>
      </c>
    </row>
    <row r="656" spans="16:21" ht="13.9" customHeight="1" x14ac:dyDescent="0.2">
      <c r="P656" s="27"/>
      <c r="Q656" s="30"/>
      <c r="R656" s="30"/>
      <c r="S656" s="30">
        <f>ABS(Q656)/'İtme Analizi'!$C$17</f>
        <v>0</v>
      </c>
      <c r="T656" s="30">
        <f>ABS(R656)/'İtme Analizi'!$C$14</f>
        <v>0</v>
      </c>
      <c r="U656" s="30">
        <f t="shared" si="14"/>
        <v>1.00829248845382E-4</v>
      </c>
    </row>
    <row r="657" spans="16:21" ht="13.9" customHeight="1" x14ac:dyDescent="0.2">
      <c r="P657" s="27"/>
      <c r="Q657" s="30"/>
      <c r="R657" s="30"/>
      <c r="S657" s="30">
        <f>ABS(Q657)/'İtme Analizi'!$C$17</f>
        <v>0</v>
      </c>
      <c r="T657" s="30">
        <f>ABS(R657)/'İtme Analizi'!$C$14</f>
        <v>0</v>
      </c>
      <c r="U657" s="30">
        <f t="shared" si="14"/>
        <v>1.00829248845382E-4</v>
      </c>
    </row>
    <row r="658" spans="16:21" ht="13.9" customHeight="1" x14ac:dyDescent="0.2">
      <c r="P658" s="27"/>
      <c r="Q658" s="30"/>
      <c r="R658" s="30"/>
      <c r="S658" s="30">
        <f>ABS(Q658)/'İtme Analizi'!$C$17</f>
        <v>0</v>
      </c>
      <c r="T658" s="30">
        <f>ABS(R658)/'İtme Analizi'!$C$14</f>
        <v>0</v>
      </c>
      <c r="U658" s="30">
        <f t="shared" si="14"/>
        <v>1.00829248845382E-4</v>
      </c>
    </row>
    <row r="659" spans="16:21" ht="13.9" customHeight="1" x14ac:dyDescent="0.2">
      <c r="P659" s="27"/>
      <c r="Q659" s="30"/>
      <c r="R659" s="30"/>
      <c r="S659" s="30">
        <f>ABS(Q659)/'İtme Analizi'!$C$17</f>
        <v>0</v>
      </c>
      <c r="T659" s="30">
        <f>ABS(R659)/'İtme Analizi'!$C$14</f>
        <v>0</v>
      </c>
      <c r="U659" s="30">
        <f t="shared" si="14"/>
        <v>1.00829248845382E-4</v>
      </c>
    </row>
    <row r="660" spans="16:21" ht="13.9" customHeight="1" x14ac:dyDescent="0.2">
      <c r="P660" s="27"/>
      <c r="Q660" s="30"/>
      <c r="R660" s="30"/>
      <c r="S660" s="30">
        <f>ABS(Q660)/'İtme Analizi'!$C$17</f>
        <v>0</v>
      </c>
      <c r="T660" s="30">
        <f>ABS(R660)/'İtme Analizi'!$C$14</f>
        <v>0</v>
      </c>
      <c r="U660" s="30">
        <f t="shared" si="14"/>
        <v>1.00829248845382E-4</v>
      </c>
    </row>
    <row r="661" spans="16:21" ht="13.9" customHeight="1" x14ac:dyDescent="0.2">
      <c r="P661" s="27"/>
      <c r="Q661" s="30"/>
      <c r="R661" s="30"/>
      <c r="S661" s="30">
        <f>ABS(Q661)/'İtme Analizi'!$C$17</f>
        <v>0</v>
      </c>
      <c r="T661" s="30">
        <f>ABS(R661)/'İtme Analizi'!$C$14</f>
        <v>0</v>
      </c>
      <c r="U661" s="30">
        <f t="shared" si="14"/>
        <v>1.00829248845382E-4</v>
      </c>
    </row>
    <row r="662" spans="16:21" ht="13.9" customHeight="1" x14ac:dyDescent="0.2">
      <c r="P662" s="27"/>
      <c r="Q662" s="30"/>
      <c r="R662" s="30"/>
      <c r="S662" s="30">
        <f>ABS(Q662)/'İtme Analizi'!$C$17</f>
        <v>0</v>
      </c>
      <c r="T662" s="30">
        <f>ABS(R662)/'İtme Analizi'!$C$14</f>
        <v>0</v>
      </c>
      <c r="U662" s="30">
        <f t="shared" si="14"/>
        <v>1.00829248845382E-4</v>
      </c>
    </row>
    <row r="663" spans="16:21" ht="13.9" customHeight="1" x14ac:dyDescent="0.2">
      <c r="P663" s="27"/>
      <c r="Q663" s="30"/>
      <c r="R663" s="30"/>
      <c r="S663" s="30">
        <f>ABS(Q663)/'İtme Analizi'!$C$17</f>
        <v>0</v>
      </c>
      <c r="T663" s="30">
        <f>ABS(R663)/'İtme Analizi'!$C$14</f>
        <v>0</v>
      </c>
      <c r="U663" s="30">
        <f t="shared" si="14"/>
        <v>1.00829248845382E-4</v>
      </c>
    </row>
    <row r="664" spans="16:21" ht="13.9" customHeight="1" x14ac:dyDescent="0.2">
      <c r="P664" s="27"/>
      <c r="Q664" s="30"/>
      <c r="R664" s="30"/>
      <c r="S664" s="30">
        <f>ABS(Q664)/'İtme Analizi'!$C$17</f>
        <v>0</v>
      </c>
      <c r="T664" s="30">
        <f>ABS(R664)/'İtme Analizi'!$C$14</f>
        <v>0</v>
      </c>
      <c r="U664" s="30">
        <f t="shared" si="14"/>
        <v>1.00829248845382E-4</v>
      </c>
    </row>
    <row r="665" spans="16:21" ht="13.9" customHeight="1" x14ac:dyDescent="0.2">
      <c r="P665" s="27"/>
      <c r="Q665" s="30"/>
      <c r="R665" s="30"/>
      <c r="S665" s="30">
        <f>ABS(Q665)/'İtme Analizi'!$C$17</f>
        <v>0</v>
      </c>
      <c r="T665" s="30">
        <f>ABS(R665)/'İtme Analizi'!$C$14</f>
        <v>0</v>
      </c>
      <c r="U665" s="30">
        <f t="shared" si="14"/>
        <v>1.00829248845382E-4</v>
      </c>
    </row>
    <row r="666" spans="16:21" ht="13.9" customHeight="1" x14ac:dyDescent="0.2">
      <c r="P666" s="27"/>
      <c r="Q666" s="30"/>
      <c r="R666" s="30"/>
      <c r="S666" s="30">
        <f>ABS(Q666)/'İtme Analizi'!$C$17</f>
        <v>0</v>
      </c>
      <c r="T666" s="30">
        <f>ABS(R666)/'İtme Analizi'!$C$14</f>
        <v>0</v>
      </c>
      <c r="U666" s="30">
        <f t="shared" si="14"/>
        <v>1.00829248845382E-4</v>
      </c>
    </row>
    <row r="667" spans="16:21" ht="13.9" customHeight="1" x14ac:dyDescent="0.2">
      <c r="P667" s="27"/>
      <c r="Q667" s="30"/>
      <c r="R667" s="30"/>
      <c r="S667" s="30">
        <f>ABS(Q667)/'İtme Analizi'!$C$17</f>
        <v>0</v>
      </c>
      <c r="T667" s="30">
        <f>ABS(R667)/'İtme Analizi'!$C$14</f>
        <v>0</v>
      </c>
      <c r="U667" s="30">
        <f t="shared" si="14"/>
        <v>1.00829248845382E-4</v>
      </c>
    </row>
    <row r="668" spans="16:21" ht="13.9" customHeight="1" x14ac:dyDescent="0.2">
      <c r="P668" s="27"/>
      <c r="Q668" s="30"/>
      <c r="R668" s="30"/>
      <c r="S668" s="30">
        <f>ABS(Q668)/'İtme Analizi'!$C$17</f>
        <v>0</v>
      </c>
      <c r="T668" s="30">
        <f>ABS(R668)/'İtme Analizi'!$C$14</f>
        <v>0</v>
      </c>
      <c r="U668" s="30">
        <f t="shared" si="14"/>
        <v>1.00829248845382E-4</v>
      </c>
    </row>
    <row r="669" spans="16:21" ht="13.9" customHeight="1" x14ac:dyDescent="0.2">
      <c r="P669" s="27"/>
      <c r="Q669" s="30"/>
      <c r="R669" s="30"/>
      <c r="S669" s="30">
        <f>ABS(Q669)/'İtme Analizi'!$C$17</f>
        <v>0</v>
      </c>
      <c r="T669" s="30">
        <f>ABS(R669)/'İtme Analizi'!$C$14</f>
        <v>0</v>
      </c>
      <c r="U669" s="30">
        <f t="shared" si="14"/>
        <v>1.00829248845382E-4</v>
      </c>
    </row>
    <row r="670" spans="16:21" ht="13.9" customHeight="1" x14ac:dyDescent="0.2">
      <c r="P670" s="27"/>
      <c r="Q670" s="30"/>
      <c r="R670" s="30"/>
      <c r="S670" s="30">
        <f>ABS(Q670)/'İtme Analizi'!$C$17</f>
        <v>0</v>
      </c>
      <c r="T670" s="30">
        <f>ABS(R670)/'İtme Analizi'!$C$14</f>
        <v>0</v>
      </c>
      <c r="U670" s="30">
        <f t="shared" si="14"/>
        <v>1.00829248845382E-4</v>
      </c>
    </row>
    <row r="671" spans="16:21" ht="13.9" customHeight="1" x14ac:dyDescent="0.2">
      <c r="P671" s="27"/>
      <c r="Q671" s="30"/>
      <c r="R671" s="30"/>
      <c r="S671" s="30">
        <f>ABS(Q671)/'İtme Analizi'!$C$17</f>
        <v>0</v>
      </c>
      <c r="T671" s="30">
        <f>ABS(R671)/'İtme Analizi'!$C$14</f>
        <v>0</v>
      </c>
      <c r="U671" s="30">
        <f t="shared" si="14"/>
        <v>1.00829248845382E-4</v>
      </c>
    </row>
    <row r="672" spans="16:21" ht="13.9" customHeight="1" x14ac:dyDescent="0.2">
      <c r="P672" s="27"/>
      <c r="Q672" s="30"/>
      <c r="R672" s="30"/>
      <c r="S672" s="30">
        <f>ABS(Q672)/'İtme Analizi'!$C$17</f>
        <v>0</v>
      </c>
      <c r="T672" s="30">
        <f>ABS(R672)/'İtme Analizi'!$C$14</f>
        <v>0</v>
      </c>
      <c r="U672" s="30">
        <f t="shared" si="14"/>
        <v>1.00829248845382E-4</v>
      </c>
    </row>
    <row r="673" spans="16:21" ht="13.9" customHeight="1" x14ac:dyDescent="0.2">
      <c r="P673" s="27"/>
      <c r="Q673" s="30"/>
      <c r="R673" s="30"/>
      <c r="S673" s="30">
        <f>ABS(Q673)/'İtme Analizi'!$C$17</f>
        <v>0</v>
      </c>
      <c r="T673" s="30">
        <f>ABS(R673)/'İtme Analizi'!$C$14</f>
        <v>0</v>
      </c>
      <c r="U673" s="30">
        <f t="shared" si="14"/>
        <v>1.00829248845382E-4</v>
      </c>
    </row>
    <row r="674" spans="16:21" ht="13.9" customHeight="1" x14ac:dyDescent="0.2">
      <c r="P674" s="27"/>
      <c r="Q674" s="30"/>
      <c r="R674" s="30"/>
      <c r="S674" s="30">
        <f>ABS(Q674)/'İtme Analizi'!$C$17</f>
        <v>0</v>
      </c>
      <c r="T674" s="30">
        <f>ABS(R674)/'İtme Analizi'!$C$14</f>
        <v>0</v>
      </c>
      <c r="U674" s="30">
        <f t="shared" si="14"/>
        <v>1.00829248845382E-4</v>
      </c>
    </row>
    <row r="675" spans="16:21" ht="13.9" customHeight="1" x14ac:dyDescent="0.2">
      <c r="P675" s="27"/>
      <c r="Q675" s="30"/>
      <c r="R675" s="30"/>
      <c r="S675" s="30">
        <f>ABS(Q675)/'İtme Analizi'!$C$17</f>
        <v>0</v>
      </c>
      <c r="T675" s="30">
        <f>ABS(R675)/'İtme Analizi'!$C$14</f>
        <v>0</v>
      </c>
      <c r="U675" s="30">
        <f t="shared" si="14"/>
        <v>1.00829248845382E-4</v>
      </c>
    </row>
    <row r="676" spans="16:21" ht="13.9" customHeight="1" x14ac:dyDescent="0.2">
      <c r="P676" s="27"/>
      <c r="Q676" s="30"/>
      <c r="R676" s="30"/>
      <c r="S676" s="30">
        <f>ABS(Q676)/'İtme Analizi'!$C$17</f>
        <v>0</v>
      </c>
      <c r="T676" s="30">
        <f>ABS(R676)/'İtme Analizi'!$C$14</f>
        <v>0</v>
      </c>
      <c r="U676" s="30">
        <f t="shared" si="14"/>
        <v>1.00829248845382E-4</v>
      </c>
    </row>
    <row r="677" spans="16:21" ht="13.9" customHeight="1" x14ac:dyDescent="0.2">
      <c r="P677" s="27"/>
      <c r="Q677" s="30"/>
      <c r="R677" s="30"/>
      <c r="S677" s="30">
        <f>ABS(Q677)/'İtme Analizi'!$C$17</f>
        <v>0</v>
      </c>
      <c r="T677" s="30">
        <f>ABS(R677)/'İtme Analizi'!$C$14</f>
        <v>0</v>
      </c>
      <c r="U677" s="30">
        <f t="shared" si="14"/>
        <v>1.00829248845382E-4</v>
      </c>
    </row>
    <row r="678" spans="16:21" ht="13.9" customHeight="1" x14ac:dyDescent="0.2">
      <c r="P678" s="27"/>
      <c r="Q678" s="30"/>
      <c r="R678" s="30"/>
      <c r="S678" s="30">
        <f>ABS(Q678)/'İtme Analizi'!$C$17</f>
        <v>0</v>
      </c>
      <c r="T678" s="30">
        <f>ABS(R678)/'İtme Analizi'!$C$14</f>
        <v>0</v>
      </c>
      <c r="U678" s="30">
        <f t="shared" si="14"/>
        <v>1.00829248845382E-4</v>
      </c>
    </row>
    <row r="679" spans="16:21" ht="13.9" customHeight="1" x14ac:dyDescent="0.2">
      <c r="P679" s="27"/>
      <c r="Q679" s="30"/>
      <c r="R679" s="30"/>
      <c r="S679" s="30">
        <f>ABS(Q679)/'İtme Analizi'!$C$17</f>
        <v>0</v>
      </c>
      <c r="T679" s="30">
        <f>ABS(R679)/'İtme Analizi'!$C$14</f>
        <v>0</v>
      </c>
      <c r="U679" s="30">
        <f t="shared" si="14"/>
        <v>1.00829248845382E-4</v>
      </c>
    </row>
    <row r="680" spans="16:21" ht="13.9" customHeight="1" x14ac:dyDescent="0.2">
      <c r="P680" s="27"/>
      <c r="Q680" s="30"/>
      <c r="R680" s="30"/>
      <c r="S680" s="30">
        <f>ABS(Q680)/'İtme Analizi'!$C$17</f>
        <v>0</v>
      </c>
      <c r="T680" s="30">
        <f>ABS(R680)/'İtme Analizi'!$C$14</f>
        <v>0</v>
      </c>
      <c r="U680" s="30">
        <f t="shared" si="14"/>
        <v>1.00829248845382E-4</v>
      </c>
    </row>
    <row r="681" spans="16:21" ht="13.9" customHeight="1" x14ac:dyDescent="0.2">
      <c r="P681" s="27"/>
      <c r="Q681" s="30"/>
      <c r="R681" s="30"/>
      <c r="S681" s="30">
        <f>ABS(Q681)/'İtme Analizi'!$C$17</f>
        <v>0</v>
      </c>
      <c r="T681" s="30">
        <f>ABS(R681)/'İtme Analizi'!$C$14</f>
        <v>0</v>
      </c>
      <c r="U681" s="30">
        <f t="shared" si="14"/>
        <v>1.00829248845382E-4</v>
      </c>
    </row>
    <row r="682" spans="16:21" ht="13.9" customHeight="1" x14ac:dyDescent="0.2">
      <c r="P682" s="27"/>
      <c r="Q682" s="30"/>
      <c r="R682" s="30"/>
      <c r="S682" s="30">
        <f>ABS(Q682)/'İtme Analizi'!$C$17</f>
        <v>0</v>
      </c>
      <c r="T682" s="30">
        <f>ABS(R682)/'İtme Analizi'!$C$14</f>
        <v>0</v>
      </c>
      <c r="U682" s="30">
        <f t="shared" si="14"/>
        <v>1.00829248845382E-4</v>
      </c>
    </row>
    <row r="683" spans="16:21" ht="13.9" customHeight="1" x14ac:dyDescent="0.2">
      <c r="P683" s="27"/>
      <c r="Q683" s="30"/>
      <c r="R683" s="30"/>
      <c r="S683" s="30">
        <f>ABS(Q683)/'İtme Analizi'!$C$17</f>
        <v>0</v>
      </c>
      <c r="T683" s="30">
        <f>ABS(R683)/'İtme Analizi'!$C$14</f>
        <v>0</v>
      </c>
      <c r="U683" s="30">
        <f t="shared" si="14"/>
        <v>1.00829248845382E-4</v>
      </c>
    </row>
    <row r="684" spans="16:21" ht="13.9" customHeight="1" x14ac:dyDescent="0.2">
      <c r="P684" s="27"/>
      <c r="Q684" s="30"/>
      <c r="R684" s="30"/>
      <c r="S684" s="30">
        <f>ABS(Q684)/'İtme Analizi'!$C$17</f>
        <v>0</v>
      </c>
      <c r="T684" s="30">
        <f>ABS(R684)/'İtme Analizi'!$C$14</f>
        <v>0</v>
      </c>
      <c r="U684" s="30">
        <f t="shared" si="14"/>
        <v>1.00829248845382E-4</v>
      </c>
    </row>
    <row r="685" spans="16:21" ht="13.9" customHeight="1" x14ac:dyDescent="0.2">
      <c r="P685" s="27"/>
      <c r="Q685" s="30"/>
      <c r="R685" s="30"/>
      <c r="S685" s="30">
        <f>ABS(Q685)/'İtme Analizi'!$C$17</f>
        <v>0</v>
      </c>
      <c r="T685" s="30">
        <f>ABS(R685)/'İtme Analizi'!$C$14</f>
        <v>0</v>
      </c>
      <c r="U685" s="30">
        <f t="shared" si="14"/>
        <v>1.00829248845382E-4</v>
      </c>
    </row>
    <row r="686" spans="16:21" ht="13.9" customHeight="1" x14ac:dyDescent="0.2">
      <c r="P686" s="27"/>
      <c r="Q686" s="30"/>
      <c r="R686" s="30"/>
      <c r="S686" s="30">
        <f>ABS(Q686)/'İtme Analizi'!$C$17</f>
        <v>0</v>
      </c>
      <c r="T686" s="30">
        <f>ABS(R686)/'İtme Analizi'!$C$14</f>
        <v>0</v>
      </c>
      <c r="U686" s="30">
        <f t="shared" si="14"/>
        <v>1.00829248845382E-4</v>
      </c>
    </row>
    <row r="687" spans="16:21" ht="13.9" customHeight="1" x14ac:dyDescent="0.2">
      <c r="P687" s="27"/>
      <c r="Q687" s="30"/>
      <c r="R687" s="30"/>
      <c r="S687" s="30">
        <f>ABS(Q687)/'İtme Analizi'!$C$17</f>
        <v>0</v>
      </c>
      <c r="T687" s="30">
        <f>ABS(R687)/'İtme Analizi'!$C$14</f>
        <v>0</v>
      </c>
      <c r="U687" s="30">
        <f t="shared" si="14"/>
        <v>1.00829248845382E-4</v>
      </c>
    </row>
    <row r="688" spans="16:21" ht="13.9" customHeight="1" x14ac:dyDescent="0.2">
      <c r="P688" s="27"/>
      <c r="Q688" s="30"/>
      <c r="R688" s="30"/>
      <c r="S688" s="30">
        <f>ABS(Q688)/'İtme Analizi'!$C$17</f>
        <v>0</v>
      </c>
      <c r="T688" s="30">
        <f>ABS(R688)/'İtme Analizi'!$C$14</f>
        <v>0</v>
      </c>
      <c r="U688" s="30">
        <f t="shared" si="14"/>
        <v>1.00829248845382E-4</v>
      </c>
    </row>
    <row r="689" spans="16:21" ht="13.9" customHeight="1" x14ac:dyDescent="0.2">
      <c r="P689" s="27"/>
      <c r="Q689" s="30"/>
      <c r="R689" s="30"/>
      <c r="S689" s="30">
        <f>ABS(Q689)/'İtme Analizi'!$C$17</f>
        <v>0</v>
      </c>
      <c r="T689" s="30">
        <f>ABS(R689)/'İtme Analizi'!$C$14</f>
        <v>0</v>
      </c>
      <c r="U689" s="30">
        <f t="shared" si="14"/>
        <v>1.00829248845382E-4</v>
      </c>
    </row>
    <row r="690" spans="16:21" ht="13.9" customHeight="1" x14ac:dyDescent="0.2">
      <c r="P690" s="27"/>
      <c r="Q690" s="30"/>
      <c r="R690" s="30"/>
      <c r="S690" s="30">
        <f>ABS(Q690)/'İtme Analizi'!$C$17</f>
        <v>0</v>
      </c>
      <c r="T690" s="30">
        <f>ABS(R690)/'İtme Analizi'!$C$14</f>
        <v>0</v>
      </c>
      <c r="U690" s="30">
        <f t="shared" si="14"/>
        <v>1.00829248845382E-4</v>
      </c>
    </row>
    <row r="691" spans="16:21" ht="13.9" customHeight="1" x14ac:dyDescent="0.2">
      <c r="P691" s="27"/>
      <c r="Q691" s="30"/>
      <c r="R691" s="30"/>
      <c r="S691" s="30">
        <f>ABS(Q691)/'İtme Analizi'!$C$17</f>
        <v>0</v>
      </c>
      <c r="T691" s="30">
        <f>ABS(R691)/'İtme Analizi'!$C$14</f>
        <v>0</v>
      </c>
      <c r="U691" s="30">
        <f t="shared" si="14"/>
        <v>1.00829248845382E-4</v>
      </c>
    </row>
    <row r="692" spans="16:21" ht="13.9" customHeight="1" x14ac:dyDescent="0.2">
      <c r="P692" s="27"/>
      <c r="Q692" s="30"/>
      <c r="R692" s="30"/>
      <c r="S692" s="30">
        <f>ABS(Q692)/'İtme Analizi'!$C$17</f>
        <v>0</v>
      </c>
      <c r="T692" s="30">
        <f>ABS(R692)/'İtme Analizi'!$C$14</f>
        <v>0</v>
      </c>
      <c r="U692" s="30">
        <f t="shared" si="14"/>
        <v>1.00829248845382E-4</v>
      </c>
    </row>
    <row r="693" spans="16:21" ht="13.9" customHeight="1" x14ac:dyDescent="0.2">
      <c r="P693" s="27"/>
      <c r="Q693" s="30"/>
      <c r="R693" s="30"/>
      <c r="S693" s="30">
        <f>ABS(Q693)/'İtme Analizi'!$C$17</f>
        <v>0</v>
      </c>
      <c r="T693" s="30">
        <f>ABS(R693)/'İtme Analizi'!$C$14</f>
        <v>0</v>
      </c>
      <c r="U693" s="30">
        <f t="shared" si="14"/>
        <v>1.00829248845382E-4</v>
      </c>
    </row>
    <row r="694" spans="16:21" ht="13.9" customHeight="1" x14ac:dyDescent="0.2">
      <c r="P694" s="27"/>
      <c r="Q694" s="30"/>
      <c r="R694" s="30"/>
      <c r="S694" s="30">
        <f>ABS(Q694)/'İtme Analizi'!$C$17</f>
        <v>0</v>
      </c>
      <c r="T694" s="30">
        <f>ABS(R694)/'İtme Analizi'!$C$14</f>
        <v>0</v>
      </c>
      <c r="U694" s="30">
        <f t="shared" si="14"/>
        <v>1.00829248845382E-4</v>
      </c>
    </row>
    <row r="695" spans="16:21" ht="13.9" customHeight="1" x14ac:dyDescent="0.2">
      <c r="P695" s="27"/>
      <c r="Q695" s="30"/>
      <c r="R695" s="30"/>
      <c r="S695" s="30">
        <f>ABS(Q695)/'İtme Analizi'!$C$17</f>
        <v>0</v>
      </c>
      <c r="T695" s="30">
        <f>ABS(R695)/'İtme Analizi'!$C$14</f>
        <v>0</v>
      </c>
      <c r="U695" s="30">
        <f t="shared" si="14"/>
        <v>1.00829248845382E-4</v>
      </c>
    </row>
    <row r="696" spans="16:21" ht="13.9" customHeight="1" x14ac:dyDescent="0.2">
      <c r="P696" s="27"/>
      <c r="Q696" s="30"/>
      <c r="R696" s="30"/>
      <c r="S696" s="30">
        <f>ABS(Q696)/'İtme Analizi'!$C$17</f>
        <v>0</v>
      </c>
      <c r="T696" s="30">
        <f>ABS(R696)/'İtme Analizi'!$C$14</f>
        <v>0</v>
      </c>
      <c r="U696" s="30">
        <f t="shared" si="14"/>
        <v>1.00829248845382E-4</v>
      </c>
    </row>
    <row r="697" spans="16:21" ht="13.9" customHeight="1" x14ac:dyDescent="0.2">
      <c r="P697" s="27"/>
      <c r="Q697" s="30"/>
      <c r="R697" s="30"/>
      <c r="S697" s="30">
        <f>ABS(Q697)/'İtme Analizi'!$C$17</f>
        <v>0</v>
      </c>
      <c r="T697" s="30">
        <f>ABS(R697)/'İtme Analizi'!$C$14</f>
        <v>0</v>
      </c>
      <c r="U697" s="30">
        <f t="shared" si="14"/>
        <v>1.00829248845382E-4</v>
      </c>
    </row>
    <row r="698" spans="16:21" ht="13.9" customHeight="1" x14ac:dyDescent="0.2">
      <c r="P698" s="27"/>
      <c r="Q698" s="30"/>
      <c r="R698" s="30"/>
      <c r="S698" s="30">
        <f>ABS(Q698)/'İtme Analizi'!$C$17</f>
        <v>0</v>
      </c>
      <c r="T698" s="30">
        <f>ABS(R698)/'İtme Analizi'!$C$14</f>
        <v>0</v>
      </c>
      <c r="U698" s="30">
        <f t="shared" si="14"/>
        <v>1.00829248845382E-4</v>
      </c>
    </row>
    <row r="699" spans="16:21" ht="13.9" customHeight="1" x14ac:dyDescent="0.2">
      <c r="P699" s="27"/>
      <c r="Q699" s="30"/>
      <c r="R699" s="30"/>
      <c r="S699" s="30">
        <f>ABS(Q699)/'İtme Analizi'!$C$17</f>
        <v>0</v>
      </c>
      <c r="T699" s="30">
        <f>ABS(R699)/'İtme Analizi'!$C$14</f>
        <v>0</v>
      </c>
      <c r="U699" s="30">
        <f t="shared" si="14"/>
        <v>1.00829248845382E-4</v>
      </c>
    </row>
    <row r="700" spans="16:21" ht="13.9" customHeight="1" x14ac:dyDescent="0.2">
      <c r="P700" s="27"/>
      <c r="Q700" s="30"/>
      <c r="R700" s="30"/>
      <c r="S700" s="30">
        <f>ABS(Q700)/'İtme Analizi'!$C$17</f>
        <v>0</v>
      </c>
      <c r="T700" s="30">
        <f>ABS(R700)/'İtme Analizi'!$C$14</f>
        <v>0</v>
      </c>
      <c r="U700" s="30">
        <f t="shared" si="14"/>
        <v>1.00829248845382E-4</v>
      </c>
    </row>
    <row r="701" spans="16:21" ht="13.9" customHeight="1" x14ac:dyDescent="0.2">
      <c r="P701" s="27"/>
      <c r="Q701" s="30"/>
      <c r="R701" s="30"/>
      <c r="S701" s="30">
        <f>ABS(Q701)/'İtme Analizi'!$C$17</f>
        <v>0</v>
      </c>
      <c r="T701" s="30">
        <f>ABS(R701)/'İtme Analizi'!$C$14</f>
        <v>0</v>
      </c>
      <c r="U701" s="30">
        <f t="shared" si="14"/>
        <v>1.00829248845382E-4</v>
      </c>
    </row>
    <row r="702" spans="16:21" ht="13.9" customHeight="1" x14ac:dyDescent="0.2">
      <c r="P702" s="27"/>
      <c r="Q702" s="30"/>
      <c r="R702" s="30"/>
      <c r="S702" s="30">
        <f>ABS(Q702)/'İtme Analizi'!$C$17</f>
        <v>0</v>
      </c>
      <c r="T702" s="30">
        <f>ABS(R702)/'İtme Analizi'!$C$14</f>
        <v>0</v>
      </c>
      <c r="U702" s="30">
        <f t="shared" si="14"/>
        <v>1.00829248845382E-4</v>
      </c>
    </row>
    <row r="703" spans="16:21" ht="13.9" customHeight="1" x14ac:dyDescent="0.2">
      <c r="P703" s="27"/>
      <c r="Q703" s="30"/>
      <c r="R703" s="30"/>
      <c r="S703" s="30">
        <f>ABS(Q703)/'İtme Analizi'!$C$17</f>
        <v>0</v>
      </c>
      <c r="T703" s="30">
        <f>ABS(R703)/'İtme Analizi'!$C$14</f>
        <v>0</v>
      </c>
      <c r="U703" s="30">
        <f t="shared" si="14"/>
        <v>1.00829248845382E-4</v>
      </c>
    </row>
    <row r="704" spans="16:21" ht="13.9" customHeight="1" x14ac:dyDescent="0.2">
      <c r="P704" s="27"/>
      <c r="Q704" s="30"/>
      <c r="R704" s="30"/>
      <c r="S704" s="30">
        <f>ABS(Q704)/'İtme Analizi'!$C$17</f>
        <v>0</v>
      </c>
      <c r="T704" s="30">
        <f>ABS(R704)/'İtme Analizi'!$C$14</f>
        <v>0</v>
      </c>
      <c r="U704" s="30">
        <f t="shared" si="14"/>
        <v>1.00829248845382E-4</v>
      </c>
    </row>
    <row r="705" spans="16:21" ht="13.9" customHeight="1" x14ac:dyDescent="0.2">
      <c r="P705" s="27"/>
      <c r="Q705" s="30"/>
      <c r="R705" s="30"/>
      <c r="S705" s="30">
        <f>ABS(Q705)/'İtme Analizi'!$C$17</f>
        <v>0</v>
      </c>
      <c r="T705" s="30">
        <f>ABS(R705)/'İtme Analizi'!$C$14</f>
        <v>0</v>
      </c>
      <c r="U705" s="30">
        <f t="shared" si="14"/>
        <v>1.00829248845382E-4</v>
      </c>
    </row>
    <row r="706" spans="16:21" ht="13.9" customHeight="1" x14ac:dyDescent="0.2">
      <c r="P706" s="27"/>
      <c r="Q706" s="30"/>
      <c r="R706" s="30"/>
      <c r="S706" s="30">
        <f>ABS(Q706)/'İtme Analizi'!$C$17</f>
        <v>0</v>
      </c>
      <c r="T706" s="30">
        <f>ABS(R706)/'İtme Analizi'!$C$14</f>
        <v>0</v>
      </c>
      <c r="U706" s="30">
        <f t="shared" ref="U706:U769" si="15">U705+(S706-S705)*((T706+T705)/2)</f>
        <v>1.00829248845382E-4</v>
      </c>
    </row>
    <row r="707" spans="16:21" ht="13.9" customHeight="1" x14ac:dyDescent="0.2">
      <c r="P707" s="27"/>
      <c r="Q707" s="30"/>
      <c r="R707" s="30"/>
      <c r="S707" s="30">
        <f>ABS(Q707)/'İtme Analizi'!$C$17</f>
        <v>0</v>
      </c>
      <c r="T707" s="30">
        <f>ABS(R707)/'İtme Analizi'!$C$14</f>
        <v>0</v>
      </c>
      <c r="U707" s="30">
        <f t="shared" si="15"/>
        <v>1.00829248845382E-4</v>
      </c>
    </row>
    <row r="708" spans="16:21" ht="13.9" customHeight="1" x14ac:dyDescent="0.2">
      <c r="P708" s="27"/>
      <c r="Q708" s="30"/>
      <c r="R708" s="30"/>
      <c r="S708" s="30">
        <f>ABS(Q708)/'İtme Analizi'!$C$17</f>
        <v>0</v>
      </c>
      <c r="T708" s="30">
        <f>ABS(R708)/'İtme Analizi'!$C$14</f>
        <v>0</v>
      </c>
      <c r="U708" s="30">
        <f t="shared" si="15"/>
        <v>1.00829248845382E-4</v>
      </c>
    </row>
    <row r="709" spans="16:21" ht="13.9" customHeight="1" x14ac:dyDescent="0.2">
      <c r="P709" s="27"/>
      <c r="Q709" s="30"/>
      <c r="R709" s="30"/>
      <c r="S709" s="30">
        <f>ABS(Q709)/'İtme Analizi'!$C$17</f>
        <v>0</v>
      </c>
      <c r="T709" s="30">
        <f>ABS(R709)/'İtme Analizi'!$C$14</f>
        <v>0</v>
      </c>
      <c r="U709" s="30">
        <f t="shared" si="15"/>
        <v>1.00829248845382E-4</v>
      </c>
    </row>
    <row r="710" spans="16:21" ht="13.9" customHeight="1" x14ac:dyDescent="0.2">
      <c r="P710" s="27"/>
      <c r="Q710" s="30"/>
      <c r="R710" s="30"/>
      <c r="S710" s="30">
        <f>ABS(Q710)/'İtme Analizi'!$C$17</f>
        <v>0</v>
      </c>
      <c r="T710" s="30">
        <f>ABS(R710)/'İtme Analizi'!$C$14</f>
        <v>0</v>
      </c>
      <c r="U710" s="30">
        <f t="shared" si="15"/>
        <v>1.00829248845382E-4</v>
      </c>
    </row>
    <row r="711" spans="16:21" ht="13.9" customHeight="1" x14ac:dyDescent="0.2">
      <c r="P711" s="27"/>
      <c r="Q711" s="30"/>
      <c r="R711" s="30"/>
      <c r="S711" s="30">
        <f>ABS(Q711)/'İtme Analizi'!$C$17</f>
        <v>0</v>
      </c>
      <c r="T711" s="30">
        <f>ABS(R711)/'İtme Analizi'!$C$14</f>
        <v>0</v>
      </c>
      <c r="U711" s="30">
        <f t="shared" si="15"/>
        <v>1.00829248845382E-4</v>
      </c>
    </row>
    <row r="712" spans="16:21" ht="13.9" customHeight="1" x14ac:dyDescent="0.2">
      <c r="P712" s="27"/>
      <c r="Q712" s="30"/>
      <c r="R712" s="30"/>
      <c r="S712" s="30">
        <f>ABS(Q712)/'İtme Analizi'!$C$17</f>
        <v>0</v>
      </c>
      <c r="T712" s="30">
        <f>ABS(R712)/'İtme Analizi'!$C$14</f>
        <v>0</v>
      </c>
      <c r="U712" s="30">
        <f t="shared" si="15"/>
        <v>1.00829248845382E-4</v>
      </c>
    </row>
    <row r="713" spans="16:21" ht="13.9" customHeight="1" x14ac:dyDescent="0.2">
      <c r="P713" s="27"/>
      <c r="Q713" s="30"/>
      <c r="R713" s="30"/>
      <c r="S713" s="30">
        <f>ABS(Q713)/'İtme Analizi'!$C$17</f>
        <v>0</v>
      </c>
      <c r="T713" s="30">
        <f>ABS(R713)/'İtme Analizi'!$C$14</f>
        <v>0</v>
      </c>
      <c r="U713" s="30">
        <f t="shared" si="15"/>
        <v>1.00829248845382E-4</v>
      </c>
    </row>
    <row r="714" spans="16:21" ht="13.9" customHeight="1" x14ac:dyDescent="0.2">
      <c r="P714" s="27"/>
      <c r="Q714" s="30"/>
      <c r="R714" s="30"/>
      <c r="S714" s="30">
        <f>ABS(Q714)/'İtme Analizi'!$C$17</f>
        <v>0</v>
      </c>
      <c r="T714" s="30">
        <f>ABS(R714)/'İtme Analizi'!$C$14</f>
        <v>0</v>
      </c>
      <c r="U714" s="30">
        <f t="shared" si="15"/>
        <v>1.00829248845382E-4</v>
      </c>
    </row>
    <row r="715" spans="16:21" ht="13.9" customHeight="1" x14ac:dyDescent="0.2">
      <c r="P715" s="27"/>
      <c r="Q715" s="30"/>
      <c r="R715" s="30"/>
      <c r="S715" s="30">
        <f>ABS(Q715)/'İtme Analizi'!$C$17</f>
        <v>0</v>
      </c>
      <c r="T715" s="30">
        <f>ABS(R715)/'İtme Analizi'!$C$14</f>
        <v>0</v>
      </c>
      <c r="U715" s="30">
        <f t="shared" si="15"/>
        <v>1.00829248845382E-4</v>
      </c>
    </row>
    <row r="716" spans="16:21" ht="13.9" customHeight="1" x14ac:dyDescent="0.2">
      <c r="P716" s="27"/>
      <c r="Q716" s="30"/>
      <c r="R716" s="30"/>
      <c r="S716" s="30">
        <f>ABS(Q716)/'İtme Analizi'!$C$17</f>
        <v>0</v>
      </c>
      <c r="T716" s="30">
        <f>ABS(R716)/'İtme Analizi'!$C$14</f>
        <v>0</v>
      </c>
      <c r="U716" s="30">
        <f t="shared" si="15"/>
        <v>1.00829248845382E-4</v>
      </c>
    </row>
    <row r="717" spans="16:21" ht="13.9" customHeight="1" x14ac:dyDescent="0.2">
      <c r="P717" s="27"/>
      <c r="Q717" s="30"/>
      <c r="R717" s="30"/>
      <c r="S717" s="30">
        <f>ABS(Q717)/'İtme Analizi'!$C$17</f>
        <v>0</v>
      </c>
      <c r="T717" s="30">
        <f>ABS(R717)/'İtme Analizi'!$C$14</f>
        <v>0</v>
      </c>
      <c r="U717" s="30">
        <f t="shared" si="15"/>
        <v>1.00829248845382E-4</v>
      </c>
    </row>
    <row r="718" spans="16:21" ht="13.9" customHeight="1" x14ac:dyDescent="0.2">
      <c r="P718" s="27"/>
      <c r="Q718" s="30"/>
      <c r="R718" s="30"/>
      <c r="S718" s="30">
        <f>ABS(Q718)/'İtme Analizi'!$C$17</f>
        <v>0</v>
      </c>
      <c r="T718" s="30">
        <f>ABS(R718)/'İtme Analizi'!$C$14</f>
        <v>0</v>
      </c>
      <c r="U718" s="30">
        <f t="shared" si="15"/>
        <v>1.00829248845382E-4</v>
      </c>
    </row>
    <row r="719" spans="16:21" ht="13.9" customHeight="1" x14ac:dyDescent="0.2">
      <c r="P719" s="27"/>
      <c r="Q719" s="30"/>
      <c r="R719" s="30"/>
      <c r="S719" s="30">
        <f>ABS(Q719)/'İtme Analizi'!$C$17</f>
        <v>0</v>
      </c>
      <c r="T719" s="30">
        <f>ABS(R719)/'İtme Analizi'!$C$14</f>
        <v>0</v>
      </c>
      <c r="U719" s="30">
        <f t="shared" si="15"/>
        <v>1.00829248845382E-4</v>
      </c>
    </row>
    <row r="720" spans="16:21" ht="13.9" customHeight="1" x14ac:dyDescent="0.2">
      <c r="P720" s="27"/>
      <c r="Q720" s="30"/>
      <c r="R720" s="30"/>
      <c r="S720" s="30">
        <f>ABS(Q720)/'İtme Analizi'!$C$17</f>
        <v>0</v>
      </c>
      <c r="T720" s="30">
        <f>ABS(R720)/'İtme Analizi'!$C$14</f>
        <v>0</v>
      </c>
      <c r="U720" s="30">
        <f t="shared" si="15"/>
        <v>1.00829248845382E-4</v>
      </c>
    </row>
    <row r="721" spans="16:21" ht="13.9" customHeight="1" x14ac:dyDescent="0.2">
      <c r="P721" s="27"/>
      <c r="Q721" s="30"/>
      <c r="R721" s="30"/>
      <c r="S721" s="30">
        <f>ABS(Q721)/'İtme Analizi'!$C$17</f>
        <v>0</v>
      </c>
      <c r="T721" s="30">
        <f>ABS(R721)/'İtme Analizi'!$C$14</f>
        <v>0</v>
      </c>
      <c r="U721" s="30">
        <f t="shared" si="15"/>
        <v>1.00829248845382E-4</v>
      </c>
    </row>
    <row r="722" spans="16:21" ht="13.9" customHeight="1" x14ac:dyDescent="0.2">
      <c r="P722" s="27"/>
      <c r="Q722" s="30"/>
      <c r="R722" s="30"/>
      <c r="S722" s="30">
        <f>ABS(Q722)/'İtme Analizi'!$C$17</f>
        <v>0</v>
      </c>
      <c r="T722" s="30">
        <f>ABS(R722)/'İtme Analizi'!$C$14</f>
        <v>0</v>
      </c>
      <c r="U722" s="30">
        <f t="shared" si="15"/>
        <v>1.00829248845382E-4</v>
      </c>
    </row>
    <row r="723" spans="16:21" ht="13.9" customHeight="1" x14ac:dyDescent="0.2">
      <c r="P723" s="27"/>
      <c r="Q723" s="30"/>
      <c r="R723" s="30"/>
      <c r="S723" s="30">
        <f>ABS(Q723)/'İtme Analizi'!$C$17</f>
        <v>0</v>
      </c>
      <c r="T723" s="30">
        <f>ABS(R723)/'İtme Analizi'!$C$14</f>
        <v>0</v>
      </c>
      <c r="U723" s="30">
        <f t="shared" si="15"/>
        <v>1.00829248845382E-4</v>
      </c>
    </row>
    <row r="724" spans="16:21" ht="13.9" customHeight="1" x14ac:dyDescent="0.2">
      <c r="P724" s="27"/>
      <c r="Q724" s="30"/>
      <c r="R724" s="30"/>
      <c r="S724" s="30">
        <f>ABS(Q724)/'İtme Analizi'!$C$17</f>
        <v>0</v>
      </c>
      <c r="T724" s="30">
        <f>ABS(R724)/'İtme Analizi'!$C$14</f>
        <v>0</v>
      </c>
      <c r="U724" s="30">
        <f t="shared" si="15"/>
        <v>1.00829248845382E-4</v>
      </c>
    </row>
    <row r="725" spans="16:21" ht="13.9" customHeight="1" x14ac:dyDescent="0.2">
      <c r="P725" s="27"/>
      <c r="Q725" s="30"/>
      <c r="R725" s="30"/>
      <c r="S725" s="30">
        <f>ABS(Q725)/'İtme Analizi'!$C$17</f>
        <v>0</v>
      </c>
      <c r="T725" s="30">
        <f>ABS(R725)/'İtme Analizi'!$C$14</f>
        <v>0</v>
      </c>
      <c r="U725" s="30">
        <f t="shared" si="15"/>
        <v>1.00829248845382E-4</v>
      </c>
    </row>
    <row r="726" spans="16:21" ht="13.9" customHeight="1" x14ac:dyDescent="0.2">
      <c r="P726" s="27"/>
      <c r="Q726" s="30"/>
      <c r="R726" s="30"/>
      <c r="S726" s="30">
        <f>ABS(Q726)/'İtme Analizi'!$C$17</f>
        <v>0</v>
      </c>
      <c r="T726" s="30">
        <f>ABS(R726)/'İtme Analizi'!$C$14</f>
        <v>0</v>
      </c>
      <c r="U726" s="30">
        <f t="shared" si="15"/>
        <v>1.00829248845382E-4</v>
      </c>
    </row>
    <row r="727" spans="16:21" ht="13.9" customHeight="1" x14ac:dyDescent="0.2">
      <c r="P727" s="27"/>
      <c r="Q727" s="30"/>
      <c r="R727" s="30"/>
      <c r="S727" s="30">
        <f>ABS(Q727)/'İtme Analizi'!$C$17</f>
        <v>0</v>
      </c>
      <c r="T727" s="30">
        <f>ABS(R727)/'İtme Analizi'!$C$14</f>
        <v>0</v>
      </c>
      <c r="U727" s="30">
        <f t="shared" si="15"/>
        <v>1.00829248845382E-4</v>
      </c>
    </row>
    <row r="728" spans="16:21" ht="13.9" customHeight="1" x14ac:dyDescent="0.2">
      <c r="P728" s="27"/>
      <c r="Q728" s="30"/>
      <c r="R728" s="30"/>
      <c r="S728" s="30">
        <f>ABS(Q728)/'İtme Analizi'!$C$17</f>
        <v>0</v>
      </c>
      <c r="T728" s="30">
        <f>ABS(R728)/'İtme Analizi'!$C$14</f>
        <v>0</v>
      </c>
      <c r="U728" s="30">
        <f t="shared" si="15"/>
        <v>1.00829248845382E-4</v>
      </c>
    </row>
    <row r="729" spans="16:21" ht="13.9" customHeight="1" x14ac:dyDescent="0.2">
      <c r="P729" s="27"/>
      <c r="Q729" s="30"/>
      <c r="R729" s="30"/>
      <c r="S729" s="30">
        <f>ABS(Q729)/'İtme Analizi'!$C$17</f>
        <v>0</v>
      </c>
      <c r="T729" s="30">
        <f>ABS(R729)/'İtme Analizi'!$C$14</f>
        <v>0</v>
      </c>
      <c r="U729" s="30">
        <f t="shared" si="15"/>
        <v>1.00829248845382E-4</v>
      </c>
    </row>
    <row r="730" spans="16:21" ht="13.9" customHeight="1" x14ac:dyDescent="0.2">
      <c r="P730" s="27"/>
      <c r="Q730" s="30"/>
      <c r="R730" s="30"/>
      <c r="S730" s="30">
        <f>ABS(Q730)/'İtme Analizi'!$C$17</f>
        <v>0</v>
      </c>
      <c r="T730" s="30">
        <f>ABS(R730)/'İtme Analizi'!$C$14</f>
        <v>0</v>
      </c>
      <c r="U730" s="30">
        <f t="shared" si="15"/>
        <v>1.00829248845382E-4</v>
      </c>
    </row>
    <row r="731" spans="16:21" ht="13.9" customHeight="1" x14ac:dyDescent="0.2">
      <c r="P731" s="27"/>
      <c r="Q731" s="30"/>
      <c r="R731" s="30"/>
      <c r="S731" s="30">
        <f>ABS(Q731)/'İtme Analizi'!$C$17</f>
        <v>0</v>
      </c>
      <c r="T731" s="30">
        <f>ABS(R731)/'İtme Analizi'!$C$14</f>
        <v>0</v>
      </c>
      <c r="U731" s="30">
        <f t="shared" si="15"/>
        <v>1.00829248845382E-4</v>
      </c>
    </row>
    <row r="732" spans="16:21" ht="13.9" customHeight="1" x14ac:dyDescent="0.2">
      <c r="P732" s="27"/>
      <c r="Q732" s="30"/>
      <c r="R732" s="30"/>
      <c r="S732" s="30">
        <f>ABS(Q732)/'İtme Analizi'!$C$17</f>
        <v>0</v>
      </c>
      <c r="T732" s="30">
        <f>ABS(R732)/'İtme Analizi'!$C$14</f>
        <v>0</v>
      </c>
      <c r="U732" s="30">
        <f t="shared" si="15"/>
        <v>1.00829248845382E-4</v>
      </c>
    </row>
    <row r="733" spans="16:21" ht="13.9" customHeight="1" x14ac:dyDescent="0.2">
      <c r="P733" s="27"/>
      <c r="Q733" s="30"/>
      <c r="R733" s="30"/>
      <c r="S733" s="30">
        <f>ABS(Q733)/'İtme Analizi'!$C$17</f>
        <v>0</v>
      </c>
      <c r="T733" s="30">
        <f>ABS(R733)/'İtme Analizi'!$C$14</f>
        <v>0</v>
      </c>
      <c r="U733" s="30">
        <f t="shared" si="15"/>
        <v>1.00829248845382E-4</v>
      </c>
    </row>
    <row r="734" spans="16:21" ht="13.9" customHeight="1" x14ac:dyDescent="0.2">
      <c r="P734" s="27"/>
      <c r="Q734" s="30"/>
      <c r="R734" s="30"/>
      <c r="S734" s="30">
        <f>ABS(Q734)/'İtme Analizi'!$C$17</f>
        <v>0</v>
      </c>
      <c r="T734" s="30">
        <f>ABS(R734)/'İtme Analizi'!$C$14</f>
        <v>0</v>
      </c>
      <c r="U734" s="30">
        <f t="shared" si="15"/>
        <v>1.00829248845382E-4</v>
      </c>
    </row>
    <row r="735" spans="16:21" ht="13.9" customHeight="1" x14ac:dyDescent="0.2">
      <c r="P735" s="27"/>
      <c r="Q735" s="30"/>
      <c r="R735" s="30"/>
      <c r="S735" s="30">
        <f>ABS(Q735)/'İtme Analizi'!$C$17</f>
        <v>0</v>
      </c>
      <c r="T735" s="30">
        <f>ABS(R735)/'İtme Analizi'!$C$14</f>
        <v>0</v>
      </c>
      <c r="U735" s="30">
        <f t="shared" si="15"/>
        <v>1.00829248845382E-4</v>
      </c>
    </row>
    <row r="736" spans="16:21" ht="13.9" customHeight="1" x14ac:dyDescent="0.2">
      <c r="P736" s="27"/>
      <c r="Q736" s="30"/>
      <c r="R736" s="30"/>
      <c r="S736" s="30">
        <f>ABS(Q736)/'İtme Analizi'!$C$17</f>
        <v>0</v>
      </c>
      <c r="T736" s="30">
        <f>ABS(R736)/'İtme Analizi'!$C$14</f>
        <v>0</v>
      </c>
      <c r="U736" s="30">
        <f t="shared" si="15"/>
        <v>1.00829248845382E-4</v>
      </c>
    </row>
    <row r="737" spans="16:21" ht="13.9" customHeight="1" x14ac:dyDescent="0.2">
      <c r="P737" s="27"/>
      <c r="Q737" s="30"/>
      <c r="R737" s="30"/>
      <c r="S737" s="30">
        <f>ABS(Q737)/'İtme Analizi'!$C$17</f>
        <v>0</v>
      </c>
      <c r="T737" s="30">
        <f>ABS(R737)/'İtme Analizi'!$C$14</f>
        <v>0</v>
      </c>
      <c r="U737" s="30">
        <f t="shared" si="15"/>
        <v>1.00829248845382E-4</v>
      </c>
    </row>
    <row r="738" spans="16:21" ht="13.9" customHeight="1" x14ac:dyDescent="0.2">
      <c r="P738" s="27"/>
      <c r="Q738" s="30"/>
      <c r="R738" s="30"/>
      <c r="S738" s="30">
        <f>ABS(Q738)/'İtme Analizi'!$C$17</f>
        <v>0</v>
      </c>
      <c r="T738" s="30">
        <f>ABS(R738)/'İtme Analizi'!$C$14</f>
        <v>0</v>
      </c>
      <c r="U738" s="30">
        <f t="shared" si="15"/>
        <v>1.00829248845382E-4</v>
      </c>
    </row>
    <row r="739" spans="16:21" ht="13.9" customHeight="1" x14ac:dyDescent="0.2">
      <c r="P739" s="27"/>
      <c r="Q739" s="30"/>
      <c r="R739" s="30"/>
      <c r="S739" s="30">
        <f>ABS(Q739)/'İtme Analizi'!$C$17</f>
        <v>0</v>
      </c>
      <c r="T739" s="30">
        <f>ABS(R739)/'İtme Analizi'!$C$14</f>
        <v>0</v>
      </c>
      <c r="U739" s="30">
        <f t="shared" si="15"/>
        <v>1.00829248845382E-4</v>
      </c>
    </row>
    <row r="740" spans="16:21" ht="13.9" customHeight="1" x14ac:dyDescent="0.2">
      <c r="P740" s="27"/>
      <c r="Q740" s="30"/>
      <c r="R740" s="30"/>
      <c r="S740" s="30">
        <f>ABS(Q740)/'İtme Analizi'!$C$17</f>
        <v>0</v>
      </c>
      <c r="T740" s="30">
        <f>ABS(R740)/'İtme Analizi'!$C$14</f>
        <v>0</v>
      </c>
      <c r="U740" s="30">
        <f t="shared" si="15"/>
        <v>1.00829248845382E-4</v>
      </c>
    </row>
    <row r="741" spans="16:21" ht="13.9" customHeight="1" x14ac:dyDescent="0.2">
      <c r="P741" s="27"/>
      <c r="Q741" s="30"/>
      <c r="R741" s="30"/>
      <c r="S741" s="30">
        <f>ABS(Q741)/'İtme Analizi'!$C$17</f>
        <v>0</v>
      </c>
      <c r="T741" s="30">
        <f>ABS(R741)/'İtme Analizi'!$C$14</f>
        <v>0</v>
      </c>
      <c r="U741" s="30">
        <f t="shared" si="15"/>
        <v>1.00829248845382E-4</v>
      </c>
    </row>
    <row r="742" spans="16:21" ht="13.9" customHeight="1" x14ac:dyDescent="0.2">
      <c r="P742" s="27"/>
      <c r="Q742" s="30"/>
      <c r="R742" s="30"/>
      <c r="S742" s="30">
        <f>ABS(Q742)/'İtme Analizi'!$C$17</f>
        <v>0</v>
      </c>
      <c r="T742" s="30">
        <f>ABS(R742)/'İtme Analizi'!$C$14</f>
        <v>0</v>
      </c>
      <c r="U742" s="30">
        <f t="shared" si="15"/>
        <v>1.00829248845382E-4</v>
      </c>
    </row>
    <row r="743" spans="16:21" ht="13.9" customHeight="1" x14ac:dyDescent="0.2">
      <c r="P743" s="27"/>
      <c r="Q743" s="30"/>
      <c r="R743" s="30"/>
      <c r="S743" s="30">
        <f>ABS(Q743)/'İtme Analizi'!$C$17</f>
        <v>0</v>
      </c>
      <c r="T743" s="30">
        <f>ABS(R743)/'İtme Analizi'!$C$14</f>
        <v>0</v>
      </c>
      <c r="U743" s="30">
        <f t="shared" si="15"/>
        <v>1.00829248845382E-4</v>
      </c>
    </row>
    <row r="744" spans="16:21" ht="13.9" customHeight="1" x14ac:dyDescent="0.2">
      <c r="P744" s="27"/>
      <c r="Q744" s="30"/>
      <c r="R744" s="30"/>
      <c r="S744" s="30">
        <f>ABS(Q744)/'İtme Analizi'!$C$17</f>
        <v>0</v>
      </c>
      <c r="T744" s="30">
        <f>ABS(R744)/'İtme Analizi'!$C$14</f>
        <v>0</v>
      </c>
      <c r="U744" s="30">
        <f t="shared" si="15"/>
        <v>1.00829248845382E-4</v>
      </c>
    </row>
    <row r="745" spans="16:21" ht="13.9" customHeight="1" x14ac:dyDescent="0.2">
      <c r="P745" s="27"/>
      <c r="Q745" s="30"/>
      <c r="R745" s="30"/>
      <c r="S745" s="30">
        <f>ABS(Q745)/'İtme Analizi'!$C$17</f>
        <v>0</v>
      </c>
      <c r="T745" s="30">
        <f>ABS(R745)/'İtme Analizi'!$C$14</f>
        <v>0</v>
      </c>
      <c r="U745" s="30">
        <f t="shared" si="15"/>
        <v>1.00829248845382E-4</v>
      </c>
    </row>
    <row r="746" spans="16:21" ht="13.9" customHeight="1" x14ac:dyDescent="0.2">
      <c r="P746" s="27"/>
      <c r="Q746" s="30"/>
      <c r="R746" s="30"/>
      <c r="S746" s="30">
        <f>ABS(Q746)/'İtme Analizi'!$C$17</f>
        <v>0</v>
      </c>
      <c r="T746" s="30">
        <f>ABS(R746)/'İtme Analizi'!$C$14</f>
        <v>0</v>
      </c>
      <c r="U746" s="30">
        <f t="shared" si="15"/>
        <v>1.00829248845382E-4</v>
      </c>
    </row>
    <row r="747" spans="16:21" ht="13.9" customHeight="1" x14ac:dyDescent="0.2">
      <c r="P747" s="27"/>
      <c r="Q747" s="30"/>
      <c r="R747" s="30"/>
      <c r="S747" s="30">
        <f>ABS(Q747)/'İtme Analizi'!$C$17</f>
        <v>0</v>
      </c>
      <c r="T747" s="30">
        <f>ABS(R747)/'İtme Analizi'!$C$14</f>
        <v>0</v>
      </c>
      <c r="U747" s="30">
        <f t="shared" si="15"/>
        <v>1.00829248845382E-4</v>
      </c>
    </row>
    <row r="748" spans="16:21" ht="13.9" customHeight="1" x14ac:dyDescent="0.2">
      <c r="P748" s="27"/>
      <c r="Q748" s="30"/>
      <c r="R748" s="30"/>
      <c r="S748" s="30">
        <f>ABS(Q748)/'İtme Analizi'!$C$17</f>
        <v>0</v>
      </c>
      <c r="T748" s="30">
        <f>ABS(R748)/'İtme Analizi'!$C$14</f>
        <v>0</v>
      </c>
      <c r="U748" s="30">
        <f t="shared" si="15"/>
        <v>1.00829248845382E-4</v>
      </c>
    </row>
    <row r="749" spans="16:21" ht="13.9" customHeight="1" x14ac:dyDescent="0.2">
      <c r="P749" s="27"/>
      <c r="Q749" s="30"/>
      <c r="R749" s="30"/>
      <c r="S749" s="30">
        <f>ABS(Q749)/'İtme Analizi'!$C$17</f>
        <v>0</v>
      </c>
      <c r="T749" s="30">
        <f>ABS(R749)/'İtme Analizi'!$C$14</f>
        <v>0</v>
      </c>
      <c r="U749" s="30">
        <f t="shared" si="15"/>
        <v>1.00829248845382E-4</v>
      </c>
    </row>
    <row r="750" spans="16:21" ht="13.9" customHeight="1" x14ac:dyDescent="0.2">
      <c r="P750" s="27"/>
      <c r="Q750" s="30"/>
      <c r="R750" s="30"/>
      <c r="S750" s="30">
        <f>ABS(Q750)/'İtme Analizi'!$C$17</f>
        <v>0</v>
      </c>
      <c r="T750" s="30">
        <f>ABS(R750)/'İtme Analizi'!$C$14</f>
        <v>0</v>
      </c>
      <c r="U750" s="30">
        <f t="shared" si="15"/>
        <v>1.00829248845382E-4</v>
      </c>
    </row>
    <row r="751" spans="16:21" ht="13.9" customHeight="1" x14ac:dyDescent="0.2">
      <c r="P751" s="27"/>
      <c r="Q751" s="30"/>
      <c r="R751" s="30"/>
      <c r="S751" s="30">
        <f>ABS(Q751)/'İtme Analizi'!$C$17</f>
        <v>0</v>
      </c>
      <c r="T751" s="30">
        <f>ABS(R751)/'İtme Analizi'!$C$14</f>
        <v>0</v>
      </c>
      <c r="U751" s="30">
        <f t="shared" si="15"/>
        <v>1.00829248845382E-4</v>
      </c>
    </row>
    <row r="752" spans="16:21" ht="13.9" customHeight="1" x14ac:dyDescent="0.2">
      <c r="P752" s="27"/>
      <c r="Q752" s="30"/>
      <c r="R752" s="30"/>
      <c r="S752" s="30">
        <f>ABS(Q752)/'İtme Analizi'!$C$17</f>
        <v>0</v>
      </c>
      <c r="T752" s="30">
        <f>ABS(R752)/'İtme Analizi'!$C$14</f>
        <v>0</v>
      </c>
      <c r="U752" s="30">
        <f t="shared" si="15"/>
        <v>1.00829248845382E-4</v>
      </c>
    </row>
    <row r="753" spans="16:21" ht="13.9" customHeight="1" x14ac:dyDescent="0.2">
      <c r="P753" s="27"/>
      <c r="Q753" s="30"/>
      <c r="R753" s="30"/>
      <c r="S753" s="30">
        <f>ABS(Q753)/'İtme Analizi'!$C$17</f>
        <v>0</v>
      </c>
      <c r="T753" s="30">
        <f>ABS(R753)/'İtme Analizi'!$C$14</f>
        <v>0</v>
      </c>
      <c r="U753" s="30">
        <f t="shared" si="15"/>
        <v>1.00829248845382E-4</v>
      </c>
    </row>
    <row r="754" spans="16:21" ht="13.9" customHeight="1" x14ac:dyDescent="0.2">
      <c r="P754" s="27"/>
      <c r="Q754" s="30"/>
      <c r="R754" s="30"/>
      <c r="S754" s="30">
        <f>ABS(Q754)/'İtme Analizi'!$C$17</f>
        <v>0</v>
      </c>
      <c r="T754" s="30">
        <f>ABS(R754)/'İtme Analizi'!$C$14</f>
        <v>0</v>
      </c>
      <c r="U754" s="30">
        <f t="shared" si="15"/>
        <v>1.00829248845382E-4</v>
      </c>
    </row>
    <row r="755" spans="16:21" ht="13.9" customHeight="1" x14ac:dyDescent="0.2">
      <c r="P755" s="27"/>
      <c r="Q755" s="30"/>
      <c r="R755" s="30"/>
      <c r="S755" s="30">
        <f>ABS(Q755)/'İtme Analizi'!$C$17</f>
        <v>0</v>
      </c>
      <c r="T755" s="30">
        <f>ABS(R755)/'İtme Analizi'!$C$14</f>
        <v>0</v>
      </c>
      <c r="U755" s="30">
        <f t="shared" si="15"/>
        <v>1.00829248845382E-4</v>
      </c>
    </row>
    <row r="756" spans="16:21" ht="13.9" customHeight="1" x14ac:dyDescent="0.2">
      <c r="P756" s="27"/>
      <c r="Q756" s="30"/>
      <c r="R756" s="30"/>
      <c r="S756" s="30">
        <f>ABS(Q756)/'İtme Analizi'!$C$17</f>
        <v>0</v>
      </c>
      <c r="T756" s="30">
        <f>ABS(R756)/'İtme Analizi'!$C$14</f>
        <v>0</v>
      </c>
      <c r="U756" s="30">
        <f t="shared" si="15"/>
        <v>1.00829248845382E-4</v>
      </c>
    </row>
    <row r="757" spans="16:21" ht="13.9" customHeight="1" x14ac:dyDescent="0.2">
      <c r="P757" s="27"/>
      <c r="Q757" s="30"/>
      <c r="R757" s="30"/>
      <c r="S757" s="30">
        <f>ABS(Q757)/'İtme Analizi'!$C$17</f>
        <v>0</v>
      </c>
      <c r="T757" s="30">
        <f>ABS(R757)/'İtme Analizi'!$C$14</f>
        <v>0</v>
      </c>
      <c r="U757" s="30">
        <f t="shared" si="15"/>
        <v>1.00829248845382E-4</v>
      </c>
    </row>
    <row r="758" spans="16:21" ht="13.9" customHeight="1" x14ac:dyDescent="0.2">
      <c r="P758" s="27"/>
      <c r="Q758" s="30"/>
      <c r="R758" s="30"/>
      <c r="S758" s="30">
        <f>ABS(Q758)/'İtme Analizi'!$C$17</f>
        <v>0</v>
      </c>
      <c r="T758" s="30">
        <f>ABS(R758)/'İtme Analizi'!$C$14</f>
        <v>0</v>
      </c>
      <c r="U758" s="30">
        <f t="shared" si="15"/>
        <v>1.00829248845382E-4</v>
      </c>
    </row>
    <row r="759" spans="16:21" ht="13.9" customHeight="1" x14ac:dyDescent="0.2">
      <c r="P759" s="27"/>
      <c r="Q759" s="30"/>
      <c r="R759" s="30"/>
      <c r="S759" s="30">
        <f>ABS(Q759)/'İtme Analizi'!$C$17</f>
        <v>0</v>
      </c>
      <c r="T759" s="30">
        <f>ABS(R759)/'İtme Analizi'!$C$14</f>
        <v>0</v>
      </c>
      <c r="U759" s="30">
        <f t="shared" si="15"/>
        <v>1.00829248845382E-4</v>
      </c>
    </row>
    <row r="760" spans="16:21" ht="13.9" customHeight="1" x14ac:dyDescent="0.2">
      <c r="P760" s="27"/>
      <c r="Q760" s="30"/>
      <c r="R760" s="30"/>
      <c r="S760" s="30">
        <f>ABS(Q760)/'İtme Analizi'!$C$17</f>
        <v>0</v>
      </c>
      <c r="T760" s="30">
        <f>ABS(R760)/'İtme Analizi'!$C$14</f>
        <v>0</v>
      </c>
      <c r="U760" s="30">
        <f t="shared" si="15"/>
        <v>1.00829248845382E-4</v>
      </c>
    </row>
    <row r="761" spans="16:21" ht="13.9" customHeight="1" x14ac:dyDescent="0.2">
      <c r="P761" s="27"/>
      <c r="Q761" s="30"/>
      <c r="R761" s="30"/>
      <c r="S761" s="30">
        <f>ABS(Q761)/'İtme Analizi'!$C$17</f>
        <v>0</v>
      </c>
      <c r="T761" s="30">
        <f>ABS(R761)/'İtme Analizi'!$C$14</f>
        <v>0</v>
      </c>
      <c r="U761" s="30">
        <f t="shared" si="15"/>
        <v>1.00829248845382E-4</v>
      </c>
    </row>
    <row r="762" spans="16:21" ht="13.9" customHeight="1" x14ac:dyDescent="0.2">
      <c r="P762" s="27"/>
      <c r="Q762" s="30"/>
      <c r="R762" s="30"/>
      <c r="S762" s="30">
        <f>ABS(Q762)/'İtme Analizi'!$C$17</f>
        <v>0</v>
      </c>
      <c r="T762" s="30">
        <f>ABS(R762)/'İtme Analizi'!$C$14</f>
        <v>0</v>
      </c>
      <c r="U762" s="30">
        <f t="shared" si="15"/>
        <v>1.00829248845382E-4</v>
      </c>
    </row>
    <row r="763" spans="16:21" ht="13.9" customHeight="1" x14ac:dyDescent="0.2">
      <c r="P763" s="27"/>
      <c r="Q763" s="30"/>
      <c r="R763" s="30"/>
      <c r="S763" s="30">
        <f>ABS(Q763)/'İtme Analizi'!$C$17</f>
        <v>0</v>
      </c>
      <c r="T763" s="30">
        <f>ABS(R763)/'İtme Analizi'!$C$14</f>
        <v>0</v>
      </c>
      <c r="U763" s="30">
        <f t="shared" si="15"/>
        <v>1.00829248845382E-4</v>
      </c>
    </row>
    <row r="764" spans="16:21" ht="13.9" customHeight="1" x14ac:dyDescent="0.2">
      <c r="P764" s="27"/>
      <c r="Q764" s="30"/>
      <c r="R764" s="30"/>
      <c r="S764" s="30">
        <f>ABS(Q764)/'İtme Analizi'!$C$17</f>
        <v>0</v>
      </c>
      <c r="T764" s="30">
        <f>ABS(R764)/'İtme Analizi'!$C$14</f>
        <v>0</v>
      </c>
      <c r="U764" s="30">
        <f t="shared" si="15"/>
        <v>1.00829248845382E-4</v>
      </c>
    </row>
    <row r="765" spans="16:21" ht="13.9" customHeight="1" x14ac:dyDescent="0.2">
      <c r="P765" s="27"/>
      <c r="Q765" s="30"/>
      <c r="R765" s="30"/>
      <c r="S765" s="30">
        <f>ABS(Q765)/'İtme Analizi'!$C$17</f>
        <v>0</v>
      </c>
      <c r="T765" s="30">
        <f>ABS(R765)/'İtme Analizi'!$C$14</f>
        <v>0</v>
      </c>
      <c r="U765" s="30">
        <f t="shared" si="15"/>
        <v>1.00829248845382E-4</v>
      </c>
    </row>
    <row r="766" spans="16:21" ht="13.9" customHeight="1" x14ac:dyDescent="0.2">
      <c r="P766" s="27"/>
      <c r="Q766" s="30"/>
      <c r="R766" s="30"/>
      <c r="S766" s="30">
        <f>ABS(Q766)/'İtme Analizi'!$C$17</f>
        <v>0</v>
      </c>
      <c r="T766" s="30">
        <f>ABS(R766)/'İtme Analizi'!$C$14</f>
        <v>0</v>
      </c>
      <c r="U766" s="30">
        <f t="shared" si="15"/>
        <v>1.00829248845382E-4</v>
      </c>
    </row>
    <row r="767" spans="16:21" ht="13.9" customHeight="1" x14ac:dyDescent="0.2">
      <c r="P767" s="27"/>
      <c r="Q767" s="30"/>
      <c r="R767" s="30"/>
      <c r="S767" s="30">
        <f>ABS(Q767)/'İtme Analizi'!$C$17</f>
        <v>0</v>
      </c>
      <c r="T767" s="30">
        <f>ABS(R767)/'İtme Analizi'!$C$14</f>
        <v>0</v>
      </c>
      <c r="U767" s="30">
        <f t="shared" si="15"/>
        <v>1.00829248845382E-4</v>
      </c>
    </row>
    <row r="768" spans="16:21" ht="13.9" customHeight="1" x14ac:dyDescent="0.2">
      <c r="P768" s="27"/>
      <c r="Q768" s="30"/>
      <c r="R768" s="30"/>
      <c r="S768" s="30">
        <f>ABS(Q768)/'İtme Analizi'!$C$17</f>
        <v>0</v>
      </c>
      <c r="T768" s="30">
        <f>ABS(R768)/'İtme Analizi'!$C$14</f>
        <v>0</v>
      </c>
      <c r="U768" s="30">
        <f t="shared" si="15"/>
        <v>1.00829248845382E-4</v>
      </c>
    </row>
    <row r="769" spans="16:21" ht="13.9" customHeight="1" x14ac:dyDescent="0.2">
      <c r="P769" s="27"/>
      <c r="Q769" s="30"/>
      <c r="R769" s="30"/>
      <c r="S769" s="30">
        <f>ABS(Q769)/'İtme Analizi'!$C$17</f>
        <v>0</v>
      </c>
      <c r="T769" s="30">
        <f>ABS(R769)/'İtme Analizi'!$C$14</f>
        <v>0</v>
      </c>
      <c r="U769" s="30">
        <f t="shared" si="15"/>
        <v>1.00829248845382E-4</v>
      </c>
    </row>
    <row r="770" spans="16:21" ht="13.9" customHeight="1" x14ac:dyDescent="0.2">
      <c r="P770" s="27"/>
      <c r="Q770" s="30"/>
      <c r="R770" s="30"/>
      <c r="S770" s="30">
        <f>ABS(Q770)/'İtme Analizi'!$C$17</f>
        <v>0</v>
      </c>
      <c r="T770" s="30">
        <f>ABS(R770)/'İtme Analizi'!$C$14</f>
        <v>0</v>
      </c>
      <c r="U770" s="30">
        <f t="shared" ref="U770:U833" si="16">U769+(S770-S769)*((T770+T769)/2)</f>
        <v>1.00829248845382E-4</v>
      </c>
    </row>
    <row r="771" spans="16:21" ht="13.9" customHeight="1" x14ac:dyDescent="0.2">
      <c r="P771" s="27"/>
      <c r="Q771" s="30"/>
      <c r="R771" s="30"/>
      <c r="S771" s="30">
        <f>ABS(Q771)/'İtme Analizi'!$C$17</f>
        <v>0</v>
      </c>
      <c r="T771" s="30">
        <f>ABS(R771)/'İtme Analizi'!$C$14</f>
        <v>0</v>
      </c>
      <c r="U771" s="30">
        <f t="shared" si="16"/>
        <v>1.00829248845382E-4</v>
      </c>
    </row>
    <row r="772" spans="16:21" ht="13.9" customHeight="1" x14ac:dyDescent="0.2">
      <c r="P772" s="27"/>
      <c r="Q772" s="30"/>
      <c r="R772" s="30"/>
      <c r="S772" s="30">
        <f>ABS(Q772)/'İtme Analizi'!$C$17</f>
        <v>0</v>
      </c>
      <c r="T772" s="30">
        <f>ABS(R772)/'İtme Analizi'!$C$14</f>
        <v>0</v>
      </c>
      <c r="U772" s="30">
        <f t="shared" si="16"/>
        <v>1.00829248845382E-4</v>
      </c>
    </row>
    <row r="773" spans="16:21" ht="13.9" customHeight="1" x14ac:dyDescent="0.2">
      <c r="P773" s="27"/>
      <c r="Q773" s="30"/>
      <c r="R773" s="30"/>
      <c r="S773" s="30">
        <f>ABS(Q773)/'İtme Analizi'!$C$17</f>
        <v>0</v>
      </c>
      <c r="T773" s="30">
        <f>ABS(R773)/'İtme Analizi'!$C$14</f>
        <v>0</v>
      </c>
      <c r="U773" s="30">
        <f t="shared" si="16"/>
        <v>1.00829248845382E-4</v>
      </c>
    </row>
    <row r="774" spans="16:21" ht="13.9" customHeight="1" x14ac:dyDescent="0.2">
      <c r="P774" s="27"/>
      <c r="Q774" s="30"/>
      <c r="R774" s="30"/>
      <c r="S774" s="30">
        <f>ABS(Q774)/'İtme Analizi'!$C$17</f>
        <v>0</v>
      </c>
      <c r="T774" s="30">
        <f>ABS(R774)/'İtme Analizi'!$C$14</f>
        <v>0</v>
      </c>
      <c r="U774" s="30">
        <f t="shared" si="16"/>
        <v>1.00829248845382E-4</v>
      </c>
    </row>
    <row r="775" spans="16:21" ht="13.9" customHeight="1" x14ac:dyDescent="0.2">
      <c r="P775" s="27"/>
      <c r="Q775" s="30"/>
      <c r="R775" s="30"/>
      <c r="S775" s="30">
        <f>ABS(Q775)/'İtme Analizi'!$C$17</f>
        <v>0</v>
      </c>
      <c r="T775" s="30">
        <f>ABS(R775)/'İtme Analizi'!$C$14</f>
        <v>0</v>
      </c>
      <c r="U775" s="30">
        <f t="shared" si="16"/>
        <v>1.00829248845382E-4</v>
      </c>
    </row>
    <row r="776" spans="16:21" ht="13.9" customHeight="1" x14ac:dyDescent="0.2">
      <c r="P776" s="27"/>
      <c r="Q776" s="30"/>
      <c r="R776" s="30"/>
      <c r="S776" s="30">
        <f>ABS(Q776)/'İtme Analizi'!$C$17</f>
        <v>0</v>
      </c>
      <c r="T776" s="30">
        <f>ABS(R776)/'İtme Analizi'!$C$14</f>
        <v>0</v>
      </c>
      <c r="U776" s="30">
        <f t="shared" si="16"/>
        <v>1.00829248845382E-4</v>
      </c>
    </row>
    <row r="777" spans="16:21" ht="13.9" customHeight="1" x14ac:dyDescent="0.2">
      <c r="P777" s="27"/>
      <c r="Q777" s="30"/>
      <c r="R777" s="30"/>
      <c r="S777" s="30">
        <f>ABS(Q777)/'İtme Analizi'!$C$17</f>
        <v>0</v>
      </c>
      <c r="T777" s="30">
        <f>ABS(R777)/'İtme Analizi'!$C$14</f>
        <v>0</v>
      </c>
      <c r="U777" s="30">
        <f t="shared" si="16"/>
        <v>1.00829248845382E-4</v>
      </c>
    </row>
    <row r="778" spans="16:21" ht="13.9" customHeight="1" x14ac:dyDescent="0.2">
      <c r="P778" s="27"/>
      <c r="Q778" s="30"/>
      <c r="R778" s="30"/>
      <c r="S778" s="30">
        <f>ABS(Q778)/'İtme Analizi'!$C$17</f>
        <v>0</v>
      </c>
      <c r="T778" s="30">
        <f>ABS(R778)/'İtme Analizi'!$C$14</f>
        <v>0</v>
      </c>
      <c r="U778" s="30">
        <f t="shared" si="16"/>
        <v>1.00829248845382E-4</v>
      </c>
    </row>
    <row r="779" spans="16:21" ht="13.9" customHeight="1" x14ac:dyDescent="0.2">
      <c r="P779" s="27"/>
      <c r="Q779" s="30"/>
      <c r="R779" s="30"/>
      <c r="S779" s="30">
        <f>ABS(Q779)/'İtme Analizi'!$C$17</f>
        <v>0</v>
      </c>
      <c r="T779" s="30">
        <f>ABS(R779)/'İtme Analizi'!$C$14</f>
        <v>0</v>
      </c>
      <c r="U779" s="30">
        <f t="shared" si="16"/>
        <v>1.00829248845382E-4</v>
      </c>
    </row>
    <row r="780" spans="16:21" ht="13.9" customHeight="1" x14ac:dyDescent="0.2">
      <c r="P780" s="27"/>
      <c r="Q780" s="30"/>
      <c r="R780" s="30"/>
      <c r="S780" s="30">
        <f>ABS(Q780)/'İtme Analizi'!$C$17</f>
        <v>0</v>
      </c>
      <c r="T780" s="30">
        <f>ABS(R780)/'İtme Analizi'!$C$14</f>
        <v>0</v>
      </c>
      <c r="U780" s="30">
        <f t="shared" si="16"/>
        <v>1.00829248845382E-4</v>
      </c>
    </row>
    <row r="781" spans="16:21" ht="13.9" customHeight="1" x14ac:dyDescent="0.2">
      <c r="P781" s="27"/>
      <c r="Q781" s="30"/>
      <c r="R781" s="30"/>
      <c r="S781" s="30">
        <f>ABS(Q781)/'İtme Analizi'!$C$17</f>
        <v>0</v>
      </c>
      <c r="T781" s="30">
        <f>ABS(R781)/'İtme Analizi'!$C$14</f>
        <v>0</v>
      </c>
      <c r="U781" s="30">
        <f t="shared" si="16"/>
        <v>1.00829248845382E-4</v>
      </c>
    </row>
    <row r="782" spans="16:21" ht="13.9" customHeight="1" x14ac:dyDescent="0.2">
      <c r="P782" s="27"/>
      <c r="Q782" s="30"/>
      <c r="R782" s="30"/>
      <c r="S782" s="30">
        <f>ABS(Q782)/'İtme Analizi'!$C$17</f>
        <v>0</v>
      </c>
      <c r="T782" s="30">
        <f>ABS(R782)/'İtme Analizi'!$C$14</f>
        <v>0</v>
      </c>
      <c r="U782" s="30">
        <f t="shared" si="16"/>
        <v>1.00829248845382E-4</v>
      </c>
    </row>
    <row r="783" spans="16:21" ht="13.9" customHeight="1" x14ac:dyDescent="0.2">
      <c r="P783" s="27"/>
      <c r="Q783" s="30"/>
      <c r="R783" s="30"/>
      <c r="S783" s="30">
        <f>ABS(Q783)/'İtme Analizi'!$C$17</f>
        <v>0</v>
      </c>
      <c r="T783" s="30">
        <f>ABS(R783)/'İtme Analizi'!$C$14</f>
        <v>0</v>
      </c>
      <c r="U783" s="30">
        <f t="shared" si="16"/>
        <v>1.00829248845382E-4</v>
      </c>
    </row>
    <row r="784" spans="16:21" ht="13.9" customHeight="1" x14ac:dyDescent="0.2">
      <c r="P784" s="27"/>
      <c r="Q784" s="30"/>
      <c r="R784" s="30"/>
      <c r="S784" s="30">
        <f>ABS(Q784)/'İtme Analizi'!$C$17</f>
        <v>0</v>
      </c>
      <c r="T784" s="30">
        <f>ABS(R784)/'İtme Analizi'!$C$14</f>
        <v>0</v>
      </c>
      <c r="U784" s="30">
        <f t="shared" si="16"/>
        <v>1.00829248845382E-4</v>
      </c>
    </row>
    <row r="785" spans="16:21" ht="13.9" customHeight="1" x14ac:dyDescent="0.2">
      <c r="P785" s="27"/>
      <c r="Q785" s="30"/>
      <c r="R785" s="30"/>
      <c r="S785" s="30">
        <f>ABS(Q785)/'İtme Analizi'!$C$17</f>
        <v>0</v>
      </c>
      <c r="T785" s="30">
        <f>ABS(R785)/'İtme Analizi'!$C$14</f>
        <v>0</v>
      </c>
      <c r="U785" s="30">
        <f t="shared" si="16"/>
        <v>1.00829248845382E-4</v>
      </c>
    </row>
    <row r="786" spans="16:21" ht="13.9" customHeight="1" x14ac:dyDescent="0.2">
      <c r="P786" s="27"/>
      <c r="Q786" s="30"/>
      <c r="R786" s="30"/>
      <c r="S786" s="30">
        <f>ABS(Q786)/'İtme Analizi'!$C$17</f>
        <v>0</v>
      </c>
      <c r="T786" s="30">
        <f>ABS(R786)/'İtme Analizi'!$C$14</f>
        <v>0</v>
      </c>
      <c r="U786" s="30">
        <f t="shared" si="16"/>
        <v>1.00829248845382E-4</v>
      </c>
    </row>
    <row r="787" spans="16:21" ht="13.9" customHeight="1" x14ac:dyDescent="0.2">
      <c r="P787" s="27"/>
      <c r="Q787" s="30"/>
      <c r="R787" s="30"/>
      <c r="S787" s="30">
        <f>ABS(Q787)/'İtme Analizi'!$C$17</f>
        <v>0</v>
      </c>
      <c r="T787" s="30">
        <f>ABS(R787)/'İtme Analizi'!$C$14</f>
        <v>0</v>
      </c>
      <c r="U787" s="30">
        <f t="shared" si="16"/>
        <v>1.00829248845382E-4</v>
      </c>
    </row>
    <row r="788" spans="16:21" ht="13.9" customHeight="1" x14ac:dyDescent="0.2">
      <c r="P788" s="27"/>
      <c r="Q788" s="30"/>
      <c r="R788" s="30"/>
      <c r="S788" s="30">
        <f>ABS(Q788)/'İtme Analizi'!$C$17</f>
        <v>0</v>
      </c>
      <c r="T788" s="30">
        <f>ABS(R788)/'İtme Analizi'!$C$14</f>
        <v>0</v>
      </c>
      <c r="U788" s="30">
        <f t="shared" si="16"/>
        <v>1.00829248845382E-4</v>
      </c>
    </row>
    <row r="789" spans="16:21" ht="13.9" customHeight="1" x14ac:dyDescent="0.2">
      <c r="P789" s="27"/>
      <c r="Q789" s="30"/>
      <c r="R789" s="30"/>
      <c r="S789" s="30">
        <f>ABS(Q789)/'İtme Analizi'!$C$17</f>
        <v>0</v>
      </c>
      <c r="T789" s="30">
        <f>ABS(R789)/'İtme Analizi'!$C$14</f>
        <v>0</v>
      </c>
      <c r="U789" s="30">
        <f t="shared" si="16"/>
        <v>1.00829248845382E-4</v>
      </c>
    </row>
    <row r="790" spans="16:21" ht="13.9" customHeight="1" x14ac:dyDescent="0.2">
      <c r="P790" s="27"/>
      <c r="Q790" s="30"/>
      <c r="R790" s="30"/>
      <c r="S790" s="30">
        <f>ABS(Q790)/'İtme Analizi'!$C$17</f>
        <v>0</v>
      </c>
      <c r="T790" s="30">
        <f>ABS(R790)/'İtme Analizi'!$C$14</f>
        <v>0</v>
      </c>
      <c r="U790" s="30">
        <f t="shared" si="16"/>
        <v>1.00829248845382E-4</v>
      </c>
    </row>
    <row r="791" spans="16:21" ht="13.9" customHeight="1" x14ac:dyDescent="0.2">
      <c r="P791" s="27"/>
      <c r="Q791" s="30"/>
      <c r="R791" s="30"/>
      <c r="S791" s="30">
        <f>ABS(Q791)/'İtme Analizi'!$C$17</f>
        <v>0</v>
      </c>
      <c r="T791" s="30">
        <f>ABS(R791)/'İtme Analizi'!$C$14</f>
        <v>0</v>
      </c>
      <c r="U791" s="30">
        <f t="shared" si="16"/>
        <v>1.00829248845382E-4</v>
      </c>
    </row>
    <row r="792" spans="16:21" ht="13.9" customHeight="1" x14ac:dyDescent="0.2">
      <c r="P792" s="27"/>
      <c r="Q792" s="30"/>
      <c r="R792" s="30"/>
      <c r="S792" s="30">
        <f>ABS(Q792)/'İtme Analizi'!$C$17</f>
        <v>0</v>
      </c>
      <c r="T792" s="30">
        <f>ABS(R792)/'İtme Analizi'!$C$14</f>
        <v>0</v>
      </c>
      <c r="U792" s="30">
        <f t="shared" si="16"/>
        <v>1.00829248845382E-4</v>
      </c>
    </row>
    <row r="793" spans="16:21" ht="13.9" customHeight="1" x14ac:dyDescent="0.2">
      <c r="P793" s="27"/>
      <c r="Q793" s="30"/>
      <c r="R793" s="30"/>
      <c r="S793" s="30">
        <f>ABS(Q793)/'İtme Analizi'!$C$17</f>
        <v>0</v>
      </c>
      <c r="T793" s="30">
        <f>ABS(R793)/'İtme Analizi'!$C$14</f>
        <v>0</v>
      </c>
      <c r="U793" s="30">
        <f t="shared" si="16"/>
        <v>1.00829248845382E-4</v>
      </c>
    </row>
    <row r="794" spans="16:21" ht="13.9" customHeight="1" x14ac:dyDescent="0.2">
      <c r="P794" s="27"/>
      <c r="Q794" s="30"/>
      <c r="R794" s="30"/>
      <c r="S794" s="30">
        <f>ABS(Q794)/'İtme Analizi'!$C$17</f>
        <v>0</v>
      </c>
      <c r="T794" s="30">
        <f>ABS(R794)/'İtme Analizi'!$C$14</f>
        <v>0</v>
      </c>
      <c r="U794" s="30">
        <f t="shared" si="16"/>
        <v>1.00829248845382E-4</v>
      </c>
    </row>
    <row r="795" spans="16:21" ht="13.9" customHeight="1" x14ac:dyDescent="0.2">
      <c r="P795" s="27"/>
      <c r="Q795" s="30"/>
      <c r="R795" s="30"/>
      <c r="S795" s="30">
        <f>ABS(Q795)/'İtme Analizi'!$C$17</f>
        <v>0</v>
      </c>
      <c r="T795" s="30">
        <f>ABS(R795)/'İtme Analizi'!$C$14</f>
        <v>0</v>
      </c>
      <c r="U795" s="30">
        <f t="shared" si="16"/>
        <v>1.00829248845382E-4</v>
      </c>
    </row>
    <row r="796" spans="16:21" ht="13.9" customHeight="1" x14ac:dyDescent="0.2">
      <c r="P796" s="27"/>
      <c r="Q796" s="30"/>
      <c r="R796" s="30"/>
      <c r="S796" s="30">
        <f>ABS(Q796)/'İtme Analizi'!$C$17</f>
        <v>0</v>
      </c>
      <c r="T796" s="30">
        <f>ABS(R796)/'İtme Analizi'!$C$14</f>
        <v>0</v>
      </c>
      <c r="U796" s="30">
        <f t="shared" si="16"/>
        <v>1.00829248845382E-4</v>
      </c>
    </row>
    <row r="797" spans="16:21" ht="13.9" customHeight="1" x14ac:dyDescent="0.2">
      <c r="P797" s="27"/>
      <c r="Q797" s="30"/>
      <c r="R797" s="30"/>
      <c r="S797" s="30">
        <f>ABS(Q797)/'İtme Analizi'!$C$17</f>
        <v>0</v>
      </c>
      <c r="T797" s="30">
        <f>ABS(R797)/'İtme Analizi'!$C$14</f>
        <v>0</v>
      </c>
      <c r="U797" s="30">
        <f t="shared" si="16"/>
        <v>1.00829248845382E-4</v>
      </c>
    </row>
    <row r="798" spans="16:21" ht="13.9" customHeight="1" x14ac:dyDescent="0.2">
      <c r="P798" s="27"/>
      <c r="Q798" s="30"/>
      <c r="R798" s="30"/>
      <c r="S798" s="30">
        <f>ABS(Q798)/'İtme Analizi'!$C$17</f>
        <v>0</v>
      </c>
      <c r="T798" s="30">
        <f>ABS(R798)/'İtme Analizi'!$C$14</f>
        <v>0</v>
      </c>
      <c r="U798" s="30">
        <f t="shared" si="16"/>
        <v>1.00829248845382E-4</v>
      </c>
    </row>
    <row r="799" spans="16:21" ht="13.9" customHeight="1" x14ac:dyDescent="0.2">
      <c r="P799" s="27"/>
      <c r="Q799" s="30"/>
      <c r="R799" s="30"/>
      <c r="S799" s="30">
        <f>ABS(Q799)/'İtme Analizi'!$C$17</f>
        <v>0</v>
      </c>
      <c r="T799" s="30">
        <f>ABS(R799)/'İtme Analizi'!$C$14</f>
        <v>0</v>
      </c>
      <c r="U799" s="30">
        <f t="shared" si="16"/>
        <v>1.00829248845382E-4</v>
      </c>
    </row>
    <row r="800" spans="16:21" ht="13.9" customHeight="1" x14ac:dyDescent="0.2">
      <c r="P800" s="27"/>
      <c r="Q800" s="30"/>
      <c r="R800" s="30"/>
      <c r="S800" s="30">
        <f>ABS(Q800)/'İtme Analizi'!$C$17</f>
        <v>0</v>
      </c>
      <c r="T800" s="30">
        <f>ABS(R800)/'İtme Analizi'!$C$14</f>
        <v>0</v>
      </c>
      <c r="U800" s="30">
        <f t="shared" si="16"/>
        <v>1.00829248845382E-4</v>
      </c>
    </row>
    <row r="801" spans="16:21" ht="13.9" customHeight="1" x14ac:dyDescent="0.2">
      <c r="P801" s="27"/>
      <c r="Q801" s="30"/>
      <c r="R801" s="30"/>
      <c r="S801" s="30">
        <f>ABS(Q801)/'İtme Analizi'!$C$17</f>
        <v>0</v>
      </c>
      <c r="T801" s="30">
        <f>ABS(R801)/'İtme Analizi'!$C$14</f>
        <v>0</v>
      </c>
      <c r="U801" s="30">
        <f t="shared" si="16"/>
        <v>1.00829248845382E-4</v>
      </c>
    </row>
    <row r="802" spans="16:21" ht="13.9" customHeight="1" x14ac:dyDescent="0.2">
      <c r="P802" s="27"/>
      <c r="Q802" s="30"/>
      <c r="R802" s="30"/>
      <c r="S802" s="30">
        <f>ABS(Q802)/'İtme Analizi'!$C$17</f>
        <v>0</v>
      </c>
      <c r="T802" s="30">
        <f>ABS(R802)/'İtme Analizi'!$C$14</f>
        <v>0</v>
      </c>
      <c r="U802" s="30">
        <f t="shared" si="16"/>
        <v>1.00829248845382E-4</v>
      </c>
    </row>
    <row r="803" spans="16:21" ht="13.9" customHeight="1" x14ac:dyDescent="0.2">
      <c r="P803" s="27"/>
      <c r="Q803" s="30"/>
      <c r="R803" s="30"/>
      <c r="S803" s="30">
        <f>ABS(Q803)/'İtme Analizi'!$C$17</f>
        <v>0</v>
      </c>
      <c r="T803" s="30">
        <f>ABS(R803)/'İtme Analizi'!$C$14</f>
        <v>0</v>
      </c>
      <c r="U803" s="30">
        <f t="shared" si="16"/>
        <v>1.00829248845382E-4</v>
      </c>
    </row>
    <row r="804" spans="16:21" ht="13.9" customHeight="1" x14ac:dyDescent="0.2">
      <c r="P804" s="27"/>
      <c r="Q804" s="30"/>
      <c r="R804" s="30"/>
      <c r="S804" s="30">
        <f>ABS(Q804)/'İtme Analizi'!$C$17</f>
        <v>0</v>
      </c>
      <c r="T804" s="30">
        <f>ABS(R804)/'İtme Analizi'!$C$14</f>
        <v>0</v>
      </c>
      <c r="U804" s="30">
        <f t="shared" si="16"/>
        <v>1.00829248845382E-4</v>
      </c>
    </row>
    <row r="805" spans="16:21" ht="13.9" customHeight="1" x14ac:dyDescent="0.2">
      <c r="P805" s="27"/>
      <c r="Q805" s="30"/>
      <c r="R805" s="30"/>
      <c r="S805" s="30">
        <f>ABS(Q805)/'İtme Analizi'!$C$17</f>
        <v>0</v>
      </c>
      <c r="T805" s="30">
        <f>ABS(R805)/'İtme Analizi'!$C$14</f>
        <v>0</v>
      </c>
      <c r="U805" s="30">
        <f t="shared" si="16"/>
        <v>1.00829248845382E-4</v>
      </c>
    </row>
    <row r="806" spans="16:21" ht="13.9" customHeight="1" x14ac:dyDescent="0.2">
      <c r="P806" s="27"/>
      <c r="Q806" s="30"/>
      <c r="R806" s="30"/>
      <c r="S806" s="30">
        <f>ABS(Q806)/'İtme Analizi'!$C$17</f>
        <v>0</v>
      </c>
      <c r="T806" s="30">
        <f>ABS(R806)/'İtme Analizi'!$C$14</f>
        <v>0</v>
      </c>
      <c r="U806" s="30">
        <f t="shared" si="16"/>
        <v>1.00829248845382E-4</v>
      </c>
    </row>
    <row r="807" spans="16:21" ht="13.9" customHeight="1" x14ac:dyDescent="0.2">
      <c r="P807" s="27"/>
      <c r="Q807" s="30"/>
      <c r="R807" s="30"/>
      <c r="S807" s="30">
        <f>ABS(Q807)/'İtme Analizi'!$C$17</f>
        <v>0</v>
      </c>
      <c r="T807" s="30">
        <f>ABS(R807)/'İtme Analizi'!$C$14</f>
        <v>0</v>
      </c>
      <c r="U807" s="30">
        <f t="shared" si="16"/>
        <v>1.00829248845382E-4</v>
      </c>
    </row>
    <row r="808" spans="16:21" ht="13.9" customHeight="1" x14ac:dyDescent="0.2">
      <c r="P808" s="27"/>
      <c r="Q808" s="30"/>
      <c r="R808" s="30"/>
      <c r="S808" s="30">
        <f>ABS(Q808)/'İtme Analizi'!$C$17</f>
        <v>0</v>
      </c>
      <c r="T808" s="30">
        <f>ABS(R808)/'İtme Analizi'!$C$14</f>
        <v>0</v>
      </c>
      <c r="U808" s="30">
        <f t="shared" si="16"/>
        <v>1.00829248845382E-4</v>
      </c>
    </row>
    <row r="809" spans="16:21" ht="13.9" customHeight="1" x14ac:dyDescent="0.2">
      <c r="P809" s="27"/>
      <c r="Q809" s="30"/>
      <c r="R809" s="30"/>
      <c r="S809" s="30">
        <f>ABS(Q809)/'İtme Analizi'!$C$17</f>
        <v>0</v>
      </c>
      <c r="T809" s="30">
        <f>ABS(R809)/'İtme Analizi'!$C$14</f>
        <v>0</v>
      </c>
      <c r="U809" s="30">
        <f t="shared" si="16"/>
        <v>1.00829248845382E-4</v>
      </c>
    </row>
    <row r="810" spans="16:21" ht="13.9" customHeight="1" x14ac:dyDescent="0.2">
      <c r="P810" s="27"/>
      <c r="Q810" s="30"/>
      <c r="R810" s="30"/>
      <c r="S810" s="30">
        <f>ABS(Q810)/'İtme Analizi'!$C$17</f>
        <v>0</v>
      </c>
      <c r="T810" s="30">
        <f>ABS(R810)/'İtme Analizi'!$C$14</f>
        <v>0</v>
      </c>
      <c r="U810" s="30">
        <f t="shared" si="16"/>
        <v>1.00829248845382E-4</v>
      </c>
    </row>
    <row r="811" spans="16:21" ht="13.9" customHeight="1" x14ac:dyDescent="0.2">
      <c r="P811" s="27"/>
      <c r="Q811" s="30"/>
      <c r="R811" s="30"/>
      <c r="S811" s="30">
        <f>ABS(Q811)/'İtme Analizi'!$C$17</f>
        <v>0</v>
      </c>
      <c r="T811" s="30">
        <f>ABS(R811)/'İtme Analizi'!$C$14</f>
        <v>0</v>
      </c>
      <c r="U811" s="30">
        <f t="shared" si="16"/>
        <v>1.00829248845382E-4</v>
      </c>
    </row>
    <row r="812" spans="16:21" ht="13.9" customHeight="1" x14ac:dyDescent="0.2">
      <c r="P812" s="27"/>
      <c r="Q812" s="30"/>
      <c r="R812" s="30"/>
      <c r="S812" s="30">
        <f>ABS(Q812)/'İtme Analizi'!$C$17</f>
        <v>0</v>
      </c>
      <c r="T812" s="30">
        <f>ABS(R812)/'İtme Analizi'!$C$14</f>
        <v>0</v>
      </c>
      <c r="U812" s="30">
        <f t="shared" si="16"/>
        <v>1.00829248845382E-4</v>
      </c>
    </row>
    <row r="813" spans="16:21" ht="13.9" customHeight="1" x14ac:dyDescent="0.2">
      <c r="P813" s="27"/>
      <c r="Q813" s="30"/>
      <c r="R813" s="30"/>
      <c r="S813" s="30">
        <f>ABS(Q813)/'İtme Analizi'!$C$17</f>
        <v>0</v>
      </c>
      <c r="T813" s="30">
        <f>ABS(R813)/'İtme Analizi'!$C$14</f>
        <v>0</v>
      </c>
      <c r="U813" s="30">
        <f t="shared" si="16"/>
        <v>1.00829248845382E-4</v>
      </c>
    </row>
    <row r="814" spans="16:21" ht="13.9" customHeight="1" x14ac:dyDescent="0.2">
      <c r="P814" s="27"/>
      <c r="Q814" s="30"/>
      <c r="R814" s="30"/>
      <c r="S814" s="30">
        <f>ABS(Q814)/'İtme Analizi'!$C$17</f>
        <v>0</v>
      </c>
      <c r="T814" s="30">
        <f>ABS(R814)/'İtme Analizi'!$C$14</f>
        <v>0</v>
      </c>
      <c r="U814" s="30">
        <f t="shared" si="16"/>
        <v>1.00829248845382E-4</v>
      </c>
    </row>
    <row r="815" spans="16:21" ht="13.9" customHeight="1" x14ac:dyDescent="0.2">
      <c r="P815" s="27"/>
      <c r="Q815" s="30"/>
      <c r="R815" s="30"/>
      <c r="S815" s="30">
        <f>ABS(Q815)/'İtme Analizi'!$C$17</f>
        <v>0</v>
      </c>
      <c r="T815" s="30">
        <f>ABS(R815)/'İtme Analizi'!$C$14</f>
        <v>0</v>
      </c>
      <c r="U815" s="30">
        <f t="shared" si="16"/>
        <v>1.00829248845382E-4</v>
      </c>
    </row>
    <row r="816" spans="16:21" ht="13.9" customHeight="1" x14ac:dyDescent="0.2">
      <c r="P816" s="27"/>
      <c r="Q816" s="30"/>
      <c r="R816" s="30"/>
      <c r="S816" s="30">
        <f>ABS(Q816)/'İtme Analizi'!$C$17</f>
        <v>0</v>
      </c>
      <c r="T816" s="30">
        <f>ABS(R816)/'İtme Analizi'!$C$14</f>
        <v>0</v>
      </c>
      <c r="U816" s="30">
        <f t="shared" si="16"/>
        <v>1.00829248845382E-4</v>
      </c>
    </row>
    <row r="817" spans="16:21" ht="13.9" customHeight="1" x14ac:dyDescent="0.2">
      <c r="P817" s="27"/>
      <c r="Q817" s="30"/>
      <c r="R817" s="30"/>
      <c r="S817" s="30">
        <f>ABS(Q817)/'İtme Analizi'!$C$17</f>
        <v>0</v>
      </c>
      <c r="T817" s="30">
        <f>ABS(R817)/'İtme Analizi'!$C$14</f>
        <v>0</v>
      </c>
      <c r="U817" s="30">
        <f t="shared" si="16"/>
        <v>1.00829248845382E-4</v>
      </c>
    </row>
    <row r="818" spans="16:21" ht="13.9" customHeight="1" x14ac:dyDescent="0.2">
      <c r="P818" s="27"/>
      <c r="Q818" s="30"/>
      <c r="R818" s="30"/>
      <c r="S818" s="30">
        <f>ABS(Q818)/'İtme Analizi'!$C$17</f>
        <v>0</v>
      </c>
      <c r="T818" s="30">
        <f>ABS(R818)/'İtme Analizi'!$C$14</f>
        <v>0</v>
      </c>
      <c r="U818" s="30">
        <f t="shared" si="16"/>
        <v>1.00829248845382E-4</v>
      </c>
    </row>
    <row r="819" spans="16:21" ht="13.9" customHeight="1" x14ac:dyDescent="0.2">
      <c r="P819" s="27"/>
      <c r="Q819" s="30"/>
      <c r="R819" s="30"/>
      <c r="S819" s="30">
        <f>ABS(Q819)/'İtme Analizi'!$C$17</f>
        <v>0</v>
      </c>
      <c r="T819" s="30">
        <f>ABS(R819)/'İtme Analizi'!$C$14</f>
        <v>0</v>
      </c>
      <c r="U819" s="30">
        <f t="shared" si="16"/>
        <v>1.00829248845382E-4</v>
      </c>
    </row>
    <row r="820" spans="16:21" ht="13.9" customHeight="1" x14ac:dyDescent="0.2">
      <c r="P820" s="27"/>
      <c r="Q820" s="30"/>
      <c r="R820" s="30"/>
      <c r="S820" s="30">
        <f>ABS(Q820)/'İtme Analizi'!$C$17</f>
        <v>0</v>
      </c>
      <c r="T820" s="30">
        <f>ABS(R820)/'İtme Analizi'!$C$14</f>
        <v>0</v>
      </c>
      <c r="U820" s="30">
        <f t="shared" si="16"/>
        <v>1.00829248845382E-4</v>
      </c>
    </row>
    <row r="821" spans="16:21" ht="13.9" customHeight="1" x14ac:dyDescent="0.2">
      <c r="P821" s="27"/>
      <c r="Q821" s="30"/>
      <c r="R821" s="30"/>
      <c r="S821" s="30">
        <f>ABS(Q821)/'İtme Analizi'!$C$17</f>
        <v>0</v>
      </c>
      <c r="T821" s="30">
        <f>ABS(R821)/'İtme Analizi'!$C$14</f>
        <v>0</v>
      </c>
      <c r="U821" s="30">
        <f t="shared" si="16"/>
        <v>1.00829248845382E-4</v>
      </c>
    </row>
    <row r="822" spans="16:21" ht="13.9" customHeight="1" x14ac:dyDescent="0.2">
      <c r="P822" s="27"/>
      <c r="Q822" s="30"/>
      <c r="R822" s="30"/>
      <c r="S822" s="30">
        <f>ABS(Q822)/'İtme Analizi'!$C$17</f>
        <v>0</v>
      </c>
      <c r="T822" s="30">
        <f>ABS(R822)/'İtme Analizi'!$C$14</f>
        <v>0</v>
      </c>
      <c r="U822" s="30">
        <f t="shared" si="16"/>
        <v>1.00829248845382E-4</v>
      </c>
    </row>
    <row r="823" spans="16:21" ht="13.9" customHeight="1" x14ac:dyDescent="0.2">
      <c r="P823" s="27"/>
      <c r="Q823" s="30"/>
      <c r="R823" s="30"/>
      <c r="S823" s="30">
        <f>ABS(Q823)/'İtme Analizi'!$C$17</f>
        <v>0</v>
      </c>
      <c r="T823" s="30">
        <f>ABS(R823)/'İtme Analizi'!$C$14</f>
        <v>0</v>
      </c>
      <c r="U823" s="30">
        <f t="shared" si="16"/>
        <v>1.00829248845382E-4</v>
      </c>
    </row>
    <row r="824" spans="16:21" ht="13.9" customHeight="1" x14ac:dyDescent="0.2">
      <c r="P824" s="27"/>
      <c r="Q824" s="30"/>
      <c r="R824" s="30"/>
      <c r="S824" s="30">
        <f>ABS(Q824)/'İtme Analizi'!$C$17</f>
        <v>0</v>
      </c>
      <c r="T824" s="30">
        <f>ABS(R824)/'İtme Analizi'!$C$14</f>
        <v>0</v>
      </c>
      <c r="U824" s="30">
        <f t="shared" si="16"/>
        <v>1.00829248845382E-4</v>
      </c>
    </row>
    <row r="825" spans="16:21" ht="13.9" customHeight="1" x14ac:dyDescent="0.2">
      <c r="P825" s="27"/>
      <c r="Q825" s="30"/>
      <c r="R825" s="30"/>
      <c r="S825" s="30">
        <f>ABS(Q825)/'İtme Analizi'!$C$17</f>
        <v>0</v>
      </c>
      <c r="T825" s="30">
        <f>ABS(R825)/'İtme Analizi'!$C$14</f>
        <v>0</v>
      </c>
      <c r="U825" s="30">
        <f t="shared" si="16"/>
        <v>1.00829248845382E-4</v>
      </c>
    </row>
    <row r="826" spans="16:21" ht="13.9" customHeight="1" x14ac:dyDescent="0.2">
      <c r="P826" s="27"/>
      <c r="Q826" s="30"/>
      <c r="R826" s="30"/>
      <c r="S826" s="30">
        <f>ABS(Q826)/'İtme Analizi'!$C$17</f>
        <v>0</v>
      </c>
      <c r="T826" s="30">
        <f>ABS(R826)/'İtme Analizi'!$C$14</f>
        <v>0</v>
      </c>
      <c r="U826" s="30">
        <f t="shared" si="16"/>
        <v>1.00829248845382E-4</v>
      </c>
    </row>
    <row r="827" spans="16:21" ht="13.9" customHeight="1" x14ac:dyDescent="0.2">
      <c r="P827" s="27"/>
      <c r="Q827" s="30"/>
      <c r="R827" s="30"/>
      <c r="S827" s="30">
        <f>ABS(Q827)/'İtme Analizi'!$C$17</f>
        <v>0</v>
      </c>
      <c r="T827" s="30">
        <f>ABS(R827)/'İtme Analizi'!$C$14</f>
        <v>0</v>
      </c>
      <c r="U827" s="30">
        <f t="shared" si="16"/>
        <v>1.00829248845382E-4</v>
      </c>
    </row>
    <row r="828" spans="16:21" ht="13.9" customHeight="1" x14ac:dyDescent="0.2">
      <c r="P828" s="27"/>
      <c r="Q828" s="30"/>
      <c r="R828" s="30"/>
      <c r="S828" s="30">
        <f>ABS(Q828)/'İtme Analizi'!$C$17</f>
        <v>0</v>
      </c>
      <c r="T828" s="30">
        <f>ABS(R828)/'İtme Analizi'!$C$14</f>
        <v>0</v>
      </c>
      <c r="U828" s="30">
        <f t="shared" si="16"/>
        <v>1.00829248845382E-4</v>
      </c>
    </row>
    <row r="829" spans="16:21" ht="13.9" customHeight="1" x14ac:dyDescent="0.2">
      <c r="P829" s="27"/>
      <c r="Q829" s="30"/>
      <c r="R829" s="30"/>
      <c r="S829" s="30">
        <f>ABS(Q829)/'İtme Analizi'!$C$17</f>
        <v>0</v>
      </c>
      <c r="T829" s="30">
        <f>ABS(R829)/'İtme Analizi'!$C$14</f>
        <v>0</v>
      </c>
      <c r="U829" s="30">
        <f t="shared" si="16"/>
        <v>1.00829248845382E-4</v>
      </c>
    </row>
    <row r="830" spans="16:21" ht="13.9" customHeight="1" x14ac:dyDescent="0.2">
      <c r="P830" s="27"/>
      <c r="Q830" s="30"/>
      <c r="R830" s="30"/>
      <c r="S830" s="30">
        <f>ABS(Q830)/'İtme Analizi'!$C$17</f>
        <v>0</v>
      </c>
      <c r="T830" s="30">
        <f>ABS(R830)/'İtme Analizi'!$C$14</f>
        <v>0</v>
      </c>
      <c r="U830" s="30">
        <f t="shared" si="16"/>
        <v>1.00829248845382E-4</v>
      </c>
    </row>
    <row r="831" spans="16:21" ht="13.9" customHeight="1" x14ac:dyDescent="0.2">
      <c r="P831" s="27"/>
      <c r="Q831" s="30"/>
      <c r="R831" s="30"/>
      <c r="S831" s="30">
        <f>ABS(Q831)/'İtme Analizi'!$C$17</f>
        <v>0</v>
      </c>
      <c r="T831" s="30">
        <f>ABS(R831)/'İtme Analizi'!$C$14</f>
        <v>0</v>
      </c>
      <c r="U831" s="30">
        <f t="shared" si="16"/>
        <v>1.00829248845382E-4</v>
      </c>
    </row>
    <row r="832" spans="16:21" ht="13.9" customHeight="1" x14ac:dyDescent="0.2">
      <c r="P832" s="27"/>
      <c r="Q832" s="30"/>
      <c r="R832" s="30"/>
      <c r="S832" s="30">
        <f>ABS(Q832)/'İtme Analizi'!$C$17</f>
        <v>0</v>
      </c>
      <c r="T832" s="30">
        <f>ABS(R832)/'İtme Analizi'!$C$14</f>
        <v>0</v>
      </c>
      <c r="U832" s="30">
        <f t="shared" si="16"/>
        <v>1.00829248845382E-4</v>
      </c>
    </row>
    <row r="833" spans="16:21" ht="13.9" customHeight="1" x14ac:dyDescent="0.2">
      <c r="P833" s="27"/>
      <c r="Q833" s="30"/>
      <c r="R833" s="30"/>
      <c r="S833" s="30">
        <f>ABS(Q833)/'İtme Analizi'!$C$17</f>
        <v>0</v>
      </c>
      <c r="T833" s="30">
        <f>ABS(R833)/'İtme Analizi'!$C$14</f>
        <v>0</v>
      </c>
      <c r="U833" s="30">
        <f t="shared" si="16"/>
        <v>1.00829248845382E-4</v>
      </c>
    </row>
    <row r="834" spans="16:21" ht="13.9" customHeight="1" x14ac:dyDescent="0.2">
      <c r="P834" s="27"/>
      <c r="Q834" s="30"/>
      <c r="R834" s="30"/>
      <c r="S834" s="30">
        <f>ABS(Q834)/'İtme Analizi'!$C$17</f>
        <v>0</v>
      </c>
      <c r="T834" s="30">
        <f>ABS(R834)/'İtme Analizi'!$C$14</f>
        <v>0</v>
      </c>
      <c r="U834" s="30">
        <f t="shared" ref="U834:U897" si="17">U833+(S834-S833)*((T834+T833)/2)</f>
        <v>1.00829248845382E-4</v>
      </c>
    </row>
    <row r="835" spans="16:21" ht="13.9" customHeight="1" x14ac:dyDescent="0.2">
      <c r="P835" s="27"/>
      <c r="Q835" s="30"/>
      <c r="R835" s="30"/>
      <c r="S835" s="30">
        <f>ABS(Q835)/'İtme Analizi'!$C$17</f>
        <v>0</v>
      </c>
      <c r="T835" s="30">
        <f>ABS(R835)/'İtme Analizi'!$C$14</f>
        <v>0</v>
      </c>
      <c r="U835" s="30">
        <f t="shared" si="17"/>
        <v>1.00829248845382E-4</v>
      </c>
    </row>
    <row r="836" spans="16:21" ht="13.9" customHeight="1" x14ac:dyDescent="0.2">
      <c r="P836" s="27"/>
      <c r="Q836" s="30"/>
      <c r="R836" s="30"/>
      <c r="S836" s="30">
        <f>ABS(Q836)/'İtme Analizi'!$C$17</f>
        <v>0</v>
      </c>
      <c r="T836" s="30">
        <f>ABS(R836)/'İtme Analizi'!$C$14</f>
        <v>0</v>
      </c>
      <c r="U836" s="30">
        <f t="shared" si="17"/>
        <v>1.00829248845382E-4</v>
      </c>
    </row>
    <row r="837" spans="16:21" ht="13.9" customHeight="1" x14ac:dyDescent="0.2">
      <c r="P837" s="27"/>
      <c r="Q837" s="30"/>
      <c r="R837" s="30"/>
      <c r="S837" s="30">
        <f>ABS(Q837)/'İtme Analizi'!$C$17</f>
        <v>0</v>
      </c>
      <c r="T837" s="30">
        <f>ABS(R837)/'İtme Analizi'!$C$14</f>
        <v>0</v>
      </c>
      <c r="U837" s="30">
        <f t="shared" si="17"/>
        <v>1.00829248845382E-4</v>
      </c>
    </row>
    <row r="838" spans="16:21" ht="13.9" customHeight="1" x14ac:dyDescent="0.2">
      <c r="P838" s="27"/>
      <c r="Q838" s="30"/>
      <c r="R838" s="30"/>
      <c r="S838" s="30">
        <f>ABS(Q838)/'İtme Analizi'!$C$17</f>
        <v>0</v>
      </c>
      <c r="T838" s="30">
        <f>ABS(R838)/'İtme Analizi'!$C$14</f>
        <v>0</v>
      </c>
      <c r="U838" s="30">
        <f t="shared" si="17"/>
        <v>1.00829248845382E-4</v>
      </c>
    </row>
    <row r="839" spans="16:21" ht="13.9" customHeight="1" x14ac:dyDescent="0.2">
      <c r="P839" s="27"/>
      <c r="Q839" s="30"/>
      <c r="R839" s="30"/>
      <c r="S839" s="30">
        <f>ABS(Q839)/'İtme Analizi'!$C$17</f>
        <v>0</v>
      </c>
      <c r="T839" s="30">
        <f>ABS(R839)/'İtme Analizi'!$C$14</f>
        <v>0</v>
      </c>
      <c r="U839" s="30">
        <f t="shared" si="17"/>
        <v>1.00829248845382E-4</v>
      </c>
    </row>
    <row r="840" spans="16:21" ht="13.9" customHeight="1" x14ac:dyDescent="0.2">
      <c r="P840" s="27"/>
      <c r="Q840" s="30"/>
      <c r="R840" s="30"/>
      <c r="S840" s="30">
        <f>ABS(Q840)/'İtme Analizi'!$C$17</f>
        <v>0</v>
      </c>
      <c r="T840" s="30">
        <f>ABS(R840)/'İtme Analizi'!$C$14</f>
        <v>0</v>
      </c>
      <c r="U840" s="30">
        <f t="shared" si="17"/>
        <v>1.00829248845382E-4</v>
      </c>
    </row>
    <row r="841" spans="16:21" ht="13.9" customHeight="1" x14ac:dyDescent="0.2">
      <c r="P841" s="27"/>
      <c r="Q841" s="30"/>
      <c r="R841" s="30"/>
      <c r="S841" s="30">
        <f>ABS(Q841)/'İtme Analizi'!$C$17</f>
        <v>0</v>
      </c>
      <c r="T841" s="30">
        <f>ABS(R841)/'İtme Analizi'!$C$14</f>
        <v>0</v>
      </c>
      <c r="U841" s="30">
        <f t="shared" si="17"/>
        <v>1.00829248845382E-4</v>
      </c>
    </row>
    <row r="842" spans="16:21" ht="13.9" customHeight="1" x14ac:dyDescent="0.2">
      <c r="P842" s="27"/>
      <c r="Q842" s="30"/>
      <c r="R842" s="30"/>
      <c r="S842" s="30">
        <f>ABS(Q842)/'İtme Analizi'!$C$17</f>
        <v>0</v>
      </c>
      <c r="T842" s="30">
        <f>ABS(R842)/'İtme Analizi'!$C$14</f>
        <v>0</v>
      </c>
      <c r="U842" s="30">
        <f t="shared" si="17"/>
        <v>1.00829248845382E-4</v>
      </c>
    </row>
    <row r="843" spans="16:21" ht="13.9" customHeight="1" x14ac:dyDescent="0.2">
      <c r="P843" s="27"/>
      <c r="Q843" s="30"/>
      <c r="R843" s="30"/>
      <c r="S843" s="30">
        <f>ABS(Q843)/'İtme Analizi'!$C$17</f>
        <v>0</v>
      </c>
      <c r="T843" s="30">
        <f>ABS(R843)/'İtme Analizi'!$C$14</f>
        <v>0</v>
      </c>
      <c r="U843" s="30">
        <f t="shared" si="17"/>
        <v>1.00829248845382E-4</v>
      </c>
    </row>
    <row r="844" spans="16:21" ht="13.9" customHeight="1" x14ac:dyDescent="0.2">
      <c r="P844" s="27"/>
      <c r="Q844" s="30"/>
      <c r="R844" s="30"/>
      <c r="S844" s="30">
        <f>ABS(Q844)/'İtme Analizi'!$C$17</f>
        <v>0</v>
      </c>
      <c r="T844" s="30">
        <f>ABS(R844)/'İtme Analizi'!$C$14</f>
        <v>0</v>
      </c>
      <c r="U844" s="30">
        <f t="shared" si="17"/>
        <v>1.00829248845382E-4</v>
      </c>
    </row>
    <row r="845" spans="16:21" ht="13.9" customHeight="1" x14ac:dyDescent="0.2">
      <c r="P845" s="27"/>
      <c r="Q845" s="30"/>
      <c r="R845" s="30"/>
      <c r="S845" s="30">
        <f>ABS(Q845)/'İtme Analizi'!$C$17</f>
        <v>0</v>
      </c>
      <c r="T845" s="30">
        <f>ABS(R845)/'İtme Analizi'!$C$14</f>
        <v>0</v>
      </c>
      <c r="U845" s="30">
        <f t="shared" si="17"/>
        <v>1.00829248845382E-4</v>
      </c>
    </row>
    <row r="846" spans="16:21" ht="13.9" customHeight="1" x14ac:dyDescent="0.2">
      <c r="P846" s="27"/>
      <c r="Q846" s="30"/>
      <c r="R846" s="30"/>
      <c r="S846" s="30">
        <f>ABS(Q846)/'İtme Analizi'!$C$17</f>
        <v>0</v>
      </c>
      <c r="T846" s="30">
        <f>ABS(R846)/'İtme Analizi'!$C$14</f>
        <v>0</v>
      </c>
      <c r="U846" s="30">
        <f t="shared" si="17"/>
        <v>1.00829248845382E-4</v>
      </c>
    </row>
    <row r="847" spans="16:21" ht="13.9" customHeight="1" x14ac:dyDescent="0.2">
      <c r="P847" s="27"/>
      <c r="Q847" s="30"/>
      <c r="R847" s="30"/>
      <c r="S847" s="30">
        <f>ABS(Q847)/'İtme Analizi'!$C$17</f>
        <v>0</v>
      </c>
      <c r="T847" s="30">
        <f>ABS(R847)/'İtme Analizi'!$C$14</f>
        <v>0</v>
      </c>
      <c r="U847" s="30">
        <f t="shared" si="17"/>
        <v>1.00829248845382E-4</v>
      </c>
    </row>
    <row r="848" spans="16:21" ht="13.9" customHeight="1" x14ac:dyDescent="0.2">
      <c r="P848" s="27"/>
      <c r="Q848" s="30"/>
      <c r="R848" s="30"/>
      <c r="S848" s="30">
        <f>ABS(Q848)/'İtme Analizi'!$C$17</f>
        <v>0</v>
      </c>
      <c r="T848" s="30">
        <f>ABS(R848)/'İtme Analizi'!$C$14</f>
        <v>0</v>
      </c>
      <c r="U848" s="30">
        <f t="shared" si="17"/>
        <v>1.00829248845382E-4</v>
      </c>
    </row>
    <row r="849" spans="16:21" ht="13.9" customHeight="1" x14ac:dyDescent="0.2">
      <c r="P849" s="27"/>
      <c r="Q849" s="30"/>
      <c r="R849" s="30"/>
      <c r="S849" s="30">
        <f>ABS(Q849)/'İtme Analizi'!$C$17</f>
        <v>0</v>
      </c>
      <c r="T849" s="30">
        <f>ABS(R849)/'İtme Analizi'!$C$14</f>
        <v>0</v>
      </c>
      <c r="U849" s="30">
        <f t="shared" si="17"/>
        <v>1.00829248845382E-4</v>
      </c>
    </row>
    <row r="850" spans="16:21" ht="13.9" customHeight="1" x14ac:dyDescent="0.2">
      <c r="P850" s="27"/>
      <c r="Q850" s="30"/>
      <c r="R850" s="30"/>
      <c r="S850" s="30">
        <f>ABS(Q850)/'İtme Analizi'!$C$17</f>
        <v>0</v>
      </c>
      <c r="T850" s="30">
        <f>ABS(R850)/'İtme Analizi'!$C$14</f>
        <v>0</v>
      </c>
      <c r="U850" s="30">
        <f t="shared" si="17"/>
        <v>1.00829248845382E-4</v>
      </c>
    </row>
    <row r="851" spans="16:21" ht="13.9" customHeight="1" x14ac:dyDescent="0.2">
      <c r="P851" s="27"/>
      <c r="Q851" s="30"/>
      <c r="R851" s="30"/>
      <c r="S851" s="30">
        <f>ABS(Q851)/'İtme Analizi'!$C$17</f>
        <v>0</v>
      </c>
      <c r="T851" s="30">
        <f>ABS(R851)/'İtme Analizi'!$C$14</f>
        <v>0</v>
      </c>
      <c r="U851" s="30">
        <f t="shared" si="17"/>
        <v>1.00829248845382E-4</v>
      </c>
    </row>
    <row r="852" spans="16:21" ht="13.9" customHeight="1" x14ac:dyDescent="0.2">
      <c r="P852" s="27"/>
      <c r="Q852" s="30"/>
      <c r="R852" s="30"/>
      <c r="S852" s="30">
        <f>ABS(Q852)/'İtme Analizi'!$C$17</f>
        <v>0</v>
      </c>
      <c r="T852" s="30">
        <f>ABS(R852)/'İtme Analizi'!$C$14</f>
        <v>0</v>
      </c>
      <c r="U852" s="30">
        <f t="shared" si="17"/>
        <v>1.00829248845382E-4</v>
      </c>
    </row>
    <row r="853" spans="16:21" ht="13.9" customHeight="1" x14ac:dyDescent="0.2">
      <c r="P853" s="27"/>
      <c r="Q853" s="30"/>
      <c r="R853" s="30"/>
      <c r="S853" s="30">
        <f>ABS(Q853)/'İtme Analizi'!$C$17</f>
        <v>0</v>
      </c>
      <c r="T853" s="30">
        <f>ABS(R853)/'İtme Analizi'!$C$14</f>
        <v>0</v>
      </c>
      <c r="U853" s="30">
        <f t="shared" si="17"/>
        <v>1.00829248845382E-4</v>
      </c>
    </row>
    <row r="854" spans="16:21" ht="13.9" customHeight="1" x14ac:dyDescent="0.2">
      <c r="P854" s="27"/>
      <c r="Q854" s="30"/>
      <c r="R854" s="30"/>
      <c r="S854" s="30">
        <f>ABS(Q854)/'İtme Analizi'!$C$17</f>
        <v>0</v>
      </c>
      <c r="T854" s="30">
        <f>ABS(R854)/'İtme Analizi'!$C$14</f>
        <v>0</v>
      </c>
      <c r="U854" s="30">
        <f t="shared" si="17"/>
        <v>1.00829248845382E-4</v>
      </c>
    </row>
    <row r="855" spans="16:21" ht="13.9" customHeight="1" x14ac:dyDescent="0.2">
      <c r="P855" s="27"/>
      <c r="Q855" s="30"/>
      <c r="R855" s="30"/>
      <c r="S855" s="30">
        <f>ABS(Q855)/'İtme Analizi'!$C$17</f>
        <v>0</v>
      </c>
      <c r="T855" s="30">
        <f>ABS(R855)/'İtme Analizi'!$C$14</f>
        <v>0</v>
      </c>
      <c r="U855" s="30">
        <f t="shared" si="17"/>
        <v>1.00829248845382E-4</v>
      </c>
    </row>
    <row r="856" spans="16:21" ht="13.9" customHeight="1" x14ac:dyDescent="0.2">
      <c r="P856" s="27"/>
      <c r="Q856" s="30"/>
      <c r="R856" s="30"/>
      <c r="S856" s="30">
        <f>ABS(Q856)/'İtme Analizi'!$C$17</f>
        <v>0</v>
      </c>
      <c r="T856" s="30">
        <f>ABS(R856)/'İtme Analizi'!$C$14</f>
        <v>0</v>
      </c>
      <c r="U856" s="30">
        <f t="shared" si="17"/>
        <v>1.00829248845382E-4</v>
      </c>
    </row>
    <row r="857" spans="16:21" ht="13.9" customHeight="1" x14ac:dyDescent="0.2">
      <c r="P857" s="27"/>
      <c r="Q857" s="30"/>
      <c r="R857" s="30"/>
      <c r="S857" s="30">
        <f>ABS(Q857)/'İtme Analizi'!$C$17</f>
        <v>0</v>
      </c>
      <c r="T857" s="30">
        <f>ABS(R857)/'İtme Analizi'!$C$14</f>
        <v>0</v>
      </c>
      <c r="U857" s="30">
        <f t="shared" si="17"/>
        <v>1.00829248845382E-4</v>
      </c>
    </row>
    <row r="858" spans="16:21" ht="13.9" customHeight="1" x14ac:dyDescent="0.2">
      <c r="P858" s="27"/>
      <c r="Q858" s="30"/>
      <c r="R858" s="30"/>
      <c r="S858" s="30">
        <f>ABS(Q858)/'İtme Analizi'!$C$17</f>
        <v>0</v>
      </c>
      <c r="T858" s="30">
        <f>ABS(R858)/'İtme Analizi'!$C$14</f>
        <v>0</v>
      </c>
      <c r="U858" s="30">
        <f t="shared" si="17"/>
        <v>1.00829248845382E-4</v>
      </c>
    </row>
    <row r="859" spans="16:21" ht="13.9" customHeight="1" x14ac:dyDescent="0.2">
      <c r="P859" s="27"/>
      <c r="Q859" s="30"/>
      <c r="R859" s="30"/>
      <c r="S859" s="30">
        <f>ABS(Q859)/'İtme Analizi'!$C$17</f>
        <v>0</v>
      </c>
      <c r="T859" s="30">
        <f>ABS(R859)/'İtme Analizi'!$C$14</f>
        <v>0</v>
      </c>
      <c r="U859" s="30">
        <f t="shared" si="17"/>
        <v>1.00829248845382E-4</v>
      </c>
    </row>
    <row r="860" spans="16:21" ht="13.9" customHeight="1" x14ac:dyDescent="0.2">
      <c r="P860" s="27"/>
      <c r="Q860" s="30"/>
      <c r="R860" s="30"/>
      <c r="S860" s="30">
        <f>ABS(Q860)/'İtme Analizi'!$C$17</f>
        <v>0</v>
      </c>
      <c r="T860" s="30">
        <f>ABS(R860)/'İtme Analizi'!$C$14</f>
        <v>0</v>
      </c>
      <c r="U860" s="30">
        <f t="shared" si="17"/>
        <v>1.00829248845382E-4</v>
      </c>
    </row>
    <row r="861" spans="16:21" ht="13.9" customHeight="1" x14ac:dyDescent="0.2">
      <c r="P861" s="27"/>
      <c r="Q861" s="30"/>
      <c r="R861" s="30"/>
      <c r="S861" s="30">
        <f>ABS(Q861)/'İtme Analizi'!$C$17</f>
        <v>0</v>
      </c>
      <c r="T861" s="30">
        <f>ABS(R861)/'İtme Analizi'!$C$14</f>
        <v>0</v>
      </c>
      <c r="U861" s="30">
        <f t="shared" si="17"/>
        <v>1.00829248845382E-4</v>
      </c>
    </row>
    <row r="862" spans="16:21" ht="13.9" customHeight="1" x14ac:dyDescent="0.2">
      <c r="P862" s="27"/>
      <c r="Q862" s="30"/>
      <c r="R862" s="30"/>
      <c r="S862" s="30">
        <f>ABS(Q862)/'İtme Analizi'!$C$17</f>
        <v>0</v>
      </c>
      <c r="T862" s="30">
        <f>ABS(R862)/'İtme Analizi'!$C$14</f>
        <v>0</v>
      </c>
      <c r="U862" s="30">
        <f t="shared" si="17"/>
        <v>1.00829248845382E-4</v>
      </c>
    </row>
    <row r="863" spans="16:21" ht="13.9" customHeight="1" x14ac:dyDescent="0.2">
      <c r="P863" s="27"/>
      <c r="Q863" s="30"/>
      <c r="R863" s="30"/>
      <c r="S863" s="30">
        <f>ABS(Q863)/'İtme Analizi'!$C$17</f>
        <v>0</v>
      </c>
      <c r="T863" s="30">
        <f>ABS(R863)/'İtme Analizi'!$C$14</f>
        <v>0</v>
      </c>
      <c r="U863" s="30">
        <f t="shared" si="17"/>
        <v>1.00829248845382E-4</v>
      </c>
    </row>
    <row r="864" spans="16:21" ht="13.9" customHeight="1" x14ac:dyDescent="0.2">
      <c r="P864" s="27"/>
      <c r="Q864" s="30"/>
      <c r="R864" s="30"/>
      <c r="S864" s="30">
        <f>ABS(Q864)/'İtme Analizi'!$C$17</f>
        <v>0</v>
      </c>
      <c r="T864" s="30">
        <f>ABS(R864)/'İtme Analizi'!$C$14</f>
        <v>0</v>
      </c>
      <c r="U864" s="30">
        <f t="shared" si="17"/>
        <v>1.00829248845382E-4</v>
      </c>
    </row>
    <row r="865" spans="16:21" ht="13.9" customHeight="1" x14ac:dyDescent="0.2">
      <c r="P865" s="27"/>
      <c r="Q865" s="30"/>
      <c r="R865" s="30"/>
      <c r="S865" s="30">
        <f>ABS(Q865)/'İtme Analizi'!$C$17</f>
        <v>0</v>
      </c>
      <c r="T865" s="30">
        <f>ABS(R865)/'İtme Analizi'!$C$14</f>
        <v>0</v>
      </c>
      <c r="U865" s="30">
        <f t="shared" si="17"/>
        <v>1.00829248845382E-4</v>
      </c>
    </row>
    <row r="866" spans="16:21" ht="13.9" customHeight="1" x14ac:dyDescent="0.2">
      <c r="P866" s="27"/>
      <c r="Q866" s="30"/>
      <c r="R866" s="30"/>
      <c r="S866" s="30">
        <f>ABS(Q866)/'İtme Analizi'!$C$17</f>
        <v>0</v>
      </c>
      <c r="T866" s="30">
        <f>ABS(R866)/'İtme Analizi'!$C$14</f>
        <v>0</v>
      </c>
      <c r="U866" s="30">
        <f t="shared" si="17"/>
        <v>1.00829248845382E-4</v>
      </c>
    </row>
    <row r="867" spans="16:21" ht="13.9" customHeight="1" x14ac:dyDescent="0.2">
      <c r="P867" s="27"/>
      <c r="Q867" s="30"/>
      <c r="R867" s="30"/>
      <c r="S867" s="30">
        <f>ABS(Q867)/'İtme Analizi'!$C$17</f>
        <v>0</v>
      </c>
      <c r="T867" s="30">
        <f>ABS(R867)/'İtme Analizi'!$C$14</f>
        <v>0</v>
      </c>
      <c r="U867" s="30">
        <f t="shared" si="17"/>
        <v>1.00829248845382E-4</v>
      </c>
    </row>
    <row r="868" spans="16:21" ht="13.9" customHeight="1" x14ac:dyDescent="0.2">
      <c r="P868" s="27"/>
      <c r="Q868" s="30"/>
      <c r="R868" s="30"/>
      <c r="S868" s="30">
        <f>ABS(Q868)/'İtme Analizi'!$C$17</f>
        <v>0</v>
      </c>
      <c r="T868" s="30">
        <f>ABS(R868)/'İtme Analizi'!$C$14</f>
        <v>0</v>
      </c>
      <c r="U868" s="30">
        <f t="shared" si="17"/>
        <v>1.00829248845382E-4</v>
      </c>
    </row>
    <row r="869" spans="16:21" ht="13.9" customHeight="1" x14ac:dyDescent="0.2">
      <c r="P869" s="27"/>
      <c r="Q869" s="30"/>
      <c r="R869" s="30"/>
      <c r="S869" s="30">
        <f>ABS(Q869)/'İtme Analizi'!$C$17</f>
        <v>0</v>
      </c>
      <c r="T869" s="30">
        <f>ABS(R869)/'İtme Analizi'!$C$14</f>
        <v>0</v>
      </c>
      <c r="U869" s="30">
        <f t="shared" si="17"/>
        <v>1.00829248845382E-4</v>
      </c>
    </row>
    <row r="870" spans="16:21" ht="13.9" customHeight="1" x14ac:dyDescent="0.2">
      <c r="P870" s="27"/>
      <c r="Q870" s="30"/>
      <c r="R870" s="30"/>
      <c r="S870" s="30">
        <f>ABS(Q870)/'İtme Analizi'!$C$17</f>
        <v>0</v>
      </c>
      <c r="T870" s="30">
        <f>ABS(R870)/'İtme Analizi'!$C$14</f>
        <v>0</v>
      </c>
      <c r="U870" s="30">
        <f t="shared" si="17"/>
        <v>1.00829248845382E-4</v>
      </c>
    </row>
    <row r="871" spans="16:21" ht="13.9" customHeight="1" x14ac:dyDescent="0.2">
      <c r="P871" s="27"/>
      <c r="Q871" s="30"/>
      <c r="R871" s="30"/>
      <c r="S871" s="30">
        <f>ABS(Q871)/'İtme Analizi'!$C$17</f>
        <v>0</v>
      </c>
      <c r="T871" s="30">
        <f>ABS(R871)/'İtme Analizi'!$C$14</f>
        <v>0</v>
      </c>
      <c r="U871" s="30">
        <f t="shared" si="17"/>
        <v>1.00829248845382E-4</v>
      </c>
    </row>
    <row r="872" spans="16:21" ht="13.9" customHeight="1" x14ac:dyDescent="0.2">
      <c r="P872" s="27"/>
      <c r="Q872" s="30"/>
      <c r="R872" s="30"/>
      <c r="S872" s="30">
        <f>ABS(Q872)/'İtme Analizi'!$C$17</f>
        <v>0</v>
      </c>
      <c r="T872" s="30">
        <f>ABS(R872)/'İtme Analizi'!$C$14</f>
        <v>0</v>
      </c>
      <c r="U872" s="30">
        <f t="shared" si="17"/>
        <v>1.00829248845382E-4</v>
      </c>
    </row>
    <row r="873" spans="16:21" ht="13.9" customHeight="1" x14ac:dyDescent="0.2">
      <c r="P873" s="27"/>
      <c r="Q873" s="30"/>
      <c r="R873" s="30"/>
      <c r="S873" s="30">
        <f>ABS(Q873)/'İtme Analizi'!$C$17</f>
        <v>0</v>
      </c>
      <c r="T873" s="30">
        <f>ABS(R873)/'İtme Analizi'!$C$14</f>
        <v>0</v>
      </c>
      <c r="U873" s="30">
        <f t="shared" si="17"/>
        <v>1.00829248845382E-4</v>
      </c>
    </row>
    <row r="874" spans="16:21" ht="13.9" customHeight="1" x14ac:dyDescent="0.2">
      <c r="P874" s="27"/>
      <c r="Q874" s="30"/>
      <c r="R874" s="30"/>
      <c r="S874" s="30">
        <f>ABS(Q874)/'İtme Analizi'!$C$17</f>
        <v>0</v>
      </c>
      <c r="T874" s="30">
        <f>ABS(R874)/'İtme Analizi'!$C$14</f>
        <v>0</v>
      </c>
      <c r="U874" s="30">
        <f t="shared" si="17"/>
        <v>1.00829248845382E-4</v>
      </c>
    </row>
    <row r="875" spans="16:21" ht="13.9" customHeight="1" x14ac:dyDescent="0.2">
      <c r="P875" s="27"/>
      <c r="Q875" s="30"/>
      <c r="R875" s="30"/>
      <c r="S875" s="30">
        <f>ABS(Q875)/'İtme Analizi'!$C$17</f>
        <v>0</v>
      </c>
      <c r="T875" s="30">
        <f>ABS(R875)/'İtme Analizi'!$C$14</f>
        <v>0</v>
      </c>
      <c r="U875" s="30">
        <f t="shared" si="17"/>
        <v>1.00829248845382E-4</v>
      </c>
    </row>
    <row r="876" spans="16:21" ht="13.9" customHeight="1" x14ac:dyDescent="0.2">
      <c r="P876" s="27"/>
      <c r="Q876" s="30"/>
      <c r="R876" s="30"/>
      <c r="S876" s="30">
        <f>ABS(Q876)/'İtme Analizi'!$C$17</f>
        <v>0</v>
      </c>
      <c r="T876" s="30">
        <f>ABS(R876)/'İtme Analizi'!$C$14</f>
        <v>0</v>
      </c>
      <c r="U876" s="30">
        <f t="shared" si="17"/>
        <v>1.00829248845382E-4</v>
      </c>
    </row>
    <row r="877" spans="16:21" ht="13.9" customHeight="1" x14ac:dyDescent="0.2">
      <c r="P877" s="27"/>
      <c r="Q877" s="30"/>
      <c r="R877" s="30"/>
      <c r="S877" s="30">
        <f>ABS(Q877)/'İtme Analizi'!$C$17</f>
        <v>0</v>
      </c>
      <c r="T877" s="30">
        <f>ABS(R877)/'İtme Analizi'!$C$14</f>
        <v>0</v>
      </c>
      <c r="U877" s="30">
        <f t="shared" si="17"/>
        <v>1.00829248845382E-4</v>
      </c>
    </row>
    <row r="878" spans="16:21" ht="13.9" customHeight="1" x14ac:dyDescent="0.2">
      <c r="P878" s="27"/>
      <c r="Q878" s="30"/>
      <c r="R878" s="30"/>
      <c r="S878" s="30">
        <f>ABS(Q878)/'İtme Analizi'!$C$17</f>
        <v>0</v>
      </c>
      <c r="T878" s="30">
        <f>ABS(R878)/'İtme Analizi'!$C$14</f>
        <v>0</v>
      </c>
      <c r="U878" s="30">
        <f t="shared" si="17"/>
        <v>1.00829248845382E-4</v>
      </c>
    </row>
    <row r="879" spans="16:21" ht="13.9" customHeight="1" x14ac:dyDescent="0.2">
      <c r="P879" s="27"/>
      <c r="Q879" s="30"/>
      <c r="R879" s="30"/>
      <c r="S879" s="30">
        <f>ABS(Q879)/'İtme Analizi'!$C$17</f>
        <v>0</v>
      </c>
      <c r="T879" s="30">
        <f>ABS(R879)/'İtme Analizi'!$C$14</f>
        <v>0</v>
      </c>
      <c r="U879" s="30">
        <f t="shared" si="17"/>
        <v>1.00829248845382E-4</v>
      </c>
    </row>
    <row r="880" spans="16:21" ht="13.9" customHeight="1" x14ac:dyDescent="0.2">
      <c r="P880" s="27"/>
      <c r="Q880" s="30"/>
      <c r="R880" s="30"/>
      <c r="S880" s="30">
        <f>ABS(Q880)/'İtme Analizi'!$C$17</f>
        <v>0</v>
      </c>
      <c r="T880" s="30">
        <f>ABS(R880)/'İtme Analizi'!$C$14</f>
        <v>0</v>
      </c>
      <c r="U880" s="30">
        <f t="shared" si="17"/>
        <v>1.00829248845382E-4</v>
      </c>
    </row>
    <row r="881" spans="16:21" ht="13.9" customHeight="1" x14ac:dyDescent="0.2">
      <c r="P881" s="27"/>
      <c r="Q881" s="30"/>
      <c r="R881" s="30"/>
      <c r="S881" s="30">
        <f>ABS(Q881)/'İtme Analizi'!$C$17</f>
        <v>0</v>
      </c>
      <c r="T881" s="30">
        <f>ABS(R881)/'İtme Analizi'!$C$14</f>
        <v>0</v>
      </c>
      <c r="U881" s="30">
        <f t="shared" si="17"/>
        <v>1.00829248845382E-4</v>
      </c>
    </row>
    <row r="882" spans="16:21" ht="13.9" customHeight="1" x14ac:dyDescent="0.2">
      <c r="P882" s="27"/>
      <c r="Q882" s="30"/>
      <c r="R882" s="30"/>
      <c r="S882" s="30">
        <f>ABS(Q882)/'İtme Analizi'!$C$17</f>
        <v>0</v>
      </c>
      <c r="T882" s="30">
        <f>ABS(R882)/'İtme Analizi'!$C$14</f>
        <v>0</v>
      </c>
      <c r="U882" s="30">
        <f t="shared" si="17"/>
        <v>1.00829248845382E-4</v>
      </c>
    </row>
    <row r="883" spans="16:21" ht="13.9" customHeight="1" x14ac:dyDescent="0.2">
      <c r="P883" s="27"/>
      <c r="Q883" s="30"/>
      <c r="R883" s="30"/>
      <c r="S883" s="30">
        <f>ABS(Q883)/'İtme Analizi'!$C$17</f>
        <v>0</v>
      </c>
      <c r="T883" s="30">
        <f>ABS(R883)/'İtme Analizi'!$C$14</f>
        <v>0</v>
      </c>
      <c r="U883" s="30">
        <f t="shared" si="17"/>
        <v>1.00829248845382E-4</v>
      </c>
    </row>
    <row r="884" spans="16:21" ht="13.9" customHeight="1" x14ac:dyDescent="0.2">
      <c r="P884" s="27"/>
      <c r="Q884" s="30"/>
      <c r="R884" s="30"/>
      <c r="S884" s="30">
        <f>ABS(Q884)/'İtme Analizi'!$C$17</f>
        <v>0</v>
      </c>
      <c r="T884" s="30">
        <f>ABS(R884)/'İtme Analizi'!$C$14</f>
        <v>0</v>
      </c>
      <c r="U884" s="30">
        <f t="shared" si="17"/>
        <v>1.00829248845382E-4</v>
      </c>
    </row>
    <row r="885" spans="16:21" ht="13.9" customHeight="1" x14ac:dyDescent="0.2">
      <c r="P885" s="27"/>
      <c r="Q885" s="30"/>
      <c r="R885" s="30"/>
      <c r="S885" s="30">
        <f>ABS(Q885)/'İtme Analizi'!$C$17</f>
        <v>0</v>
      </c>
      <c r="T885" s="30">
        <f>ABS(R885)/'İtme Analizi'!$C$14</f>
        <v>0</v>
      </c>
      <c r="U885" s="30">
        <f t="shared" si="17"/>
        <v>1.00829248845382E-4</v>
      </c>
    </row>
    <row r="886" spans="16:21" ht="13.9" customHeight="1" x14ac:dyDescent="0.2">
      <c r="P886" s="27"/>
      <c r="Q886" s="30"/>
      <c r="R886" s="30"/>
      <c r="S886" s="30">
        <f>ABS(Q886)/'İtme Analizi'!$C$17</f>
        <v>0</v>
      </c>
      <c r="T886" s="30">
        <f>ABS(R886)/'İtme Analizi'!$C$14</f>
        <v>0</v>
      </c>
      <c r="U886" s="30">
        <f t="shared" si="17"/>
        <v>1.00829248845382E-4</v>
      </c>
    </row>
    <row r="887" spans="16:21" ht="13.9" customHeight="1" x14ac:dyDescent="0.2">
      <c r="P887" s="27"/>
      <c r="Q887" s="30"/>
      <c r="R887" s="30"/>
      <c r="S887" s="30">
        <f>ABS(Q887)/'İtme Analizi'!$C$17</f>
        <v>0</v>
      </c>
      <c r="T887" s="30">
        <f>ABS(R887)/'İtme Analizi'!$C$14</f>
        <v>0</v>
      </c>
      <c r="U887" s="30">
        <f t="shared" si="17"/>
        <v>1.00829248845382E-4</v>
      </c>
    </row>
    <row r="888" spans="16:21" ht="13.9" customHeight="1" x14ac:dyDescent="0.2">
      <c r="P888" s="27"/>
      <c r="Q888" s="30"/>
      <c r="R888" s="30"/>
      <c r="S888" s="30">
        <f>ABS(Q888)/'İtme Analizi'!$C$17</f>
        <v>0</v>
      </c>
      <c r="T888" s="30">
        <f>ABS(R888)/'İtme Analizi'!$C$14</f>
        <v>0</v>
      </c>
      <c r="U888" s="30">
        <f t="shared" si="17"/>
        <v>1.00829248845382E-4</v>
      </c>
    </row>
    <row r="889" spans="16:21" ht="13.9" customHeight="1" x14ac:dyDescent="0.2">
      <c r="P889" s="27"/>
      <c r="Q889" s="30"/>
      <c r="R889" s="30"/>
      <c r="S889" s="30">
        <f>ABS(Q889)/'İtme Analizi'!$C$17</f>
        <v>0</v>
      </c>
      <c r="T889" s="30">
        <f>ABS(R889)/'İtme Analizi'!$C$14</f>
        <v>0</v>
      </c>
      <c r="U889" s="30">
        <f t="shared" si="17"/>
        <v>1.00829248845382E-4</v>
      </c>
    </row>
    <row r="890" spans="16:21" ht="13.9" customHeight="1" x14ac:dyDescent="0.2">
      <c r="P890" s="27"/>
      <c r="Q890" s="30"/>
      <c r="R890" s="30"/>
      <c r="S890" s="30">
        <f>ABS(Q890)/'İtme Analizi'!$C$17</f>
        <v>0</v>
      </c>
      <c r="T890" s="30">
        <f>ABS(R890)/'İtme Analizi'!$C$14</f>
        <v>0</v>
      </c>
      <c r="U890" s="30">
        <f t="shared" si="17"/>
        <v>1.00829248845382E-4</v>
      </c>
    </row>
    <row r="891" spans="16:21" ht="13.9" customHeight="1" x14ac:dyDescent="0.2">
      <c r="P891" s="27"/>
      <c r="Q891" s="30"/>
      <c r="R891" s="30"/>
      <c r="S891" s="30">
        <f>ABS(Q891)/'İtme Analizi'!$C$17</f>
        <v>0</v>
      </c>
      <c r="T891" s="30">
        <f>ABS(R891)/'İtme Analizi'!$C$14</f>
        <v>0</v>
      </c>
      <c r="U891" s="30">
        <f t="shared" si="17"/>
        <v>1.00829248845382E-4</v>
      </c>
    </row>
    <row r="892" spans="16:21" ht="13.9" customHeight="1" x14ac:dyDescent="0.2">
      <c r="P892" s="27"/>
      <c r="Q892" s="30"/>
      <c r="R892" s="30"/>
      <c r="S892" s="30">
        <f>ABS(Q892)/'İtme Analizi'!$C$17</f>
        <v>0</v>
      </c>
      <c r="T892" s="30">
        <f>ABS(R892)/'İtme Analizi'!$C$14</f>
        <v>0</v>
      </c>
      <c r="U892" s="30">
        <f t="shared" si="17"/>
        <v>1.00829248845382E-4</v>
      </c>
    </row>
    <row r="893" spans="16:21" ht="13.9" customHeight="1" x14ac:dyDescent="0.2">
      <c r="P893" s="27"/>
      <c r="Q893" s="30"/>
      <c r="R893" s="30"/>
      <c r="S893" s="30">
        <f>ABS(Q893)/'İtme Analizi'!$C$17</f>
        <v>0</v>
      </c>
      <c r="T893" s="30">
        <f>ABS(R893)/'İtme Analizi'!$C$14</f>
        <v>0</v>
      </c>
      <c r="U893" s="30">
        <f t="shared" si="17"/>
        <v>1.00829248845382E-4</v>
      </c>
    </row>
    <row r="894" spans="16:21" ht="13.9" customHeight="1" x14ac:dyDescent="0.2">
      <c r="P894" s="27"/>
      <c r="Q894" s="30"/>
      <c r="R894" s="30"/>
      <c r="S894" s="30">
        <f>ABS(Q894)/'İtme Analizi'!$C$17</f>
        <v>0</v>
      </c>
      <c r="T894" s="30">
        <f>ABS(R894)/'İtme Analizi'!$C$14</f>
        <v>0</v>
      </c>
      <c r="U894" s="30">
        <f t="shared" si="17"/>
        <v>1.00829248845382E-4</v>
      </c>
    </row>
    <row r="895" spans="16:21" ht="13.9" customHeight="1" x14ac:dyDescent="0.2">
      <c r="P895" s="27"/>
      <c r="Q895" s="30"/>
      <c r="R895" s="30"/>
      <c r="S895" s="30">
        <f>ABS(Q895)/'İtme Analizi'!$C$17</f>
        <v>0</v>
      </c>
      <c r="T895" s="30">
        <f>ABS(R895)/'İtme Analizi'!$C$14</f>
        <v>0</v>
      </c>
      <c r="U895" s="30">
        <f t="shared" si="17"/>
        <v>1.00829248845382E-4</v>
      </c>
    </row>
    <row r="896" spans="16:21" ht="13.9" customHeight="1" x14ac:dyDescent="0.2">
      <c r="P896" s="27"/>
      <c r="Q896" s="30"/>
      <c r="R896" s="30"/>
      <c r="S896" s="30">
        <f>ABS(Q896)/'İtme Analizi'!$C$17</f>
        <v>0</v>
      </c>
      <c r="T896" s="30">
        <f>ABS(R896)/'İtme Analizi'!$C$14</f>
        <v>0</v>
      </c>
      <c r="U896" s="30">
        <f t="shared" si="17"/>
        <v>1.00829248845382E-4</v>
      </c>
    </row>
    <row r="897" spans="16:21" ht="13.9" customHeight="1" x14ac:dyDescent="0.2">
      <c r="P897" s="27"/>
      <c r="Q897" s="30"/>
      <c r="R897" s="30"/>
      <c r="S897" s="30">
        <f>ABS(Q897)/'İtme Analizi'!$C$17</f>
        <v>0</v>
      </c>
      <c r="T897" s="30">
        <f>ABS(R897)/'İtme Analizi'!$C$14</f>
        <v>0</v>
      </c>
      <c r="U897" s="30">
        <f t="shared" si="17"/>
        <v>1.00829248845382E-4</v>
      </c>
    </row>
    <row r="898" spans="16:21" ht="13.9" customHeight="1" x14ac:dyDescent="0.2">
      <c r="P898" s="27"/>
      <c r="Q898" s="30"/>
      <c r="R898" s="30"/>
      <c r="S898" s="30">
        <f>ABS(Q898)/'İtme Analizi'!$C$17</f>
        <v>0</v>
      </c>
      <c r="T898" s="30">
        <f>ABS(R898)/'İtme Analizi'!$C$14</f>
        <v>0</v>
      </c>
      <c r="U898" s="30">
        <f t="shared" ref="U898:U961" si="18">U897+(S898-S897)*((T898+T897)/2)</f>
        <v>1.00829248845382E-4</v>
      </c>
    </row>
    <row r="899" spans="16:21" ht="13.9" customHeight="1" x14ac:dyDescent="0.2">
      <c r="P899" s="27"/>
      <c r="Q899" s="30"/>
      <c r="R899" s="30"/>
      <c r="S899" s="30">
        <f>ABS(Q899)/'İtme Analizi'!$C$17</f>
        <v>0</v>
      </c>
      <c r="T899" s="30">
        <f>ABS(R899)/'İtme Analizi'!$C$14</f>
        <v>0</v>
      </c>
      <c r="U899" s="30">
        <f t="shared" si="18"/>
        <v>1.00829248845382E-4</v>
      </c>
    </row>
    <row r="900" spans="16:21" ht="13.9" customHeight="1" x14ac:dyDescent="0.2">
      <c r="P900" s="27"/>
      <c r="Q900" s="30"/>
      <c r="R900" s="30"/>
      <c r="S900" s="30">
        <f>ABS(Q900)/'İtme Analizi'!$C$17</f>
        <v>0</v>
      </c>
      <c r="T900" s="30">
        <f>ABS(R900)/'İtme Analizi'!$C$14</f>
        <v>0</v>
      </c>
      <c r="U900" s="30">
        <f t="shared" si="18"/>
        <v>1.00829248845382E-4</v>
      </c>
    </row>
    <row r="901" spans="16:21" ht="13.9" customHeight="1" x14ac:dyDescent="0.2">
      <c r="P901" s="27"/>
      <c r="Q901" s="30"/>
      <c r="R901" s="30"/>
      <c r="S901" s="30">
        <f>ABS(Q901)/'İtme Analizi'!$C$17</f>
        <v>0</v>
      </c>
      <c r="T901" s="30">
        <f>ABS(R901)/'İtme Analizi'!$C$14</f>
        <v>0</v>
      </c>
      <c r="U901" s="30">
        <f t="shared" si="18"/>
        <v>1.00829248845382E-4</v>
      </c>
    </row>
    <row r="902" spans="16:21" ht="13.9" customHeight="1" x14ac:dyDescent="0.2">
      <c r="P902" s="27"/>
      <c r="Q902" s="30"/>
      <c r="R902" s="30"/>
      <c r="S902" s="30">
        <f>ABS(Q902)/'İtme Analizi'!$C$17</f>
        <v>0</v>
      </c>
      <c r="T902" s="30">
        <f>ABS(R902)/'İtme Analizi'!$C$14</f>
        <v>0</v>
      </c>
      <c r="U902" s="30">
        <f t="shared" si="18"/>
        <v>1.00829248845382E-4</v>
      </c>
    </row>
    <row r="903" spans="16:21" ht="13.9" customHeight="1" x14ac:dyDescent="0.2">
      <c r="P903" s="27"/>
      <c r="Q903" s="30"/>
      <c r="R903" s="30"/>
      <c r="S903" s="30">
        <f>ABS(Q903)/'İtme Analizi'!$C$17</f>
        <v>0</v>
      </c>
      <c r="T903" s="30">
        <f>ABS(R903)/'İtme Analizi'!$C$14</f>
        <v>0</v>
      </c>
      <c r="U903" s="30">
        <f t="shared" si="18"/>
        <v>1.00829248845382E-4</v>
      </c>
    </row>
    <row r="904" spans="16:21" ht="13.9" customHeight="1" x14ac:dyDescent="0.2">
      <c r="P904" s="27"/>
      <c r="Q904" s="30"/>
      <c r="R904" s="30"/>
      <c r="S904" s="30">
        <f>ABS(Q904)/'İtme Analizi'!$C$17</f>
        <v>0</v>
      </c>
      <c r="T904" s="30">
        <f>ABS(R904)/'İtme Analizi'!$C$14</f>
        <v>0</v>
      </c>
      <c r="U904" s="30">
        <f t="shared" si="18"/>
        <v>1.00829248845382E-4</v>
      </c>
    </row>
    <row r="905" spans="16:21" ht="13.9" customHeight="1" x14ac:dyDescent="0.2">
      <c r="P905" s="27"/>
      <c r="Q905" s="30"/>
      <c r="R905" s="30"/>
      <c r="S905" s="30">
        <f>ABS(Q905)/'İtme Analizi'!$C$17</f>
        <v>0</v>
      </c>
      <c r="T905" s="30">
        <f>ABS(R905)/'İtme Analizi'!$C$14</f>
        <v>0</v>
      </c>
      <c r="U905" s="30">
        <f t="shared" si="18"/>
        <v>1.00829248845382E-4</v>
      </c>
    </row>
    <row r="906" spans="16:21" ht="13.9" customHeight="1" x14ac:dyDescent="0.2">
      <c r="P906" s="27"/>
      <c r="Q906" s="30"/>
      <c r="R906" s="30"/>
      <c r="S906" s="30">
        <f>ABS(Q906)/'İtme Analizi'!$C$17</f>
        <v>0</v>
      </c>
      <c r="T906" s="30">
        <f>ABS(R906)/'İtme Analizi'!$C$14</f>
        <v>0</v>
      </c>
      <c r="U906" s="30">
        <f t="shared" si="18"/>
        <v>1.00829248845382E-4</v>
      </c>
    </row>
    <row r="907" spans="16:21" ht="13.9" customHeight="1" x14ac:dyDescent="0.2">
      <c r="P907" s="27"/>
      <c r="Q907" s="30"/>
      <c r="R907" s="30"/>
      <c r="S907" s="30">
        <f>ABS(Q907)/'İtme Analizi'!$C$17</f>
        <v>0</v>
      </c>
      <c r="T907" s="30">
        <f>ABS(R907)/'İtme Analizi'!$C$14</f>
        <v>0</v>
      </c>
      <c r="U907" s="30">
        <f t="shared" si="18"/>
        <v>1.00829248845382E-4</v>
      </c>
    </row>
    <row r="908" spans="16:21" ht="13.9" customHeight="1" x14ac:dyDescent="0.2">
      <c r="P908" s="27"/>
      <c r="Q908" s="30"/>
      <c r="R908" s="30"/>
      <c r="S908" s="30">
        <f>ABS(Q908)/'İtme Analizi'!$C$17</f>
        <v>0</v>
      </c>
      <c r="T908" s="30">
        <f>ABS(R908)/'İtme Analizi'!$C$14</f>
        <v>0</v>
      </c>
      <c r="U908" s="30">
        <f t="shared" si="18"/>
        <v>1.00829248845382E-4</v>
      </c>
    </row>
    <row r="909" spans="16:21" ht="13.9" customHeight="1" x14ac:dyDescent="0.2">
      <c r="P909" s="27"/>
      <c r="Q909" s="30"/>
      <c r="R909" s="30"/>
      <c r="S909" s="30">
        <f>ABS(Q909)/'İtme Analizi'!$C$17</f>
        <v>0</v>
      </c>
      <c r="T909" s="30">
        <f>ABS(R909)/'İtme Analizi'!$C$14</f>
        <v>0</v>
      </c>
      <c r="U909" s="30">
        <f t="shared" si="18"/>
        <v>1.00829248845382E-4</v>
      </c>
    </row>
    <row r="910" spans="16:21" ht="13.9" customHeight="1" x14ac:dyDescent="0.2">
      <c r="P910" s="27"/>
      <c r="Q910" s="30"/>
      <c r="R910" s="30"/>
      <c r="S910" s="30">
        <f>ABS(Q910)/'İtme Analizi'!$C$17</f>
        <v>0</v>
      </c>
      <c r="T910" s="30">
        <f>ABS(R910)/'İtme Analizi'!$C$14</f>
        <v>0</v>
      </c>
      <c r="U910" s="30">
        <f t="shared" si="18"/>
        <v>1.00829248845382E-4</v>
      </c>
    </row>
    <row r="911" spans="16:21" ht="13.9" customHeight="1" x14ac:dyDescent="0.2">
      <c r="P911" s="27"/>
      <c r="Q911" s="30"/>
      <c r="R911" s="30"/>
      <c r="S911" s="30">
        <f>ABS(Q911)/'İtme Analizi'!$C$17</f>
        <v>0</v>
      </c>
      <c r="T911" s="30">
        <f>ABS(R911)/'İtme Analizi'!$C$14</f>
        <v>0</v>
      </c>
      <c r="U911" s="30">
        <f t="shared" si="18"/>
        <v>1.00829248845382E-4</v>
      </c>
    </row>
    <row r="912" spans="16:21" ht="13.9" customHeight="1" x14ac:dyDescent="0.2">
      <c r="P912" s="27"/>
      <c r="Q912" s="30"/>
      <c r="R912" s="30"/>
      <c r="S912" s="30">
        <f>ABS(Q912)/'İtme Analizi'!$C$17</f>
        <v>0</v>
      </c>
      <c r="T912" s="30">
        <f>ABS(R912)/'İtme Analizi'!$C$14</f>
        <v>0</v>
      </c>
      <c r="U912" s="30">
        <f t="shared" si="18"/>
        <v>1.00829248845382E-4</v>
      </c>
    </row>
    <row r="913" spans="16:21" ht="13.9" customHeight="1" x14ac:dyDescent="0.2">
      <c r="P913" s="27"/>
      <c r="Q913" s="30"/>
      <c r="R913" s="30"/>
      <c r="S913" s="30">
        <f>ABS(Q913)/'İtme Analizi'!$C$17</f>
        <v>0</v>
      </c>
      <c r="T913" s="30">
        <f>ABS(R913)/'İtme Analizi'!$C$14</f>
        <v>0</v>
      </c>
      <c r="U913" s="30">
        <f t="shared" si="18"/>
        <v>1.00829248845382E-4</v>
      </c>
    </row>
    <row r="914" spans="16:21" ht="13.9" customHeight="1" x14ac:dyDescent="0.2">
      <c r="P914" s="27"/>
      <c r="Q914" s="30"/>
      <c r="R914" s="30"/>
      <c r="S914" s="30">
        <f>ABS(Q914)/'İtme Analizi'!$C$17</f>
        <v>0</v>
      </c>
      <c r="T914" s="30">
        <f>ABS(R914)/'İtme Analizi'!$C$14</f>
        <v>0</v>
      </c>
      <c r="U914" s="30">
        <f t="shared" si="18"/>
        <v>1.00829248845382E-4</v>
      </c>
    </row>
    <row r="915" spans="16:21" ht="13.9" customHeight="1" x14ac:dyDescent="0.2">
      <c r="P915" s="27"/>
      <c r="Q915" s="30"/>
      <c r="R915" s="30"/>
      <c r="S915" s="30">
        <f>ABS(Q915)/'İtme Analizi'!$C$17</f>
        <v>0</v>
      </c>
      <c r="T915" s="30">
        <f>ABS(R915)/'İtme Analizi'!$C$14</f>
        <v>0</v>
      </c>
      <c r="U915" s="30">
        <f t="shared" si="18"/>
        <v>1.00829248845382E-4</v>
      </c>
    </row>
    <row r="916" spans="16:21" ht="13.9" customHeight="1" x14ac:dyDescent="0.2">
      <c r="P916" s="27"/>
      <c r="Q916" s="30"/>
      <c r="R916" s="30"/>
      <c r="S916" s="30">
        <f>ABS(Q916)/'İtme Analizi'!$C$17</f>
        <v>0</v>
      </c>
      <c r="T916" s="30">
        <f>ABS(R916)/'İtme Analizi'!$C$14</f>
        <v>0</v>
      </c>
      <c r="U916" s="30">
        <f t="shared" si="18"/>
        <v>1.00829248845382E-4</v>
      </c>
    </row>
    <row r="917" spans="16:21" ht="13.9" customHeight="1" x14ac:dyDescent="0.2">
      <c r="P917" s="27"/>
      <c r="Q917" s="30"/>
      <c r="R917" s="30"/>
      <c r="S917" s="30">
        <f>ABS(Q917)/'İtme Analizi'!$C$17</f>
        <v>0</v>
      </c>
      <c r="T917" s="30">
        <f>ABS(R917)/'İtme Analizi'!$C$14</f>
        <v>0</v>
      </c>
      <c r="U917" s="30">
        <f t="shared" si="18"/>
        <v>1.00829248845382E-4</v>
      </c>
    </row>
    <row r="918" spans="16:21" ht="13.9" customHeight="1" x14ac:dyDescent="0.2">
      <c r="P918" s="27"/>
      <c r="Q918" s="30"/>
      <c r="R918" s="30"/>
      <c r="S918" s="30">
        <f>ABS(Q918)/'İtme Analizi'!$C$17</f>
        <v>0</v>
      </c>
      <c r="T918" s="30">
        <f>ABS(R918)/'İtme Analizi'!$C$14</f>
        <v>0</v>
      </c>
      <c r="U918" s="30">
        <f t="shared" si="18"/>
        <v>1.00829248845382E-4</v>
      </c>
    </row>
    <row r="919" spans="16:21" ht="13.9" customHeight="1" x14ac:dyDescent="0.2">
      <c r="P919" s="27"/>
      <c r="Q919" s="30"/>
      <c r="R919" s="30"/>
      <c r="S919" s="30">
        <f>ABS(Q919)/'İtme Analizi'!$C$17</f>
        <v>0</v>
      </c>
      <c r="T919" s="30">
        <f>ABS(R919)/'İtme Analizi'!$C$14</f>
        <v>0</v>
      </c>
      <c r="U919" s="30">
        <f t="shared" si="18"/>
        <v>1.00829248845382E-4</v>
      </c>
    </row>
    <row r="920" spans="16:21" ht="13.9" customHeight="1" x14ac:dyDescent="0.2">
      <c r="P920" s="27"/>
      <c r="Q920" s="30"/>
      <c r="R920" s="30"/>
      <c r="S920" s="30">
        <f>ABS(Q920)/'İtme Analizi'!$C$17</f>
        <v>0</v>
      </c>
      <c r="T920" s="30">
        <f>ABS(R920)/'İtme Analizi'!$C$14</f>
        <v>0</v>
      </c>
      <c r="U920" s="30">
        <f t="shared" si="18"/>
        <v>1.00829248845382E-4</v>
      </c>
    </row>
    <row r="921" spans="16:21" ht="13.9" customHeight="1" x14ac:dyDescent="0.2">
      <c r="P921" s="27"/>
      <c r="Q921" s="30"/>
      <c r="R921" s="30"/>
      <c r="S921" s="30">
        <f>ABS(Q921)/'İtme Analizi'!$C$17</f>
        <v>0</v>
      </c>
      <c r="T921" s="30">
        <f>ABS(R921)/'İtme Analizi'!$C$14</f>
        <v>0</v>
      </c>
      <c r="U921" s="30">
        <f t="shared" si="18"/>
        <v>1.00829248845382E-4</v>
      </c>
    </row>
    <row r="922" spans="16:21" ht="13.9" customHeight="1" x14ac:dyDescent="0.2">
      <c r="P922" s="27"/>
      <c r="Q922" s="30"/>
      <c r="R922" s="30"/>
      <c r="S922" s="30">
        <f>ABS(Q922)/'İtme Analizi'!$C$17</f>
        <v>0</v>
      </c>
      <c r="T922" s="30">
        <f>ABS(R922)/'İtme Analizi'!$C$14</f>
        <v>0</v>
      </c>
      <c r="U922" s="30">
        <f t="shared" si="18"/>
        <v>1.00829248845382E-4</v>
      </c>
    </row>
    <row r="923" spans="16:21" ht="13.9" customHeight="1" x14ac:dyDescent="0.2">
      <c r="P923" s="27"/>
      <c r="Q923" s="30"/>
      <c r="R923" s="30"/>
      <c r="S923" s="30">
        <f>ABS(Q923)/'İtme Analizi'!$C$17</f>
        <v>0</v>
      </c>
      <c r="T923" s="30">
        <f>ABS(R923)/'İtme Analizi'!$C$14</f>
        <v>0</v>
      </c>
      <c r="U923" s="30">
        <f t="shared" si="18"/>
        <v>1.00829248845382E-4</v>
      </c>
    </row>
    <row r="924" spans="16:21" ht="13.9" customHeight="1" x14ac:dyDescent="0.2">
      <c r="P924" s="27"/>
      <c r="Q924" s="30"/>
      <c r="R924" s="30"/>
      <c r="S924" s="30">
        <f>ABS(Q924)/'İtme Analizi'!$C$17</f>
        <v>0</v>
      </c>
      <c r="T924" s="30">
        <f>ABS(R924)/'İtme Analizi'!$C$14</f>
        <v>0</v>
      </c>
      <c r="U924" s="30">
        <f t="shared" si="18"/>
        <v>1.00829248845382E-4</v>
      </c>
    </row>
    <row r="925" spans="16:21" ht="13.9" customHeight="1" x14ac:dyDescent="0.2">
      <c r="P925" s="27"/>
      <c r="Q925" s="30"/>
      <c r="R925" s="30"/>
      <c r="S925" s="30">
        <f>ABS(Q925)/'İtme Analizi'!$C$17</f>
        <v>0</v>
      </c>
      <c r="T925" s="30">
        <f>ABS(R925)/'İtme Analizi'!$C$14</f>
        <v>0</v>
      </c>
      <c r="U925" s="30">
        <f t="shared" si="18"/>
        <v>1.00829248845382E-4</v>
      </c>
    </row>
    <row r="926" spans="16:21" ht="13.9" customHeight="1" x14ac:dyDescent="0.2">
      <c r="P926" s="27"/>
      <c r="Q926" s="30"/>
      <c r="R926" s="30"/>
      <c r="S926" s="30">
        <f>ABS(Q926)/'İtme Analizi'!$C$17</f>
        <v>0</v>
      </c>
      <c r="T926" s="30">
        <f>ABS(R926)/'İtme Analizi'!$C$14</f>
        <v>0</v>
      </c>
      <c r="U926" s="30">
        <f t="shared" si="18"/>
        <v>1.00829248845382E-4</v>
      </c>
    </row>
    <row r="927" spans="16:21" ht="13.9" customHeight="1" x14ac:dyDescent="0.2">
      <c r="P927" s="27"/>
      <c r="Q927" s="30"/>
      <c r="R927" s="30"/>
      <c r="S927" s="30">
        <f>ABS(Q927)/'İtme Analizi'!$C$17</f>
        <v>0</v>
      </c>
      <c r="T927" s="30">
        <f>ABS(R927)/'İtme Analizi'!$C$14</f>
        <v>0</v>
      </c>
      <c r="U927" s="30">
        <f t="shared" si="18"/>
        <v>1.00829248845382E-4</v>
      </c>
    </row>
    <row r="928" spans="16:21" ht="13.9" customHeight="1" x14ac:dyDescent="0.2">
      <c r="P928" s="27"/>
      <c r="Q928" s="30"/>
      <c r="R928" s="30"/>
      <c r="S928" s="30">
        <f>ABS(Q928)/'İtme Analizi'!$C$17</f>
        <v>0</v>
      </c>
      <c r="T928" s="30">
        <f>ABS(R928)/'İtme Analizi'!$C$14</f>
        <v>0</v>
      </c>
      <c r="U928" s="30">
        <f t="shared" si="18"/>
        <v>1.00829248845382E-4</v>
      </c>
    </row>
    <row r="929" spans="16:21" ht="13.9" customHeight="1" x14ac:dyDescent="0.2">
      <c r="P929" s="27"/>
      <c r="Q929" s="30"/>
      <c r="R929" s="30"/>
      <c r="S929" s="30">
        <f>ABS(Q929)/'İtme Analizi'!$C$17</f>
        <v>0</v>
      </c>
      <c r="T929" s="30">
        <f>ABS(R929)/'İtme Analizi'!$C$14</f>
        <v>0</v>
      </c>
      <c r="U929" s="30">
        <f t="shared" si="18"/>
        <v>1.00829248845382E-4</v>
      </c>
    </row>
    <row r="930" spans="16:21" ht="13.9" customHeight="1" x14ac:dyDescent="0.2">
      <c r="P930" s="27"/>
      <c r="Q930" s="30"/>
      <c r="R930" s="30"/>
      <c r="S930" s="30">
        <f>ABS(Q930)/'İtme Analizi'!$C$17</f>
        <v>0</v>
      </c>
      <c r="T930" s="30">
        <f>ABS(R930)/'İtme Analizi'!$C$14</f>
        <v>0</v>
      </c>
      <c r="U930" s="30">
        <f t="shared" si="18"/>
        <v>1.00829248845382E-4</v>
      </c>
    </row>
    <row r="931" spans="16:21" ht="13.9" customHeight="1" x14ac:dyDescent="0.2">
      <c r="P931" s="27"/>
      <c r="Q931" s="30"/>
      <c r="R931" s="30"/>
      <c r="S931" s="30">
        <f>ABS(Q931)/'İtme Analizi'!$C$17</f>
        <v>0</v>
      </c>
      <c r="T931" s="30">
        <f>ABS(R931)/'İtme Analizi'!$C$14</f>
        <v>0</v>
      </c>
      <c r="U931" s="30">
        <f t="shared" si="18"/>
        <v>1.00829248845382E-4</v>
      </c>
    </row>
    <row r="932" spans="16:21" ht="13.9" customHeight="1" x14ac:dyDescent="0.2">
      <c r="P932" s="27"/>
      <c r="Q932" s="30"/>
      <c r="R932" s="30"/>
      <c r="S932" s="30">
        <f>ABS(Q932)/'İtme Analizi'!$C$17</f>
        <v>0</v>
      </c>
      <c r="T932" s="30">
        <f>ABS(R932)/'İtme Analizi'!$C$14</f>
        <v>0</v>
      </c>
      <c r="U932" s="30">
        <f t="shared" si="18"/>
        <v>1.00829248845382E-4</v>
      </c>
    </row>
    <row r="933" spans="16:21" ht="13.9" customHeight="1" x14ac:dyDescent="0.2">
      <c r="P933" s="27"/>
      <c r="Q933" s="30"/>
      <c r="R933" s="30"/>
      <c r="S933" s="30">
        <f>ABS(Q933)/'İtme Analizi'!$C$17</f>
        <v>0</v>
      </c>
      <c r="T933" s="30">
        <f>ABS(R933)/'İtme Analizi'!$C$14</f>
        <v>0</v>
      </c>
      <c r="U933" s="30">
        <f t="shared" si="18"/>
        <v>1.00829248845382E-4</v>
      </c>
    </row>
    <row r="934" spans="16:21" ht="13.9" customHeight="1" x14ac:dyDescent="0.2">
      <c r="P934" s="27"/>
      <c r="Q934" s="30"/>
      <c r="R934" s="30"/>
      <c r="S934" s="30">
        <f>ABS(Q934)/'İtme Analizi'!$C$17</f>
        <v>0</v>
      </c>
      <c r="T934" s="30">
        <f>ABS(R934)/'İtme Analizi'!$C$14</f>
        <v>0</v>
      </c>
      <c r="U934" s="30">
        <f t="shared" si="18"/>
        <v>1.00829248845382E-4</v>
      </c>
    </row>
    <row r="935" spans="16:21" ht="13.9" customHeight="1" x14ac:dyDescent="0.2">
      <c r="P935" s="27"/>
      <c r="Q935" s="30"/>
      <c r="R935" s="30"/>
      <c r="S935" s="30">
        <f>ABS(Q935)/'İtme Analizi'!$C$17</f>
        <v>0</v>
      </c>
      <c r="T935" s="30">
        <f>ABS(R935)/'İtme Analizi'!$C$14</f>
        <v>0</v>
      </c>
      <c r="U935" s="30">
        <f t="shared" si="18"/>
        <v>1.00829248845382E-4</v>
      </c>
    </row>
    <row r="936" spans="16:21" ht="13.9" customHeight="1" x14ac:dyDescent="0.2">
      <c r="P936" s="27"/>
      <c r="Q936" s="30"/>
      <c r="R936" s="30"/>
      <c r="S936" s="30">
        <f>ABS(Q936)/'İtme Analizi'!$C$17</f>
        <v>0</v>
      </c>
      <c r="T936" s="30">
        <f>ABS(R936)/'İtme Analizi'!$C$14</f>
        <v>0</v>
      </c>
      <c r="U936" s="30">
        <f t="shared" si="18"/>
        <v>1.00829248845382E-4</v>
      </c>
    </row>
    <row r="937" spans="16:21" ht="13.9" customHeight="1" x14ac:dyDescent="0.2">
      <c r="P937" s="27"/>
      <c r="Q937" s="30"/>
      <c r="R937" s="30"/>
      <c r="S937" s="30">
        <f>ABS(Q937)/'İtme Analizi'!$C$17</f>
        <v>0</v>
      </c>
      <c r="T937" s="30">
        <f>ABS(R937)/'İtme Analizi'!$C$14</f>
        <v>0</v>
      </c>
      <c r="U937" s="30">
        <f t="shared" si="18"/>
        <v>1.00829248845382E-4</v>
      </c>
    </row>
    <row r="938" spans="16:21" ht="13.9" customHeight="1" x14ac:dyDescent="0.2">
      <c r="P938" s="27"/>
      <c r="Q938" s="30"/>
      <c r="R938" s="30"/>
      <c r="S938" s="30">
        <f>ABS(Q938)/'İtme Analizi'!$C$17</f>
        <v>0</v>
      </c>
      <c r="T938" s="30">
        <f>ABS(R938)/'İtme Analizi'!$C$14</f>
        <v>0</v>
      </c>
      <c r="U938" s="30">
        <f t="shared" si="18"/>
        <v>1.00829248845382E-4</v>
      </c>
    </row>
    <row r="939" spans="16:21" ht="13.9" customHeight="1" x14ac:dyDescent="0.2">
      <c r="P939" s="27"/>
      <c r="Q939" s="30"/>
      <c r="R939" s="30"/>
      <c r="S939" s="30">
        <f>ABS(Q939)/'İtme Analizi'!$C$17</f>
        <v>0</v>
      </c>
      <c r="T939" s="30">
        <f>ABS(R939)/'İtme Analizi'!$C$14</f>
        <v>0</v>
      </c>
      <c r="U939" s="30">
        <f t="shared" si="18"/>
        <v>1.00829248845382E-4</v>
      </c>
    </row>
    <row r="940" spans="16:21" ht="13.9" customHeight="1" x14ac:dyDescent="0.2">
      <c r="P940" s="27"/>
      <c r="Q940" s="30"/>
      <c r="R940" s="30"/>
      <c r="S940" s="30">
        <f>ABS(Q940)/'İtme Analizi'!$C$17</f>
        <v>0</v>
      </c>
      <c r="T940" s="30">
        <f>ABS(R940)/'İtme Analizi'!$C$14</f>
        <v>0</v>
      </c>
      <c r="U940" s="30">
        <f t="shared" si="18"/>
        <v>1.00829248845382E-4</v>
      </c>
    </row>
    <row r="941" spans="16:21" ht="13.9" customHeight="1" x14ac:dyDescent="0.2">
      <c r="P941" s="27"/>
      <c r="Q941" s="30"/>
      <c r="R941" s="30"/>
      <c r="S941" s="30">
        <f>ABS(Q941)/'İtme Analizi'!$C$17</f>
        <v>0</v>
      </c>
      <c r="T941" s="30">
        <f>ABS(R941)/'İtme Analizi'!$C$14</f>
        <v>0</v>
      </c>
      <c r="U941" s="30">
        <f t="shared" si="18"/>
        <v>1.00829248845382E-4</v>
      </c>
    </row>
    <row r="942" spans="16:21" ht="13.9" customHeight="1" x14ac:dyDescent="0.2">
      <c r="P942" s="27"/>
      <c r="Q942" s="30"/>
      <c r="R942" s="30"/>
      <c r="S942" s="30">
        <f>ABS(Q942)/'İtme Analizi'!$C$17</f>
        <v>0</v>
      </c>
      <c r="T942" s="30">
        <f>ABS(R942)/'İtme Analizi'!$C$14</f>
        <v>0</v>
      </c>
      <c r="U942" s="30">
        <f t="shared" si="18"/>
        <v>1.00829248845382E-4</v>
      </c>
    </row>
    <row r="943" spans="16:21" ht="13.9" customHeight="1" x14ac:dyDescent="0.2">
      <c r="P943" s="27"/>
      <c r="Q943" s="30"/>
      <c r="R943" s="30"/>
      <c r="S943" s="30">
        <f>ABS(Q943)/'İtme Analizi'!$C$17</f>
        <v>0</v>
      </c>
      <c r="T943" s="30">
        <f>ABS(R943)/'İtme Analizi'!$C$14</f>
        <v>0</v>
      </c>
      <c r="U943" s="30">
        <f t="shared" si="18"/>
        <v>1.00829248845382E-4</v>
      </c>
    </row>
    <row r="944" spans="16:21" ht="13.9" customHeight="1" x14ac:dyDescent="0.2">
      <c r="P944" s="27"/>
      <c r="Q944" s="30"/>
      <c r="R944" s="30"/>
      <c r="S944" s="30">
        <f>ABS(Q944)/'İtme Analizi'!$C$17</f>
        <v>0</v>
      </c>
      <c r="T944" s="30">
        <f>ABS(R944)/'İtme Analizi'!$C$14</f>
        <v>0</v>
      </c>
      <c r="U944" s="30">
        <f t="shared" si="18"/>
        <v>1.00829248845382E-4</v>
      </c>
    </row>
    <row r="945" spans="16:21" ht="13.9" customHeight="1" x14ac:dyDescent="0.2">
      <c r="P945" s="27"/>
      <c r="Q945" s="30"/>
      <c r="R945" s="30"/>
      <c r="S945" s="30">
        <f>ABS(Q945)/'İtme Analizi'!$C$17</f>
        <v>0</v>
      </c>
      <c r="T945" s="30">
        <f>ABS(R945)/'İtme Analizi'!$C$14</f>
        <v>0</v>
      </c>
      <c r="U945" s="30">
        <f t="shared" si="18"/>
        <v>1.00829248845382E-4</v>
      </c>
    </row>
    <row r="946" spans="16:21" ht="13.9" customHeight="1" x14ac:dyDescent="0.2">
      <c r="P946" s="27"/>
      <c r="Q946" s="30"/>
      <c r="R946" s="30"/>
      <c r="S946" s="30">
        <f>ABS(Q946)/'İtme Analizi'!$C$17</f>
        <v>0</v>
      </c>
      <c r="T946" s="30">
        <f>ABS(R946)/'İtme Analizi'!$C$14</f>
        <v>0</v>
      </c>
      <c r="U946" s="30">
        <f t="shared" si="18"/>
        <v>1.00829248845382E-4</v>
      </c>
    </row>
    <row r="947" spans="16:21" ht="13.9" customHeight="1" x14ac:dyDescent="0.2">
      <c r="P947" s="27"/>
      <c r="Q947" s="30"/>
      <c r="R947" s="30"/>
      <c r="S947" s="30">
        <f>ABS(Q947)/'İtme Analizi'!$C$17</f>
        <v>0</v>
      </c>
      <c r="T947" s="30">
        <f>ABS(R947)/'İtme Analizi'!$C$14</f>
        <v>0</v>
      </c>
      <c r="U947" s="30">
        <f t="shared" si="18"/>
        <v>1.00829248845382E-4</v>
      </c>
    </row>
    <row r="948" spans="16:21" ht="13.9" customHeight="1" x14ac:dyDescent="0.2">
      <c r="P948" s="27"/>
      <c r="Q948" s="30"/>
      <c r="R948" s="30"/>
      <c r="S948" s="30">
        <f>ABS(Q948)/'İtme Analizi'!$C$17</f>
        <v>0</v>
      </c>
      <c r="T948" s="30">
        <f>ABS(R948)/'İtme Analizi'!$C$14</f>
        <v>0</v>
      </c>
      <c r="U948" s="30">
        <f t="shared" si="18"/>
        <v>1.00829248845382E-4</v>
      </c>
    </row>
    <row r="949" spans="16:21" ht="13.9" customHeight="1" x14ac:dyDescent="0.2">
      <c r="P949" s="27"/>
      <c r="Q949" s="30"/>
      <c r="R949" s="30"/>
      <c r="S949" s="30">
        <f>ABS(Q949)/'İtme Analizi'!$C$17</f>
        <v>0</v>
      </c>
      <c r="T949" s="30">
        <f>ABS(R949)/'İtme Analizi'!$C$14</f>
        <v>0</v>
      </c>
      <c r="U949" s="30">
        <f t="shared" si="18"/>
        <v>1.00829248845382E-4</v>
      </c>
    </row>
    <row r="950" spans="16:21" ht="13.9" customHeight="1" x14ac:dyDescent="0.2">
      <c r="P950" s="27"/>
      <c r="Q950" s="30"/>
      <c r="R950" s="30"/>
      <c r="S950" s="30">
        <f>ABS(Q950)/'İtme Analizi'!$C$17</f>
        <v>0</v>
      </c>
      <c r="T950" s="30">
        <f>ABS(R950)/'İtme Analizi'!$C$14</f>
        <v>0</v>
      </c>
      <c r="U950" s="30">
        <f t="shared" si="18"/>
        <v>1.00829248845382E-4</v>
      </c>
    </row>
    <row r="951" spans="16:21" ht="13.9" customHeight="1" x14ac:dyDescent="0.2">
      <c r="P951" s="27"/>
      <c r="Q951" s="30"/>
      <c r="R951" s="30"/>
      <c r="S951" s="30">
        <f>ABS(Q951)/'İtme Analizi'!$C$17</f>
        <v>0</v>
      </c>
      <c r="T951" s="30">
        <f>ABS(R951)/'İtme Analizi'!$C$14</f>
        <v>0</v>
      </c>
      <c r="U951" s="30">
        <f t="shared" si="18"/>
        <v>1.00829248845382E-4</v>
      </c>
    </row>
    <row r="952" spans="16:21" ht="13.9" customHeight="1" x14ac:dyDescent="0.2">
      <c r="P952" s="27"/>
      <c r="Q952" s="30"/>
      <c r="R952" s="30"/>
      <c r="S952" s="30">
        <f>ABS(Q952)/'İtme Analizi'!$C$17</f>
        <v>0</v>
      </c>
      <c r="T952" s="30">
        <f>ABS(R952)/'İtme Analizi'!$C$14</f>
        <v>0</v>
      </c>
      <c r="U952" s="30">
        <f t="shared" si="18"/>
        <v>1.00829248845382E-4</v>
      </c>
    </row>
    <row r="953" spans="16:21" ht="13.9" customHeight="1" x14ac:dyDescent="0.2">
      <c r="P953" s="27"/>
      <c r="Q953" s="30"/>
      <c r="R953" s="30"/>
      <c r="S953" s="30">
        <f>ABS(Q953)/'İtme Analizi'!$C$17</f>
        <v>0</v>
      </c>
      <c r="T953" s="30">
        <f>ABS(R953)/'İtme Analizi'!$C$14</f>
        <v>0</v>
      </c>
      <c r="U953" s="30">
        <f t="shared" si="18"/>
        <v>1.00829248845382E-4</v>
      </c>
    </row>
    <row r="954" spans="16:21" ht="13.9" customHeight="1" x14ac:dyDescent="0.2">
      <c r="P954" s="27"/>
      <c r="Q954" s="30"/>
      <c r="R954" s="30"/>
      <c r="S954" s="30">
        <f>ABS(Q954)/'İtme Analizi'!$C$17</f>
        <v>0</v>
      </c>
      <c r="T954" s="30">
        <f>ABS(R954)/'İtme Analizi'!$C$14</f>
        <v>0</v>
      </c>
      <c r="U954" s="30">
        <f t="shared" si="18"/>
        <v>1.00829248845382E-4</v>
      </c>
    </row>
    <row r="955" spans="16:21" ht="13.9" customHeight="1" x14ac:dyDescent="0.2">
      <c r="P955" s="27"/>
      <c r="Q955" s="30"/>
      <c r="R955" s="30"/>
      <c r="S955" s="30">
        <f>ABS(Q955)/'İtme Analizi'!$C$17</f>
        <v>0</v>
      </c>
      <c r="T955" s="30">
        <f>ABS(R955)/'İtme Analizi'!$C$14</f>
        <v>0</v>
      </c>
      <c r="U955" s="30">
        <f t="shared" si="18"/>
        <v>1.00829248845382E-4</v>
      </c>
    </row>
    <row r="956" spans="16:21" ht="13.9" customHeight="1" x14ac:dyDescent="0.2">
      <c r="P956" s="27"/>
      <c r="Q956" s="30"/>
      <c r="R956" s="30"/>
      <c r="S956" s="30">
        <f>ABS(Q956)/'İtme Analizi'!$C$17</f>
        <v>0</v>
      </c>
      <c r="T956" s="30">
        <f>ABS(R956)/'İtme Analizi'!$C$14</f>
        <v>0</v>
      </c>
      <c r="U956" s="30">
        <f t="shared" si="18"/>
        <v>1.00829248845382E-4</v>
      </c>
    </row>
    <row r="957" spans="16:21" ht="13.9" customHeight="1" x14ac:dyDescent="0.2">
      <c r="P957" s="27"/>
      <c r="Q957" s="30"/>
      <c r="R957" s="30"/>
      <c r="S957" s="30">
        <f>ABS(Q957)/'İtme Analizi'!$C$17</f>
        <v>0</v>
      </c>
      <c r="T957" s="30">
        <f>ABS(R957)/'İtme Analizi'!$C$14</f>
        <v>0</v>
      </c>
      <c r="U957" s="30">
        <f t="shared" si="18"/>
        <v>1.00829248845382E-4</v>
      </c>
    </row>
    <row r="958" spans="16:21" ht="13.9" customHeight="1" x14ac:dyDescent="0.2">
      <c r="P958" s="27"/>
      <c r="Q958" s="30"/>
      <c r="R958" s="30"/>
      <c r="S958" s="30">
        <f>ABS(Q958)/'İtme Analizi'!$C$17</f>
        <v>0</v>
      </c>
      <c r="T958" s="30">
        <f>ABS(R958)/'İtme Analizi'!$C$14</f>
        <v>0</v>
      </c>
      <c r="U958" s="30">
        <f t="shared" si="18"/>
        <v>1.00829248845382E-4</v>
      </c>
    </row>
    <row r="959" spans="16:21" ht="13.9" customHeight="1" x14ac:dyDescent="0.2">
      <c r="P959" s="27"/>
      <c r="Q959" s="30"/>
      <c r="R959" s="30"/>
      <c r="S959" s="30">
        <f>ABS(Q959)/'İtme Analizi'!$C$17</f>
        <v>0</v>
      </c>
      <c r="T959" s="30">
        <f>ABS(R959)/'İtme Analizi'!$C$14</f>
        <v>0</v>
      </c>
      <c r="U959" s="30">
        <f t="shared" si="18"/>
        <v>1.00829248845382E-4</v>
      </c>
    </row>
    <row r="960" spans="16:21" ht="13.9" customHeight="1" x14ac:dyDescent="0.2">
      <c r="P960" s="27"/>
      <c r="Q960" s="30"/>
      <c r="R960" s="30"/>
      <c r="S960" s="30">
        <f>ABS(Q960)/'İtme Analizi'!$C$17</f>
        <v>0</v>
      </c>
      <c r="T960" s="30">
        <f>ABS(R960)/'İtme Analizi'!$C$14</f>
        <v>0</v>
      </c>
      <c r="U960" s="30">
        <f t="shared" si="18"/>
        <v>1.00829248845382E-4</v>
      </c>
    </row>
    <row r="961" spans="16:21" ht="13.9" customHeight="1" x14ac:dyDescent="0.2">
      <c r="P961" s="27"/>
      <c r="Q961" s="30"/>
      <c r="R961" s="30"/>
      <c r="S961" s="30">
        <f>ABS(Q961)/'İtme Analizi'!$C$17</f>
        <v>0</v>
      </c>
      <c r="T961" s="30">
        <f>ABS(R961)/'İtme Analizi'!$C$14</f>
        <v>0</v>
      </c>
      <c r="U961" s="30">
        <f t="shared" si="18"/>
        <v>1.00829248845382E-4</v>
      </c>
    </row>
    <row r="962" spans="16:21" ht="13.9" customHeight="1" x14ac:dyDescent="0.2">
      <c r="P962" s="27"/>
      <c r="Q962" s="30"/>
      <c r="R962" s="30"/>
      <c r="S962" s="30">
        <f>ABS(Q962)/'İtme Analizi'!$C$17</f>
        <v>0</v>
      </c>
      <c r="T962" s="30">
        <f>ABS(R962)/'İtme Analizi'!$C$14</f>
        <v>0</v>
      </c>
      <c r="U962" s="30">
        <f t="shared" ref="U962:U1000" si="19">U961+(S962-S961)*((T962+T961)/2)</f>
        <v>1.00829248845382E-4</v>
      </c>
    </row>
    <row r="963" spans="16:21" ht="13.9" customHeight="1" x14ac:dyDescent="0.2">
      <c r="P963" s="27"/>
      <c r="Q963" s="30"/>
      <c r="R963" s="30"/>
      <c r="S963" s="30">
        <f>ABS(Q963)/'İtme Analizi'!$C$17</f>
        <v>0</v>
      </c>
      <c r="T963" s="30">
        <f>ABS(R963)/'İtme Analizi'!$C$14</f>
        <v>0</v>
      </c>
      <c r="U963" s="30">
        <f t="shared" si="19"/>
        <v>1.00829248845382E-4</v>
      </c>
    </row>
    <row r="964" spans="16:21" ht="13.9" customHeight="1" x14ac:dyDescent="0.2">
      <c r="P964" s="27"/>
      <c r="Q964" s="30"/>
      <c r="R964" s="30"/>
      <c r="S964" s="30">
        <f>ABS(Q964)/'İtme Analizi'!$C$17</f>
        <v>0</v>
      </c>
      <c r="T964" s="30">
        <f>ABS(R964)/'İtme Analizi'!$C$14</f>
        <v>0</v>
      </c>
      <c r="U964" s="30">
        <f t="shared" si="19"/>
        <v>1.00829248845382E-4</v>
      </c>
    </row>
    <row r="965" spans="16:21" ht="13.9" customHeight="1" x14ac:dyDescent="0.2">
      <c r="P965" s="27"/>
      <c r="Q965" s="30"/>
      <c r="R965" s="30"/>
      <c r="S965" s="30">
        <f>ABS(Q965)/'İtme Analizi'!$C$17</f>
        <v>0</v>
      </c>
      <c r="T965" s="30">
        <f>ABS(R965)/'İtme Analizi'!$C$14</f>
        <v>0</v>
      </c>
      <c r="U965" s="30">
        <f t="shared" si="19"/>
        <v>1.00829248845382E-4</v>
      </c>
    </row>
    <row r="966" spans="16:21" ht="13.9" customHeight="1" x14ac:dyDescent="0.2">
      <c r="P966" s="27"/>
      <c r="Q966" s="30"/>
      <c r="R966" s="30"/>
      <c r="S966" s="30">
        <f>ABS(Q966)/'İtme Analizi'!$C$17</f>
        <v>0</v>
      </c>
      <c r="T966" s="30">
        <f>ABS(R966)/'İtme Analizi'!$C$14</f>
        <v>0</v>
      </c>
      <c r="U966" s="30">
        <f t="shared" si="19"/>
        <v>1.00829248845382E-4</v>
      </c>
    </row>
    <row r="967" spans="16:21" ht="13.9" customHeight="1" x14ac:dyDescent="0.2">
      <c r="P967" s="27"/>
      <c r="Q967" s="30"/>
      <c r="R967" s="30"/>
      <c r="S967" s="30">
        <f>ABS(Q967)/'İtme Analizi'!$C$17</f>
        <v>0</v>
      </c>
      <c r="T967" s="30">
        <f>ABS(R967)/'İtme Analizi'!$C$14</f>
        <v>0</v>
      </c>
      <c r="U967" s="30">
        <f t="shared" si="19"/>
        <v>1.00829248845382E-4</v>
      </c>
    </row>
    <row r="968" spans="16:21" ht="13.9" customHeight="1" x14ac:dyDescent="0.2">
      <c r="P968" s="27"/>
      <c r="Q968" s="30"/>
      <c r="R968" s="30"/>
      <c r="S968" s="30">
        <f>ABS(Q968)/'İtme Analizi'!$C$17</f>
        <v>0</v>
      </c>
      <c r="T968" s="30">
        <f>ABS(R968)/'İtme Analizi'!$C$14</f>
        <v>0</v>
      </c>
      <c r="U968" s="30">
        <f t="shared" si="19"/>
        <v>1.00829248845382E-4</v>
      </c>
    </row>
    <row r="969" spans="16:21" ht="13.9" customHeight="1" x14ac:dyDescent="0.2">
      <c r="P969" s="27"/>
      <c r="Q969" s="30"/>
      <c r="R969" s="30"/>
      <c r="S969" s="30">
        <f>ABS(Q969)/'İtme Analizi'!$C$17</f>
        <v>0</v>
      </c>
      <c r="T969" s="30">
        <f>ABS(R969)/'İtme Analizi'!$C$14</f>
        <v>0</v>
      </c>
      <c r="U969" s="30">
        <f t="shared" si="19"/>
        <v>1.00829248845382E-4</v>
      </c>
    </row>
    <row r="970" spans="16:21" ht="13.9" customHeight="1" x14ac:dyDescent="0.2">
      <c r="P970" s="27"/>
      <c r="Q970" s="30"/>
      <c r="R970" s="30"/>
      <c r="S970" s="30">
        <f>ABS(Q970)/'İtme Analizi'!$C$17</f>
        <v>0</v>
      </c>
      <c r="T970" s="30">
        <f>ABS(R970)/'İtme Analizi'!$C$14</f>
        <v>0</v>
      </c>
      <c r="U970" s="30">
        <f t="shared" si="19"/>
        <v>1.00829248845382E-4</v>
      </c>
    </row>
    <row r="971" spans="16:21" ht="13.9" customHeight="1" x14ac:dyDescent="0.2">
      <c r="P971" s="27"/>
      <c r="Q971" s="30"/>
      <c r="R971" s="30"/>
      <c r="S971" s="30">
        <f>ABS(Q971)/'İtme Analizi'!$C$17</f>
        <v>0</v>
      </c>
      <c r="T971" s="30">
        <f>ABS(R971)/'İtme Analizi'!$C$14</f>
        <v>0</v>
      </c>
      <c r="U971" s="30">
        <f t="shared" si="19"/>
        <v>1.00829248845382E-4</v>
      </c>
    </row>
    <row r="972" spans="16:21" ht="13.9" customHeight="1" x14ac:dyDescent="0.2">
      <c r="P972" s="27"/>
      <c r="Q972" s="30"/>
      <c r="R972" s="30"/>
      <c r="S972" s="30">
        <f>ABS(Q972)/'İtme Analizi'!$C$17</f>
        <v>0</v>
      </c>
      <c r="T972" s="30">
        <f>ABS(R972)/'İtme Analizi'!$C$14</f>
        <v>0</v>
      </c>
      <c r="U972" s="30">
        <f t="shared" si="19"/>
        <v>1.00829248845382E-4</v>
      </c>
    </row>
    <row r="973" spans="16:21" ht="13.9" customHeight="1" x14ac:dyDescent="0.2">
      <c r="P973" s="27"/>
      <c r="Q973" s="30"/>
      <c r="R973" s="30"/>
      <c r="S973" s="30">
        <f>ABS(Q973)/'İtme Analizi'!$C$17</f>
        <v>0</v>
      </c>
      <c r="T973" s="30">
        <f>ABS(R973)/'İtme Analizi'!$C$14</f>
        <v>0</v>
      </c>
      <c r="U973" s="30">
        <f t="shared" si="19"/>
        <v>1.00829248845382E-4</v>
      </c>
    </row>
    <row r="974" spans="16:21" ht="13.9" customHeight="1" x14ac:dyDescent="0.2">
      <c r="P974" s="27"/>
      <c r="Q974" s="30"/>
      <c r="R974" s="30"/>
      <c r="S974" s="30">
        <f>ABS(Q974)/'İtme Analizi'!$C$17</f>
        <v>0</v>
      </c>
      <c r="T974" s="30">
        <f>ABS(R974)/'İtme Analizi'!$C$14</f>
        <v>0</v>
      </c>
      <c r="U974" s="30">
        <f t="shared" si="19"/>
        <v>1.00829248845382E-4</v>
      </c>
    </row>
    <row r="975" spans="16:21" ht="13.9" customHeight="1" x14ac:dyDescent="0.2">
      <c r="P975" s="27"/>
      <c r="Q975" s="30"/>
      <c r="R975" s="30"/>
      <c r="S975" s="30">
        <f>ABS(Q975)/'İtme Analizi'!$C$17</f>
        <v>0</v>
      </c>
      <c r="T975" s="30">
        <f>ABS(R975)/'İtme Analizi'!$C$14</f>
        <v>0</v>
      </c>
      <c r="U975" s="30">
        <f t="shared" si="19"/>
        <v>1.00829248845382E-4</v>
      </c>
    </row>
    <row r="976" spans="16:21" ht="13.9" customHeight="1" x14ac:dyDescent="0.2">
      <c r="P976" s="27"/>
      <c r="Q976" s="30"/>
      <c r="R976" s="30"/>
      <c r="S976" s="30">
        <f>ABS(Q976)/'İtme Analizi'!$C$17</f>
        <v>0</v>
      </c>
      <c r="T976" s="30">
        <f>ABS(R976)/'İtme Analizi'!$C$14</f>
        <v>0</v>
      </c>
      <c r="U976" s="30">
        <f t="shared" si="19"/>
        <v>1.00829248845382E-4</v>
      </c>
    </row>
    <row r="977" spans="16:21" ht="13.9" customHeight="1" x14ac:dyDescent="0.2">
      <c r="P977" s="27"/>
      <c r="Q977" s="30"/>
      <c r="R977" s="30"/>
      <c r="S977" s="30">
        <f>ABS(Q977)/'İtme Analizi'!$C$17</f>
        <v>0</v>
      </c>
      <c r="T977" s="30">
        <f>ABS(R977)/'İtme Analizi'!$C$14</f>
        <v>0</v>
      </c>
      <c r="U977" s="30">
        <f t="shared" si="19"/>
        <v>1.00829248845382E-4</v>
      </c>
    </row>
    <row r="978" spans="16:21" ht="13.9" customHeight="1" x14ac:dyDescent="0.2">
      <c r="P978" s="27"/>
      <c r="Q978" s="30"/>
      <c r="R978" s="30"/>
      <c r="S978" s="30">
        <f>ABS(Q978)/'İtme Analizi'!$C$17</f>
        <v>0</v>
      </c>
      <c r="T978" s="30">
        <f>ABS(R978)/'İtme Analizi'!$C$14</f>
        <v>0</v>
      </c>
      <c r="U978" s="30">
        <f t="shared" si="19"/>
        <v>1.00829248845382E-4</v>
      </c>
    </row>
    <row r="979" spans="16:21" ht="13.9" customHeight="1" x14ac:dyDescent="0.2">
      <c r="P979" s="27"/>
      <c r="Q979" s="30"/>
      <c r="R979" s="30"/>
      <c r="S979" s="30">
        <f>ABS(Q979)/'İtme Analizi'!$C$17</f>
        <v>0</v>
      </c>
      <c r="T979" s="30">
        <f>ABS(R979)/'İtme Analizi'!$C$14</f>
        <v>0</v>
      </c>
      <c r="U979" s="30">
        <f t="shared" si="19"/>
        <v>1.00829248845382E-4</v>
      </c>
    </row>
    <row r="980" spans="16:21" ht="13.9" customHeight="1" x14ac:dyDescent="0.2">
      <c r="P980" s="27"/>
      <c r="Q980" s="30"/>
      <c r="R980" s="30"/>
      <c r="S980" s="30">
        <f>ABS(Q980)/'İtme Analizi'!$C$17</f>
        <v>0</v>
      </c>
      <c r="T980" s="30">
        <f>ABS(R980)/'İtme Analizi'!$C$14</f>
        <v>0</v>
      </c>
      <c r="U980" s="30">
        <f t="shared" si="19"/>
        <v>1.00829248845382E-4</v>
      </c>
    </row>
    <row r="981" spans="16:21" ht="13.9" customHeight="1" x14ac:dyDescent="0.2">
      <c r="P981" s="27"/>
      <c r="Q981" s="30"/>
      <c r="R981" s="30"/>
      <c r="S981" s="30">
        <f>ABS(Q981)/'İtme Analizi'!$C$17</f>
        <v>0</v>
      </c>
      <c r="T981" s="30">
        <f>ABS(R981)/'İtme Analizi'!$C$14</f>
        <v>0</v>
      </c>
      <c r="U981" s="30">
        <f t="shared" si="19"/>
        <v>1.00829248845382E-4</v>
      </c>
    </row>
    <row r="982" spans="16:21" ht="13.9" customHeight="1" x14ac:dyDescent="0.2">
      <c r="P982" s="27"/>
      <c r="Q982" s="30"/>
      <c r="R982" s="30"/>
      <c r="S982" s="30">
        <f>ABS(Q982)/'İtme Analizi'!$C$17</f>
        <v>0</v>
      </c>
      <c r="T982" s="30">
        <f>ABS(R982)/'İtme Analizi'!$C$14</f>
        <v>0</v>
      </c>
      <c r="U982" s="30">
        <f t="shared" si="19"/>
        <v>1.00829248845382E-4</v>
      </c>
    </row>
    <row r="983" spans="16:21" ht="13.9" customHeight="1" x14ac:dyDescent="0.2">
      <c r="P983" s="27"/>
      <c r="Q983" s="30"/>
      <c r="R983" s="30"/>
      <c r="S983" s="30">
        <f>ABS(Q983)/'İtme Analizi'!$C$17</f>
        <v>0</v>
      </c>
      <c r="T983" s="30">
        <f>ABS(R983)/'İtme Analizi'!$C$14</f>
        <v>0</v>
      </c>
      <c r="U983" s="30">
        <f t="shared" si="19"/>
        <v>1.00829248845382E-4</v>
      </c>
    </row>
    <row r="984" spans="16:21" ht="13.9" customHeight="1" x14ac:dyDescent="0.2">
      <c r="P984" s="27"/>
      <c r="Q984" s="30"/>
      <c r="R984" s="30"/>
      <c r="S984" s="30">
        <f>ABS(Q984)/'İtme Analizi'!$C$17</f>
        <v>0</v>
      </c>
      <c r="T984" s="30">
        <f>ABS(R984)/'İtme Analizi'!$C$14</f>
        <v>0</v>
      </c>
      <c r="U984" s="30">
        <f t="shared" si="19"/>
        <v>1.00829248845382E-4</v>
      </c>
    </row>
    <row r="985" spans="16:21" ht="13.9" customHeight="1" x14ac:dyDescent="0.2">
      <c r="P985" s="27"/>
      <c r="Q985" s="30"/>
      <c r="R985" s="30"/>
      <c r="S985" s="30">
        <f>ABS(Q985)/'İtme Analizi'!$C$17</f>
        <v>0</v>
      </c>
      <c r="T985" s="30">
        <f>ABS(R985)/'İtme Analizi'!$C$14</f>
        <v>0</v>
      </c>
      <c r="U985" s="30">
        <f t="shared" si="19"/>
        <v>1.00829248845382E-4</v>
      </c>
    </row>
    <row r="986" spans="16:21" ht="13.9" customHeight="1" x14ac:dyDescent="0.2">
      <c r="P986" s="27"/>
      <c r="Q986" s="30"/>
      <c r="R986" s="30"/>
      <c r="S986" s="30">
        <f>ABS(Q986)/'İtme Analizi'!$C$17</f>
        <v>0</v>
      </c>
      <c r="T986" s="30">
        <f>ABS(R986)/'İtme Analizi'!$C$14</f>
        <v>0</v>
      </c>
      <c r="U986" s="30">
        <f t="shared" si="19"/>
        <v>1.00829248845382E-4</v>
      </c>
    </row>
    <row r="987" spans="16:21" ht="13.9" customHeight="1" x14ac:dyDescent="0.2">
      <c r="P987" s="27"/>
      <c r="Q987" s="30"/>
      <c r="R987" s="30"/>
      <c r="S987" s="30">
        <f>ABS(Q987)/'İtme Analizi'!$C$17</f>
        <v>0</v>
      </c>
      <c r="T987" s="30">
        <f>ABS(R987)/'İtme Analizi'!$C$14</f>
        <v>0</v>
      </c>
      <c r="U987" s="30">
        <f t="shared" si="19"/>
        <v>1.00829248845382E-4</v>
      </c>
    </row>
    <row r="988" spans="16:21" ht="13.9" customHeight="1" x14ac:dyDescent="0.2">
      <c r="P988" s="27"/>
      <c r="Q988" s="30"/>
      <c r="R988" s="30"/>
      <c r="S988" s="30">
        <f>ABS(Q988)/'İtme Analizi'!$C$17</f>
        <v>0</v>
      </c>
      <c r="T988" s="30">
        <f>ABS(R988)/'İtme Analizi'!$C$14</f>
        <v>0</v>
      </c>
      <c r="U988" s="30">
        <f t="shared" si="19"/>
        <v>1.00829248845382E-4</v>
      </c>
    </row>
    <row r="989" spans="16:21" ht="13.9" customHeight="1" x14ac:dyDescent="0.2">
      <c r="P989" s="27"/>
      <c r="Q989" s="30"/>
      <c r="R989" s="30"/>
      <c r="S989" s="30">
        <f>ABS(Q989)/'İtme Analizi'!$C$17</f>
        <v>0</v>
      </c>
      <c r="T989" s="30">
        <f>ABS(R989)/'İtme Analizi'!$C$14</f>
        <v>0</v>
      </c>
      <c r="U989" s="30">
        <f t="shared" si="19"/>
        <v>1.00829248845382E-4</v>
      </c>
    </row>
    <row r="990" spans="16:21" ht="13.9" customHeight="1" x14ac:dyDescent="0.2">
      <c r="P990" s="27"/>
      <c r="Q990" s="30"/>
      <c r="R990" s="30"/>
      <c r="S990" s="30">
        <f>ABS(Q990)/'İtme Analizi'!$C$17</f>
        <v>0</v>
      </c>
      <c r="T990" s="30">
        <f>ABS(R990)/'İtme Analizi'!$C$14</f>
        <v>0</v>
      </c>
      <c r="U990" s="30">
        <f t="shared" si="19"/>
        <v>1.00829248845382E-4</v>
      </c>
    </row>
    <row r="991" spans="16:21" ht="13.9" customHeight="1" x14ac:dyDescent="0.2">
      <c r="P991" s="27"/>
      <c r="Q991" s="30"/>
      <c r="R991" s="30"/>
      <c r="S991" s="30">
        <f>ABS(Q991)/'İtme Analizi'!$C$17</f>
        <v>0</v>
      </c>
      <c r="T991" s="30">
        <f>ABS(R991)/'İtme Analizi'!$C$14</f>
        <v>0</v>
      </c>
      <c r="U991" s="30">
        <f t="shared" si="19"/>
        <v>1.00829248845382E-4</v>
      </c>
    </row>
    <row r="992" spans="16:21" ht="13.9" customHeight="1" x14ac:dyDescent="0.2">
      <c r="P992" s="27"/>
      <c r="Q992" s="30"/>
      <c r="R992" s="30"/>
      <c r="S992" s="30">
        <f>ABS(Q992)/'İtme Analizi'!$C$17</f>
        <v>0</v>
      </c>
      <c r="T992" s="30">
        <f>ABS(R992)/'İtme Analizi'!$C$14</f>
        <v>0</v>
      </c>
      <c r="U992" s="30">
        <f t="shared" si="19"/>
        <v>1.00829248845382E-4</v>
      </c>
    </row>
    <row r="993" spans="16:21" ht="13.9" customHeight="1" x14ac:dyDescent="0.2">
      <c r="P993" s="27"/>
      <c r="Q993" s="30"/>
      <c r="R993" s="30"/>
      <c r="S993" s="30">
        <f>ABS(Q993)/'İtme Analizi'!$C$17</f>
        <v>0</v>
      </c>
      <c r="T993" s="30">
        <f>ABS(R993)/'İtme Analizi'!$C$14</f>
        <v>0</v>
      </c>
      <c r="U993" s="30">
        <f t="shared" si="19"/>
        <v>1.00829248845382E-4</v>
      </c>
    </row>
    <row r="994" spans="16:21" ht="13.9" customHeight="1" x14ac:dyDescent="0.2">
      <c r="P994" s="27"/>
      <c r="Q994" s="30"/>
      <c r="R994" s="30"/>
      <c r="S994" s="30">
        <f>ABS(Q994)/'İtme Analizi'!$C$17</f>
        <v>0</v>
      </c>
      <c r="T994" s="30">
        <f>ABS(R994)/'İtme Analizi'!$C$14</f>
        <v>0</v>
      </c>
      <c r="U994" s="30">
        <f t="shared" si="19"/>
        <v>1.00829248845382E-4</v>
      </c>
    </row>
    <row r="995" spans="16:21" ht="13.9" customHeight="1" x14ac:dyDescent="0.2">
      <c r="P995" s="27"/>
      <c r="Q995" s="30"/>
      <c r="R995" s="30"/>
      <c r="S995" s="30">
        <f>ABS(Q995)/'İtme Analizi'!$C$17</f>
        <v>0</v>
      </c>
      <c r="T995" s="30">
        <f>ABS(R995)/'İtme Analizi'!$C$14</f>
        <v>0</v>
      </c>
      <c r="U995" s="30">
        <f t="shared" si="19"/>
        <v>1.00829248845382E-4</v>
      </c>
    </row>
    <row r="996" spans="16:21" ht="13.9" customHeight="1" x14ac:dyDescent="0.2">
      <c r="P996" s="27"/>
      <c r="Q996" s="30"/>
      <c r="R996" s="30"/>
      <c r="S996" s="30">
        <f>ABS(Q996)/'İtme Analizi'!$C$17</f>
        <v>0</v>
      </c>
      <c r="T996" s="30">
        <f>ABS(R996)/'İtme Analizi'!$C$14</f>
        <v>0</v>
      </c>
      <c r="U996" s="30">
        <f t="shared" si="19"/>
        <v>1.00829248845382E-4</v>
      </c>
    </row>
    <row r="997" spans="16:21" ht="13.9" customHeight="1" x14ac:dyDescent="0.2">
      <c r="P997" s="27"/>
      <c r="Q997" s="30"/>
      <c r="R997" s="30"/>
      <c r="S997" s="30">
        <f>ABS(Q997)/'İtme Analizi'!$C$17</f>
        <v>0</v>
      </c>
      <c r="T997" s="30">
        <f>ABS(R997)/'İtme Analizi'!$C$14</f>
        <v>0</v>
      </c>
      <c r="U997" s="30">
        <f t="shared" si="19"/>
        <v>1.00829248845382E-4</v>
      </c>
    </row>
    <row r="998" spans="16:21" ht="13.9" customHeight="1" x14ac:dyDescent="0.2">
      <c r="P998" s="27"/>
      <c r="Q998" s="30"/>
      <c r="R998" s="30"/>
      <c r="S998" s="30">
        <f>ABS(Q998)/'İtme Analizi'!$C$17</f>
        <v>0</v>
      </c>
      <c r="T998" s="30">
        <f>ABS(R998)/'İtme Analizi'!$C$14</f>
        <v>0</v>
      </c>
      <c r="U998" s="30">
        <f t="shared" si="19"/>
        <v>1.00829248845382E-4</v>
      </c>
    </row>
    <row r="999" spans="16:21" ht="13.9" customHeight="1" x14ac:dyDescent="0.2">
      <c r="P999" s="27"/>
      <c r="Q999" s="30"/>
      <c r="R999" s="30"/>
      <c r="S999" s="30">
        <f>ABS(Q999)/'İtme Analizi'!$C$17</f>
        <v>0</v>
      </c>
      <c r="T999" s="30">
        <f>ABS(R999)/'İtme Analizi'!$C$14</f>
        <v>0</v>
      </c>
      <c r="U999" s="30">
        <f t="shared" si="19"/>
        <v>1.00829248845382E-4</v>
      </c>
    </row>
    <row r="1000" spans="16:21" ht="13.9" customHeight="1" x14ac:dyDescent="0.2">
      <c r="P1000" s="27"/>
      <c r="Q1000" s="30"/>
      <c r="R1000" s="30"/>
      <c r="S1000" s="30">
        <f>ABS(Q1000)/'İtme Analizi'!$C$17</f>
        <v>0</v>
      </c>
      <c r="T1000" s="30">
        <f>ABS(R1000)/'İtme Analizi'!$C$14</f>
        <v>0</v>
      </c>
      <c r="U1000" s="30">
        <f t="shared" si="19"/>
        <v>1.00829248845382E-4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4" t="s">
        <v>7</v>
      </c>
      <c r="C4" s="34" t="s">
        <v>8</v>
      </c>
      <c r="D4" s="34" t="s">
        <v>9</v>
      </c>
      <c r="E4" s="34" t="s">
        <v>947</v>
      </c>
      <c r="F4" s="34" t="s">
        <v>948</v>
      </c>
      <c r="G4" s="54" t="s">
        <v>11</v>
      </c>
      <c r="K4" s="34" t="s">
        <v>947</v>
      </c>
      <c r="L4" s="34" t="s">
        <v>948</v>
      </c>
      <c r="P4" s="54" t="s">
        <v>7</v>
      </c>
      <c r="Q4" s="34" t="s">
        <v>8</v>
      </c>
      <c r="R4" s="34" t="s">
        <v>9</v>
      </c>
      <c r="S4" s="34" t="s">
        <v>947</v>
      </c>
      <c r="T4" s="34" t="s">
        <v>948</v>
      </c>
      <c r="U4" s="54" t="s">
        <v>11</v>
      </c>
    </row>
    <row r="5" spans="2:21" ht="13.9" customHeight="1" x14ac:dyDescent="0.2">
      <c r="B5" s="54"/>
      <c r="C5" s="25" t="s">
        <v>6</v>
      </c>
      <c r="D5" s="25" t="s">
        <v>10</v>
      </c>
      <c r="E5" s="25" t="s">
        <v>6</v>
      </c>
      <c r="F5" s="25" t="s">
        <v>949</v>
      </c>
      <c r="G5" s="54"/>
      <c r="K5" s="25" t="s">
        <v>6</v>
      </c>
      <c r="L5" s="25" t="s">
        <v>949</v>
      </c>
      <c r="P5" s="54"/>
      <c r="Q5" s="25" t="s">
        <v>6</v>
      </c>
      <c r="R5" s="25" t="s">
        <v>10</v>
      </c>
      <c r="S5" s="25" t="s">
        <v>6</v>
      </c>
      <c r="T5" s="25" t="s">
        <v>949</v>
      </c>
      <c r="U5" s="54"/>
    </row>
    <row r="6" spans="2:21" ht="13.9" customHeight="1" x14ac:dyDescent="0.2">
      <c r="B6" s="27">
        <v>0</v>
      </c>
      <c r="C6" s="30">
        <v>-3.9530487864430235E-7</v>
      </c>
      <c r="D6" s="30">
        <v>3.0107912607491009E-11</v>
      </c>
      <c r="E6" s="30">
        <f>ABS(C6)/'İtme Analizi'!$G$17</f>
        <v>2.8668601950986136E-7</v>
      </c>
      <c r="F6" s="30">
        <f>ABS(D6)/'İtme Analizi'!$G$14</f>
        <v>1.7296241604757826E-14</v>
      </c>
      <c r="G6" s="30"/>
      <c r="K6" s="30">
        <v>0</v>
      </c>
      <c r="L6" s="30">
        <v>0</v>
      </c>
      <c r="P6" s="27">
        <v>0</v>
      </c>
      <c r="Q6" s="30">
        <v>-3.9530487864430235E-7</v>
      </c>
      <c r="R6" s="30">
        <v>3.0107912607491009E-11</v>
      </c>
      <c r="S6" s="30">
        <f>ABS(Q6)/'İtme Analizi'!$G$17</f>
        <v>2.8668601950986136E-7</v>
      </c>
      <c r="T6" s="30">
        <f>ABS(R6)/'İtme Analizi'!$G$14</f>
        <v>1.7296241604757826E-14</v>
      </c>
      <c r="U6" s="30"/>
    </row>
    <row r="7" spans="2:21" ht="13.9" customHeight="1" x14ac:dyDescent="0.2">
      <c r="B7" s="27">
        <v>1</v>
      </c>
      <c r="C7" s="30">
        <v>-6.956836715453109E-4</v>
      </c>
      <c r="D7" s="30">
        <v>20.082526132075898</v>
      </c>
      <c r="E7" s="30">
        <f>ABS(C7)/'İtme Analizi'!$G$17</f>
        <v>5.0452901901266642E-4</v>
      </c>
      <c r="F7" s="30">
        <f>ABS(D7)/'İtme Analizi'!$G$14</f>
        <v>1.1536908205579963E-2</v>
      </c>
      <c r="G7" s="30">
        <f>G6+(E7-E6)*((F7+F6)/2)</f>
        <v>2.9086987545591274E-6</v>
      </c>
      <c r="K7" s="30">
        <f>'İtme Analizi'!$G$24</f>
        <v>3.025454001634054E-2</v>
      </c>
      <c r="L7" s="30">
        <f>'İtme Analizi'!$G$21</f>
        <v>0.69640420646984036</v>
      </c>
      <c r="P7" s="27">
        <v>1</v>
      </c>
      <c r="Q7" s="30">
        <v>-8.3474130487864431E-4</v>
      </c>
      <c r="R7" s="30">
        <v>24.099030203535108</v>
      </c>
      <c r="S7" s="30">
        <f>ABS(Q7)/'İtme Analizi'!$G$17</f>
        <v>6.0537745660219262E-4</v>
      </c>
      <c r="T7" s="30">
        <f>ABS(R7)/'İtme Analizi'!$G$14</f>
        <v>1.3844289183202681E-2</v>
      </c>
      <c r="U7" s="30">
        <f>U6+(S7-S6)*((T7+T6)/2)</f>
        <v>4.1885258050220382E-6</v>
      </c>
    </row>
    <row r="8" spans="2:21" ht="13.9" customHeight="1" x14ac:dyDescent="0.2">
      <c r="B8" s="27">
        <v>2</v>
      </c>
      <c r="C8" s="30">
        <v>-1.3909720382119775E-3</v>
      </c>
      <c r="D8" s="30">
        <v>40.167241656620433</v>
      </c>
      <c r="E8" s="30">
        <f>ABS(C8)/'İtme Analizi'!$G$17</f>
        <v>1.0087713520058228E-3</v>
      </c>
      <c r="F8" s="30">
        <f>ABS(D8)/'İtme Analizi'!$G$14</f>
        <v>2.3075074162289964E-2</v>
      </c>
      <c r="G8" s="30">
        <f>G7+(E8-E7)*((F8+F7)/2)</f>
        <v>1.163511212390549E-5</v>
      </c>
      <c r="H8" s="47"/>
      <c r="I8" s="47"/>
      <c r="J8" s="47"/>
      <c r="K8" s="30">
        <f>'İtme Analizi'!$G$24</f>
        <v>3.025454001634054E-2</v>
      </c>
      <c r="L8" s="30">
        <v>0</v>
      </c>
      <c r="P8" s="27">
        <v>2</v>
      </c>
      <c r="Q8" s="30">
        <v>-1.6690873048786443E-3</v>
      </c>
      <c r="R8" s="30">
        <v>48.198810643580003</v>
      </c>
      <c r="S8" s="30">
        <f>ABS(Q8)/'İtme Analizi'!$G$17</f>
        <v>1.2104682271848754E-3</v>
      </c>
      <c r="T8" s="30">
        <f>ABS(R8)/'İtme Analizi'!$G$14</f>
        <v>2.7689009358487185E-2</v>
      </c>
      <c r="U8" s="30">
        <f>U7+(S8-S7)*((T8+T7)/2)</f>
        <v>1.6754233614737909E-5</v>
      </c>
    </row>
    <row r="9" spans="2:21" ht="13.9" customHeight="1" x14ac:dyDescent="0.2">
      <c r="B9" s="27">
        <v>3</v>
      </c>
      <c r="C9" s="30">
        <v>-2.086260404878644E-3</v>
      </c>
      <c r="D9" s="30">
        <v>60.245918545265788</v>
      </c>
      <c r="E9" s="30">
        <f>ABS(C9)/'İtme Analizi'!$G$17</f>
        <v>1.5130136849989793E-3</v>
      </c>
      <c r="F9" s="30">
        <f>ABS(D9)/'İtme Analizi'!$G$14</f>
        <v>3.4609771073940712E-2</v>
      </c>
      <c r="G9" s="30">
        <f t="shared" ref="G9:G72" si="0">G8+(E9-E8)*((F9+F8)/2)</f>
        <v>2.6178682594038553E-5</v>
      </c>
      <c r="H9" s="47"/>
      <c r="I9" s="47"/>
      <c r="J9" s="47"/>
      <c r="P9" s="27">
        <v>3</v>
      </c>
      <c r="Q9" s="30">
        <v>-2.5034333048786443E-3</v>
      </c>
      <c r="R9" s="30">
        <v>72.293302163155005</v>
      </c>
      <c r="S9" s="30">
        <f>ABS(Q9)/'İtme Analizi'!$G$17</f>
        <v>1.8155589977675581E-3</v>
      </c>
      <c r="T9" s="30">
        <f>ABS(R9)/'İtme Analizi'!$G$14</f>
        <v>4.1530691181446561E-2</v>
      </c>
      <c r="U9" s="30">
        <f t="shared" ref="U9:U72" si="1">U8+(S9-S8)*((T9+T8)/2)</f>
        <v>3.7696334584343432E-5</v>
      </c>
    </row>
    <row r="10" spans="2:21" ht="13.9" customHeight="1" x14ac:dyDescent="0.2">
      <c r="B10" s="27">
        <v>4</v>
      </c>
      <c r="C10" s="30">
        <v>-2.7815487715453107E-3</v>
      </c>
      <c r="D10" s="30">
        <v>80.324898675688928</v>
      </c>
      <c r="E10" s="30">
        <f>ABS(C10)/'İtme Analizi'!$G$17</f>
        <v>2.0172560179921358E-3</v>
      </c>
      <c r="F10" s="30">
        <f>ABS(D10)/'İtme Analizi'!$G$14</f>
        <v>4.6144642190396747E-2</v>
      </c>
      <c r="G10" s="30">
        <f t="shared" si="0"/>
        <v>4.6538579465990064E-5</v>
      </c>
      <c r="H10" s="47"/>
      <c r="I10" s="47"/>
      <c r="J10" s="47"/>
      <c r="K10" s="82" t="s">
        <v>20</v>
      </c>
      <c r="L10" s="83"/>
      <c r="P10" s="27">
        <v>4</v>
      </c>
      <c r="Q10" s="30">
        <v>-3.3377793048786444E-3</v>
      </c>
      <c r="R10" s="30">
        <v>96.38800502574307</v>
      </c>
      <c r="S10" s="30">
        <f>ABS(Q10)/'İtme Analizi'!$G$17</f>
        <v>2.420649768350241E-3</v>
      </c>
      <c r="T10" s="30">
        <f>ABS(R10)/'İtme Analizi'!$G$14</f>
        <v>5.5372494415672907E-2</v>
      </c>
      <c r="U10" s="30">
        <f t="shared" si="1"/>
        <v>6.7013946206782309E-5</v>
      </c>
    </row>
    <row r="11" spans="2:21" ht="13.9" customHeight="1" x14ac:dyDescent="0.2">
      <c r="B11" s="27">
        <v>5</v>
      </c>
      <c r="C11" s="30">
        <v>-3.4768371382119774E-3</v>
      </c>
      <c r="D11" s="30">
        <v>100.40418393811336</v>
      </c>
      <c r="E11" s="30">
        <f>ABS(C11)/'İtme Analizi'!$G$17</f>
        <v>2.5214983509852925E-3</v>
      </c>
      <c r="F11" s="30">
        <f>ABS(D11)/'İtme Analizi'!$G$14</f>
        <v>5.7679688597544118E-2</v>
      </c>
      <c r="G11" s="30">
        <f t="shared" si="0"/>
        <v>7.2714890854972333E-5</v>
      </c>
      <c r="H11" s="47"/>
      <c r="I11" s="47"/>
      <c r="J11" s="47"/>
      <c r="K11" s="84"/>
      <c r="L11" s="85"/>
      <c r="P11" s="27">
        <v>5</v>
      </c>
      <c r="Q11" s="30">
        <v>-4.1721253048786445E-3</v>
      </c>
      <c r="R11" s="30">
        <v>120.4824756674422</v>
      </c>
      <c r="S11" s="30">
        <f>ABS(Q11)/'İtme Analizi'!$G$17</f>
        <v>3.0257405389329237E-3</v>
      </c>
      <c r="T11" s="30">
        <f>ABS(R11)/'İtme Analizi'!$G$14</f>
        <v>6.9214164244815579E-2</v>
      </c>
      <c r="U11" s="30">
        <f t="shared" si="1"/>
        <v>1.0470706485338063E-4</v>
      </c>
    </row>
    <row r="12" spans="2:21" ht="13.9" customHeight="1" x14ac:dyDescent="0.2">
      <c r="B12" s="27">
        <v>6</v>
      </c>
      <c r="C12" s="30">
        <v>-4.1721255048786446E-3</v>
      </c>
      <c r="D12" s="30">
        <v>120.48260304615886</v>
      </c>
      <c r="E12" s="30">
        <f>ABS(C12)/'İtme Analizi'!$G$17</f>
        <v>3.0257406839784497E-3</v>
      </c>
      <c r="F12" s="30">
        <f>ABS(D12)/'İtme Analizi'!$G$14</f>
        <v>6.921423742069753E-2</v>
      </c>
      <c r="G12" s="30">
        <f t="shared" si="0"/>
        <v>1.0470753550402196E-4</v>
      </c>
      <c r="H12" s="47"/>
      <c r="I12" s="47"/>
      <c r="J12" s="47"/>
      <c r="K12" s="34" t="s">
        <v>947</v>
      </c>
      <c r="L12" s="34" t="s">
        <v>948</v>
      </c>
      <c r="P12" s="27">
        <v>6</v>
      </c>
      <c r="Q12" s="30">
        <v>-5.0064713048786442E-3</v>
      </c>
      <c r="R12" s="30">
        <v>144.57587815685156</v>
      </c>
      <c r="S12" s="30">
        <f>ABS(Q12)/'İtme Analizi'!$G$17</f>
        <v>3.6308313095156064E-3</v>
      </c>
      <c r="T12" s="30">
        <f>ABS(R12)/'İtme Analizi'!$G$14</f>
        <v>8.3055220447224451E-2</v>
      </c>
      <c r="U12" s="30">
        <f t="shared" si="1"/>
        <v>1.5077546451310937E-4</v>
      </c>
    </row>
    <row r="13" spans="2:21" ht="13.9" customHeight="1" x14ac:dyDescent="0.2">
      <c r="B13" s="27">
        <v>7</v>
      </c>
      <c r="C13" s="30">
        <v>-4.8674138715453109E-3</v>
      </c>
      <c r="D13" s="30">
        <v>140.56039343957414</v>
      </c>
      <c r="E13" s="30">
        <f>ABS(C13)/'İtme Analizi'!$G$17</f>
        <v>3.529983016971606E-3</v>
      </c>
      <c r="F13" s="30">
        <f>ABS(D13)/'İtme Analizi'!$G$14</f>
        <v>8.074842506304486E-2</v>
      </c>
      <c r="G13" s="30">
        <f t="shared" si="0"/>
        <v>1.4251629690035573E-4</v>
      </c>
      <c r="H13" s="47"/>
      <c r="I13" s="47"/>
      <c r="J13" s="47"/>
      <c r="K13" s="25" t="s">
        <v>6</v>
      </c>
      <c r="L13" s="25" t="s">
        <v>949</v>
      </c>
      <c r="P13" s="27">
        <v>7</v>
      </c>
      <c r="Q13" s="30">
        <v>-5.8408173048786448E-3</v>
      </c>
      <c r="R13" s="30">
        <v>168.66570545268829</v>
      </c>
      <c r="S13" s="30">
        <f>ABS(Q13)/'İtme Analizi'!$G$17</f>
        <v>4.2359220800982896E-3</v>
      </c>
      <c r="T13" s="30">
        <f>ABS(R13)/'İtme Analizi'!$G$14</f>
        <v>9.6894222790482681E-2</v>
      </c>
      <c r="U13" s="30">
        <f t="shared" si="1"/>
        <v>2.0521833815042385E-4</v>
      </c>
    </row>
    <row r="14" spans="2:21" ht="13.9" customHeight="1" x14ac:dyDescent="0.2">
      <c r="B14" s="27">
        <v>8</v>
      </c>
      <c r="C14" s="30">
        <v>-5.5627022382119772E-3</v>
      </c>
      <c r="D14" s="30">
        <v>160.63691634070327</v>
      </c>
      <c r="E14" s="30">
        <f>ABS(C14)/'İtme Analizi'!$G$17</f>
        <v>4.0342253499647618E-3</v>
      </c>
      <c r="F14" s="30">
        <f>ABS(D14)/'İtme Analizi'!$G$14</f>
        <v>9.2281884562823852E-2</v>
      </c>
      <c r="G14" s="30">
        <f t="shared" si="0"/>
        <v>1.8614090040249381E-4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-6.6751633048786445E-3</v>
      </c>
      <c r="R14" s="30">
        <v>192.75315514033548</v>
      </c>
      <c r="S14" s="30">
        <f>ABS(Q14)/'İtme Analizi'!$G$17</f>
        <v>4.8410128506809723E-3</v>
      </c>
      <c r="T14" s="30">
        <f>ABS(R14)/'İtme Analizi'!$G$14</f>
        <v>0.11073185925739393</v>
      </c>
      <c r="U14" s="30">
        <f t="shared" si="1"/>
        <v>2.6803465114013031E-4</v>
      </c>
    </row>
    <row r="15" spans="2:21" ht="13.9" customHeight="1" x14ac:dyDescent="0.2">
      <c r="B15" s="27">
        <v>9</v>
      </c>
      <c r="C15" s="30">
        <v>-6.2579906048786434E-3</v>
      </c>
      <c r="D15" s="30">
        <v>180.70949587752455</v>
      </c>
      <c r="E15" s="30">
        <f>ABS(C15)/'İtme Analizi'!$G$17</f>
        <v>4.5384676829579185E-3</v>
      </c>
      <c r="F15" s="30">
        <f>ABS(D15)/'İtme Analizi'!$G$14</f>
        <v>0.1038130786985873</v>
      </c>
      <c r="G15" s="30">
        <f t="shared" si="0"/>
        <v>2.3558059128406445E-4</v>
      </c>
      <c r="H15" s="47"/>
      <c r="I15" s="47"/>
      <c r="J15" s="47"/>
      <c r="K15" s="30"/>
      <c r="L15" s="30">
        <f>K15*'İtme Analizi'!$G$23</f>
        <v>0</v>
      </c>
      <c r="P15" s="27">
        <v>9</v>
      </c>
      <c r="Q15" s="30">
        <v>-7.509509304878645E-3</v>
      </c>
      <c r="R15" s="30">
        <v>216.82924128263667</v>
      </c>
      <c r="S15" s="30">
        <f>ABS(Q15)/'İtme Analizi'!$G$17</f>
        <v>5.446103621263655E-3</v>
      </c>
      <c r="T15" s="30">
        <f>ABS(R15)/'İtme Analizi'!$G$14</f>
        <v>0.12456296765215505</v>
      </c>
      <c r="U15" s="30">
        <f t="shared" si="1"/>
        <v>3.3922201520453926E-4</v>
      </c>
    </row>
    <row r="16" spans="2:21" ht="13.9" customHeight="1" x14ac:dyDescent="0.2">
      <c r="B16" s="27">
        <v>10</v>
      </c>
      <c r="C16" s="30">
        <v>-6.9532789715453106E-3</v>
      </c>
      <c r="D16" s="30">
        <v>200.77612633115785</v>
      </c>
      <c r="E16" s="30">
        <f>ABS(C16)/'İtme Analizi'!$G$17</f>
        <v>5.0427100159510753E-3</v>
      </c>
      <c r="F16" s="30">
        <f>ABS(D16)/'İtme Analizi'!$G$14</f>
        <v>0.11534085523508085</v>
      </c>
      <c r="G16" s="30">
        <f t="shared" si="0"/>
        <v>2.9083393674973496E-4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-8.3438553048786456E-3</v>
      </c>
      <c r="R16" s="30">
        <v>240.90727200973595</v>
      </c>
      <c r="S16" s="30">
        <f>ABS(Q16)/'İtme Analizi'!$G$17</f>
        <v>6.0511943918463386E-3</v>
      </c>
      <c r="T16" s="30">
        <f>ABS(R16)/'İtme Analizi'!$G$14</f>
        <v>0.1383951931621718</v>
      </c>
      <c r="U16" s="30">
        <f t="shared" si="1"/>
        <v>4.1877879328361238E-4</v>
      </c>
    </row>
    <row r="17" spans="2:21" ht="13.9" customHeight="1" x14ac:dyDescent="0.2">
      <c r="B17" s="27">
        <v>11</v>
      </c>
      <c r="C17" s="30">
        <v>-7.6485673382119769E-3</v>
      </c>
      <c r="D17" s="30">
        <v>220.84250765645973</v>
      </c>
      <c r="E17" s="30">
        <f>ABS(C17)/'İtme Analizi'!$G$17</f>
        <v>5.546952348944232E-3</v>
      </c>
      <c r="F17" s="30">
        <f>ABS(D17)/'İtme Analizi'!$G$14</f>
        <v>0.12686848865358852</v>
      </c>
      <c r="G17" s="30">
        <f t="shared" si="0"/>
        <v>3.5190003906731719E-4</v>
      </c>
      <c r="H17" s="47"/>
      <c r="I17" s="47"/>
      <c r="J17" s="47"/>
      <c r="P17" s="27">
        <v>0</v>
      </c>
      <c r="Q17" s="30">
        <v>-8.3438553048786456E-3</v>
      </c>
      <c r="R17" s="30">
        <v>240.90727200973595</v>
      </c>
      <c r="S17" s="30">
        <f>ABS(Q17)/'İtme Analizi'!$G$17</f>
        <v>6.0511943918463386E-3</v>
      </c>
      <c r="T17" s="30">
        <f>ABS(R17)/'İtme Analizi'!$G$14</f>
        <v>0.1383951931621718</v>
      </c>
      <c r="U17" s="30">
        <f t="shared" si="1"/>
        <v>4.1877879328361238E-4</v>
      </c>
    </row>
    <row r="18" spans="2:21" ht="13.9" customHeight="1" x14ac:dyDescent="0.2">
      <c r="B18" s="27">
        <v>12</v>
      </c>
      <c r="C18" s="30">
        <v>-8.343855704878644E-3</v>
      </c>
      <c r="D18" s="30">
        <v>240.90692383375463</v>
      </c>
      <c r="E18" s="30">
        <f>ABS(C18)/'İtme Analizi'!$G$17</f>
        <v>6.0511946819373887E-3</v>
      </c>
      <c r="F18" s="30">
        <f>ABS(D18)/'İtme Analizi'!$G$14</f>
        <v>0.13839499314379217</v>
      </c>
      <c r="G18" s="30">
        <f t="shared" si="0"/>
        <v>4.1877857752701668E-4</v>
      </c>
      <c r="H18" s="47"/>
      <c r="I18" s="47"/>
      <c r="J18" s="47"/>
      <c r="K18" s="51" t="s">
        <v>13</v>
      </c>
      <c r="L18" s="52"/>
      <c r="P18" s="27">
        <v>1</v>
      </c>
      <c r="Q18" s="30">
        <v>-9.1782013048786453E-3</v>
      </c>
      <c r="R18" s="30">
        <v>264.9958290161519</v>
      </c>
      <c r="S18" s="30">
        <f>ABS(Q18)/'İtme Analizi'!$G$17</f>
        <v>6.6562851624290213E-3</v>
      </c>
      <c r="T18" s="30">
        <f>ABS(R18)/'İtme Analizi'!$G$14</f>
        <v>0.1522334657559779</v>
      </c>
      <c r="U18" s="30">
        <f t="shared" si="1"/>
        <v>5.0670715287270984E-4</v>
      </c>
    </row>
    <row r="19" spans="2:21" ht="13.9" customHeight="1" x14ac:dyDescent="0.2">
      <c r="B19" s="27">
        <v>13</v>
      </c>
      <c r="C19" s="30">
        <v>-9.0391440715453103E-3</v>
      </c>
      <c r="D19" s="30">
        <v>260.96518451330957</v>
      </c>
      <c r="E19" s="30">
        <f>ABS(C19)/'İtme Analizi'!$G$17</f>
        <v>6.5554370149305445E-3</v>
      </c>
      <c r="F19" s="30">
        <f>ABS(D19)/'İtme Analizi'!$G$14</f>
        <v>0.14991796145473635</v>
      </c>
      <c r="G19" s="30">
        <f t="shared" si="0"/>
        <v>4.9146837595647256E-4</v>
      </c>
      <c r="H19" s="47"/>
      <c r="I19" s="47"/>
      <c r="J19" s="47"/>
      <c r="K19" s="30" t="s">
        <v>36</v>
      </c>
      <c r="L19" s="30">
        <f>VLOOKUP($L$16,$F$6:$G$100,2,FALSE)</f>
        <v>1.0222144039077723E-4</v>
      </c>
      <c r="P19" s="27">
        <v>2</v>
      </c>
      <c r="Q19" s="30">
        <v>-1.0012547304878645E-2</v>
      </c>
      <c r="R19" s="30">
        <v>289.08317373807068</v>
      </c>
      <c r="S19" s="30">
        <f>ABS(Q19)/'İtme Analizi'!$G$17</f>
        <v>7.2613759330117031E-3</v>
      </c>
      <c r="T19" s="30">
        <f>ABS(R19)/'İtme Analizi'!$G$14</f>
        <v>0.16607104192270752</v>
      </c>
      <c r="U19" s="30">
        <f t="shared" si="1"/>
        <v>6.0300871278832829E-4</v>
      </c>
    </row>
    <row r="20" spans="2:21" ht="13.9" customHeight="1" x14ac:dyDescent="0.2">
      <c r="B20" s="27">
        <v>14</v>
      </c>
      <c r="C20" s="30">
        <v>-9.7344324382119766E-3</v>
      </c>
      <c r="D20" s="30">
        <v>281.02447702794802</v>
      </c>
      <c r="E20" s="30">
        <f>ABS(C20)/'İtme Analizi'!$G$17</f>
        <v>7.0596793479237013E-3</v>
      </c>
      <c r="F20" s="30">
        <f>ABS(D20)/'İtme Analizi'!$G$14</f>
        <v>0.16144152252908908</v>
      </c>
      <c r="G20" s="30">
        <f t="shared" si="0"/>
        <v>5.6996869225824738E-4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-1.0846893304878645E-2</v>
      </c>
      <c r="R20" s="30">
        <v>313.16584199194642</v>
      </c>
      <c r="S20" s="30">
        <f>ABS(Q20)/'İtme Analizi'!$G$17</f>
        <v>7.8664667035943867E-3</v>
      </c>
      <c r="T20" s="30">
        <f>ABS(R20)/'İtme Analizi'!$G$14</f>
        <v>0.1799059315756896</v>
      </c>
      <c r="U20" s="30">
        <f t="shared" si="1"/>
        <v>7.076824495373332E-4</v>
      </c>
    </row>
    <row r="21" spans="2:21" ht="13.9" customHeight="1" x14ac:dyDescent="0.2">
      <c r="B21" s="27">
        <v>15</v>
      </c>
      <c r="C21" s="30">
        <v>-1.0429720804878643E-2</v>
      </c>
      <c r="D21" s="30">
        <v>301.08022792923151</v>
      </c>
      <c r="E21" s="30">
        <f>ABS(C21)/'İtme Analizi'!$G$17</f>
        <v>7.5639216809168571E-3</v>
      </c>
      <c r="F21" s="30">
        <f>ABS(D21)/'İtme Analizi'!$G$14</f>
        <v>0.17296304903528503</v>
      </c>
      <c r="G21" s="30">
        <f t="shared" si="0"/>
        <v>6.542791629228458E-4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-1.1681239304878644E-2</v>
      </c>
      <c r="R21" s="30">
        <v>337.24221605826085</v>
      </c>
      <c r="S21" s="30">
        <f>ABS(Q21)/'İtme Analizi'!$G$17</f>
        <v>8.4715574741770685E-3</v>
      </c>
      <c r="T21" s="30">
        <f>ABS(R21)/'İtme Analizi'!$G$14</f>
        <v>0.19373720537558398</v>
      </c>
      <c r="U21" s="30">
        <f t="shared" si="1"/>
        <v>8.2072645636772153E-4</v>
      </c>
    </row>
    <row r="22" spans="2:21" ht="13.9" customHeight="1" x14ac:dyDescent="0.2">
      <c r="B22" s="27">
        <v>16</v>
      </c>
      <c r="C22" s="30">
        <v>-1.1125009171545311E-2</v>
      </c>
      <c r="D22" s="30">
        <v>321.13481465723993</v>
      </c>
      <c r="E22" s="30">
        <f>ABS(C22)/'İtme Analizi'!$G$17</f>
        <v>8.0681640139100147E-3</v>
      </c>
      <c r="F22" s="30">
        <f>ABS(D22)/'İtme Analizi'!$G$14</f>
        <v>0.18448390675309639</v>
      </c>
      <c r="G22" s="30">
        <f t="shared" si="0"/>
        <v>7.4439910637686356E-4</v>
      </c>
      <c r="H22" s="47"/>
      <c r="I22" s="47"/>
      <c r="J22" s="47"/>
      <c r="P22" s="27">
        <v>5</v>
      </c>
      <c r="Q22" s="30">
        <v>-1.2515585304878646E-2</v>
      </c>
      <c r="R22" s="30">
        <v>361.31600780880325</v>
      </c>
      <c r="S22" s="30">
        <f>ABS(Q22)/'İtme Analizi'!$G$17</f>
        <v>9.0766482447597521E-3</v>
      </c>
      <c r="T22" s="30">
        <f>ABS(R22)/'İtme Analizi'!$G$14</f>
        <v>0.20756699569975304</v>
      </c>
      <c r="U22" s="30">
        <f t="shared" si="1"/>
        <v>9.4213919050109346E-4</v>
      </c>
    </row>
    <row r="23" spans="2:21" ht="13.9" customHeight="1" x14ac:dyDescent="0.2">
      <c r="B23" s="27">
        <v>17</v>
      </c>
      <c r="C23" s="30">
        <v>-1.1820297538211977E-2</v>
      </c>
      <c r="D23" s="30">
        <v>341.18220541386313</v>
      </c>
      <c r="E23" s="30">
        <f>ABS(C23)/'İtme Analizi'!$G$17</f>
        <v>8.5724063469031705E-3</v>
      </c>
      <c r="F23" s="30">
        <f>ABS(D23)/'İtme Analizi'!$G$14</f>
        <v>0.19600063056560249</v>
      </c>
      <c r="G23" s="30">
        <f t="shared" si="0"/>
        <v>8.4032731175956465E-4</v>
      </c>
      <c r="H23" s="47"/>
      <c r="I23" s="47"/>
      <c r="J23" s="47"/>
      <c r="K23" s="7" t="s">
        <v>950</v>
      </c>
      <c r="L23" s="30" t="e">
        <f>Spektrum!$C$4*9.8067/$L$15</f>
        <v>#DIV/0!</v>
      </c>
      <c r="P23" s="27">
        <v>6</v>
      </c>
      <c r="Q23" s="30">
        <v>-1.3349931304878646E-2</v>
      </c>
      <c r="R23" s="30">
        <v>385.38794630766279</v>
      </c>
      <c r="S23" s="30">
        <f>ABS(Q23)/'İtme Analizi'!$G$17</f>
        <v>9.6817390153424356E-3</v>
      </c>
      <c r="T23" s="30">
        <f>ABS(R23)/'İtme Analizi'!$G$14</f>
        <v>0.22139572137725336</v>
      </c>
      <c r="U23" s="30">
        <f t="shared" si="1"/>
        <v>1.0719198810147771E-3</v>
      </c>
    </row>
    <row r="24" spans="2:21" ht="13.9" customHeight="1" x14ac:dyDescent="0.2">
      <c r="B24" s="27">
        <v>18</v>
      </c>
      <c r="C24" s="30">
        <v>-1.2515585904878643E-2</v>
      </c>
      <c r="D24" s="30">
        <v>361.22892771861382</v>
      </c>
      <c r="E24" s="30">
        <f>ABS(C24)/'İtme Analizi'!$G$17</f>
        <v>9.0766486798963281E-3</v>
      </c>
      <c r="F24" s="30">
        <f>ABS(D24)/'İtme Analizi'!$G$14</f>
        <v>0.20751697036925218</v>
      </c>
      <c r="G24" s="30">
        <f t="shared" si="0"/>
        <v>9.4206264000916114E-4</v>
      </c>
      <c r="H24" s="47"/>
      <c r="I24" s="47"/>
      <c r="J24" s="47"/>
      <c r="K24" s="7" t="s">
        <v>951</v>
      </c>
      <c r="L24" s="30" t="e">
        <f>(1+($L$23-1)*'İtme Analizi'!$G$20/'İtme Analizi'!$G$18)/$L$23</f>
        <v>#DIV/0!</v>
      </c>
      <c r="P24" s="27">
        <v>7</v>
      </c>
      <c r="Q24" s="30">
        <v>-1.4184277304878645E-2</v>
      </c>
      <c r="R24" s="30">
        <v>409.46215203860743</v>
      </c>
      <c r="S24" s="30">
        <f>ABS(Q24)/'İtme Analizi'!$G$17</f>
        <v>1.0286829785925117E-2</v>
      </c>
      <c r="T24" s="30">
        <f>ABS(R24)/'İtme Analizi'!$G$14</f>
        <v>0.23522574952279351</v>
      </c>
      <c r="U24" s="30">
        <f t="shared" si="1"/>
        <v>1.2100685998605307E-3</v>
      </c>
    </row>
    <row r="25" spans="2:21" ht="13.9" customHeight="1" x14ac:dyDescent="0.2">
      <c r="B25" s="27">
        <v>19</v>
      </c>
      <c r="C25" s="30">
        <v>-1.321087427154531E-2</v>
      </c>
      <c r="D25" s="30">
        <v>381.27538679598479</v>
      </c>
      <c r="E25" s="30">
        <f>ABS(C25)/'İtme Analizi'!$G$17</f>
        <v>9.580891012889484E-3</v>
      </c>
      <c r="F25" s="30">
        <f>ABS(D25)/'İtme Analizi'!$G$14</f>
        <v>0.21903315895536596</v>
      </c>
      <c r="G25" s="30">
        <f t="shared" si="0"/>
        <v>1.04960495618375E-3</v>
      </c>
      <c r="H25" s="47"/>
      <c r="I25" s="47"/>
      <c r="J25" s="47"/>
      <c r="P25" s="27">
        <v>8</v>
      </c>
      <c r="Q25" s="30">
        <v>-1.5018623304878645E-2</v>
      </c>
      <c r="R25" s="30">
        <v>433.53663361115281</v>
      </c>
      <c r="S25" s="30">
        <f>ABS(Q25)/'İtme Analizi'!$G$17</f>
        <v>1.0891920556507799E-2</v>
      </c>
      <c r="T25" s="30">
        <f>ABS(R25)/'İtme Analizi'!$G$14</f>
        <v>0.24905593613242361</v>
      </c>
      <c r="U25" s="30">
        <f t="shared" si="1"/>
        <v>1.3565857890366283E-3</v>
      </c>
    </row>
    <row r="26" spans="2:21" ht="13.9" customHeight="1" x14ac:dyDescent="0.2">
      <c r="B26" s="27">
        <v>20</v>
      </c>
      <c r="C26" s="30">
        <v>-1.3906162638211976E-2</v>
      </c>
      <c r="D26" s="30">
        <v>401.32269933248256</v>
      </c>
      <c r="E26" s="30">
        <f>ABS(C26)/'İtme Analizi'!$G$17</f>
        <v>1.008513334588264E-2</v>
      </c>
      <c r="F26" s="30">
        <f>ABS(D26)/'İtme Analizi'!$G$14</f>
        <v>0.23054983783236935</v>
      </c>
      <c r="G26" s="30">
        <f t="shared" si="0"/>
        <v>1.162954345770901E-3</v>
      </c>
      <c r="H26" s="47"/>
      <c r="I26" s="47"/>
      <c r="J26" s="47"/>
      <c r="P26" s="27">
        <v>9</v>
      </c>
      <c r="Q26" s="30">
        <v>-1.5852969304878645E-2</v>
      </c>
      <c r="R26" s="30">
        <v>457.61219318429016</v>
      </c>
      <c r="S26" s="30">
        <f>ABS(Q26)/'İtme Analizi'!$G$17</f>
        <v>1.1497011327090483E-2</v>
      </c>
      <c r="T26" s="30">
        <f>ABS(R26)/'İtme Analizi'!$G$14</f>
        <v>0.2628867420263904</v>
      </c>
      <c r="U26" s="30">
        <f t="shared" si="1"/>
        <v>1.5114716838472682E-3</v>
      </c>
    </row>
    <row r="27" spans="2:21" ht="13.9" customHeight="1" x14ac:dyDescent="0.2">
      <c r="B27" s="27">
        <v>21</v>
      </c>
      <c r="C27" s="30">
        <v>-1.4601451004878642E-2</v>
      </c>
      <c r="D27" s="30">
        <v>421.37061646903294</v>
      </c>
      <c r="E27" s="30">
        <f>ABS(C27)/'İtme Analizi'!$G$17</f>
        <v>1.0589375678875796E-2</v>
      </c>
      <c r="F27" s="30">
        <f>ABS(D27)/'İtme Analizi'!$G$14</f>
        <v>0.24206686403695804</v>
      </c>
      <c r="G27" s="30">
        <f t="shared" si="0"/>
        <v>1.2821110199519611E-3</v>
      </c>
      <c r="H27" s="47"/>
      <c r="I27" s="47"/>
      <c r="J27" s="47"/>
      <c r="P27" s="27">
        <v>10</v>
      </c>
      <c r="Q27" s="30">
        <v>-1.6687315304878644E-2</v>
      </c>
      <c r="R27" s="30">
        <v>481.68749689260653</v>
      </c>
      <c r="S27" s="30">
        <f>ABS(Q27)/'İtme Analizi'!$G$17</f>
        <v>1.2102102097673165E-2</v>
      </c>
      <c r="T27" s="30">
        <f>ABS(R27)/'İtme Analizi'!$G$14</f>
        <v>0.2767174009324268</v>
      </c>
      <c r="U27" s="30">
        <f t="shared" si="1"/>
        <v>1.6747264271835473E-3</v>
      </c>
    </row>
    <row r="28" spans="2:21" ht="13.9" customHeight="1" x14ac:dyDescent="0.2">
      <c r="B28" s="27">
        <v>22</v>
      </c>
      <c r="C28" s="30">
        <v>-1.5296739371545309E-2</v>
      </c>
      <c r="D28" s="30">
        <v>441.41923535171543</v>
      </c>
      <c r="E28" s="30">
        <f>ABS(C28)/'İtme Analizi'!$G$17</f>
        <v>1.1093618011868953E-2</v>
      </c>
      <c r="F28" s="30">
        <f>ABS(D28)/'İtme Analizi'!$G$14</f>
        <v>0.25358429337712124</v>
      </c>
      <c r="G28" s="30">
        <f t="shared" si="0"/>
        <v>1.4070751679345782E-3</v>
      </c>
      <c r="H28" s="47"/>
      <c r="I28" s="47"/>
      <c r="J28" s="47"/>
      <c r="P28" s="27">
        <v>0</v>
      </c>
      <c r="Q28" s="30">
        <v>-1.6687315304878644E-2</v>
      </c>
      <c r="R28" s="30">
        <v>481.68749689260653</v>
      </c>
      <c r="S28" s="30">
        <f>ABS(Q28)/'İtme Analizi'!$G$17</f>
        <v>1.2102102097673165E-2</v>
      </c>
      <c r="T28" s="30">
        <f>ABS(R28)/'İtme Analizi'!$G$14</f>
        <v>0.2767174009324268</v>
      </c>
      <c r="U28" s="30">
        <f t="shared" si="1"/>
        <v>1.6747264271835473E-3</v>
      </c>
    </row>
    <row r="29" spans="2:21" ht="13.9" customHeight="1" x14ac:dyDescent="0.2">
      <c r="B29" s="27">
        <v>23</v>
      </c>
      <c r="C29" s="30">
        <v>-1.5992027738211977E-2</v>
      </c>
      <c r="D29" s="30">
        <v>461.46805083018756</v>
      </c>
      <c r="E29" s="30">
        <f>ABS(C29)/'İtme Analizi'!$G$17</f>
        <v>1.1597860344862111E-2</v>
      </c>
      <c r="F29" s="30">
        <f>ABS(D29)/'İtme Analizi'!$G$14</f>
        <v>0.26510183565664097</v>
      </c>
      <c r="G29" s="30">
        <f t="shared" si="0"/>
        <v>1.5378469198321653E-3</v>
      </c>
      <c r="H29" s="47"/>
      <c r="I29" s="47"/>
      <c r="J29" s="47"/>
      <c r="P29" s="27">
        <v>1</v>
      </c>
      <c r="Q29" s="30">
        <v>-1.7521661304878644E-2</v>
      </c>
      <c r="R29" s="30">
        <v>505.76608698447944</v>
      </c>
      <c r="S29" s="30">
        <f>ABS(Q29)/'İtme Analizi'!$G$17</f>
        <v>1.2707192868255848E-2</v>
      </c>
      <c r="T29" s="30">
        <f>ABS(R29)/'İtme Analizi'!$G$14</f>
        <v>0.29054994778349419</v>
      </c>
      <c r="U29" s="30">
        <f t="shared" si="1"/>
        <v>1.8463505457640035E-3</v>
      </c>
    </row>
    <row r="30" spans="2:21" ht="13.9" customHeight="1" x14ac:dyDescent="0.2">
      <c r="B30" s="27">
        <v>24</v>
      </c>
      <c r="C30" s="30">
        <v>-1.6687316104878645E-2</v>
      </c>
      <c r="D30" s="30">
        <v>481.51668289735773</v>
      </c>
      <c r="E30" s="30">
        <f>ABS(C30)/'İtme Analizi'!$G$17</f>
        <v>1.2102102677855268E-2</v>
      </c>
      <c r="F30" s="30">
        <f>ABS(D30)/'İtme Analizi'!$G$14</f>
        <v>0.27661927257096208</v>
      </c>
      <c r="G30" s="30">
        <f t="shared" si="0"/>
        <v>1.674426277554328E-3</v>
      </c>
      <c r="H30" s="47"/>
      <c r="I30" s="47"/>
      <c r="J30" s="47"/>
      <c r="P30" s="27">
        <v>2</v>
      </c>
      <c r="Q30" s="30">
        <v>-1.8356007304878644E-2</v>
      </c>
      <c r="R30" s="30">
        <v>529.85414745895582</v>
      </c>
      <c r="S30" s="30">
        <f>ABS(Q30)/'İtme Analizi'!$G$17</f>
        <v>1.331228363883853E-2</v>
      </c>
      <c r="T30" s="30">
        <f>ABS(R30)/'İtme Analizi'!$G$14</f>
        <v>0.30438793513213891</v>
      </c>
      <c r="U30" s="30">
        <f t="shared" si="1"/>
        <v>2.0263462567751286E-3</v>
      </c>
    </row>
    <row r="31" spans="2:21" ht="13.9" customHeight="1" x14ac:dyDescent="0.2">
      <c r="B31" s="27">
        <v>25</v>
      </c>
      <c r="C31" s="30">
        <v>-1.7382604471545309E-2</v>
      </c>
      <c r="D31" s="30">
        <v>501.56689272670889</v>
      </c>
      <c r="E31" s="30">
        <f>ABS(C31)/'İtme Analizi'!$G$17</f>
        <v>1.2606345010848423E-2</v>
      </c>
      <c r="F31" s="30">
        <f>ABS(D31)/'İtme Analizi'!$G$14</f>
        <v>0.28813761587013398</v>
      </c>
      <c r="G31" s="30">
        <f t="shared" si="0"/>
        <v>1.8168134430550744E-3</v>
      </c>
      <c r="H31" s="47"/>
      <c r="I31" s="47"/>
      <c r="J31" s="47"/>
      <c r="P31" s="27">
        <v>3</v>
      </c>
      <c r="Q31" s="30">
        <v>-1.9190353304878647E-2</v>
      </c>
      <c r="R31" s="30">
        <v>553.93710356580573</v>
      </c>
      <c r="S31" s="30">
        <f>ABS(Q31)/'İtme Analizi'!$G$17</f>
        <v>1.3917374409421215E-2</v>
      </c>
      <c r="T31" s="30">
        <f>ABS(R31)/'İtme Analizi'!$G$14</f>
        <v>0.31822299014944405</v>
      </c>
      <c r="U31" s="30">
        <f t="shared" si="1"/>
        <v>2.2147143190510443E-3</v>
      </c>
    </row>
    <row r="32" spans="2:21" ht="13.9" customHeight="1" x14ac:dyDescent="0.2">
      <c r="B32" s="27">
        <v>26</v>
      </c>
      <c r="C32" s="30">
        <v>-1.8077892838211977E-2</v>
      </c>
      <c r="D32" s="30">
        <v>521.62401943179714</v>
      </c>
      <c r="E32" s="30">
        <f>ABS(C32)/'İtme Analizi'!$G$17</f>
        <v>1.311058734384158E-2</v>
      </c>
      <c r="F32" s="30">
        <f>ABS(D32)/'İtme Analizi'!$G$14</f>
        <v>0.29965993274115255</v>
      </c>
      <c r="G32" s="30">
        <f t="shared" si="0"/>
        <v>1.9650096466747816E-3</v>
      </c>
      <c r="H32" s="47"/>
      <c r="I32" s="47"/>
      <c r="J32" s="47"/>
      <c r="P32" s="27">
        <v>4</v>
      </c>
      <c r="Q32" s="30">
        <v>-2.0024699304878647E-2</v>
      </c>
      <c r="R32" s="30">
        <v>578.02016989200536</v>
      </c>
      <c r="S32" s="30">
        <f>ABS(Q32)/'İtme Analizi'!$G$17</f>
        <v>1.4522465180003897E-2</v>
      </c>
      <c r="T32" s="30">
        <f>ABS(R32)/'İtme Analizi'!$G$14</f>
        <v>0.33205810848500472</v>
      </c>
      <c r="U32" s="30">
        <f t="shared" si="1"/>
        <v>2.4114538645850802E-3</v>
      </c>
    </row>
    <row r="33" spans="2:21" ht="13.9" customHeight="1" x14ac:dyDescent="0.2">
      <c r="B33" s="27">
        <v>27</v>
      </c>
      <c r="C33" s="30">
        <v>-1.8773181204878642E-2</v>
      </c>
      <c r="D33" s="30">
        <v>541.67793330628399</v>
      </c>
      <c r="E33" s="30">
        <f>ABS(C33)/'İtme Analizi'!$G$17</f>
        <v>1.3614829676834736E-2</v>
      </c>
      <c r="F33" s="30">
        <f>ABS(D33)/'İtme Analizi'!$G$14</f>
        <v>0.31118040392147045</v>
      </c>
      <c r="G33" s="30">
        <f t="shared" si="0"/>
        <v>2.1190154248973245E-3</v>
      </c>
      <c r="H33" s="47"/>
      <c r="I33" s="47"/>
      <c r="J33" s="47"/>
      <c r="P33" s="27">
        <v>5</v>
      </c>
      <c r="Q33" s="30">
        <v>-2.0859045304878646E-2</v>
      </c>
      <c r="R33" s="30">
        <v>602.11019816471457</v>
      </c>
      <c r="S33" s="30">
        <f>ABS(Q33)/'İtme Analizi'!$G$17</f>
        <v>1.5127555950586581E-2</v>
      </c>
      <c r="T33" s="30">
        <f>ABS(R33)/'İtme Analizi'!$G$14</f>
        <v>0.34589722628444181</v>
      </c>
      <c r="U33" s="30">
        <f t="shared" si="1"/>
        <v>2.6165661225532231E-3</v>
      </c>
    </row>
    <row r="34" spans="2:21" ht="13.9" customHeight="1" x14ac:dyDescent="0.2">
      <c r="B34" s="27">
        <v>28</v>
      </c>
      <c r="C34" s="30">
        <v>-1.946846957154531E-2</v>
      </c>
      <c r="D34" s="30">
        <v>561.73072627029183</v>
      </c>
      <c r="E34" s="30">
        <f>ABS(C34)/'İtme Analizi'!$G$17</f>
        <v>1.4119072009827894E-2</v>
      </c>
      <c r="F34" s="30">
        <f>ABS(D34)/'İtme Analizi'!$G$14</f>
        <v>0.32270023116679641</v>
      </c>
      <c r="G34" s="30">
        <f t="shared" si="0"/>
        <v>2.2788301500353703E-3</v>
      </c>
      <c r="H34" s="47"/>
      <c r="I34" s="47"/>
      <c r="J34" s="47"/>
      <c r="P34" s="27">
        <v>6</v>
      </c>
      <c r="Q34" s="30">
        <v>-2.1693391304878646E-2</v>
      </c>
      <c r="R34" s="30">
        <v>626.20333102750942</v>
      </c>
      <c r="S34" s="30">
        <f>ABS(Q34)/'İtme Analizi'!$G$17</f>
        <v>1.5732646721169263E-2</v>
      </c>
      <c r="T34" s="30">
        <f>ABS(R34)/'İtme Analizi'!$G$14</f>
        <v>0.35973812759311469</v>
      </c>
      <c r="U34" s="30">
        <f t="shared" si="1"/>
        <v>2.8300528425673002E-3</v>
      </c>
    </row>
    <row r="35" spans="2:21" ht="13.9" customHeight="1" x14ac:dyDescent="0.2">
      <c r="B35" s="27">
        <v>29</v>
      </c>
      <c r="C35" s="30">
        <v>-2.0163757938211978E-2</v>
      </c>
      <c r="D35" s="30">
        <v>581.78551695284557</v>
      </c>
      <c r="E35" s="30">
        <f>ABS(C35)/'İtme Analizi'!$G$17</f>
        <v>1.4623314342821051E-2</v>
      </c>
      <c r="F35" s="30">
        <f>ABS(D35)/'İtme Analizi'!$G$14</f>
        <v>0.33422120605138511</v>
      </c>
      <c r="G35" s="30">
        <f t="shared" si="0"/>
        <v>2.4444539490834274E-3</v>
      </c>
      <c r="H35" s="47"/>
      <c r="I35" s="47"/>
      <c r="J35" s="47"/>
      <c r="P35" s="27">
        <v>7</v>
      </c>
      <c r="Q35" s="30">
        <v>-2.2527737304878646E-2</v>
      </c>
      <c r="R35" s="30">
        <v>650.29396400158305</v>
      </c>
      <c r="S35" s="30">
        <f>ABS(Q35)/'İtme Analizi'!$G$17</f>
        <v>1.6337737491751946E-2</v>
      </c>
      <c r="T35" s="30">
        <f>ABS(R35)/'İtme Analizi'!$G$14</f>
        <v>0.37357759277833813</v>
      </c>
      <c r="U35" s="30">
        <f t="shared" si="1"/>
        <v>3.0519141297272795E-3</v>
      </c>
    </row>
    <row r="36" spans="2:21" ht="13.9" customHeight="1" x14ac:dyDescent="0.2">
      <c r="B36" s="27">
        <v>30</v>
      </c>
      <c r="C36" s="30">
        <v>-2.0859046304878642E-2</v>
      </c>
      <c r="D36" s="30">
        <v>601.84559929500949</v>
      </c>
      <c r="E36" s="30">
        <f>ABS(C36)/'İtme Analizi'!$G$17</f>
        <v>1.5127556675814205E-2</v>
      </c>
      <c r="F36" s="30">
        <f>ABS(D36)/'İtme Analizi'!$G$14</f>
        <v>0.34574522086186643</v>
      </c>
      <c r="G36" s="30">
        <f t="shared" si="0"/>
        <v>2.615887877815306E-3</v>
      </c>
      <c r="H36" s="47"/>
      <c r="I36" s="47"/>
      <c r="J36" s="47"/>
      <c r="P36" s="27">
        <v>8</v>
      </c>
      <c r="Q36" s="30">
        <v>-2.3362083304878645E-2</v>
      </c>
      <c r="R36" s="30">
        <v>674.37654731240366</v>
      </c>
      <c r="S36" s="30">
        <f>ABS(Q36)/'İtme Analizi'!$G$17</f>
        <v>1.6942828262334626E-2</v>
      </c>
      <c r="T36" s="30">
        <f>ABS(R36)/'İtme Analizi'!$G$14</f>
        <v>0.38741243363366284</v>
      </c>
      <c r="U36" s="30">
        <f t="shared" si="1"/>
        <v>3.2821481504709655E-3</v>
      </c>
    </row>
    <row r="37" spans="2:21" ht="13.9" customHeight="1" x14ac:dyDescent="0.2">
      <c r="B37" s="27">
        <v>31</v>
      </c>
      <c r="C37" s="30">
        <v>-2.155433467154531E-2</v>
      </c>
      <c r="D37" s="30">
        <v>621.90606587404682</v>
      </c>
      <c r="E37" s="30">
        <f>ABS(C37)/'İtme Analizi'!$G$17</f>
        <v>1.5631799008807363E-2</v>
      </c>
      <c r="F37" s="30">
        <f>ABS(D37)/'İtme Analizi'!$G$14</f>
        <v>0.35726945640680657</v>
      </c>
      <c r="G37" s="30">
        <f t="shared" si="0"/>
        <v>2.7931327583124999E-3</v>
      </c>
      <c r="H37" s="47"/>
      <c r="I37" s="47"/>
      <c r="J37" s="47"/>
      <c r="P37" s="27">
        <v>9</v>
      </c>
      <c r="Q37" s="30">
        <v>-2.4196429304878645E-2</v>
      </c>
      <c r="R37" s="30">
        <v>698.44379546515597</v>
      </c>
      <c r="S37" s="30">
        <f>ABS(Q37)/'İtme Analizi'!$G$17</f>
        <v>1.754791903291731E-2</v>
      </c>
      <c r="T37" s="30">
        <f>ABS(R37)/'İtme Analizi'!$G$14</f>
        <v>0.4012384648248154</v>
      </c>
      <c r="U37" s="30">
        <f t="shared" si="1"/>
        <v>3.5207508404054488E-3</v>
      </c>
    </row>
    <row r="38" spans="2:21" ht="13.9" customHeight="1" x14ac:dyDescent="0.2">
      <c r="B38" s="27">
        <v>32</v>
      </c>
      <c r="C38" s="30">
        <v>-2.2249623038211975E-2</v>
      </c>
      <c r="D38" s="30">
        <v>641.96566081700325</v>
      </c>
      <c r="E38" s="30">
        <f>ABS(C38)/'İtme Analizi'!$G$17</f>
        <v>1.6136041341800519E-2</v>
      </c>
      <c r="F38" s="30">
        <f>ABS(D38)/'İtme Analizi'!$G$14</f>
        <v>0.36879319121865228</v>
      </c>
      <c r="G38" s="30">
        <f t="shared" si="0"/>
        <v>2.9761885199814245E-3</v>
      </c>
      <c r="H38" s="47"/>
      <c r="I38" s="47"/>
      <c r="J38" s="47"/>
      <c r="P38" s="27">
        <v>10</v>
      </c>
      <c r="Q38" s="30">
        <v>-2.5030775304878645E-2</v>
      </c>
      <c r="R38" s="30">
        <v>722.51671332155479</v>
      </c>
      <c r="S38" s="30">
        <f>ABS(Q38)/'İtme Analizi'!$G$17</f>
        <v>1.8153009803499993E-2</v>
      </c>
      <c r="T38" s="30">
        <f>ABS(R38)/'İtme Analizi'!$G$14</f>
        <v>0.4150677531186896</v>
      </c>
      <c r="U38" s="30">
        <f t="shared" si="1"/>
        <v>3.7677205196288846E-3</v>
      </c>
    </row>
    <row r="39" spans="2:21" ht="13.9" customHeight="1" x14ac:dyDescent="0.2">
      <c r="B39" s="27">
        <v>33</v>
      </c>
      <c r="C39" s="30">
        <v>-2.2944911404878643E-2</v>
      </c>
      <c r="D39" s="30">
        <v>662.02611388567107</v>
      </c>
      <c r="E39" s="30">
        <f>ABS(C39)/'İtme Analizi'!$G$17</f>
        <v>1.6640283674793675E-2</v>
      </c>
      <c r="F39" s="30">
        <f>ABS(D39)/'İtme Analizi'!$G$14</f>
        <v>0.38031741900222354</v>
      </c>
      <c r="G39" s="30">
        <f t="shared" si="0"/>
        <v>3.165055160865275E-3</v>
      </c>
      <c r="H39" s="47"/>
      <c r="I39" s="47"/>
      <c r="J39" s="47"/>
      <c r="P39" s="27">
        <v>0</v>
      </c>
      <c r="Q39" s="30">
        <v>-2.5030775304878645E-2</v>
      </c>
      <c r="R39" s="30">
        <v>722.51671332155479</v>
      </c>
      <c r="S39" s="30">
        <f>ABS(Q39)/'İtme Analizi'!$G$17</f>
        <v>1.8153009803499993E-2</v>
      </c>
      <c r="T39" s="30">
        <f>ABS(R39)/'İtme Analizi'!$G$14</f>
        <v>0.4150677531186896</v>
      </c>
      <c r="U39" s="30">
        <f t="shared" si="1"/>
        <v>3.7677205196288846E-3</v>
      </c>
    </row>
    <row r="40" spans="2:21" ht="13.9" customHeight="1" x14ac:dyDescent="0.2">
      <c r="B40" s="27">
        <v>34</v>
      </c>
      <c r="C40" s="30">
        <v>-2.3640199771545307E-2</v>
      </c>
      <c r="D40" s="30">
        <v>682.06530056131942</v>
      </c>
      <c r="E40" s="30">
        <f>ABS(C40)/'İtme Analizi'!$G$17</f>
        <v>1.714452600778683E-2</v>
      </c>
      <c r="F40" s="30">
        <f>ABS(D40)/'İtme Analizi'!$G$14</f>
        <v>0.39182942977571772</v>
      </c>
      <c r="G40" s="30">
        <f t="shared" si="0"/>
        <v>3.3597297250858266E-3</v>
      </c>
      <c r="H40" s="47"/>
      <c r="I40" s="47"/>
      <c r="J40" s="47"/>
      <c r="P40" s="27">
        <v>1</v>
      </c>
      <c r="Q40" s="30">
        <v>-2.5865121304878644E-2</v>
      </c>
      <c r="R40" s="30">
        <v>746.55008525261576</v>
      </c>
      <c r="S40" s="30">
        <f>ABS(Q40)/'İtme Analizi'!$G$17</f>
        <v>1.8758100574082677E-2</v>
      </c>
      <c r="T40" s="30">
        <f>ABS(R40)/'İtme Analizi'!$G$14</f>
        <v>0.42887432326906294</v>
      </c>
      <c r="U40" s="30">
        <f t="shared" si="1"/>
        <v>4.0230513002931919E-3</v>
      </c>
    </row>
    <row r="41" spans="2:21" ht="13.9" customHeight="1" x14ac:dyDescent="0.2">
      <c r="B41" s="27">
        <v>35</v>
      </c>
      <c r="C41" s="30">
        <v>-2.4335488138211975E-2</v>
      </c>
      <c r="D41" s="30">
        <v>702.1098198294834</v>
      </c>
      <c r="E41" s="30">
        <f>ABS(C41)/'İtme Analizi'!$G$17</f>
        <v>1.764876834077999E-2</v>
      </c>
      <c r="F41" s="30">
        <f>ABS(D41)/'İtme Analizi'!$G$14</f>
        <v>0.40334450399003335</v>
      </c>
      <c r="G41" s="30">
        <f t="shared" si="0"/>
        <v>3.5602099048345215E-3</v>
      </c>
      <c r="H41" s="47"/>
      <c r="I41" s="47"/>
      <c r="J41" s="47"/>
      <c r="P41" s="27">
        <v>2</v>
      </c>
      <c r="Q41" s="30">
        <v>-2.6699467304878644E-2</v>
      </c>
      <c r="R41" s="30">
        <v>770.5322725700172</v>
      </c>
      <c r="S41" s="30">
        <f>ABS(Q41)/'İtme Analizi'!$G$17</f>
        <v>1.9363191344665357E-2</v>
      </c>
      <c r="T41" s="30">
        <f>ABS(R41)/'İtme Analizi'!$G$14</f>
        <v>0.44265148914103808</v>
      </c>
      <c r="U41" s="30">
        <f t="shared" si="1"/>
        <v>4.2867274130001538E-3</v>
      </c>
    </row>
    <row r="42" spans="2:21" ht="13.9" customHeight="1" x14ac:dyDescent="0.2">
      <c r="B42" s="27">
        <v>36</v>
      </c>
      <c r="C42" s="30">
        <v>-2.5030776504878643E-2</v>
      </c>
      <c r="D42" s="30">
        <v>722.15419066401591</v>
      </c>
      <c r="E42" s="30">
        <f>ABS(C42)/'İtme Analizi'!$G$17</f>
        <v>1.8153010673773146E-2</v>
      </c>
      <c r="F42" s="30">
        <f>ABS(D42)/'İtme Analizi'!$G$14</f>
        <v>0.41485949293294588</v>
      </c>
      <c r="G42" s="30">
        <f t="shared" si="0"/>
        <v>3.7664964509709054E-3</v>
      </c>
      <c r="H42" s="47"/>
      <c r="I42" s="47"/>
      <c r="J42" s="47"/>
      <c r="P42" s="27">
        <v>3</v>
      </c>
      <c r="Q42" s="30">
        <v>-2.7533813304878647E-2</v>
      </c>
      <c r="R42" s="30">
        <v>794.52389491493136</v>
      </c>
      <c r="S42" s="30">
        <f>ABS(Q42)/'İtme Analizi'!$G$17</f>
        <v>1.9968282115248044E-2</v>
      </c>
      <c r="T42" s="30">
        <f>ABS(R42)/'İtme Analizi'!$G$14</f>
        <v>0.45643407519997647</v>
      </c>
      <c r="U42" s="30">
        <f t="shared" si="1"/>
        <v>4.5587416014735913E-3</v>
      </c>
    </row>
    <row r="43" spans="2:21" ht="13.9" customHeight="1" x14ac:dyDescent="0.2">
      <c r="B43" s="27">
        <v>37</v>
      </c>
      <c r="C43" s="30">
        <v>-2.5726064871545308E-2</v>
      </c>
      <c r="D43" s="30">
        <v>742.15034200538571</v>
      </c>
      <c r="E43" s="30">
        <f>ABS(C43)/'İtme Analizi'!$G$17</f>
        <v>1.8657253006766301E-2</v>
      </c>
      <c r="F43" s="30">
        <f>ABS(D43)/'İtme Analizi'!$G$14</f>
        <v>0.42634678098491074</v>
      </c>
      <c r="G43" s="30">
        <f t="shared" si="0"/>
        <v>3.9785823580153149E-3</v>
      </c>
      <c r="H43" s="47"/>
      <c r="I43" s="47"/>
      <c r="J43" s="47"/>
      <c r="P43" s="27">
        <v>4</v>
      </c>
      <c r="Q43" s="30">
        <v>-2.8368159304878647E-2</v>
      </c>
      <c r="R43" s="30">
        <v>818.50472676817174</v>
      </c>
      <c r="S43" s="30">
        <f>ABS(Q43)/'İtme Analizi'!$G$17</f>
        <v>2.0573372885830724E-2</v>
      </c>
      <c r="T43" s="30">
        <f>ABS(R43)/'İtme Analizi'!$G$14</f>
        <v>0.4702104623917448</v>
      </c>
      <c r="U43" s="30">
        <f t="shared" si="1"/>
        <v>4.8390936301273939E-3</v>
      </c>
    </row>
    <row r="44" spans="2:21" ht="13.9" customHeight="1" x14ac:dyDescent="0.2">
      <c r="B44" s="27">
        <v>38</v>
      </c>
      <c r="C44" s="30">
        <v>-2.6421353238211976E-2</v>
      </c>
      <c r="D44" s="30">
        <v>762.13753614228642</v>
      </c>
      <c r="E44" s="30">
        <f>ABS(C44)/'İtme Analizi'!$G$17</f>
        <v>1.9161495339759457E-2</v>
      </c>
      <c r="F44" s="30">
        <f>ABS(D44)/'İtme Analizi'!$G$14</f>
        <v>0.43782892334728168</v>
      </c>
      <c r="G44" s="30">
        <f t="shared" si="0"/>
        <v>4.196459344649549E-3</v>
      </c>
      <c r="H44" s="47"/>
      <c r="I44" s="47"/>
      <c r="J44" s="47"/>
      <c r="P44" s="27">
        <v>5</v>
      </c>
      <c r="Q44" s="30">
        <v>-2.9202505304878647E-2</v>
      </c>
      <c r="R44" s="30">
        <v>842.46255939970138</v>
      </c>
      <c r="S44" s="30">
        <f>ABS(Q44)/'İtme Analizi'!$G$17</f>
        <v>2.1178463656413408E-2</v>
      </c>
      <c r="T44" s="30">
        <f>ABS(R44)/'İtme Analizi'!$G$14</f>
        <v>0.48397363710675934</v>
      </c>
      <c r="U44" s="30">
        <f t="shared" si="1"/>
        <v>5.1277776261490406E-3</v>
      </c>
    </row>
    <row r="45" spans="2:21" ht="13.9" customHeight="1" x14ac:dyDescent="0.2">
      <c r="B45" s="27">
        <v>39</v>
      </c>
      <c r="C45" s="30">
        <v>-2.7116641604878641E-2</v>
      </c>
      <c r="D45" s="30">
        <v>782.10382363456642</v>
      </c>
      <c r="E45" s="30">
        <f>ABS(C45)/'İtme Analizi'!$G$17</f>
        <v>1.9665737672752613E-2</v>
      </c>
      <c r="F45" s="30">
        <f>ABS(D45)/'İtme Analizi'!$G$14</f>
        <v>0.44929905536601905</v>
      </c>
      <c r="G45" s="30">
        <f t="shared" si="0"/>
        <v>4.4201230854744979E-3</v>
      </c>
      <c r="H45" s="47"/>
      <c r="I45" s="47"/>
      <c r="J45" s="47"/>
      <c r="P45" s="27">
        <v>6</v>
      </c>
      <c r="Q45" s="30">
        <v>-3.0036851304878646E-2</v>
      </c>
      <c r="R45" s="30">
        <v>866.3694245358862</v>
      </c>
      <c r="S45" s="30">
        <f>ABS(Q45)/'İtme Analizi'!$G$17</f>
        <v>2.1783554426996091E-2</v>
      </c>
      <c r="T45" s="30">
        <f>ABS(R45)/'İtme Analizi'!$G$14</f>
        <v>0.49770753227240866</v>
      </c>
      <c r="U45" s="30">
        <f t="shared" si="1"/>
        <v>5.4247807337721157E-3</v>
      </c>
    </row>
    <row r="46" spans="2:21" ht="13.9" customHeight="1" x14ac:dyDescent="0.2">
      <c r="B46" s="27">
        <v>40</v>
      </c>
      <c r="C46" s="30">
        <v>-2.7811929971545309E-2</v>
      </c>
      <c r="D46" s="30">
        <v>802.08388482588998</v>
      </c>
      <c r="E46" s="30">
        <f>ABS(C46)/'İtme Analizi'!$G$17</f>
        <v>2.0169980005745772E-2</v>
      </c>
      <c r="F46" s="30">
        <f>ABS(D46)/'İtme Analizi'!$G$14</f>
        <v>0.46077710002983263</v>
      </c>
      <c r="G46" s="30">
        <f t="shared" si="0"/>
        <v>4.6495725473736224E-3</v>
      </c>
      <c r="H46" s="47"/>
      <c r="I46" s="47"/>
      <c r="J46" s="47"/>
      <c r="P46" s="27">
        <v>7</v>
      </c>
      <c r="Q46" s="30">
        <v>-3.0871197304878646E-2</v>
      </c>
      <c r="R46" s="30">
        <v>890.2941356093304</v>
      </c>
      <c r="S46" s="30">
        <f>ABS(Q46)/'İtme Analizi'!$G$17</f>
        <v>2.2388645197578775E-2</v>
      </c>
      <c r="T46" s="30">
        <f>ABS(R46)/'İtme Analizi'!$G$14</f>
        <v>0.51145167948198167</v>
      </c>
      <c r="U46" s="30">
        <f t="shared" si="1"/>
        <v>5.7300971963126545E-3</v>
      </c>
    </row>
    <row r="47" spans="2:21" ht="13.9" customHeight="1" x14ac:dyDescent="0.2">
      <c r="B47" s="27">
        <v>41</v>
      </c>
      <c r="C47" s="30">
        <v>-2.8507218338211973E-2</v>
      </c>
      <c r="D47" s="30">
        <v>822.03665799610371</v>
      </c>
      <c r="E47" s="30">
        <f>ABS(C47)/'İtme Analizi'!$G$17</f>
        <v>2.0674222338738925E-2</v>
      </c>
      <c r="F47" s="30">
        <f>ABS(D47)/'İtme Analizi'!$G$14</f>
        <v>0.47223946840907</v>
      </c>
      <c r="G47" s="30">
        <f t="shared" si="0"/>
        <v>4.8848057729690714E-3</v>
      </c>
      <c r="H47" s="47"/>
      <c r="I47" s="47"/>
      <c r="J47" s="47"/>
      <c r="P47" s="27">
        <v>8</v>
      </c>
      <c r="Q47" s="30">
        <v>-3.1705543304878646E-2</v>
      </c>
      <c r="R47" s="30">
        <v>914.15826921596567</v>
      </c>
      <c r="S47" s="30">
        <f>ABS(Q47)/'İtme Analizi'!$G$17</f>
        <v>2.2993735968161455E-2</v>
      </c>
      <c r="T47" s="30">
        <f>ABS(R47)/'İtme Analizi'!$G$14</f>
        <v>0.5251610264543084</v>
      </c>
      <c r="U47" s="30">
        <f t="shared" si="1"/>
        <v>6.0437195868280483E-3</v>
      </c>
    </row>
    <row r="48" spans="2:21" ht="13.9" customHeight="1" x14ac:dyDescent="0.2">
      <c r="B48" s="27">
        <v>42</v>
      </c>
      <c r="C48" s="30">
        <v>-2.9202506704878641E-2</v>
      </c>
      <c r="D48" s="30">
        <v>841.98094289129699</v>
      </c>
      <c r="E48" s="30">
        <f>ABS(C48)/'İtme Analizi'!$G$17</f>
        <v>2.1178464671732084E-2</v>
      </c>
      <c r="F48" s="30">
        <f>ABS(D48)/'İtme Analizi'!$G$14</f>
        <v>0.48369696048693517</v>
      </c>
      <c r="G48" s="30">
        <f t="shared" si="0"/>
        <v>5.1258175805189068E-3</v>
      </c>
      <c r="H48" s="47"/>
      <c r="I48" s="47"/>
      <c r="J48" s="47"/>
      <c r="P48" s="27">
        <v>9</v>
      </c>
      <c r="Q48" s="30">
        <v>-3.2539889304878646E-2</v>
      </c>
      <c r="R48" s="30">
        <v>937.99278391180087</v>
      </c>
      <c r="S48" s="30">
        <f>ABS(Q48)/'İtme Analizi'!$G$17</f>
        <v>2.3598826738744139E-2</v>
      </c>
      <c r="T48" s="30">
        <f>ABS(R48)/'İtme Analizi'!$G$14</f>
        <v>0.53885335810431945</v>
      </c>
      <c r="U48" s="30">
        <f t="shared" si="1"/>
        <v>6.3656322287598682E-3</v>
      </c>
    </row>
    <row r="49" spans="2:21" ht="13.9" customHeight="1" x14ac:dyDescent="0.2">
      <c r="B49" s="27">
        <v>43</v>
      </c>
      <c r="C49" s="30">
        <v>-2.9897795071545309E-2</v>
      </c>
      <c r="D49" s="30">
        <v>861.89734994094192</v>
      </c>
      <c r="E49" s="30">
        <f>ABS(C49)/'İtme Analizi'!$G$17</f>
        <v>2.168270700472524E-2</v>
      </c>
      <c r="F49" s="30">
        <f>ABS(D49)/'İtme Analizi'!$G$14</f>
        <v>0.49513843744085895</v>
      </c>
      <c r="G49" s="30">
        <f t="shared" si="0"/>
        <v>5.372602702852604E-3</v>
      </c>
      <c r="H49" s="47"/>
      <c r="I49" s="47"/>
      <c r="J49" s="47"/>
      <c r="P49" s="27">
        <v>10</v>
      </c>
      <c r="Q49" s="30">
        <v>-3.3374235304878638E-2</v>
      </c>
      <c r="R49" s="30">
        <v>961.49603158504317</v>
      </c>
      <c r="S49" s="30">
        <f>ABS(Q49)/'İtme Analizi'!$G$17</f>
        <v>2.4203917509326815E-2</v>
      </c>
      <c r="T49" s="30">
        <f>ABS(R49)/'İtme Analizi'!$G$14</f>
        <v>0.55235538514792526</v>
      </c>
      <c r="U49" s="30">
        <f t="shared" si="1"/>
        <v>6.6957723984203956E-3</v>
      </c>
    </row>
    <row r="50" spans="2:21" ht="13.9" customHeight="1" x14ac:dyDescent="0.2">
      <c r="B50" s="27">
        <v>44</v>
      </c>
      <c r="C50" s="30">
        <v>-3.0593083438211974E-2</v>
      </c>
      <c r="D50" s="30">
        <v>881.82051121457539</v>
      </c>
      <c r="E50" s="30">
        <f>ABS(C50)/'İtme Analizi'!$G$17</f>
        <v>2.2186949337718396E-2</v>
      </c>
      <c r="F50" s="30">
        <f>ABS(D50)/'İtme Analizi'!$G$14</f>
        <v>0.5065837945272742</v>
      </c>
      <c r="G50" s="30">
        <f t="shared" si="0"/>
        <v>5.6251580804819656E-3</v>
      </c>
      <c r="H50" s="47"/>
      <c r="I50" s="47"/>
      <c r="J50" s="47"/>
      <c r="P50" s="27">
        <v>0</v>
      </c>
      <c r="Q50" s="30">
        <v>-3.3374235304878638E-2</v>
      </c>
      <c r="R50" s="30">
        <v>961.49603158504317</v>
      </c>
      <c r="S50" s="30">
        <f>ABS(Q50)/'İtme Analizi'!$G$17</f>
        <v>2.4203917509326815E-2</v>
      </c>
      <c r="T50" s="30">
        <f>ABS(R50)/'İtme Analizi'!$G$14</f>
        <v>0.55235538514792526</v>
      </c>
      <c r="U50" s="30">
        <f t="shared" si="1"/>
        <v>6.6957723984203956E-3</v>
      </c>
    </row>
    <row r="51" spans="2:21" ht="13.9" customHeight="1" x14ac:dyDescent="0.2">
      <c r="B51" s="27">
        <v>45</v>
      </c>
      <c r="C51" s="30">
        <v>-3.1288371804878638E-2</v>
      </c>
      <c r="D51" s="30">
        <v>901.70350531022666</v>
      </c>
      <c r="E51" s="30">
        <f>ABS(C51)/'İtme Analizi'!$G$17</f>
        <v>2.2691191670711552E-2</v>
      </c>
      <c r="F51" s="30">
        <f>ABS(D51)/'İtme Analizi'!$G$14</f>
        <v>0.51800607657610664</v>
      </c>
      <c r="G51" s="30">
        <f t="shared" si="0"/>
        <v>5.8834788739651287E-3</v>
      </c>
      <c r="H51" s="47"/>
      <c r="I51" s="47"/>
      <c r="J51" s="47"/>
      <c r="P51" s="27">
        <v>1</v>
      </c>
      <c r="Q51" s="30">
        <v>-3.4208581304878638E-2</v>
      </c>
      <c r="R51" s="30">
        <v>985.15312948429892</v>
      </c>
      <c r="S51" s="30">
        <f>ABS(Q51)/'İtme Analizi'!$G$17</f>
        <v>2.4809008279909499E-2</v>
      </c>
      <c r="T51" s="30">
        <f>ABS(R51)/'İtme Analizi'!$G$14</f>
        <v>0.56594579529250399</v>
      </c>
      <c r="U51" s="30">
        <f t="shared" si="1"/>
        <v>7.0341092599285077E-3</v>
      </c>
    </row>
    <row r="52" spans="2:21" ht="13.9" customHeight="1" x14ac:dyDescent="0.2">
      <c r="B52" s="27">
        <v>46</v>
      </c>
      <c r="C52" s="30">
        <v>-3.198366017154531E-2</v>
      </c>
      <c r="D52" s="30">
        <v>921.59075050388731</v>
      </c>
      <c r="E52" s="30">
        <f>ABS(C52)/'İtme Analizi'!$G$17</f>
        <v>2.3195434003704711E-2</v>
      </c>
      <c r="F52" s="30">
        <f>ABS(D52)/'İtme Analizi'!$G$14</f>
        <v>0.52943080077425742</v>
      </c>
      <c r="G52" s="30">
        <f t="shared" si="0"/>
        <v>6.1475598813142372E-3</v>
      </c>
      <c r="H52" s="47"/>
      <c r="I52" s="47"/>
      <c r="J52" s="47"/>
      <c r="P52" s="27">
        <v>2</v>
      </c>
      <c r="Q52" s="30">
        <v>-3.5042927304878631E-2</v>
      </c>
      <c r="R52" s="30">
        <v>1008.4191290862609</v>
      </c>
      <c r="S52" s="30">
        <f>ABS(Q52)/'İtme Analizi'!$G$17</f>
        <v>2.5414099050492175E-2</v>
      </c>
      <c r="T52" s="30">
        <f>ABS(R52)/'İtme Analizi'!$G$14</f>
        <v>0.57931152926210538</v>
      </c>
      <c r="U52" s="30">
        <f t="shared" si="1"/>
        <v>7.3806015784436095E-3</v>
      </c>
    </row>
    <row r="53" spans="2:21" ht="13.9" customHeight="1" x14ac:dyDescent="0.2">
      <c r="B53" s="27">
        <v>47</v>
      </c>
      <c r="C53" s="30">
        <v>-3.2678948538211967E-2</v>
      </c>
      <c r="D53" s="30">
        <v>941.380505979183</v>
      </c>
      <c r="E53" s="30">
        <f>ABS(C53)/'İtme Analizi'!$G$17</f>
        <v>2.369967633669786E-2</v>
      </c>
      <c r="F53" s="30">
        <f>ABS(D53)/'İtme Analizi'!$G$14</f>
        <v>0.54079951957127659</v>
      </c>
      <c r="G53" s="30">
        <f t="shared" si="0"/>
        <v>6.4173875980997556E-3</v>
      </c>
      <c r="H53" s="47"/>
      <c r="I53" s="47"/>
      <c r="J53" s="47"/>
      <c r="P53" s="27">
        <v>3</v>
      </c>
      <c r="Q53" s="30">
        <v>-3.587727330487863E-2</v>
      </c>
      <c r="R53" s="30">
        <v>1031.0786458791956</v>
      </c>
      <c r="S53" s="30">
        <f>ABS(Q53)/'İtme Analizi'!$G$17</f>
        <v>2.6019189821074859E-2</v>
      </c>
      <c r="T53" s="30">
        <f>ABS(R53)/'İtme Analizi'!$G$14</f>
        <v>0.59232885405001356</v>
      </c>
      <c r="U53" s="30">
        <f t="shared" si="1"/>
        <v>7.7350759696356696E-3</v>
      </c>
    </row>
    <row r="54" spans="2:21" ht="13.9" customHeight="1" x14ac:dyDescent="0.2">
      <c r="B54" s="27">
        <v>48</v>
      </c>
      <c r="C54" s="30">
        <v>-3.3374236904878639E-2</v>
      </c>
      <c r="D54" s="30">
        <v>960.93675051148296</v>
      </c>
      <c r="E54" s="30">
        <f>ABS(C54)/'İtme Analizi'!$G$17</f>
        <v>2.4203918669691023E-2</v>
      </c>
      <c r="F54" s="30">
        <f>ABS(D54)/'İtme Analizi'!$G$14</f>
        <v>0.55203409218087773</v>
      </c>
      <c r="G54" s="30">
        <f t="shared" si="0"/>
        <v>6.6929140830813806E-3</v>
      </c>
      <c r="H54" s="47"/>
      <c r="I54" s="47"/>
      <c r="J54" s="47"/>
      <c r="P54" s="27">
        <v>4</v>
      </c>
      <c r="Q54" s="30">
        <v>-3.6711619304878623E-2</v>
      </c>
      <c r="R54" s="30">
        <v>1053.9720852177504</v>
      </c>
      <c r="S54" s="30">
        <f>ABS(Q54)/'İtme Analizi'!$G$17</f>
        <v>2.6624280591657536E-2</v>
      </c>
      <c r="T54" s="30">
        <f>ABS(R54)/'İtme Analizi'!$G$14</f>
        <v>0.60548056148073703</v>
      </c>
      <c r="U54" s="30">
        <f t="shared" si="1"/>
        <v>8.0974676807630125E-3</v>
      </c>
    </row>
    <row r="55" spans="2:21" ht="13.9" customHeight="1" x14ac:dyDescent="0.2">
      <c r="B55" s="27">
        <v>49</v>
      </c>
      <c r="C55" s="30">
        <v>-3.4069525271545303E-2</v>
      </c>
      <c r="D55" s="30">
        <v>980.51876121576004</v>
      </c>
      <c r="E55" s="30">
        <f>ABS(C55)/'İtme Analizi'!$G$17</f>
        <v>2.4708161002684175E-2</v>
      </c>
      <c r="F55" s="30">
        <f>ABS(D55)/'İtme Analizi'!$G$14</f>
        <v>0.56328346681084995</v>
      </c>
      <c r="G55" s="30">
        <f t="shared" si="0"/>
        <v>6.974109247068489E-3</v>
      </c>
      <c r="H55" s="47"/>
      <c r="I55" s="47"/>
      <c r="J55" s="47"/>
      <c r="P55" s="27">
        <v>5</v>
      </c>
      <c r="Q55" s="30">
        <v>-3.7545965304878623E-2</v>
      </c>
      <c r="R55" s="30">
        <v>1076.8680015363209</v>
      </c>
      <c r="S55" s="30">
        <f>ABS(Q55)/'İtme Analizi'!$G$17</f>
        <v>2.7229371362240219E-2</v>
      </c>
      <c r="T55" s="30">
        <f>ABS(R55)/'İtme Analizi'!$G$14</f>
        <v>0.61863369187443229</v>
      </c>
      <c r="U55" s="30">
        <f t="shared" si="1"/>
        <v>8.4678177991849759E-3</v>
      </c>
    </row>
    <row r="56" spans="2:21" ht="13.9" customHeight="1" x14ac:dyDescent="0.2">
      <c r="B56" s="27">
        <v>50</v>
      </c>
      <c r="C56" s="30">
        <v>-3.4764813638211968E-2</v>
      </c>
      <c r="D56" s="30">
        <v>999.96502248205752</v>
      </c>
      <c r="E56" s="30">
        <f>ABS(C56)/'İtme Analizi'!$G$17</f>
        <v>2.5212403335677331E-2</v>
      </c>
      <c r="F56" s="30">
        <f>ABS(D56)/'İtme Analizi'!$G$14</f>
        <v>0.57445485678915886</v>
      </c>
      <c r="G56" s="30">
        <f t="shared" si="0"/>
        <v>7.2609571603823846E-3</v>
      </c>
      <c r="H56" s="47"/>
      <c r="I56" s="47"/>
      <c r="J56" s="47"/>
      <c r="P56" s="27">
        <v>6</v>
      </c>
      <c r="Q56" s="30">
        <v>-3.8380311304878616E-2</v>
      </c>
      <c r="R56" s="30">
        <v>1099.761791101738</v>
      </c>
      <c r="S56" s="30">
        <f>ABS(Q56)/'İtme Analizi'!$G$17</f>
        <v>2.7834462132822896E-2</v>
      </c>
      <c r="T56" s="30">
        <f>ABS(R56)/'İtme Analizi'!$G$14</f>
        <v>0.63178560050171517</v>
      </c>
      <c r="U56" s="30">
        <f t="shared" si="1"/>
        <v>8.8461263857726406E-3</v>
      </c>
    </row>
    <row r="57" spans="2:21" ht="13.9" customHeight="1" x14ac:dyDescent="0.2">
      <c r="B57" s="27">
        <v>51</v>
      </c>
      <c r="C57" s="30">
        <v>-3.5460102004878639E-2</v>
      </c>
      <c r="D57" s="30">
        <v>1018.8047612548746</v>
      </c>
      <c r="E57" s="30">
        <f>ABS(C57)/'İtme Analizi'!$G$17</f>
        <v>2.571664566867049E-2</v>
      </c>
      <c r="F57" s="30">
        <f>ABS(D57)/'İtme Analizi'!$G$14</f>
        <v>0.5852778147880503</v>
      </c>
      <c r="G57" s="30">
        <f t="shared" si="0"/>
        <v>7.553350314364625E-3</v>
      </c>
      <c r="H57" s="47"/>
      <c r="I57" s="47"/>
      <c r="J57" s="47"/>
      <c r="P57" s="27">
        <v>7</v>
      </c>
      <c r="Q57" s="30">
        <v>-3.9214657304878615E-2</v>
      </c>
      <c r="R57" s="30">
        <v>1122.6541589284734</v>
      </c>
      <c r="S57" s="30">
        <f>ABS(Q57)/'İtme Analizi'!$G$17</f>
        <v>2.8439552903405579E-2</v>
      </c>
      <c r="T57" s="30">
        <f>ABS(R57)/'İtme Analizi'!$G$14</f>
        <v>0.64493669237573914</v>
      </c>
      <c r="U57" s="30">
        <f t="shared" si="1"/>
        <v>9.2323928237812956E-3</v>
      </c>
    </row>
    <row r="58" spans="2:21" ht="13.9" customHeight="1" x14ac:dyDescent="0.2">
      <c r="B58" s="27">
        <v>52</v>
      </c>
      <c r="C58" s="30">
        <v>-3.6155390371545304E-2</v>
      </c>
      <c r="D58" s="30">
        <v>1037.672494955131</v>
      </c>
      <c r="E58" s="30">
        <f>ABS(C58)/'İtme Analizi'!$G$17</f>
        <v>2.6220888001663646E-2</v>
      </c>
      <c r="F58" s="30">
        <f>ABS(D58)/'İtme Analizi'!$G$14</f>
        <v>0.5961168551714966</v>
      </c>
      <c r="G58" s="30">
        <f t="shared" si="0"/>
        <v>7.8512049166476663E-3</v>
      </c>
      <c r="H58" s="47"/>
      <c r="I58" s="47"/>
      <c r="J58" s="47"/>
      <c r="P58" s="27">
        <v>8</v>
      </c>
      <c r="Q58" s="30">
        <v>-4.0049003304878608E-2</v>
      </c>
      <c r="R58" s="30">
        <v>1145.5464004785642</v>
      </c>
      <c r="S58" s="30">
        <f>ABS(Q58)/'İtme Analizi'!$G$17</f>
        <v>2.9044643673988256E-2</v>
      </c>
      <c r="T58" s="30">
        <f>ABS(R58)/'İtme Analizi'!$G$14</f>
        <v>0.65808771170699409</v>
      </c>
      <c r="U58" s="30">
        <f t="shared" si="1"/>
        <v>9.6266168441585219E-3</v>
      </c>
    </row>
    <row r="59" spans="2:21" ht="13.9" customHeight="1" x14ac:dyDescent="0.2">
      <c r="B59" s="27">
        <v>53</v>
      </c>
      <c r="C59" s="30">
        <v>-3.6850678738211969E-2</v>
      </c>
      <c r="D59" s="30">
        <v>1056.6411057802729</v>
      </c>
      <c r="E59" s="30">
        <f>ABS(C59)/'İtme Analizi'!$G$17</f>
        <v>2.6725130334656802E-2</v>
      </c>
      <c r="F59" s="30">
        <f>ABS(D59)/'İtme Analizi'!$G$14</f>
        <v>0.6070138469362677</v>
      </c>
      <c r="G59" s="30">
        <f t="shared" si="0"/>
        <v>8.1545396327109224E-3</v>
      </c>
      <c r="H59" s="47"/>
      <c r="I59" s="47"/>
      <c r="J59" s="47"/>
      <c r="P59" s="27">
        <v>9</v>
      </c>
      <c r="Q59" s="30">
        <v>-4.0883349304878608E-2</v>
      </c>
      <c r="R59" s="30">
        <v>1168.4340837985183</v>
      </c>
      <c r="S59" s="30">
        <f>ABS(Q59)/'İtme Analizi'!$G$17</f>
        <v>2.964973444457094E-2</v>
      </c>
      <c r="T59" s="30">
        <f>ABS(R59)/'İtme Analizi'!$G$14</f>
        <v>0.67123611244921677</v>
      </c>
      <c r="U59" s="30">
        <f t="shared" si="1"/>
        <v>1.0028797632714822E-2</v>
      </c>
    </row>
    <row r="60" spans="2:21" ht="13.9" customHeight="1" x14ac:dyDescent="0.2">
      <c r="B60" s="27">
        <v>54</v>
      </c>
      <c r="C60" s="30">
        <v>-3.7545967104878633E-2</v>
      </c>
      <c r="D60" s="30">
        <v>1075.6082395908959</v>
      </c>
      <c r="E60" s="30">
        <f>ABS(C60)/'İtme Analizi'!$G$17</f>
        <v>2.7229372667649958E-2</v>
      </c>
      <c r="F60" s="30">
        <f>ABS(D60)/'İtme Analizi'!$G$14</f>
        <v>0.61790999019319626</v>
      </c>
      <c r="G60" s="30">
        <f t="shared" si="0"/>
        <v>8.463368859397467E-3</v>
      </c>
      <c r="H60" s="47"/>
      <c r="I60" s="47"/>
      <c r="J60" s="47"/>
      <c r="P60" s="27">
        <v>10</v>
      </c>
      <c r="Q60" s="30">
        <v>-4.1717695304878608E-2</v>
      </c>
      <c r="R60" s="30">
        <v>1190.501863581509</v>
      </c>
      <c r="S60" s="30">
        <f>ABS(Q60)/'İtme Analizi'!$G$17</f>
        <v>3.025482521515362E-2</v>
      </c>
      <c r="T60" s="30">
        <f>ABS(R60)/'İtme Analizi'!$G$14</f>
        <v>0.68391349914763011</v>
      </c>
      <c r="U60" s="30">
        <f t="shared" si="1"/>
        <v>1.04387918940828E-2</v>
      </c>
    </row>
    <row r="61" spans="2:21" ht="13.9" customHeight="1" x14ac:dyDescent="0.2">
      <c r="B61" s="27">
        <v>55</v>
      </c>
      <c r="C61" s="30">
        <v>-3.8241255471545305E-2</v>
      </c>
      <c r="D61" s="30">
        <v>1094.5751731433932</v>
      </c>
      <c r="E61" s="30">
        <f>ABS(C61)/'İtme Analizi'!$G$17</f>
        <v>2.7733615000643117E-2</v>
      </c>
      <c r="F61" s="30">
        <f>ABS(D61)/'İtme Analizi'!$G$14</f>
        <v>0.62880601840684791</v>
      </c>
      <c r="G61" s="30">
        <f t="shared" si="0"/>
        <v>8.7776923537756704E-3</v>
      </c>
      <c r="H61" s="47"/>
      <c r="I61" s="47"/>
      <c r="J61" s="47"/>
      <c r="P61" s="27"/>
      <c r="Q61" s="30"/>
      <c r="R61" s="30"/>
      <c r="S61" s="30">
        <f>ABS(Q61)/'İtme Analizi'!$G$17</f>
        <v>0</v>
      </c>
      <c r="T61" s="30">
        <f>ABS(R61)/'İtme Analizi'!$G$14</f>
        <v>0</v>
      </c>
      <c r="U61" s="30">
        <f t="shared" si="1"/>
        <v>9.2950204584968388E-5</v>
      </c>
    </row>
    <row r="62" spans="2:21" ht="13.9" customHeight="1" x14ac:dyDescent="0.2">
      <c r="B62" s="27">
        <v>56</v>
      </c>
      <c r="C62" s="30">
        <v>-3.8936543838211969E-2</v>
      </c>
      <c r="D62" s="30">
        <v>1113.540516329077</v>
      </c>
      <c r="E62" s="30">
        <f>ABS(C62)/'İtme Analizi'!$G$17</f>
        <v>2.8237857333636273E-2</v>
      </c>
      <c r="F62" s="30">
        <f>ABS(D62)/'İtme Analizi'!$G$14</f>
        <v>0.63970113299460318</v>
      </c>
      <c r="G62" s="30">
        <f t="shared" si="0"/>
        <v>9.097509856496256E-3</v>
      </c>
      <c r="H62" s="47"/>
      <c r="I62" s="47"/>
      <c r="J62" s="47"/>
      <c r="P62" s="27"/>
      <c r="Q62" s="30"/>
      <c r="R62" s="30"/>
      <c r="S62" s="30">
        <f>ABS(Q62)/'İtme Analizi'!$G$17</f>
        <v>0</v>
      </c>
      <c r="T62" s="30">
        <f>ABS(R62)/'İtme Analizi'!$G$14</f>
        <v>0</v>
      </c>
      <c r="U62" s="30">
        <f t="shared" si="1"/>
        <v>9.2950204584968388E-5</v>
      </c>
    </row>
    <row r="63" spans="2:21" ht="13.9" customHeight="1" x14ac:dyDescent="0.2">
      <c r="B63" s="27">
        <v>57</v>
      </c>
      <c r="C63" s="30">
        <v>-3.9631832204878634E-2</v>
      </c>
      <c r="D63" s="30">
        <v>1132.5060395961998</v>
      </c>
      <c r="E63" s="30">
        <f>ABS(C63)/'İtme Analizi'!$G$17</f>
        <v>2.8742099666629425E-2</v>
      </c>
      <c r="F63" s="30">
        <f>ABS(D63)/'İtme Analizi'!$G$14</f>
        <v>0.65059635103463409</v>
      </c>
      <c r="G63" s="30">
        <f t="shared" si="0"/>
        <v>9.4228211632973041E-3</v>
      </c>
      <c r="H63" s="47"/>
      <c r="I63" s="47"/>
      <c r="J63" s="47"/>
      <c r="P63" s="27"/>
      <c r="Q63" s="30"/>
      <c r="R63" s="30"/>
      <c r="S63" s="30">
        <f>ABS(Q63)/'İtme Analizi'!$G$17</f>
        <v>0</v>
      </c>
      <c r="T63" s="30">
        <f>ABS(R63)/'İtme Analizi'!$G$14</f>
        <v>0</v>
      </c>
      <c r="U63" s="30">
        <f t="shared" si="1"/>
        <v>9.2950204584968388E-5</v>
      </c>
    </row>
    <row r="64" spans="2:21" ht="13.9" customHeight="1" x14ac:dyDescent="0.2">
      <c r="B64" s="27">
        <v>58</v>
      </c>
      <c r="C64" s="30">
        <v>-4.0327120571545298E-2</v>
      </c>
      <c r="D64" s="30">
        <v>1151.469372728599</v>
      </c>
      <c r="E64" s="30">
        <f>ABS(C64)/'İtme Analizi'!$G$17</f>
        <v>2.9246341999622581E-2</v>
      </c>
      <c r="F64" s="30">
        <f>ABS(D64)/'İtme Analizi'!$G$14</f>
        <v>0.66149031089712818</v>
      </c>
      <c r="G64" s="30">
        <f t="shared" si="0"/>
        <v>9.7536259830481413E-3</v>
      </c>
      <c r="H64" s="47"/>
      <c r="I64" s="47"/>
      <c r="J64" s="47"/>
      <c r="P64" s="27"/>
      <c r="Q64" s="30"/>
      <c r="R64" s="30"/>
      <c r="S64" s="30">
        <f>ABS(Q64)/'İtme Analizi'!$G$17</f>
        <v>0</v>
      </c>
      <c r="T64" s="30">
        <f>ABS(R64)/'İtme Analizi'!$G$14</f>
        <v>0</v>
      </c>
      <c r="U64" s="30">
        <f t="shared" si="1"/>
        <v>9.2950204584968388E-5</v>
      </c>
    </row>
    <row r="65" spans="2:21" ht="13.9" customHeight="1" x14ac:dyDescent="0.2">
      <c r="B65" s="27">
        <v>59</v>
      </c>
      <c r="C65" s="30">
        <v>-4.102240893821197E-2</v>
      </c>
      <c r="D65" s="30">
        <v>1170.4310209885298</v>
      </c>
      <c r="E65" s="30">
        <f>ABS(C65)/'İtme Analizi'!$G$17</f>
        <v>2.9750584332615741E-2</v>
      </c>
      <c r="F65" s="30">
        <f>ABS(D65)/'İtme Analizi'!$G$14</f>
        <v>0.67238330284259429</v>
      </c>
      <c r="G65" s="30">
        <f t="shared" si="0"/>
        <v>1.0089923754503209E-2</v>
      </c>
      <c r="H65" s="47"/>
      <c r="I65" s="47"/>
      <c r="J65" s="47"/>
      <c r="P65" s="27"/>
      <c r="Q65" s="30"/>
      <c r="R65" s="30"/>
      <c r="S65" s="30">
        <f>ABS(Q65)/'İtme Analizi'!$G$17</f>
        <v>0</v>
      </c>
      <c r="T65" s="30">
        <f>ABS(R65)/'İtme Analizi'!$G$14</f>
        <v>0</v>
      </c>
      <c r="U65" s="30">
        <f t="shared" si="1"/>
        <v>9.2950204584968388E-5</v>
      </c>
    </row>
    <row r="66" spans="2:21" ht="13.9" customHeight="1" x14ac:dyDescent="0.2">
      <c r="B66" s="27">
        <v>60</v>
      </c>
      <c r="C66" s="30">
        <v>-4.1717697304878634E-2</v>
      </c>
      <c r="D66" s="30">
        <v>1188.6074428618299</v>
      </c>
      <c r="E66" s="30">
        <f>ABS(C66)/'İtme Analizi'!$G$17</f>
        <v>3.0254826665608896E-2</v>
      </c>
      <c r="F66" s="30">
        <f>ABS(D66)/'İtme Analizi'!$G$14</f>
        <v>0.68282520189847185</v>
      </c>
      <c r="G66" s="30">
        <f t="shared" si="0"/>
        <v>1.0431600503564609E-2</v>
      </c>
      <c r="H66" s="47"/>
      <c r="I66" s="47"/>
      <c r="J66" s="47"/>
      <c r="P66" s="27"/>
      <c r="Q66" s="30"/>
      <c r="R66" s="30"/>
      <c r="S66" s="30">
        <f>ABS(Q66)/'İtme Analizi'!$G$17</f>
        <v>0</v>
      </c>
      <c r="T66" s="30">
        <f>ABS(R66)/'İtme Analizi'!$G$14</f>
        <v>0</v>
      </c>
      <c r="U66" s="30">
        <f t="shared" si="1"/>
        <v>9.2950204584968388E-5</v>
      </c>
    </row>
    <row r="67" spans="2:21" ht="13.9" customHeight="1" x14ac:dyDescent="0.2">
      <c r="B67" s="27"/>
      <c r="C67" s="30"/>
      <c r="D67" s="30"/>
      <c r="E67" s="30">
        <f>ABS(C67)/'İtme Analizi'!$G$17</f>
        <v>0</v>
      </c>
      <c r="F67" s="30">
        <f>ABS(D67)/'İtme Analizi'!$G$14</f>
        <v>0</v>
      </c>
      <c r="G67" s="30">
        <f t="shared" si="0"/>
        <v>1.0222144039077723E-4</v>
      </c>
      <c r="H67" s="47"/>
      <c r="I67" s="47"/>
      <c r="J67" s="47"/>
      <c r="P67" s="27"/>
      <c r="Q67" s="30"/>
      <c r="R67" s="30"/>
      <c r="S67" s="30">
        <f>ABS(Q67)/'İtme Analizi'!$G$17</f>
        <v>0</v>
      </c>
      <c r="T67" s="30">
        <f>ABS(R67)/'İtme Analizi'!$G$14</f>
        <v>0</v>
      </c>
      <c r="U67" s="30">
        <f t="shared" si="1"/>
        <v>9.2950204584968388E-5</v>
      </c>
    </row>
    <row r="68" spans="2:21" ht="13.9" customHeight="1" x14ac:dyDescent="0.2">
      <c r="B68" s="27"/>
      <c r="C68" s="30"/>
      <c r="D68" s="30"/>
      <c r="E68" s="30">
        <f>ABS(C68)/'İtme Analizi'!$G$17</f>
        <v>0</v>
      </c>
      <c r="F68" s="30">
        <f>ABS(D68)/'İtme Analizi'!$G$14</f>
        <v>0</v>
      </c>
      <c r="G68" s="30">
        <f t="shared" si="0"/>
        <v>1.0222144039077723E-4</v>
      </c>
      <c r="H68" s="47"/>
      <c r="I68" s="47"/>
      <c r="J68" s="47"/>
      <c r="P68" s="27"/>
      <c r="Q68" s="30"/>
      <c r="R68" s="30"/>
      <c r="S68" s="30">
        <f>ABS(Q68)/'İtme Analizi'!$G$17</f>
        <v>0</v>
      </c>
      <c r="T68" s="30">
        <f>ABS(R68)/'İtme Analizi'!$G$14</f>
        <v>0</v>
      </c>
      <c r="U68" s="30">
        <f t="shared" si="1"/>
        <v>9.2950204584968388E-5</v>
      </c>
    </row>
    <row r="69" spans="2:21" ht="13.9" customHeight="1" x14ac:dyDescent="0.2">
      <c r="B69" s="27"/>
      <c r="C69" s="30"/>
      <c r="D69" s="30"/>
      <c r="E69" s="30">
        <f>ABS(C69)/'İtme Analizi'!$G$17</f>
        <v>0</v>
      </c>
      <c r="F69" s="30">
        <f>ABS(D69)/'İtme Analizi'!$G$14</f>
        <v>0</v>
      </c>
      <c r="G69" s="30">
        <f t="shared" si="0"/>
        <v>1.0222144039077723E-4</v>
      </c>
      <c r="H69" s="47"/>
      <c r="I69" s="47"/>
      <c r="J69" s="47"/>
      <c r="P69" s="27"/>
      <c r="Q69" s="30"/>
      <c r="R69" s="30"/>
      <c r="S69" s="30">
        <f>ABS(Q69)/'İtme Analizi'!$G$17</f>
        <v>0</v>
      </c>
      <c r="T69" s="30">
        <f>ABS(R69)/'İtme Analizi'!$G$14</f>
        <v>0</v>
      </c>
      <c r="U69" s="30">
        <f t="shared" si="1"/>
        <v>9.2950204584968388E-5</v>
      </c>
    </row>
    <row r="70" spans="2:21" ht="13.9" customHeight="1" x14ac:dyDescent="0.2">
      <c r="B70" s="27"/>
      <c r="C70" s="30"/>
      <c r="D70" s="30"/>
      <c r="E70" s="30">
        <f>ABS(C70)/'İtme Analizi'!$G$17</f>
        <v>0</v>
      </c>
      <c r="F70" s="30">
        <f>ABS(D70)/'İtme Analizi'!$G$14</f>
        <v>0</v>
      </c>
      <c r="G70" s="30">
        <f t="shared" si="0"/>
        <v>1.0222144039077723E-4</v>
      </c>
      <c r="H70" s="47"/>
      <c r="I70" s="47"/>
      <c r="J70" s="47"/>
      <c r="P70" s="27"/>
      <c r="Q70" s="30"/>
      <c r="R70" s="30"/>
      <c r="S70" s="30">
        <f>ABS(Q70)/'İtme Analizi'!$G$17</f>
        <v>0</v>
      </c>
      <c r="T70" s="30">
        <f>ABS(R70)/'İtme Analizi'!$G$14</f>
        <v>0</v>
      </c>
      <c r="U70" s="30">
        <f t="shared" si="1"/>
        <v>9.2950204584968388E-5</v>
      </c>
    </row>
    <row r="71" spans="2:21" ht="13.9" customHeight="1" x14ac:dyDescent="0.2">
      <c r="B71" s="27"/>
      <c r="C71" s="30"/>
      <c r="D71" s="30"/>
      <c r="E71" s="30">
        <f>ABS(C71)/'İtme Analizi'!$G$17</f>
        <v>0</v>
      </c>
      <c r="F71" s="30">
        <f>ABS(D71)/'İtme Analizi'!$G$14</f>
        <v>0</v>
      </c>
      <c r="G71" s="30">
        <f t="shared" si="0"/>
        <v>1.0222144039077723E-4</v>
      </c>
      <c r="H71" s="47"/>
      <c r="I71" s="47"/>
      <c r="J71" s="47"/>
      <c r="P71" s="27"/>
      <c r="Q71" s="30"/>
      <c r="R71" s="30"/>
      <c r="S71" s="30">
        <f>ABS(Q71)/'İtme Analizi'!$G$17</f>
        <v>0</v>
      </c>
      <c r="T71" s="30">
        <f>ABS(R71)/'İtme Analizi'!$G$14</f>
        <v>0</v>
      </c>
      <c r="U71" s="30">
        <f t="shared" si="1"/>
        <v>9.2950204584968388E-5</v>
      </c>
    </row>
    <row r="72" spans="2:21" ht="13.9" customHeight="1" x14ac:dyDescent="0.2">
      <c r="B72" s="27"/>
      <c r="C72" s="30"/>
      <c r="D72" s="30"/>
      <c r="E72" s="30">
        <f>ABS(C72)/'İtme Analizi'!$G$17</f>
        <v>0</v>
      </c>
      <c r="F72" s="30">
        <f>ABS(D72)/'İtme Analizi'!$G$14</f>
        <v>0</v>
      </c>
      <c r="G72" s="30">
        <f t="shared" si="0"/>
        <v>1.0222144039077723E-4</v>
      </c>
      <c r="H72" s="47"/>
      <c r="I72" s="47"/>
      <c r="J72" s="47"/>
      <c r="P72" s="27"/>
      <c r="Q72" s="30"/>
      <c r="R72" s="30"/>
      <c r="S72" s="30">
        <f>ABS(Q72)/'İtme Analizi'!$G$17</f>
        <v>0</v>
      </c>
      <c r="T72" s="30">
        <f>ABS(R72)/'İtme Analizi'!$G$14</f>
        <v>0</v>
      </c>
      <c r="U72" s="30">
        <f t="shared" si="1"/>
        <v>9.2950204584968388E-5</v>
      </c>
    </row>
    <row r="73" spans="2:21" ht="13.9" customHeight="1" x14ac:dyDescent="0.2">
      <c r="B73" s="27"/>
      <c r="C73" s="30"/>
      <c r="D73" s="30"/>
      <c r="E73" s="30">
        <f>ABS(C73)/'İtme Analizi'!$G$17</f>
        <v>0</v>
      </c>
      <c r="F73" s="30">
        <f>ABS(D73)/'İtme Analizi'!$G$14</f>
        <v>0</v>
      </c>
      <c r="G73" s="30">
        <f t="shared" ref="G73:G100" si="2">G72+(E73-E72)*((F73+F72)/2)</f>
        <v>1.0222144039077723E-4</v>
      </c>
      <c r="H73" s="47"/>
      <c r="I73" s="47"/>
      <c r="J73" s="47"/>
      <c r="P73" s="27"/>
      <c r="Q73" s="30"/>
      <c r="R73" s="30"/>
      <c r="S73" s="30">
        <f>ABS(Q73)/'İtme Analizi'!$G$17</f>
        <v>0</v>
      </c>
      <c r="T73" s="30">
        <f>ABS(R73)/'İtme Analizi'!$G$14</f>
        <v>0</v>
      </c>
      <c r="U73" s="30">
        <f t="shared" ref="U73:U136" si="3">U72+(S73-S72)*((T73+T72)/2)</f>
        <v>9.2950204584968388E-5</v>
      </c>
    </row>
    <row r="74" spans="2:21" ht="13.9" customHeight="1" x14ac:dyDescent="0.2">
      <c r="B74" s="27"/>
      <c r="C74" s="30"/>
      <c r="D74" s="30"/>
      <c r="E74" s="30">
        <f>ABS(C74)/'İtme Analizi'!$G$17</f>
        <v>0</v>
      </c>
      <c r="F74" s="30">
        <f>ABS(D74)/'İtme Analizi'!$G$14</f>
        <v>0</v>
      </c>
      <c r="G74" s="30">
        <f t="shared" si="2"/>
        <v>1.0222144039077723E-4</v>
      </c>
      <c r="H74" s="47"/>
      <c r="I74" s="47"/>
      <c r="J74" s="47"/>
      <c r="P74" s="27"/>
      <c r="Q74" s="30"/>
      <c r="R74" s="30"/>
      <c r="S74" s="30">
        <f>ABS(Q74)/'İtme Analizi'!$G$17</f>
        <v>0</v>
      </c>
      <c r="T74" s="30">
        <f>ABS(R74)/'İtme Analizi'!$G$14</f>
        <v>0</v>
      </c>
      <c r="U74" s="30">
        <f t="shared" si="3"/>
        <v>9.2950204584968388E-5</v>
      </c>
    </row>
    <row r="75" spans="2:21" ht="13.9" customHeight="1" x14ac:dyDescent="0.2">
      <c r="B75" s="27"/>
      <c r="C75" s="30"/>
      <c r="D75" s="30"/>
      <c r="E75" s="30">
        <f>ABS(C75)/'İtme Analizi'!$G$17</f>
        <v>0</v>
      </c>
      <c r="F75" s="30">
        <f>ABS(D75)/'İtme Analizi'!$G$14</f>
        <v>0</v>
      </c>
      <c r="G75" s="30">
        <f t="shared" si="2"/>
        <v>1.0222144039077723E-4</v>
      </c>
      <c r="H75" s="47"/>
      <c r="I75" s="47"/>
      <c r="J75" s="47"/>
      <c r="P75" s="27"/>
      <c r="Q75" s="30"/>
      <c r="R75" s="30"/>
      <c r="S75" s="30">
        <f>ABS(Q75)/'İtme Analizi'!$G$17</f>
        <v>0</v>
      </c>
      <c r="T75" s="30">
        <f>ABS(R75)/'İtme Analizi'!$G$14</f>
        <v>0</v>
      </c>
      <c r="U75" s="30">
        <f t="shared" si="3"/>
        <v>9.2950204584968388E-5</v>
      </c>
    </row>
    <row r="76" spans="2:21" ht="13.9" customHeight="1" x14ac:dyDescent="0.2">
      <c r="B76" s="27"/>
      <c r="C76" s="30"/>
      <c r="D76" s="30"/>
      <c r="E76" s="30">
        <f>ABS(C76)/'İtme Analizi'!$G$17</f>
        <v>0</v>
      </c>
      <c r="F76" s="30">
        <f>ABS(D76)/'İtme Analizi'!$G$14</f>
        <v>0</v>
      </c>
      <c r="G76" s="30">
        <f t="shared" si="2"/>
        <v>1.0222144039077723E-4</v>
      </c>
      <c r="H76" s="47"/>
      <c r="I76" s="47"/>
      <c r="J76" s="47"/>
      <c r="P76" s="27"/>
      <c r="Q76" s="30"/>
      <c r="R76" s="30"/>
      <c r="S76" s="30">
        <f>ABS(Q76)/'İtme Analizi'!$G$17</f>
        <v>0</v>
      </c>
      <c r="T76" s="30">
        <f>ABS(R76)/'İtme Analizi'!$G$14</f>
        <v>0</v>
      </c>
      <c r="U76" s="30">
        <f t="shared" si="3"/>
        <v>9.2950204584968388E-5</v>
      </c>
    </row>
    <row r="77" spans="2:21" ht="13.9" customHeight="1" x14ac:dyDescent="0.2">
      <c r="B77" s="27"/>
      <c r="C77" s="30"/>
      <c r="D77" s="30"/>
      <c r="E77" s="30">
        <f>ABS(C77)/'İtme Analizi'!$G$17</f>
        <v>0</v>
      </c>
      <c r="F77" s="30">
        <f>ABS(D77)/'İtme Analizi'!$G$14</f>
        <v>0</v>
      </c>
      <c r="G77" s="30">
        <f t="shared" si="2"/>
        <v>1.0222144039077723E-4</v>
      </c>
      <c r="H77" s="47"/>
      <c r="I77" s="47"/>
      <c r="J77" s="47"/>
      <c r="P77" s="27"/>
      <c r="Q77" s="30"/>
      <c r="R77" s="30"/>
      <c r="S77" s="30">
        <f>ABS(Q77)/'İtme Analizi'!$G$17</f>
        <v>0</v>
      </c>
      <c r="T77" s="30">
        <f>ABS(R77)/'İtme Analizi'!$G$14</f>
        <v>0</v>
      </c>
      <c r="U77" s="30">
        <f t="shared" si="3"/>
        <v>9.2950204584968388E-5</v>
      </c>
    </row>
    <row r="78" spans="2:21" ht="13.9" customHeight="1" x14ac:dyDescent="0.2">
      <c r="B78" s="27"/>
      <c r="C78" s="30"/>
      <c r="D78" s="30"/>
      <c r="E78" s="30">
        <f>ABS(C78)/'İtme Analizi'!$G$17</f>
        <v>0</v>
      </c>
      <c r="F78" s="30">
        <f>ABS(D78)/'İtme Analizi'!$G$14</f>
        <v>0</v>
      </c>
      <c r="G78" s="30">
        <f t="shared" si="2"/>
        <v>1.0222144039077723E-4</v>
      </c>
      <c r="H78" s="47"/>
      <c r="I78" s="47"/>
      <c r="J78" s="47"/>
      <c r="P78" s="27"/>
      <c r="Q78" s="30"/>
      <c r="R78" s="30"/>
      <c r="S78" s="30">
        <f>ABS(Q78)/'İtme Analizi'!$G$17</f>
        <v>0</v>
      </c>
      <c r="T78" s="30">
        <f>ABS(R78)/'İtme Analizi'!$G$14</f>
        <v>0</v>
      </c>
      <c r="U78" s="30">
        <f t="shared" si="3"/>
        <v>9.2950204584968388E-5</v>
      </c>
    </row>
    <row r="79" spans="2:21" ht="13.9" customHeight="1" x14ac:dyDescent="0.2">
      <c r="B79" s="27"/>
      <c r="C79" s="30"/>
      <c r="D79" s="30"/>
      <c r="E79" s="30">
        <f>ABS(C79)/'İtme Analizi'!$G$17</f>
        <v>0</v>
      </c>
      <c r="F79" s="30">
        <f>ABS(D79)/'İtme Analizi'!$G$14</f>
        <v>0</v>
      </c>
      <c r="G79" s="30">
        <f t="shared" si="2"/>
        <v>1.0222144039077723E-4</v>
      </c>
      <c r="H79" s="47"/>
      <c r="I79" s="47"/>
      <c r="J79" s="47"/>
      <c r="P79" s="27"/>
      <c r="Q79" s="30"/>
      <c r="R79" s="30"/>
      <c r="S79" s="30">
        <f>ABS(Q79)/'İtme Analizi'!$G$17</f>
        <v>0</v>
      </c>
      <c r="T79" s="30">
        <f>ABS(R79)/'İtme Analizi'!$G$14</f>
        <v>0</v>
      </c>
      <c r="U79" s="30">
        <f t="shared" si="3"/>
        <v>9.2950204584968388E-5</v>
      </c>
    </row>
    <row r="80" spans="2:21" ht="13.9" customHeight="1" x14ac:dyDescent="0.2">
      <c r="B80" s="27"/>
      <c r="C80" s="30"/>
      <c r="D80" s="30"/>
      <c r="E80" s="30">
        <f>ABS(C80)/'İtme Analizi'!$G$17</f>
        <v>0</v>
      </c>
      <c r="F80" s="30">
        <f>ABS(D80)/'İtme Analizi'!$G$14</f>
        <v>0</v>
      </c>
      <c r="G80" s="30">
        <f t="shared" si="2"/>
        <v>1.0222144039077723E-4</v>
      </c>
      <c r="H80" s="47"/>
      <c r="I80" s="47"/>
      <c r="J80" s="47"/>
      <c r="P80" s="27"/>
      <c r="Q80" s="30"/>
      <c r="R80" s="30"/>
      <c r="S80" s="30">
        <f>ABS(Q80)/'İtme Analizi'!$G$17</f>
        <v>0</v>
      </c>
      <c r="T80" s="30">
        <f>ABS(R80)/'İtme Analizi'!$G$14</f>
        <v>0</v>
      </c>
      <c r="U80" s="30">
        <f t="shared" si="3"/>
        <v>9.2950204584968388E-5</v>
      </c>
    </row>
    <row r="81" spans="2:21" ht="13.9" customHeight="1" x14ac:dyDescent="0.2">
      <c r="B81" s="27"/>
      <c r="C81" s="30"/>
      <c r="D81" s="30"/>
      <c r="E81" s="30">
        <f>ABS(C81)/'İtme Analizi'!$G$17</f>
        <v>0</v>
      </c>
      <c r="F81" s="30">
        <f>ABS(D81)/'İtme Analizi'!$G$14</f>
        <v>0</v>
      </c>
      <c r="G81" s="30">
        <f t="shared" si="2"/>
        <v>1.0222144039077723E-4</v>
      </c>
      <c r="H81" s="47"/>
      <c r="I81" s="47"/>
      <c r="J81" s="47"/>
      <c r="P81" s="27"/>
      <c r="Q81" s="30"/>
      <c r="R81" s="30"/>
      <c r="S81" s="30">
        <f>ABS(Q81)/'İtme Analizi'!$G$17</f>
        <v>0</v>
      </c>
      <c r="T81" s="30">
        <f>ABS(R81)/'İtme Analizi'!$G$14</f>
        <v>0</v>
      </c>
      <c r="U81" s="30">
        <f t="shared" si="3"/>
        <v>9.2950204584968388E-5</v>
      </c>
    </row>
    <row r="82" spans="2:21" ht="13.9" customHeight="1" x14ac:dyDescent="0.2">
      <c r="B82" s="27"/>
      <c r="C82" s="30"/>
      <c r="D82" s="30"/>
      <c r="E82" s="30">
        <f>ABS(C82)/'İtme Analizi'!$G$17</f>
        <v>0</v>
      </c>
      <c r="F82" s="30">
        <f>ABS(D82)/'İtme Analizi'!$G$14</f>
        <v>0</v>
      </c>
      <c r="G82" s="30">
        <f t="shared" si="2"/>
        <v>1.0222144039077723E-4</v>
      </c>
      <c r="H82" s="47"/>
      <c r="I82" s="47"/>
      <c r="J82" s="47"/>
      <c r="P82" s="27"/>
      <c r="Q82" s="30"/>
      <c r="R82" s="30"/>
      <c r="S82" s="30">
        <f>ABS(Q82)/'İtme Analizi'!$G$17</f>
        <v>0</v>
      </c>
      <c r="T82" s="30">
        <f>ABS(R82)/'İtme Analizi'!$G$14</f>
        <v>0</v>
      </c>
      <c r="U82" s="30">
        <f t="shared" si="3"/>
        <v>9.2950204584968388E-5</v>
      </c>
    </row>
    <row r="83" spans="2:21" ht="13.9" customHeight="1" x14ac:dyDescent="0.2">
      <c r="B83" s="27"/>
      <c r="C83" s="30"/>
      <c r="D83" s="30"/>
      <c r="E83" s="30">
        <f>ABS(C83)/'İtme Analizi'!$G$17</f>
        <v>0</v>
      </c>
      <c r="F83" s="30">
        <f>ABS(D83)/'İtme Analizi'!$G$14</f>
        <v>0</v>
      </c>
      <c r="G83" s="30">
        <f t="shared" si="2"/>
        <v>1.0222144039077723E-4</v>
      </c>
      <c r="H83" s="47"/>
      <c r="I83" s="47"/>
      <c r="J83" s="47"/>
      <c r="P83" s="27"/>
      <c r="Q83" s="30"/>
      <c r="R83" s="30"/>
      <c r="S83" s="30">
        <f>ABS(Q83)/'İtme Analizi'!$G$17</f>
        <v>0</v>
      </c>
      <c r="T83" s="30">
        <f>ABS(R83)/'İtme Analizi'!$G$14</f>
        <v>0</v>
      </c>
      <c r="U83" s="30">
        <f t="shared" si="3"/>
        <v>9.2950204584968388E-5</v>
      </c>
    </row>
    <row r="84" spans="2:21" ht="13.9" customHeight="1" x14ac:dyDescent="0.2">
      <c r="B84" s="27"/>
      <c r="C84" s="30"/>
      <c r="D84" s="30"/>
      <c r="E84" s="30">
        <f>ABS(C84)/'İtme Analizi'!$G$17</f>
        <v>0</v>
      </c>
      <c r="F84" s="30">
        <f>ABS(D84)/'İtme Analizi'!$G$14</f>
        <v>0</v>
      </c>
      <c r="G84" s="30">
        <f t="shared" si="2"/>
        <v>1.0222144039077723E-4</v>
      </c>
      <c r="H84" s="47"/>
      <c r="I84" s="47"/>
      <c r="J84" s="47"/>
      <c r="P84" s="27"/>
      <c r="Q84" s="30"/>
      <c r="R84" s="30"/>
      <c r="S84" s="30">
        <f>ABS(Q84)/'İtme Analizi'!$G$17</f>
        <v>0</v>
      </c>
      <c r="T84" s="30">
        <f>ABS(R84)/'İtme Analizi'!$G$14</f>
        <v>0</v>
      </c>
      <c r="U84" s="30">
        <f t="shared" si="3"/>
        <v>9.2950204584968388E-5</v>
      </c>
    </row>
    <row r="85" spans="2:21" ht="13.9" customHeight="1" x14ac:dyDescent="0.2">
      <c r="B85" s="27"/>
      <c r="C85" s="30"/>
      <c r="D85" s="30"/>
      <c r="E85" s="30">
        <f>ABS(C85)/'İtme Analizi'!$G$17</f>
        <v>0</v>
      </c>
      <c r="F85" s="30">
        <f>ABS(D85)/'İtme Analizi'!$G$14</f>
        <v>0</v>
      </c>
      <c r="G85" s="30">
        <f t="shared" si="2"/>
        <v>1.0222144039077723E-4</v>
      </c>
      <c r="H85" s="47"/>
      <c r="I85" s="47"/>
      <c r="J85" s="47"/>
      <c r="P85" s="27"/>
      <c r="Q85" s="30"/>
      <c r="R85" s="30"/>
      <c r="S85" s="30">
        <f>ABS(Q85)/'İtme Analizi'!$G$17</f>
        <v>0</v>
      </c>
      <c r="T85" s="30">
        <f>ABS(R85)/'İtme Analizi'!$G$14</f>
        <v>0</v>
      </c>
      <c r="U85" s="30">
        <f t="shared" si="3"/>
        <v>9.2950204584968388E-5</v>
      </c>
    </row>
    <row r="86" spans="2:21" ht="13.9" customHeight="1" x14ac:dyDescent="0.2">
      <c r="B86" s="27"/>
      <c r="C86" s="30"/>
      <c r="D86" s="30"/>
      <c r="E86" s="30">
        <f>ABS(C86)/'İtme Analizi'!$G$17</f>
        <v>0</v>
      </c>
      <c r="F86" s="30">
        <f>ABS(D86)/'İtme Analizi'!$G$14</f>
        <v>0</v>
      </c>
      <c r="G86" s="30">
        <f t="shared" si="2"/>
        <v>1.0222144039077723E-4</v>
      </c>
      <c r="H86" s="47"/>
      <c r="I86" s="47"/>
      <c r="J86" s="47"/>
      <c r="P86" s="27"/>
      <c r="Q86" s="30"/>
      <c r="R86" s="30"/>
      <c r="S86" s="30">
        <f>ABS(Q86)/'İtme Analizi'!$G$17</f>
        <v>0</v>
      </c>
      <c r="T86" s="30">
        <f>ABS(R86)/'İtme Analizi'!$G$14</f>
        <v>0</v>
      </c>
      <c r="U86" s="30">
        <f t="shared" si="3"/>
        <v>9.2950204584968388E-5</v>
      </c>
    </row>
    <row r="87" spans="2:21" ht="13.9" customHeight="1" x14ac:dyDescent="0.2">
      <c r="B87" s="27"/>
      <c r="C87" s="30"/>
      <c r="D87" s="30"/>
      <c r="E87" s="30">
        <f>ABS(C87)/'İtme Analizi'!$G$17</f>
        <v>0</v>
      </c>
      <c r="F87" s="30">
        <f>ABS(D87)/'İtme Analizi'!$G$14</f>
        <v>0</v>
      </c>
      <c r="G87" s="30">
        <f t="shared" si="2"/>
        <v>1.0222144039077723E-4</v>
      </c>
      <c r="P87" s="27"/>
      <c r="Q87" s="30"/>
      <c r="R87" s="30"/>
      <c r="S87" s="30">
        <f>ABS(Q87)/'İtme Analizi'!$G$17</f>
        <v>0</v>
      </c>
      <c r="T87" s="30">
        <f>ABS(R87)/'İtme Analizi'!$G$14</f>
        <v>0</v>
      </c>
      <c r="U87" s="30">
        <f t="shared" si="3"/>
        <v>9.2950204584968388E-5</v>
      </c>
    </row>
    <row r="88" spans="2:21" ht="13.9" customHeight="1" x14ac:dyDescent="0.2">
      <c r="B88" s="27"/>
      <c r="C88" s="30"/>
      <c r="D88" s="30"/>
      <c r="E88" s="30">
        <f>ABS(C88)/'İtme Analizi'!$G$17</f>
        <v>0</v>
      </c>
      <c r="F88" s="30">
        <f>ABS(D88)/'İtme Analizi'!$G$14</f>
        <v>0</v>
      </c>
      <c r="G88" s="30">
        <f t="shared" si="2"/>
        <v>1.0222144039077723E-4</v>
      </c>
      <c r="P88" s="27"/>
      <c r="Q88" s="30"/>
      <c r="R88" s="30"/>
      <c r="S88" s="30">
        <f>ABS(Q88)/'İtme Analizi'!$G$17</f>
        <v>0</v>
      </c>
      <c r="T88" s="30">
        <f>ABS(R88)/'İtme Analizi'!$G$14</f>
        <v>0</v>
      </c>
      <c r="U88" s="30">
        <f t="shared" si="3"/>
        <v>9.2950204584968388E-5</v>
      </c>
    </row>
    <row r="89" spans="2:21" ht="13.9" customHeight="1" x14ac:dyDescent="0.2">
      <c r="B89" s="27"/>
      <c r="C89" s="30"/>
      <c r="D89" s="30"/>
      <c r="E89" s="30">
        <f>ABS(C89)/'İtme Analizi'!$G$17</f>
        <v>0</v>
      </c>
      <c r="F89" s="30">
        <f>ABS(D89)/'İtme Analizi'!$G$14</f>
        <v>0</v>
      </c>
      <c r="G89" s="30">
        <f t="shared" si="2"/>
        <v>1.0222144039077723E-4</v>
      </c>
      <c r="P89" s="27"/>
      <c r="Q89" s="30"/>
      <c r="R89" s="30"/>
      <c r="S89" s="30">
        <f>ABS(Q89)/'İtme Analizi'!$G$17</f>
        <v>0</v>
      </c>
      <c r="T89" s="30">
        <f>ABS(R89)/'İtme Analizi'!$G$14</f>
        <v>0</v>
      </c>
      <c r="U89" s="30">
        <f t="shared" si="3"/>
        <v>9.2950204584968388E-5</v>
      </c>
    </row>
    <row r="90" spans="2:21" ht="13.9" customHeight="1" x14ac:dyDescent="0.2">
      <c r="B90" s="27"/>
      <c r="C90" s="30"/>
      <c r="D90" s="30"/>
      <c r="E90" s="30">
        <f>ABS(C90)/'İtme Analizi'!$G$17</f>
        <v>0</v>
      </c>
      <c r="F90" s="30">
        <f>ABS(D90)/'İtme Analizi'!$G$14</f>
        <v>0</v>
      </c>
      <c r="G90" s="30">
        <f t="shared" si="2"/>
        <v>1.0222144039077723E-4</v>
      </c>
      <c r="P90" s="27"/>
      <c r="Q90" s="30"/>
      <c r="R90" s="30"/>
      <c r="S90" s="30">
        <f>ABS(Q90)/'İtme Analizi'!$G$17</f>
        <v>0</v>
      </c>
      <c r="T90" s="30">
        <f>ABS(R90)/'İtme Analizi'!$G$14</f>
        <v>0</v>
      </c>
      <c r="U90" s="30">
        <f t="shared" si="3"/>
        <v>9.2950204584968388E-5</v>
      </c>
    </row>
    <row r="91" spans="2:21" ht="13.9" customHeight="1" x14ac:dyDescent="0.2">
      <c r="B91" s="27"/>
      <c r="C91" s="30"/>
      <c r="D91" s="30"/>
      <c r="E91" s="30">
        <f>ABS(C91)/'İtme Analizi'!$G$17</f>
        <v>0</v>
      </c>
      <c r="F91" s="30">
        <f>ABS(D91)/'İtme Analizi'!$G$14</f>
        <v>0</v>
      </c>
      <c r="G91" s="30">
        <f t="shared" si="2"/>
        <v>1.0222144039077723E-4</v>
      </c>
      <c r="P91" s="27"/>
      <c r="Q91" s="30"/>
      <c r="R91" s="30"/>
      <c r="S91" s="30">
        <f>ABS(Q91)/'İtme Analizi'!$G$17</f>
        <v>0</v>
      </c>
      <c r="T91" s="30">
        <f>ABS(R91)/'İtme Analizi'!$G$14</f>
        <v>0</v>
      </c>
      <c r="U91" s="30">
        <f t="shared" si="3"/>
        <v>9.2950204584968388E-5</v>
      </c>
    </row>
    <row r="92" spans="2:21" ht="13.9" customHeight="1" x14ac:dyDescent="0.2">
      <c r="B92" s="27"/>
      <c r="C92" s="30"/>
      <c r="D92" s="30"/>
      <c r="E92" s="30">
        <f>ABS(C92)/'İtme Analizi'!$G$17</f>
        <v>0</v>
      </c>
      <c r="F92" s="30">
        <f>ABS(D92)/'İtme Analizi'!$G$14</f>
        <v>0</v>
      </c>
      <c r="G92" s="30">
        <f t="shared" si="2"/>
        <v>1.0222144039077723E-4</v>
      </c>
      <c r="P92" s="27"/>
      <c r="Q92" s="30"/>
      <c r="R92" s="30"/>
      <c r="S92" s="30">
        <f>ABS(Q92)/'İtme Analizi'!$G$17</f>
        <v>0</v>
      </c>
      <c r="T92" s="30">
        <f>ABS(R92)/'İtme Analizi'!$G$14</f>
        <v>0</v>
      </c>
      <c r="U92" s="30">
        <f t="shared" si="3"/>
        <v>9.2950204584968388E-5</v>
      </c>
    </row>
    <row r="93" spans="2:21" ht="13.9" customHeight="1" x14ac:dyDescent="0.2">
      <c r="B93" s="27"/>
      <c r="C93" s="30"/>
      <c r="D93" s="30"/>
      <c r="E93" s="30">
        <f>ABS(C93)/'İtme Analizi'!$G$17</f>
        <v>0</v>
      </c>
      <c r="F93" s="30">
        <f>ABS(D93)/'İtme Analizi'!$G$14</f>
        <v>0</v>
      </c>
      <c r="G93" s="30">
        <f t="shared" si="2"/>
        <v>1.0222144039077723E-4</v>
      </c>
      <c r="P93" s="27"/>
      <c r="Q93" s="30"/>
      <c r="R93" s="30"/>
      <c r="S93" s="30">
        <f>ABS(Q93)/'İtme Analizi'!$G$17</f>
        <v>0</v>
      </c>
      <c r="T93" s="30">
        <f>ABS(R93)/'İtme Analizi'!$G$14</f>
        <v>0</v>
      </c>
      <c r="U93" s="30">
        <f t="shared" si="3"/>
        <v>9.2950204584968388E-5</v>
      </c>
    </row>
    <row r="94" spans="2:21" ht="13.9" customHeight="1" x14ac:dyDescent="0.2">
      <c r="B94" s="27"/>
      <c r="C94" s="30"/>
      <c r="D94" s="30"/>
      <c r="E94" s="30">
        <f>ABS(C94)/'İtme Analizi'!$G$17</f>
        <v>0</v>
      </c>
      <c r="F94" s="30">
        <f>ABS(D94)/'İtme Analizi'!$G$14</f>
        <v>0</v>
      </c>
      <c r="G94" s="30">
        <f t="shared" si="2"/>
        <v>1.0222144039077723E-4</v>
      </c>
      <c r="P94" s="27"/>
      <c r="Q94" s="30"/>
      <c r="R94" s="30"/>
      <c r="S94" s="30">
        <f>ABS(Q94)/'İtme Analizi'!$G$17</f>
        <v>0</v>
      </c>
      <c r="T94" s="30">
        <f>ABS(R94)/'İtme Analizi'!$G$14</f>
        <v>0</v>
      </c>
      <c r="U94" s="30">
        <f t="shared" si="3"/>
        <v>9.2950204584968388E-5</v>
      </c>
    </row>
    <row r="95" spans="2:21" ht="13.9" customHeight="1" x14ac:dyDescent="0.2">
      <c r="B95" s="27"/>
      <c r="C95" s="30"/>
      <c r="D95" s="30"/>
      <c r="E95" s="30">
        <f>ABS(C95)/'İtme Analizi'!$G$17</f>
        <v>0</v>
      </c>
      <c r="F95" s="30">
        <f>ABS(D95)/'İtme Analizi'!$G$14</f>
        <v>0</v>
      </c>
      <c r="G95" s="30">
        <f t="shared" si="2"/>
        <v>1.0222144039077723E-4</v>
      </c>
      <c r="P95" s="27"/>
      <c r="Q95" s="30"/>
      <c r="R95" s="30"/>
      <c r="S95" s="30">
        <f>ABS(Q95)/'İtme Analizi'!$G$17</f>
        <v>0</v>
      </c>
      <c r="T95" s="30">
        <f>ABS(R95)/'İtme Analizi'!$G$14</f>
        <v>0</v>
      </c>
      <c r="U95" s="30">
        <f t="shared" si="3"/>
        <v>9.2950204584968388E-5</v>
      </c>
    </row>
    <row r="96" spans="2:21" ht="13.9" customHeight="1" x14ac:dyDescent="0.2">
      <c r="B96" s="27"/>
      <c r="C96" s="30"/>
      <c r="D96" s="30"/>
      <c r="E96" s="30">
        <f>ABS(C96)/'İtme Analizi'!$G$17</f>
        <v>0</v>
      </c>
      <c r="F96" s="30">
        <f>ABS(D96)/'İtme Analizi'!$G$14</f>
        <v>0</v>
      </c>
      <c r="G96" s="30">
        <f t="shared" si="2"/>
        <v>1.0222144039077723E-4</v>
      </c>
      <c r="P96" s="27"/>
      <c r="Q96" s="30"/>
      <c r="R96" s="30"/>
      <c r="S96" s="30">
        <f>ABS(Q96)/'İtme Analizi'!$G$17</f>
        <v>0</v>
      </c>
      <c r="T96" s="30">
        <f>ABS(R96)/'İtme Analizi'!$G$14</f>
        <v>0</v>
      </c>
      <c r="U96" s="30">
        <f t="shared" si="3"/>
        <v>9.2950204584968388E-5</v>
      </c>
    </row>
    <row r="97" spans="2:21" ht="13.9" customHeight="1" x14ac:dyDescent="0.2">
      <c r="B97" s="27"/>
      <c r="C97" s="30"/>
      <c r="D97" s="30"/>
      <c r="E97" s="30">
        <f>ABS(C97)/'İtme Analizi'!$G$17</f>
        <v>0</v>
      </c>
      <c r="F97" s="30">
        <f>ABS(D97)/'İtme Analizi'!$G$14</f>
        <v>0</v>
      </c>
      <c r="G97" s="30">
        <f t="shared" si="2"/>
        <v>1.0222144039077723E-4</v>
      </c>
      <c r="P97" s="27"/>
      <c r="Q97" s="30"/>
      <c r="R97" s="30"/>
      <c r="S97" s="30">
        <f>ABS(Q97)/'İtme Analizi'!$G$17</f>
        <v>0</v>
      </c>
      <c r="T97" s="30">
        <f>ABS(R97)/'İtme Analizi'!$G$14</f>
        <v>0</v>
      </c>
      <c r="U97" s="30">
        <f t="shared" si="3"/>
        <v>9.2950204584968388E-5</v>
      </c>
    </row>
    <row r="98" spans="2:21" ht="13.9" customHeight="1" x14ac:dyDescent="0.2">
      <c r="B98" s="27"/>
      <c r="C98" s="30"/>
      <c r="D98" s="30"/>
      <c r="E98" s="30">
        <f>ABS(C98)/'İtme Analizi'!$G$17</f>
        <v>0</v>
      </c>
      <c r="F98" s="30">
        <f>ABS(D98)/'İtme Analizi'!$G$14</f>
        <v>0</v>
      </c>
      <c r="G98" s="30">
        <f t="shared" si="2"/>
        <v>1.0222144039077723E-4</v>
      </c>
      <c r="P98" s="27"/>
      <c r="Q98" s="30"/>
      <c r="R98" s="30"/>
      <c r="S98" s="30">
        <f>ABS(Q98)/'İtme Analizi'!$G$17</f>
        <v>0</v>
      </c>
      <c r="T98" s="30">
        <f>ABS(R98)/'İtme Analizi'!$G$14</f>
        <v>0</v>
      </c>
      <c r="U98" s="30">
        <f t="shared" si="3"/>
        <v>9.2950204584968388E-5</v>
      </c>
    </row>
    <row r="99" spans="2:21" ht="13.9" customHeight="1" x14ac:dyDescent="0.2">
      <c r="B99" s="27"/>
      <c r="C99" s="30"/>
      <c r="D99" s="30"/>
      <c r="E99" s="30">
        <f>ABS(C99)/'İtme Analizi'!$G$17</f>
        <v>0</v>
      </c>
      <c r="F99" s="30">
        <f>ABS(D99)/'İtme Analizi'!$G$14</f>
        <v>0</v>
      </c>
      <c r="G99" s="30">
        <f t="shared" si="2"/>
        <v>1.0222144039077723E-4</v>
      </c>
      <c r="P99" s="27"/>
      <c r="Q99" s="30"/>
      <c r="R99" s="30"/>
      <c r="S99" s="30">
        <f>ABS(Q99)/'İtme Analizi'!$G$17</f>
        <v>0</v>
      </c>
      <c r="T99" s="30">
        <f>ABS(R99)/'İtme Analizi'!$G$14</f>
        <v>0</v>
      </c>
      <c r="U99" s="30">
        <f t="shared" si="3"/>
        <v>9.2950204584968388E-5</v>
      </c>
    </row>
    <row r="100" spans="2:21" ht="13.9" customHeight="1" x14ac:dyDescent="0.2">
      <c r="B100" s="27"/>
      <c r="C100" s="30"/>
      <c r="D100" s="30"/>
      <c r="E100" s="30">
        <f>ABS(C100)/'İtme Analizi'!$G$17</f>
        <v>0</v>
      </c>
      <c r="F100" s="30">
        <f>ABS(D100)/'İtme Analizi'!$G$14</f>
        <v>0</v>
      </c>
      <c r="G100" s="30">
        <f t="shared" si="2"/>
        <v>1.0222144039077723E-4</v>
      </c>
      <c r="P100" s="27"/>
      <c r="Q100" s="30"/>
      <c r="R100" s="30"/>
      <c r="S100" s="30">
        <f>ABS(Q100)/'İtme Analizi'!$G$17</f>
        <v>0</v>
      </c>
      <c r="T100" s="30">
        <f>ABS(R100)/'İtme Analizi'!$G$14</f>
        <v>0</v>
      </c>
      <c r="U100" s="30">
        <f t="shared" si="3"/>
        <v>9.2950204584968388E-5</v>
      </c>
    </row>
    <row r="101" spans="2:21" ht="13.9" customHeight="1" x14ac:dyDescent="0.2">
      <c r="P101" s="27"/>
      <c r="Q101" s="30"/>
      <c r="R101" s="30"/>
      <c r="S101" s="30">
        <f>ABS(Q101)/'İtme Analizi'!$G$17</f>
        <v>0</v>
      </c>
      <c r="T101" s="30">
        <f>ABS(R101)/'İtme Analizi'!$G$14</f>
        <v>0</v>
      </c>
      <c r="U101" s="30">
        <f t="shared" si="3"/>
        <v>9.2950204584968388E-5</v>
      </c>
    </row>
    <row r="102" spans="2:21" ht="13.9" customHeight="1" x14ac:dyDescent="0.2">
      <c r="P102" s="27"/>
      <c r="Q102" s="30"/>
      <c r="R102" s="30"/>
      <c r="S102" s="30">
        <f>ABS(Q102)/'İtme Analizi'!$G$17</f>
        <v>0</v>
      </c>
      <c r="T102" s="30">
        <f>ABS(R102)/'İtme Analizi'!$G$14</f>
        <v>0</v>
      </c>
      <c r="U102" s="30">
        <f t="shared" si="3"/>
        <v>9.2950204584968388E-5</v>
      </c>
    </row>
    <row r="103" spans="2:21" ht="13.9" customHeight="1" x14ac:dyDescent="0.2">
      <c r="P103" s="27"/>
      <c r="Q103" s="30"/>
      <c r="R103" s="30"/>
      <c r="S103" s="30">
        <f>ABS(Q103)/'İtme Analizi'!$G$17</f>
        <v>0</v>
      </c>
      <c r="T103" s="30">
        <f>ABS(R103)/'İtme Analizi'!$G$14</f>
        <v>0</v>
      </c>
      <c r="U103" s="30">
        <f t="shared" si="3"/>
        <v>9.2950204584968388E-5</v>
      </c>
    </row>
    <row r="104" spans="2:21" ht="13.9" customHeight="1" x14ac:dyDescent="0.2">
      <c r="P104" s="27"/>
      <c r="Q104" s="30"/>
      <c r="R104" s="30"/>
      <c r="S104" s="30">
        <f>ABS(Q104)/'İtme Analizi'!$G$17</f>
        <v>0</v>
      </c>
      <c r="T104" s="30">
        <f>ABS(R104)/'İtme Analizi'!$G$14</f>
        <v>0</v>
      </c>
      <c r="U104" s="30">
        <f t="shared" si="3"/>
        <v>9.2950204584968388E-5</v>
      </c>
    </row>
    <row r="105" spans="2:21" ht="13.9" customHeight="1" x14ac:dyDescent="0.2">
      <c r="P105" s="27"/>
      <c r="Q105" s="30"/>
      <c r="R105" s="30"/>
      <c r="S105" s="30">
        <f>ABS(Q105)/'İtme Analizi'!$G$17</f>
        <v>0</v>
      </c>
      <c r="T105" s="30">
        <f>ABS(R105)/'İtme Analizi'!$G$14</f>
        <v>0</v>
      </c>
      <c r="U105" s="30">
        <f t="shared" si="3"/>
        <v>9.2950204584968388E-5</v>
      </c>
    </row>
    <row r="106" spans="2:21" ht="13.9" customHeight="1" x14ac:dyDescent="0.2">
      <c r="P106" s="27"/>
      <c r="Q106" s="30"/>
      <c r="R106" s="30"/>
      <c r="S106" s="30">
        <f>ABS(Q106)/'İtme Analizi'!$G$17</f>
        <v>0</v>
      </c>
      <c r="T106" s="30">
        <f>ABS(R106)/'İtme Analizi'!$G$14</f>
        <v>0</v>
      </c>
      <c r="U106" s="30">
        <f t="shared" si="3"/>
        <v>9.2950204584968388E-5</v>
      </c>
    </row>
    <row r="107" spans="2:21" ht="13.9" customHeight="1" x14ac:dyDescent="0.2">
      <c r="P107" s="27"/>
      <c r="Q107" s="30"/>
      <c r="R107" s="30"/>
      <c r="S107" s="30">
        <f>ABS(Q107)/'İtme Analizi'!$G$17</f>
        <v>0</v>
      </c>
      <c r="T107" s="30">
        <f>ABS(R107)/'İtme Analizi'!$G$14</f>
        <v>0</v>
      </c>
      <c r="U107" s="30">
        <f t="shared" si="3"/>
        <v>9.2950204584968388E-5</v>
      </c>
    </row>
    <row r="108" spans="2:21" ht="13.9" customHeight="1" x14ac:dyDescent="0.2">
      <c r="P108" s="27"/>
      <c r="Q108" s="30"/>
      <c r="R108" s="30"/>
      <c r="S108" s="30">
        <f>ABS(Q108)/'İtme Analizi'!$G$17</f>
        <v>0</v>
      </c>
      <c r="T108" s="30">
        <f>ABS(R108)/'İtme Analizi'!$G$14</f>
        <v>0</v>
      </c>
      <c r="U108" s="30">
        <f t="shared" si="3"/>
        <v>9.2950204584968388E-5</v>
      </c>
    </row>
    <row r="109" spans="2:21" ht="13.9" customHeight="1" x14ac:dyDescent="0.2">
      <c r="P109" s="27"/>
      <c r="Q109" s="30"/>
      <c r="R109" s="30"/>
      <c r="S109" s="30">
        <f>ABS(Q109)/'İtme Analizi'!$G$17</f>
        <v>0</v>
      </c>
      <c r="T109" s="30">
        <f>ABS(R109)/'İtme Analizi'!$G$14</f>
        <v>0</v>
      </c>
      <c r="U109" s="30">
        <f t="shared" si="3"/>
        <v>9.2950204584968388E-5</v>
      </c>
    </row>
    <row r="110" spans="2:21" ht="13.9" customHeight="1" x14ac:dyDescent="0.2">
      <c r="P110" s="27"/>
      <c r="Q110" s="30"/>
      <c r="R110" s="30"/>
      <c r="S110" s="30">
        <f>ABS(Q110)/'İtme Analizi'!$G$17</f>
        <v>0</v>
      </c>
      <c r="T110" s="30">
        <f>ABS(R110)/'İtme Analizi'!$G$14</f>
        <v>0</v>
      </c>
      <c r="U110" s="30">
        <f t="shared" si="3"/>
        <v>9.2950204584968388E-5</v>
      </c>
    </row>
    <row r="111" spans="2:21" ht="13.9" customHeight="1" x14ac:dyDescent="0.2">
      <c r="P111" s="27"/>
      <c r="Q111" s="30"/>
      <c r="R111" s="30"/>
      <c r="S111" s="30">
        <f>ABS(Q111)/'İtme Analizi'!$G$17</f>
        <v>0</v>
      </c>
      <c r="T111" s="30">
        <f>ABS(R111)/'İtme Analizi'!$G$14</f>
        <v>0</v>
      </c>
      <c r="U111" s="30">
        <f t="shared" si="3"/>
        <v>9.2950204584968388E-5</v>
      </c>
    </row>
    <row r="112" spans="2:21" ht="13.9" customHeight="1" x14ac:dyDescent="0.2">
      <c r="P112" s="27"/>
      <c r="Q112" s="30"/>
      <c r="R112" s="30"/>
      <c r="S112" s="30">
        <f>ABS(Q112)/'İtme Analizi'!$G$17</f>
        <v>0</v>
      </c>
      <c r="T112" s="30">
        <f>ABS(R112)/'İtme Analizi'!$G$14</f>
        <v>0</v>
      </c>
      <c r="U112" s="30">
        <f t="shared" si="3"/>
        <v>9.2950204584968388E-5</v>
      </c>
    </row>
    <row r="113" spans="16:21" ht="13.9" customHeight="1" x14ac:dyDescent="0.2">
      <c r="P113" s="27"/>
      <c r="Q113" s="30"/>
      <c r="R113" s="30"/>
      <c r="S113" s="30">
        <f>ABS(Q113)/'İtme Analizi'!$G$17</f>
        <v>0</v>
      </c>
      <c r="T113" s="30">
        <f>ABS(R113)/'İtme Analizi'!$G$14</f>
        <v>0</v>
      </c>
      <c r="U113" s="30">
        <f t="shared" si="3"/>
        <v>9.2950204584968388E-5</v>
      </c>
    </row>
    <row r="114" spans="16:21" ht="13.9" customHeight="1" x14ac:dyDescent="0.2">
      <c r="P114" s="27"/>
      <c r="Q114" s="30"/>
      <c r="R114" s="30"/>
      <c r="S114" s="30">
        <f>ABS(Q114)/'İtme Analizi'!$G$17</f>
        <v>0</v>
      </c>
      <c r="T114" s="30">
        <f>ABS(R114)/'İtme Analizi'!$G$14</f>
        <v>0</v>
      </c>
      <c r="U114" s="30">
        <f t="shared" si="3"/>
        <v>9.2950204584968388E-5</v>
      </c>
    </row>
    <row r="115" spans="16:21" ht="13.9" customHeight="1" x14ac:dyDescent="0.2">
      <c r="P115" s="27"/>
      <c r="Q115" s="30"/>
      <c r="R115" s="30"/>
      <c r="S115" s="30">
        <f>ABS(Q115)/'İtme Analizi'!$G$17</f>
        <v>0</v>
      </c>
      <c r="T115" s="30">
        <f>ABS(R115)/'İtme Analizi'!$G$14</f>
        <v>0</v>
      </c>
      <c r="U115" s="30">
        <f t="shared" si="3"/>
        <v>9.2950204584968388E-5</v>
      </c>
    </row>
    <row r="116" spans="16:21" ht="13.9" customHeight="1" x14ac:dyDescent="0.2">
      <c r="P116" s="27"/>
      <c r="Q116" s="30"/>
      <c r="R116" s="30"/>
      <c r="S116" s="30">
        <f>ABS(Q116)/'İtme Analizi'!$G$17</f>
        <v>0</v>
      </c>
      <c r="T116" s="30">
        <f>ABS(R116)/'İtme Analizi'!$G$14</f>
        <v>0</v>
      </c>
      <c r="U116" s="30">
        <f t="shared" si="3"/>
        <v>9.2950204584968388E-5</v>
      </c>
    </row>
    <row r="117" spans="16:21" ht="13.9" customHeight="1" x14ac:dyDescent="0.2">
      <c r="P117" s="27"/>
      <c r="Q117" s="30"/>
      <c r="R117" s="30"/>
      <c r="S117" s="30">
        <f>ABS(Q117)/'İtme Analizi'!$G$17</f>
        <v>0</v>
      </c>
      <c r="T117" s="30">
        <f>ABS(R117)/'İtme Analizi'!$G$14</f>
        <v>0</v>
      </c>
      <c r="U117" s="30">
        <f t="shared" si="3"/>
        <v>9.2950204584968388E-5</v>
      </c>
    </row>
    <row r="118" spans="16:21" ht="13.9" customHeight="1" x14ac:dyDescent="0.2">
      <c r="P118" s="27"/>
      <c r="Q118" s="30"/>
      <c r="R118" s="30"/>
      <c r="S118" s="30">
        <f>ABS(Q118)/'İtme Analizi'!$G$17</f>
        <v>0</v>
      </c>
      <c r="T118" s="30">
        <f>ABS(R118)/'İtme Analizi'!$G$14</f>
        <v>0</v>
      </c>
      <c r="U118" s="30">
        <f t="shared" si="3"/>
        <v>9.2950204584968388E-5</v>
      </c>
    </row>
    <row r="119" spans="16:21" ht="13.9" customHeight="1" x14ac:dyDescent="0.2">
      <c r="P119" s="27"/>
      <c r="Q119" s="30"/>
      <c r="R119" s="30"/>
      <c r="S119" s="30">
        <f>ABS(Q119)/'İtme Analizi'!$G$17</f>
        <v>0</v>
      </c>
      <c r="T119" s="30">
        <f>ABS(R119)/'İtme Analizi'!$G$14</f>
        <v>0</v>
      </c>
      <c r="U119" s="30">
        <f t="shared" si="3"/>
        <v>9.2950204584968388E-5</v>
      </c>
    </row>
    <row r="120" spans="16:21" ht="13.9" customHeight="1" x14ac:dyDescent="0.2">
      <c r="P120" s="27"/>
      <c r="Q120" s="30"/>
      <c r="R120" s="30"/>
      <c r="S120" s="30">
        <f>ABS(Q120)/'İtme Analizi'!$G$17</f>
        <v>0</v>
      </c>
      <c r="T120" s="30">
        <f>ABS(R120)/'İtme Analizi'!$G$14</f>
        <v>0</v>
      </c>
      <c r="U120" s="30">
        <f t="shared" si="3"/>
        <v>9.2950204584968388E-5</v>
      </c>
    </row>
    <row r="121" spans="16:21" ht="13.9" customHeight="1" x14ac:dyDescent="0.2">
      <c r="P121" s="27"/>
      <c r="Q121" s="30"/>
      <c r="R121" s="30"/>
      <c r="S121" s="30">
        <f>ABS(Q121)/'İtme Analizi'!$G$17</f>
        <v>0</v>
      </c>
      <c r="T121" s="30">
        <f>ABS(R121)/'İtme Analizi'!$G$14</f>
        <v>0</v>
      </c>
      <c r="U121" s="30">
        <f t="shared" si="3"/>
        <v>9.2950204584968388E-5</v>
      </c>
    </row>
    <row r="122" spans="16:21" ht="13.9" customHeight="1" x14ac:dyDescent="0.2">
      <c r="P122" s="27"/>
      <c r="Q122" s="30"/>
      <c r="R122" s="30"/>
      <c r="S122" s="30">
        <f>ABS(Q122)/'İtme Analizi'!$G$17</f>
        <v>0</v>
      </c>
      <c r="T122" s="30">
        <f>ABS(R122)/'İtme Analizi'!$G$14</f>
        <v>0</v>
      </c>
      <c r="U122" s="30">
        <f t="shared" si="3"/>
        <v>9.2950204584968388E-5</v>
      </c>
    </row>
    <row r="123" spans="16:21" ht="13.9" customHeight="1" x14ac:dyDescent="0.2">
      <c r="P123" s="27"/>
      <c r="Q123" s="30"/>
      <c r="R123" s="30"/>
      <c r="S123" s="30">
        <f>ABS(Q123)/'İtme Analizi'!$G$17</f>
        <v>0</v>
      </c>
      <c r="T123" s="30">
        <f>ABS(R123)/'İtme Analizi'!$G$14</f>
        <v>0</v>
      </c>
      <c r="U123" s="30">
        <f t="shared" si="3"/>
        <v>9.2950204584968388E-5</v>
      </c>
    </row>
    <row r="124" spans="16:21" ht="13.9" customHeight="1" x14ac:dyDescent="0.2">
      <c r="P124" s="27"/>
      <c r="Q124" s="30"/>
      <c r="R124" s="30"/>
      <c r="S124" s="30">
        <f>ABS(Q124)/'İtme Analizi'!$G$17</f>
        <v>0</v>
      </c>
      <c r="T124" s="30">
        <f>ABS(R124)/'İtme Analizi'!$G$14</f>
        <v>0</v>
      </c>
      <c r="U124" s="30">
        <f t="shared" si="3"/>
        <v>9.2950204584968388E-5</v>
      </c>
    </row>
    <row r="125" spans="16:21" ht="13.9" customHeight="1" x14ac:dyDescent="0.2">
      <c r="P125" s="27"/>
      <c r="Q125" s="30"/>
      <c r="R125" s="30"/>
      <c r="S125" s="30">
        <f>ABS(Q125)/'İtme Analizi'!$G$17</f>
        <v>0</v>
      </c>
      <c r="T125" s="30">
        <f>ABS(R125)/'İtme Analizi'!$G$14</f>
        <v>0</v>
      </c>
      <c r="U125" s="30">
        <f t="shared" si="3"/>
        <v>9.2950204584968388E-5</v>
      </c>
    </row>
    <row r="126" spans="16:21" ht="13.9" customHeight="1" x14ac:dyDescent="0.2">
      <c r="P126" s="27"/>
      <c r="Q126" s="30"/>
      <c r="R126" s="30"/>
      <c r="S126" s="30">
        <f>ABS(Q126)/'İtme Analizi'!$G$17</f>
        <v>0</v>
      </c>
      <c r="T126" s="30">
        <f>ABS(R126)/'İtme Analizi'!$G$14</f>
        <v>0</v>
      </c>
      <c r="U126" s="30">
        <f t="shared" si="3"/>
        <v>9.2950204584968388E-5</v>
      </c>
    </row>
    <row r="127" spans="16:21" ht="13.9" customHeight="1" x14ac:dyDescent="0.2">
      <c r="P127" s="27"/>
      <c r="Q127" s="30"/>
      <c r="R127" s="30"/>
      <c r="S127" s="30">
        <f>ABS(Q127)/'İtme Analizi'!$G$17</f>
        <v>0</v>
      </c>
      <c r="T127" s="30">
        <f>ABS(R127)/'İtme Analizi'!$G$14</f>
        <v>0</v>
      </c>
      <c r="U127" s="30">
        <f t="shared" si="3"/>
        <v>9.2950204584968388E-5</v>
      </c>
    </row>
    <row r="128" spans="16:21" ht="13.9" customHeight="1" x14ac:dyDescent="0.2">
      <c r="P128" s="27"/>
      <c r="Q128" s="30"/>
      <c r="R128" s="30"/>
      <c r="S128" s="30">
        <f>ABS(Q128)/'İtme Analizi'!$G$17</f>
        <v>0</v>
      </c>
      <c r="T128" s="30">
        <f>ABS(R128)/'İtme Analizi'!$G$14</f>
        <v>0</v>
      </c>
      <c r="U128" s="30">
        <f t="shared" si="3"/>
        <v>9.2950204584968388E-5</v>
      </c>
    </row>
    <row r="129" spans="16:21" ht="13.9" customHeight="1" x14ac:dyDescent="0.2">
      <c r="P129" s="27"/>
      <c r="Q129" s="30"/>
      <c r="R129" s="30"/>
      <c r="S129" s="30">
        <f>ABS(Q129)/'İtme Analizi'!$G$17</f>
        <v>0</v>
      </c>
      <c r="T129" s="30">
        <f>ABS(R129)/'İtme Analizi'!$G$14</f>
        <v>0</v>
      </c>
      <c r="U129" s="30">
        <f t="shared" si="3"/>
        <v>9.2950204584968388E-5</v>
      </c>
    </row>
    <row r="130" spans="16:21" ht="13.9" customHeight="1" x14ac:dyDescent="0.2">
      <c r="P130" s="27"/>
      <c r="Q130" s="30"/>
      <c r="R130" s="30"/>
      <c r="S130" s="30">
        <f>ABS(Q130)/'İtme Analizi'!$G$17</f>
        <v>0</v>
      </c>
      <c r="T130" s="30">
        <f>ABS(R130)/'İtme Analizi'!$G$14</f>
        <v>0</v>
      </c>
      <c r="U130" s="30">
        <f t="shared" si="3"/>
        <v>9.2950204584968388E-5</v>
      </c>
    </row>
    <row r="131" spans="16:21" ht="13.9" customHeight="1" x14ac:dyDescent="0.2">
      <c r="P131" s="27"/>
      <c r="Q131" s="30"/>
      <c r="R131" s="30"/>
      <c r="S131" s="30">
        <f>ABS(Q131)/'İtme Analizi'!$G$17</f>
        <v>0</v>
      </c>
      <c r="T131" s="30">
        <f>ABS(R131)/'İtme Analizi'!$G$14</f>
        <v>0</v>
      </c>
      <c r="U131" s="30">
        <f t="shared" si="3"/>
        <v>9.2950204584968388E-5</v>
      </c>
    </row>
    <row r="132" spans="16:21" ht="13.9" customHeight="1" x14ac:dyDescent="0.2">
      <c r="P132" s="27"/>
      <c r="Q132" s="30"/>
      <c r="R132" s="30"/>
      <c r="S132" s="30">
        <f>ABS(Q132)/'İtme Analizi'!$G$17</f>
        <v>0</v>
      </c>
      <c r="T132" s="30">
        <f>ABS(R132)/'İtme Analizi'!$G$14</f>
        <v>0</v>
      </c>
      <c r="U132" s="30">
        <f t="shared" si="3"/>
        <v>9.2950204584968388E-5</v>
      </c>
    </row>
    <row r="133" spans="16:21" ht="13.9" customHeight="1" x14ac:dyDescent="0.2">
      <c r="P133" s="27"/>
      <c r="Q133" s="30"/>
      <c r="R133" s="30"/>
      <c r="S133" s="30">
        <f>ABS(Q133)/'İtme Analizi'!$G$17</f>
        <v>0</v>
      </c>
      <c r="T133" s="30">
        <f>ABS(R133)/'İtme Analizi'!$G$14</f>
        <v>0</v>
      </c>
      <c r="U133" s="30">
        <f t="shared" si="3"/>
        <v>9.2950204584968388E-5</v>
      </c>
    </row>
    <row r="134" spans="16:21" ht="13.9" customHeight="1" x14ac:dyDescent="0.2">
      <c r="P134" s="27"/>
      <c r="Q134" s="30"/>
      <c r="R134" s="30"/>
      <c r="S134" s="30">
        <f>ABS(Q134)/'İtme Analizi'!$G$17</f>
        <v>0</v>
      </c>
      <c r="T134" s="30">
        <f>ABS(R134)/'İtme Analizi'!$G$14</f>
        <v>0</v>
      </c>
      <c r="U134" s="30">
        <f t="shared" si="3"/>
        <v>9.2950204584968388E-5</v>
      </c>
    </row>
    <row r="135" spans="16:21" ht="13.9" customHeight="1" x14ac:dyDescent="0.2">
      <c r="P135" s="27"/>
      <c r="Q135" s="30"/>
      <c r="R135" s="30"/>
      <c r="S135" s="30">
        <f>ABS(Q135)/'İtme Analizi'!$G$17</f>
        <v>0</v>
      </c>
      <c r="T135" s="30">
        <f>ABS(R135)/'İtme Analizi'!$G$14</f>
        <v>0</v>
      </c>
      <c r="U135" s="30">
        <f t="shared" si="3"/>
        <v>9.2950204584968388E-5</v>
      </c>
    </row>
    <row r="136" spans="16:21" ht="13.9" customHeight="1" x14ac:dyDescent="0.2">
      <c r="P136" s="27"/>
      <c r="Q136" s="30"/>
      <c r="R136" s="30"/>
      <c r="S136" s="30">
        <f>ABS(Q136)/'İtme Analizi'!$G$17</f>
        <v>0</v>
      </c>
      <c r="T136" s="30">
        <f>ABS(R136)/'İtme Analizi'!$G$14</f>
        <v>0</v>
      </c>
      <c r="U136" s="30">
        <f t="shared" si="3"/>
        <v>9.2950204584968388E-5</v>
      </c>
    </row>
    <row r="137" spans="16:21" ht="13.9" customHeight="1" x14ac:dyDescent="0.2">
      <c r="P137" s="27"/>
      <c r="Q137" s="30"/>
      <c r="R137" s="30"/>
      <c r="S137" s="30">
        <f>ABS(Q137)/'İtme Analizi'!$G$17</f>
        <v>0</v>
      </c>
      <c r="T137" s="30">
        <f>ABS(R137)/'İtme Analizi'!$G$14</f>
        <v>0</v>
      </c>
      <c r="U137" s="30">
        <f t="shared" ref="U137:U200" si="4">U136+(S137-S136)*((T137+T136)/2)</f>
        <v>9.2950204584968388E-5</v>
      </c>
    </row>
    <row r="138" spans="16:21" ht="13.9" customHeight="1" x14ac:dyDescent="0.2">
      <c r="P138" s="27"/>
      <c r="Q138" s="30"/>
      <c r="R138" s="30"/>
      <c r="S138" s="30">
        <f>ABS(Q138)/'İtme Analizi'!$G$17</f>
        <v>0</v>
      </c>
      <c r="T138" s="30">
        <f>ABS(R138)/'İtme Analizi'!$G$14</f>
        <v>0</v>
      </c>
      <c r="U138" s="30">
        <f t="shared" si="4"/>
        <v>9.2950204584968388E-5</v>
      </c>
    </row>
    <row r="139" spans="16:21" ht="13.9" customHeight="1" x14ac:dyDescent="0.2">
      <c r="P139" s="27"/>
      <c r="Q139" s="30"/>
      <c r="R139" s="30"/>
      <c r="S139" s="30">
        <f>ABS(Q139)/'İtme Analizi'!$G$17</f>
        <v>0</v>
      </c>
      <c r="T139" s="30">
        <f>ABS(R139)/'İtme Analizi'!$G$14</f>
        <v>0</v>
      </c>
      <c r="U139" s="30">
        <f t="shared" si="4"/>
        <v>9.2950204584968388E-5</v>
      </c>
    </row>
    <row r="140" spans="16:21" ht="13.9" customHeight="1" x14ac:dyDescent="0.2">
      <c r="P140" s="27"/>
      <c r="Q140" s="30"/>
      <c r="R140" s="30"/>
      <c r="S140" s="30">
        <f>ABS(Q140)/'İtme Analizi'!$G$17</f>
        <v>0</v>
      </c>
      <c r="T140" s="30">
        <f>ABS(R140)/'İtme Analizi'!$G$14</f>
        <v>0</v>
      </c>
      <c r="U140" s="30">
        <f t="shared" si="4"/>
        <v>9.2950204584968388E-5</v>
      </c>
    </row>
    <row r="141" spans="16:21" ht="13.9" customHeight="1" x14ac:dyDescent="0.2">
      <c r="P141" s="27"/>
      <c r="Q141" s="30"/>
      <c r="R141" s="30"/>
      <c r="S141" s="30">
        <f>ABS(Q141)/'İtme Analizi'!$G$17</f>
        <v>0</v>
      </c>
      <c r="T141" s="30">
        <f>ABS(R141)/'İtme Analizi'!$G$14</f>
        <v>0</v>
      </c>
      <c r="U141" s="30">
        <f t="shared" si="4"/>
        <v>9.2950204584968388E-5</v>
      </c>
    </row>
    <row r="142" spans="16:21" ht="13.9" customHeight="1" x14ac:dyDescent="0.2">
      <c r="P142" s="27"/>
      <c r="Q142" s="30"/>
      <c r="R142" s="30"/>
      <c r="S142" s="30">
        <f>ABS(Q142)/'İtme Analizi'!$G$17</f>
        <v>0</v>
      </c>
      <c r="T142" s="30">
        <f>ABS(R142)/'İtme Analizi'!$G$14</f>
        <v>0</v>
      </c>
      <c r="U142" s="30">
        <f t="shared" si="4"/>
        <v>9.2950204584968388E-5</v>
      </c>
    </row>
    <row r="143" spans="16:21" ht="13.9" customHeight="1" x14ac:dyDescent="0.2">
      <c r="P143" s="27"/>
      <c r="Q143" s="30"/>
      <c r="R143" s="30"/>
      <c r="S143" s="30">
        <f>ABS(Q143)/'İtme Analizi'!$G$17</f>
        <v>0</v>
      </c>
      <c r="T143" s="30">
        <f>ABS(R143)/'İtme Analizi'!$G$14</f>
        <v>0</v>
      </c>
      <c r="U143" s="30">
        <f t="shared" si="4"/>
        <v>9.2950204584968388E-5</v>
      </c>
    </row>
    <row r="144" spans="16:21" ht="13.9" customHeight="1" x14ac:dyDescent="0.2">
      <c r="P144" s="27"/>
      <c r="Q144" s="30"/>
      <c r="R144" s="30"/>
      <c r="S144" s="30">
        <f>ABS(Q144)/'İtme Analizi'!$G$17</f>
        <v>0</v>
      </c>
      <c r="T144" s="30">
        <f>ABS(R144)/'İtme Analizi'!$G$14</f>
        <v>0</v>
      </c>
      <c r="U144" s="30">
        <f t="shared" si="4"/>
        <v>9.2950204584968388E-5</v>
      </c>
    </row>
    <row r="145" spans="16:21" ht="13.9" customHeight="1" x14ac:dyDescent="0.2">
      <c r="P145" s="27"/>
      <c r="Q145" s="30"/>
      <c r="R145" s="30"/>
      <c r="S145" s="30">
        <f>ABS(Q145)/'İtme Analizi'!$G$17</f>
        <v>0</v>
      </c>
      <c r="T145" s="30">
        <f>ABS(R145)/'İtme Analizi'!$G$14</f>
        <v>0</v>
      </c>
      <c r="U145" s="30">
        <f t="shared" si="4"/>
        <v>9.2950204584968388E-5</v>
      </c>
    </row>
    <row r="146" spans="16:21" ht="13.9" customHeight="1" x14ac:dyDescent="0.2">
      <c r="P146" s="27"/>
      <c r="Q146" s="30"/>
      <c r="R146" s="30"/>
      <c r="S146" s="30">
        <f>ABS(Q146)/'İtme Analizi'!$G$17</f>
        <v>0</v>
      </c>
      <c r="T146" s="30">
        <f>ABS(R146)/'İtme Analizi'!$G$14</f>
        <v>0</v>
      </c>
      <c r="U146" s="30">
        <f t="shared" si="4"/>
        <v>9.2950204584968388E-5</v>
      </c>
    </row>
    <row r="147" spans="16:21" ht="13.9" customHeight="1" x14ac:dyDescent="0.2">
      <c r="P147" s="27"/>
      <c r="Q147" s="30"/>
      <c r="R147" s="30"/>
      <c r="S147" s="30">
        <f>ABS(Q147)/'İtme Analizi'!$G$17</f>
        <v>0</v>
      </c>
      <c r="T147" s="30">
        <f>ABS(R147)/'İtme Analizi'!$G$14</f>
        <v>0</v>
      </c>
      <c r="U147" s="30">
        <f t="shared" si="4"/>
        <v>9.2950204584968388E-5</v>
      </c>
    </row>
    <row r="148" spans="16:21" ht="13.9" customHeight="1" x14ac:dyDescent="0.2">
      <c r="P148" s="27"/>
      <c r="Q148" s="30"/>
      <c r="R148" s="30"/>
      <c r="S148" s="30">
        <f>ABS(Q148)/'İtme Analizi'!$G$17</f>
        <v>0</v>
      </c>
      <c r="T148" s="30">
        <f>ABS(R148)/'İtme Analizi'!$G$14</f>
        <v>0</v>
      </c>
      <c r="U148" s="30">
        <f t="shared" si="4"/>
        <v>9.2950204584968388E-5</v>
      </c>
    </row>
    <row r="149" spans="16:21" ht="13.9" customHeight="1" x14ac:dyDescent="0.2">
      <c r="P149" s="27"/>
      <c r="Q149" s="30"/>
      <c r="R149" s="30"/>
      <c r="S149" s="30">
        <f>ABS(Q149)/'İtme Analizi'!$G$17</f>
        <v>0</v>
      </c>
      <c r="T149" s="30">
        <f>ABS(R149)/'İtme Analizi'!$G$14</f>
        <v>0</v>
      </c>
      <c r="U149" s="30">
        <f t="shared" si="4"/>
        <v>9.2950204584968388E-5</v>
      </c>
    </row>
    <row r="150" spans="16:21" ht="13.9" customHeight="1" x14ac:dyDescent="0.2">
      <c r="P150" s="27"/>
      <c r="Q150" s="30"/>
      <c r="R150" s="30"/>
      <c r="S150" s="30">
        <f>ABS(Q150)/'İtme Analizi'!$G$17</f>
        <v>0</v>
      </c>
      <c r="T150" s="30">
        <f>ABS(R150)/'İtme Analizi'!$G$14</f>
        <v>0</v>
      </c>
      <c r="U150" s="30">
        <f t="shared" si="4"/>
        <v>9.2950204584968388E-5</v>
      </c>
    </row>
    <row r="151" spans="16:21" ht="13.9" customHeight="1" x14ac:dyDescent="0.2">
      <c r="P151" s="27"/>
      <c r="Q151" s="30"/>
      <c r="R151" s="30"/>
      <c r="S151" s="30">
        <f>ABS(Q151)/'İtme Analizi'!$G$17</f>
        <v>0</v>
      </c>
      <c r="T151" s="30">
        <f>ABS(R151)/'İtme Analizi'!$G$14</f>
        <v>0</v>
      </c>
      <c r="U151" s="30">
        <f t="shared" si="4"/>
        <v>9.2950204584968388E-5</v>
      </c>
    </row>
    <row r="152" spans="16:21" ht="13.9" customHeight="1" x14ac:dyDescent="0.2">
      <c r="P152" s="27"/>
      <c r="Q152" s="30"/>
      <c r="R152" s="30"/>
      <c r="S152" s="30">
        <f>ABS(Q152)/'İtme Analizi'!$G$17</f>
        <v>0</v>
      </c>
      <c r="T152" s="30">
        <f>ABS(R152)/'İtme Analizi'!$G$14</f>
        <v>0</v>
      </c>
      <c r="U152" s="30">
        <f t="shared" si="4"/>
        <v>9.2950204584968388E-5</v>
      </c>
    </row>
    <row r="153" spans="16:21" ht="13.9" customHeight="1" x14ac:dyDescent="0.2">
      <c r="P153" s="27"/>
      <c r="Q153" s="30"/>
      <c r="R153" s="30"/>
      <c r="S153" s="30">
        <f>ABS(Q153)/'İtme Analizi'!$G$17</f>
        <v>0</v>
      </c>
      <c r="T153" s="30">
        <f>ABS(R153)/'İtme Analizi'!$G$14</f>
        <v>0</v>
      </c>
      <c r="U153" s="30">
        <f t="shared" si="4"/>
        <v>9.2950204584968388E-5</v>
      </c>
    </row>
    <row r="154" spans="16:21" ht="13.9" customHeight="1" x14ac:dyDescent="0.2">
      <c r="P154" s="27"/>
      <c r="Q154" s="30"/>
      <c r="R154" s="30"/>
      <c r="S154" s="30">
        <f>ABS(Q154)/'İtme Analizi'!$G$17</f>
        <v>0</v>
      </c>
      <c r="T154" s="30">
        <f>ABS(R154)/'İtme Analizi'!$G$14</f>
        <v>0</v>
      </c>
      <c r="U154" s="30">
        <f t="shared" si="4"/>
        <v>9.2950204584968388E-5</v>
      </c>
    </row>
    <row r="155" spans="16:21" ht="13.9" customHeight="1" x14ac:dyDescent="0.2">
      <c r="P155" s="27"/>
      <c r="Q155" s="30"/>
      <c r="R155" s="30"/>
      <c r="S155" s="30">
        <f>ABS(Q155)/'İtme Analizi'!$G$17</f>
        <v>0</v>
      </c>
      <c r="T155" s="30">
        <f>ABS(R155)/'İtme Analizi'!$G$14</f>
        <v>0</v>
      </c>
      <c r="U155" s="30">
        <f t="shared" si="4"/>
        <v>9.2950204584968388E-5</v>
      </c>
    </row>
    <row r="156" spans="16:21" ht="13.9" customHeight="1" x14ac:dyDescent="0.2">
      <c r="P156" s="27"/>
      <c r="Q156" s="30"/>
      <c r="R156" s="30"/>
      <c r="S156" s="30">
        <f>ABS(Q156)/'İtme Analizi'!$G$17</f>
        <v>0</v>
      </c>
      <c r="T156" s="30">
        <f>ABS(R156)/'İtme Analizi'!$G$14</f>
        <v>0</v>
      </c>
      <c r="U156" s="30">
        <f t="shared" si="4"/>
        <v>9.2950204584968388E-5</v>
      </c>
    </row>
    <row r="157" spans="16:21" ht="13.9" customHeight="1" x14ac:dyDescent="0.2">
      <c r="P157" s="27"/>
      <c r="Q157" s="30"/>
      <c r="R157" s="30"/>
      <c r="S157" s="30">
        <f>ABS(Q157)/'İtme Analizi'!$G$17</f>
        <v>0</v>
      </c>
      <c r="T157" s="30">
        <f>ABS(R157)/'İtme Analizi'!$G$14</f>
        <v>0</v>
      </c>
      <c r="U157" s="30">
        <f t="shared" si="4"/>
        <v>9.2950204584968388E-5</v>
      </c>
    </row>
    <row r="158" spans="16:21" ht="13.9" customHeight="1" x14ac:dyDescent="0.2">
      <c r="P158" s="27"/>
      <c r="Q158" s="30"/>
      <c r="R158" s="30"/>
      <c r="S158" s="30">
        <f>ABS(Q158)/'İtme Analizi'!$G$17</f>
        <v>0</v>
      </c>
      <c r="T158" s="30">
        <f>ABS(R158)/'İtme Analizi'!$G$14</f>
        <v>0</v>
      </c>
      <c r="U158" s="30">
        <f t="shared" si="4"/>
        <v>9.2950204584968388E-5</v>
      </c>
    </row>
    <row r="159" spans="16:21" ht="13.9" customHeight="1" x14ac:dyDescent="0.2">
      <c r="P159" s="27"/>
      <c r="Q159" s="30"/>
      <c r="R159" s="30"/>
      <c r="S159" s="30">
        <f>ABS(Q159)/'İtme Analizi'!$G$17</f>
        <v>0</v>
      </c>
      <c r="T159" s="30">
        <f>ABS(R159)/'İtme Analizi'!$G$14</f>
        <v>0</v>
      </c>
      <c r="U159" s="30">
        <f t="shared" si="4"/>
        <v>9.2950204584968388E-5</v>
      </c>
    </row>
    <row r="160" spans="16:21" ht="13.9" customHeight="1" x14ac:dyDescent="0.2">
      <c r="P160" s="27"/>
      <c r="Q160" s="30"/>
      <c r="R160" s="30"/>
      <c r="S160" s="30">
        <f>ABS(Q160)/'İtme Analizi'!$G$17</f>
        <v>0</v>
      </c>
      <c r="T160" s="30">
        <f>ABS(R160)/'İtme Analizi'!$G$14</f>
        <v>0</v>
      </c>
      <c r="U160" s="30">
        <f t="shared" si="4"/>
        <v>9.2950204584968388E-5</v>
      </c>
    </row>
    <row r="161" spans="16:21" ht="13.9" customHeight="1" x14ac:dyDescent="0.2">
      <c r="P161" s="27"/>
      <c r="Q161" s="30"/>
      <c r="R161" s="30"/>
      <c r="S161" s="30">
        <f>ABS(Q161)/'İtme Analizi'!$G$17</f>
        <v>0</v>
      </c>
      <c r="T161" s="30">
        <f>ABS(R161)/'İtme Analizi'!$G$14</f>
        <v>0</v>
      </c>
      <c r="U161" s="30">
        <f t="shared" si="4"/>
        <v>9.2950204584968388E-5</v>
      </c>
    </row>
    <row r="162" spans="16:21" ht="13.9" customHeight="1" x14ac:dyDescent="0.2">
      <c r="P162" s="27"/>
      <c r="Q162" s="30"/>
      <c r="R162" s="30"/>
      <c r="S162" s="30">
        <f>ABS(Q162)/'İtme Analizi'!$G$17</f>
        <v>0</v>
      </c>
      <c r="T162" s="30">
        <f>ABS(R162)/'İtme Analizi'!$G$14</f>
        <v>0</v>
      </c>
      <c r="U162" s="30">
        <f t="shared" si="4"/>
        <v>9.2950204584968388E-5</v>
      </c>
    </row>
    <row r="163" spans="16:21" ht="13.9" customHeight="1" x14ac:dyDescent="0.2">
      <c r="P163" s="27"/>
      <c r="Q163" s="30"/>
      <c r="R163" s="30"/>
      <c r="S163" s="30">
        <f>ABS(Q163)/'İtme Analizi'!$G$17</f>
        <v>0</v>
      </c>
      <c r="T163" s="30">
        <f>ABS(R163)/'İtme Analizi'!$G$14</f>
        <v>0</v>
      </c>
      <c r="U163" s="30">
        <f t="shared" si="4"/>
        <v>9.2950204584968388E-5</v>
      </c>
    </row>
    <row r="164" spans="16:21" ht="13.9" customHeight="1" x14ac:dyDescent="0.2">
      <c r="P164" s="27"/>
      <c r="Q164" s="30"/>
      <c r="R164" s="30"/>
      <c r="S164" s="30">
        <f>ABS(Q164)/'İtme Analizi'!$G$17</f>
        <v>0</v>
      </c>
      <c r="T164" s="30">
        <f>ABS(R164)/'İtme Analizi'!$G$14</f>
        <v>0</v>
      </c>
      <c r="U164" s="30">
        <f t="shared" si="4"/>
        <v>9.2950204584968388E-5</v>
      </c>
    </row>
    <row r="165" spans="16:21" ht="13.9" customHeight="1" x14ac:dyDescent="0.2">
      <c r="P165" s="27"/>
      <c r="Q165" s="30"/>
      <c r="R165" s="30"/>
      <c r="S165" s="30">
        <f>ABS(Q165)/'İtme Analizi'!$G$17</f>
        <v>0</v>
      </c>
      <c r="T165" s="30">
        <f>ABS(R165)/'İtme Analizi'!$G$14</f>
        <v>0</v>
      </c>
      <c r="U165" s="30">
        <f t="shared" si="4"/>
        <v>9.2950204584968388E-5</v>
      </c>
    </row>
    <row r="166" spans="16:21" ht="13.9" customHeight="1" x14ac:dyDescent="0.2">
      <c r="P166" s="27"/>
      <c r="Q166" s="30"/>
      <c r="R166" s="30"/>
      <c r="S166" s="30">
        <f>ABS(Q166)/'İtme Analizi'!$G$17</f>
        <v>0</v>
      </c>
      <c r="T166" s="30">
        <f>ABS(R166)/'İtme Analizi'!$G$14</f>
        <v>0</v>
      </c>
      <c r="U166" s="30">
        <f t="shared" si="4"/>
        <v>9.2950204584968388E-5</v>
      </c>
    </row>
    <row r="167" spans="16:21" ht="13.9" customHeight="1" x14ac:dyDescent="0.2">
      <c r="P167" s="27"/>
      <c r="Q167" s="30"/>
      <c r="R167" s="30"/>
      <c r="S167" s="30">
        <f>ABS(Q167)/'İtme Analizi'!$G$17</f>
        <v>0</v>
      </c>
      <c r="T167" s="30">
        <f>ABS(R167)/'İtme Analizi'!$G$14</f>
        <v>0</v>
      </c>
      <c r="U167" s="30">
        <f t="shared" si="4"/>
        <v>9.2950204584968388E-5</v>
      </c>
    </row>
    <row r="168" spans="16:21" ht="13.9" customHeight="1" x14ac:dyDescent="0.2">
      <c r="P168" s="27"/>
      <c r="Q168" s="30"/>
      <c r="R168" s="30"/>
      <c r="S168" s="30">
        <f>ABS(Q168)/'İtme Analizi'!$G$17</f>
        <v>0</v>
      </c>
      <c r="T168" s="30">
        <f>ABS(R168)/'İtme Analizi'!$G$14</f>
        <v>0</v>
      </c>
      <c r="U168" s="30">
        <f t="shared" si="4"/>
        <v>9.2950204584968388E-5</v>
      </c>
    </row>
    <row r="169" spans="16:21" ht="13.9" customHeight="1" x14ac:dyDescent="0.2">
      <c r="P169" s="27"/>
      <c r="Q169" s="30"/>
      <c r="R169" s="30"/>
      <c r="S169" s="30">
        <f>ABS(Q169)/'İtme Analizi'!$G$17</f>
        <v>0</v>
      </c>
      <c r="T169" s="30">
        <f>ABS(R169)/'İtme Analizi'!$G$14</f>
        <v>0</v>
      </c>
      <c r="U169" s="30">
        <f t="shared" si="4"/>
        <v>9.2950204584968388E-5</v>
      </c>
    </row>
    <row r="170" spans="16:21" ht="13.9" customHeight="1" x14ac:dyDescent="0.2">
      <c r="P170" s="27"/>
      <c r="Q170" s="30"/>
      <c r="R170" s="30"/>
      <c r="S170" s="30">
        <f>ABS(Q170)/'İtme Analizi'!$G$17</f>
        <v>0</v>
      </c>
      <c r="T170" s="30">
        <f>ABS(R170)/'İtme Analizi'!$G$14</f>
        <v>0</v>
      </c>
      <c r="U170" s="30">
        <f t="shared" si="4"/>
        <v>9.2950204584968388E-5</v>
      </c>
    </row>
    <row r="171" spans="16:21" ht="13.9" customHeight="1" x14ac:dyDescent="0.2">
      <c r="P171" s="27"/>
      <c r="Q171" s="30"/>
      <c r="R171" s="30"/>
      <c r="S171" s="30">
        <f>ABS(Q171)/'İtme Analizi'!$G$17</f>
        <v>0</v>
      </c>
      <c r="T171" s="30">
        <f>ABS(R171)/'İtme Analizi'!$G$14</f>
        <v>0</v>
      </c>
      <c r="U171" s="30">
        <f t="shared" si="4"/>
        <v>9.2950204584968388E-5</v>
      </c>
    </row>
    <row r="172" spans="16:21" ht="13.9" customHeight="1" x14ac:dyDescent="0.2">
      <c r="P172" s="27"/>
      <c r="Q172" s="30"/>
      <c r="R172" s="30"/>
      <c r="S172" s="30">
        <f>ABS(Q172)/'İtme Analizi'!$G$17</f>
        <v>0</v>
      </c>
      <c r="T172" s="30">
        <f>ABS(R172)/'İtme Analizi'!$G$14</f>
        <v>0</v>
      </c>
      <c r="U172" s="30">
        <f t="shared" si="4"/>
        <v>9.2950204584968388E-5</v>
      </c>
    </row>
    <row r="173" spans="16:21" ht="13.9" customHeight="1" x14ac:dyDescent="0.2">
      <c r="P173" s="27"/>
      <c r="Q173" s="30"/>
      <c r="R173" s="30"/>
      <c r="S173" s="30">
        <f>ABS(Q173)/'İtme Analizi'!$G$17</f>
        <v>0</v>
      </c>
      <c r="T173" s="30">
        <f>ABS(R173)/'İtme Analizi'!$G$14</f>
        <v>0</v>
      </c>
      <c r="U173" s="30">
        <f t="shared" si="4"/>
        <v>9.2950204584968388E-5</v>
      </c>
    </row>
    <row r="174" spans="16:21" ht="13.9" customHeight="1" x14ac:dyDescent="0.2">
      <c r="P174" s="27"/>
      <c r="Q174" s="30"/>
      <c r="R174" s="30"/>
      <c r="S174" s="30">
        <f>ABS(Q174)/'İtme Analizi'!$G$17</f>
        <v>0</v>
      </c>
      <c r="T174" s="30">
        <f>ABS(R174)/'İtme Analizi'!$G$14</f>
        <v>0</v>
      </c>
      <c r="U174" s="30">
        <f t="shared" si="4"/>
        <v>9.2950204584968388E-5</v>
      </c>
    </row>
    <row r="175" spans="16:21" ht="13.9" customHeight="1" x14ac:dyDescent="0.2">
      <c r="P175" s="27"/>
      <c r="Q175" s="30"/>
      <c r="R175" s="30"/>
      <c r="S175" s="30">
        <f>ABS(Q175)/'İtme Analizi'!$G$17</f>
        <v>0</v>
      </c>
      <c r="T175" s="30">
        <f>ABS(R175)/'İtme Analizi'!$G$14</f>
        <v>0</v>
      </c>
      <c r="U175" s="30">
        <f t="shared" si="4"/>
        <v>9.2950204584968388E-5</v>
      </c>
    </row>
    <row r="176" spans="16:21" ht="13.9" customHeight="1" x14ac:dyDescent="0.2">
      <c r="P176" s="27"/>
      <c r="Q176" s="30"/>
      <c r="R176" s="30"/>
      <c r="S176" s="30">
        <f>ABS(Q176)/'İtme Analizi'!$G$17</f>
        <v>0</v>
      </c>
      <c r="T176" s="30">
        <f>ABS(R176)/'İtme Analizi'!$G$14</f>
        <v>0</v>
      </c>
      <c r="U176" s="30">
        <f t="shared" si="4"/>
        <v>9.2950204584968388E-5</v>
      </c>
    </row>
    <row r="177" spans="16:21" ht="13.9" customHeight="1" x14ac:dyDescent="0.2">
      <c r="P177" s="27"/>
      <c r="Q177" s="30"/>
      <c r="R177" s="30"/>
      <c r="S177" s="30">
        <f>ABS(Q177)/'İtme Analizi'!$G$17</f>
        <v>0</v>
      </c>
      <c r="T177" s="30">
        <f>ABS(R177)/'İtme Analizi'!$G$14</f>
        <v>0</v>
      </c>
      <c r="U177" s="30">
        <f t="shared" si="4"/>
        <v>9.2950204584968388E-5</v>
      </c>
    </row>
    <row r="178" spans="16:21" ht="13.9" customHeight="1" x14ac:dyDescent="0.2">
      <c r="P178" s="27"/>
      <c r="Q178" s="30"/>
      <c r="R178" s="30"/>
      <c r="S178" s="30">
        <f>ABS(Q178)/'İtme Analizi'!$G$17</f>
        <v>0</v>
      </c>
      <c r="T178" s="30">
        <f>ABS(R178)/'İtme Analizi'!$G$14</f>
        <v>0</v>
      </c>
      <c r="U178" s="30">
        <f t="shared" si="4"/>
        <v>9.2950204584968388E-5</v>
      </c>
    </row>
    <row r="179" spans="16:21" ht="13.9" customHeight="1" x14ac:dyDescent="0.2">
      <c r="P179" s="27"/>
      <c r="Q179" s="30"/>
      <c r="R179" s="30"/>
      <c r="S179" s="30">
        <f>ABS(Q179)/'İtme Analizi'!$G$17</f>
        <v>0</v>
      </c>
      <c r="T179" s="30">
        <f>ABS(R179)/'İtme Analizi'!$G$14</f>
        <v>0</v>
      </c>
      <c r="U179" s="30">
        <f t="shared" si="4"/>
        <v>9.2950204584968388E-5</v>
      </c>
    </row>
    <row r="180" spans="16:21" ht="13.9" customHeight="1" x14ac:dyDescent="0.2">
      <c r="P180" s="27"/>
      <c r="Q180" s="30"/>
      <c r="R180" s="30"/>
      <c r="S180" s="30">
        <f>ABS(Q180)/'İtme Analizi'!$G$17</f>
        <v>0</v>
      </c>
      <c r="T180" s="30">
        <f>ABS(R180)/'İtme Analizi'!$G$14</f>
        <v>0</v>
      </c>
      <c r="U180" s="30">
        <f t="shared" si="4"/>
        <v>9.2950204584968388E-5</v>
      </c>
    </row>
    <row r="181" spans="16:21" ht="13.9" customHeight="1" x14ac:dyDescent="0.2">
      <c r="P181" s="27"/>
      <c r="Q181" s="30"/>
      <c r="R181" s="30"/>
      <c r="S181" s="30">
        <f>ABS(Q181)/'İtme Analizi'!$G$17</f>
        <v>0</v>
      </c>
      <c r="T181" s="30">
        <f>ABS(R181)/'İtme Analizi'!$G$14</f>
        <v>0</v>
      </c>
      <c r="U181" s="30">
        <f t="shared" si="4"/>
        <v>9.2950204584968388E-5</v>
      </c>
    </row>
    <row r="182" spans="16:21" ht="13.9" customHeight="1" x14ac:dyDescent="0.2">
      <c r="P182" s="27"/>
      <c r="Q182" s="30"/>
      <c r="R182" s="30"/>
      <c r="S182" s="30">
        <f>ABS(Q182)/'İtme Analizi'!$G$17</f>
        <v>0</v>
      </c>
      <c r="T182" s="30">
        <f>ABS(R182)/'İtme Analizi'!$G$14</f>
        <v>0</v>
      </c>
      <c r="U182" s="30">
        <f t="shared" si="4"/>
        <v>9.2950204584968388E-5</v>
      </c>
    </row>
    <row r="183" spans="16:21" ht="13.9" customHeight="1" x14ac:dyDescent="0.2">
      <c r="P183" s="27"/>
      <c r="Q183" s="30"/>
      <c r="R183" s="30"/>
      <c r="S183" s="30">
        <f>ABS(Q183)/'İtme Analizi'!$G$17</f>
        <v>0</v>
      </c>
      <c r="T183" s="30">
        <f>ABS(R183)/'İtme Analizi'!$G$14</f>
        <v>0</v>
      </c>
      <c r="U183" s="30">
        <f t="shared" si="4"/>
        <v>9.2950204584968388E-5</v>
      </c>
    </row>
    <row r="184" spans="16:21" ht="13.9" customHeight="1" x14ac:dyDescent="0.2">
      <c r="P184" s="27"/>
      <c r="Q184" s="30"/>
      <c r="R184" s="30"/>
      <c r="S184" s="30">
        <f>ABS(Q184)/'İtme Analizi'!$G$17</f>
        <v>0</v>
      </c>
      <c r="T184" s="30">
        <f>ABS(R184)/'İtme Analizi'!$G$14</f>
        <v>0</v>
      </c>
      <c r="U184" s="30">
        <f t="shared" si="4"/>
        <v>9.2950204584968388E-5</v>
      </c>
    </row>
    <row r="185" spans="16:21" ht="13.9" customHeight="1" x14ac:dyDescent="0.2">
      <c r="P185" s="27"/>
      <c r="Q185" s="30"/>
      <c r="R185" s="30"/>
      <c r="S185" s="30">
        <f>ABS(Q185)/'İtme Analizi'!$G$17</f>
        <v>0</v>
      </c>
      <c r="T185" s="30">
        <f>ABS(R185)/'İtme Analizi'!$G$14</f>
        <v>0</v>
      </c>
      <c r="U185" s="30">
        <f t="shared" si="4"/>
        <v>9.2950204584968388E-5</v>
      </c>
    </row>
    <row r="186" spans="16:21" ht="13.9" customHeight="1" x14ac:dyDescent="0.2">
      <c r="P186" s="27"/>
      <c r="Q186" s="30"/>
      <c r="R186" s="30"/>
      <c r="S186" s="30">
        <f>ABS(Q186)/'İtme Analizi'!$G$17</f>
        <v>0</v>
      </c>
      <c r="T186" s="30">
        <f>ABS(R186)/'İtme Analizi'!$G$14</f>
        <v>0</v>
      </c>
      <c r="U186" s="30">
        <f t="shared" si="4"/>
        <v>9.2950204584968388E-5</v>
      </c>
    </row>
    <row r="187" spans="16:21" ht="13.9" customHeight="1" x14ac:dyDescent="0.2">
      <c r="P187" s="27"/>
      <c r="Q187" s="30"/>
      <c r="R187" s="30"/>
      <c r="S187" s="30">
        <f>ABS(Q187)/'İtme Analizi'!$G$17</f>
        <v>0</v>
      </c>
      <c r="T187" s="30">
        <f>ABS(R187)/'İtme Analizi'!$G$14</f>
        <v>0</v>
      </c>
      <c r="U187" s="30">
        <f t="shared" si="4"/>
        <v>9.2950204584968388E-5</v>
      </c>
    </row>
    <row r="188" spans="16:21" ht="13.9" customHeight="1" x14ac:dyDescent="0.2">
      <c r="P188" s="27"/>
      <c r="Q188" s="30"/>
      <c r="R188" s="30"/>
      <c r="S188" s="30">
        <f>ABS(Q188)/'İtme Analizi'!$G$17</f>
        <v>0</v>
      </c>
      <c r="T188" s="30">
        <f>ABS(R188)/'İtme Analizi'!$G$14</f>
        <v>0</v>
      </c>
      <c r="U188" s="30">
        <f t="shared" si="4"/>
        <v>9.2950204584968388E-5</v>
      </c>
    </row>
    <row r="189" spans="16:21" ht="13.9" customHeight="1" x14ac:dyDescent="0.2">
      <c r="P189" s="27"/>
      <c r="Q189" s="30"/>
      <c r="R189" s="30"/>
      <c r="S189" s="30">
        <f>ABS(Q189)/'İtme Analizi'!$G$17</f>
        <v>0</v>
      </c>
      <c r="T189" s="30">
        <f>ABS(R189)/'İtme Analizi'!$G$14</f>
        <v>0</v>
      </c>
      <c r="U189" s="30">
        <f t="shared" si="4"/>
        <v>9.2950204584968388E-5</v>
      </c>
    </row>
    <row r="190" spans="16:21" ht="13.9" customHeight="1" x14ac:dyDescent="0.2">
      <c r="P190" s="27"/>
      <c r="Q190" s="30"/>
      <c r="R190" s="30"/>
      <c r="S190" s="30">
        <f>ABS(Q190)/'İtme Analizi'!$G$17</f>
        <v>0</v>
      </c>
      <c r="T190" s="30">
        <f>ABS(R190)/'İtme Analizi'!$G$14</f>
        <v>0</v>
      </c>
      <c r="U190" s="30">
        <f t="shared" si="4"/>
        <v>9.2950204584968388E-5</v>
      </c>
    </row>
    <row r="191" spans="16:21" ht="13.9" customHeight="1" x14ac:dyDescent="0.2">
      <c r="P191" s="27"/>
      <c r="Q191" s="30"/>
      <c r="R191" s="30"/>
      <c r="S191" s="30">
        <f>ABS(Q191)/'İtme Analizi'!$G$17</f>
        <v>0</v>
      </c>
      <c r="T191" s="30">
        <f>ABS(R191)/'İtme Analizi'!$G$14</f>
        <v>0</v>
      </c>
      <c r="U191" s="30">
        <f t="shared" si="4"/>
        <v>9.2950204584968388E-5</v>
      </c>
    </row>
    <row r="192" spans="16:21" ht="13.9" customHeight="1" x14ac:dyDescent="0.2">
      <c r="P192" s="27"/>
      <c r="Q192" s="30"/>
      <c r="R192" s="30"/>
      <c r="S192" s="30">
        <f>ABS(Q192)/'İtme Analizi'!$G$17</f>
        <v>0</v>
      </c>
      <c r="T192" s="30">
        <f>ABS(R192)/'İtme Analizi'!$G$14</f>
        <v>0</v>
      </c>
      <c r="U192" s="30">
        <f t="shared" si="4"/>
        <v>9.2950204584968388E-5</v>
      </c>
    </row>
    <row r="193" spans="16:21" ht="13.9" customHeight="1" x14ac:dyDescent="0.2">
      <c r="P193" s="27"/>
      <c r="Q193" s="30"/>
      <c r="R193" s="30"/>
      <c r="S193" s="30">
        <f>ABS(Q193)/'İtme Analizi'!$G$17</f>
        <v>0</v>
      </c>
      <c r="T193" s="30">
        <f>ABS(R193)/'İtme Analizi'!$G$14</f>
        <v>0</v>
      </c>
      <c r="U193" s="30">
        <f t="shared" si="4"/>
        <v>9.2950204584968388E-5</v>
      </c>
    </row>
    <row r="194" spans="16:21" ht="13.9" customHeight="1" x14ac:dyDescent="0.2">
      <c r="P194" s="27"/>
      <c r="Q194" s="30"/>
      <c r="R194" s="30"/>
      <c r="S194" s="30">
        <f>ABS(Q194)/'İtme Analizi'!$G$17</f>
        <v>0</v>
      </c>
      <c r="T194" s="30">
        <f>ABS(R194)/'İtme Analizi'!$G$14</f>
        <v>0</v>
      </c>
      <c r="U194" s="30">
        <f t="shared" si="4"/>
        <v>9.2950204584968388E-5</v>
      </c>
    </row>
    <row r="195" spans="16:21" ht="13.9" customHeight="1" x14ac:dyDescent="0.2">
      <c r="P195" s="27"/>
      <c r="Q195" s="30"/>
      <c r="R195" s="30"/>
      <c r="S195" s="30">
        <f>ABS(Q195)/'İtme Analizi'!$G$17</f>
        <v>0</v>
      </c>
      <c r="T195" s="30">
        <f>ABS(R195)/'İtme Analizi'!$G$14</f>
        <v>0</v>
      </c>
      <c r="U195" s="30">
        <f t="shared" si="4"/>
        <v>9.2950204584968388E-5</v>
      </c>
    </row>
    <row r="196" spans="16:21" ht="13.9" customHeight="1" x14ac:dyDescent="0.2">
      <c r="P196" s="27"/>
      <c r="Q196" s="30"/>
      <c r="R196" s="30"/>
      <c r="S196" s="30">
        <f>ABS(Q196)/'İtme Analizi'!$G$17</f>
        <v>0</v>
      </c>
      <c r="T196" s="30">
        <f>ABS(R196)/'İtme Analizi'!$G$14</f>
        <v>0</v>
      </c>
      <c r="U196" s="30">
        <f t="shared" si="4"/>
        <v>9.2950204584968388E-5</v>
      </c>
    </row>
    <row r="197" spans="16:21" ht="13.9" customHeight="1" x14ac:dyDescent="0.2">
      <c r="P197" s="27"/>
      <c r="Q197" s="30"/>
      <c r="R197" s="30"/>
      <c r="S197" s="30">
        <f>ABS(Q197)/'İtme Analizi'!$G$17</f>
        <v>0</v>
      </c>
      <c r="T197" s="30">
        <f>ABS(R197)/'İtme Analizi'!$G$14</f>
        <v>0</v>
      </c>
      <c r="U197" s="30">
        <f t="shared" si="4"/>
        <v>9.2950204584968388E-5</v>
      </c>
    </row>
    <row r="198" spans="16:21" ht="13.9" customHeight="1" x14ac:dyDescent="0.2">
      <c r="P198" s="27"/>
      <c r="Q198" s="30"/>
      <c r="R198" s="30"/>
      <c r="S198" s="30">
        <f>ABS(Q198)/'İtme Analizi'!$G$17</f>
        <v>0</v>
      </c>
      <c r="T198" s="30">
        <f>ABS(R198)/'İtme Analizi'!$G$14</f>
        <v>0</v>
      </c>
      <c r="U198" s="30">
        <f t="shared" si="4"/>
        <v>9.2950204584968388E-5</v>
      </c>
    </row>
    <row r="199" spans="16:21" ht="13.9" customHeight="1" x14ac:dyDescent="0.2">
      <c r="P199" s="27"/>
      <c r="Q199" s="30"/>
      <c r="R199" s="30"/>
      <c r="S199" s="30">
        <f>ABS(Q199)/'İtme Analizi'!$G$17</f>
        <v>0</v>
      </c>
      <c r="T199" s="30">
        <f>ABS(R199)/'İtme Analizi'!$G$14</f>
        <v>0</v>
      </c>
      <c r="U199" s="30">
        <f t="shared" si="4"/>
        <v>9.2950204584968388E-5</v>
      </c>
    </row>
    <row r="200" spans="16:21" ht="13.9" customHeight="1" x14ac:dyDescent="0.2">
      <c r="P200" s="27"/>
      <c r="Q200" s="30"/>
      <c r="R200" s="30"/>
      <c r="S200" s="30">
        <f>ABS(Q200)/'İtme Analizi'!$G$17</f>
        <v>0</v>
      </c>
      <c r="T200" s="30">
        <f>ABS(R200)/'İtme Analizi'!$G$14</f>
        <v>0</v>
      </c>
      <c r="U200" s="30">
        <f t="shared" si="4"/>
        <v>9.2950204584968388E-5</v>
      </c>
    </row>
    <row r="201" spans="16:21" ht="13.9" customHeight="1" x14ac:dyDescent="0.2">
      <c r="P201" s="27"/>
      <c r="Q201" s="30"/>
      <c r="R201" s="30"/>
      <c r="S201" s="30">
        <f>ABS(Q201)/'İtme Analizi'!$G$17</f>
        <v>0</v>
      </c>
      <c r="T201" s="30">
        <f>ABS(R201)/'İtme Analizi'!$G$14</f>
        <v>0</v>
      </c>
      <c r="U201" s="30">
        <f t="shared" ref="U201:U264" si="5">U200+(S201-S200)*((T201+T200)/2)</f>
        <v>9.2950204584968388E-5</v>
      </c>
    </row>
    <row r="202" spans="16:21" ht="13.9" customHeight="1" x14ac:dyDescent="0.2">
      <c r="P202" s="27"/>
      <c r="Q202" s="30"/>
      <c r="R202" s="30"/>
      <c r="S202" s="30">
        <f>ABS(Q202)/'İtme Analizi'!$G$17</f>
        <v>0</v>
      </c>
      <c r="T202" s="30">
        <f>ABS(R202)/'İtme Analizi'!$G$14</f>
        <v>0</v>
      </c>
      <c r="U202" s="30">
        <f t="shared" si="5"/>
        <v>9.2950204584968388E-5</v>
      </c>
    </row>
    <row r="203" spans="16:21" ht="13.9" customHeight="1" x14ac:dyDescent="0.2">
      <c r="P203" s="27"/>
      <c r="Q203" s="30"/>
      <c r="R203" s="30"/>
      <c r="S203" s="30">
        <f>ABS(Q203)/'İtme Analizi'!$G$17</f>
        <v>0</v>
      </c>
      <c r="T203" s="30">
        <f>ABS(R203)/'İtme Analizi'!$G$14</f>
        <v>0</v>
      </c>
      <c r="U203" s="30">
        <f t="shared" si="5"/>
        <v>9.2950204584968388E-5</v>
      </c>
    </row>
    <row r="204" spans="16:21" ht="13.9" customHeight="1" x14ac:dyDescent="0.2">
      <c r="P204" s="27"/>
      <c r="Q204" s="30"/>
      <c r="R204" s="30"/>
      <c r="S204" s="30">
        <f>ABS(Q204)/'İtme Analizi'!$G$17</f>
        <v>0</v>
      </c>
      <c r="T204" s="30">
        <f>ABS(R204)/'İtme Analizi'!$G$14</f>
        <v>0</v>
      </c>
      <c r="U204" s="30">
        <f t="shared" si="5"/>
        <v>9.2950204584968388E-5</v>
      </c>
    </row>
    <row r="205" spans="16:21" ht="13.9" customHeight="1" x14ac:dyDescent="0.2">
      <c r="P205" s="27"/>
      <c r="Q205" s="30"/>
      <c r="R205" s="30"/>
      <c r="S205" s="30">
        <f>ABS(Q205)/'İtme Analizi'!$G$17</f>
        <v>0</v>
      </c>
      <c r="T205" s="30">
        <f>ABS(R205)/'İtme Analizi'!$G$14</f>
        <v>0</v>
      </c>
      <c r="U205" s="30">
        <f t="shared" si="5"/>
        <v>9.2950204584968388E-5</v>
      </c>
    </row>
    <row r="206" spans="16:21" ht="13.9" customHeight="1" x14ac:dyDescent="0.2">
      <c r="P206" s="27"/>
      <c r="Q206" s="30"/>
      <c r="R206" s="30"/>
      <c r="S206" s="30">
        <f>ABS(Q206)/'İtme Analizi'!$G$17</f>
        <v>0</v>
      </c>
      <c r="T206" s="30">
        <f>ABS(R206)/'İtme Analizi'!$G$14</f>
        <v>0</v>
      </c>
      <c r="U206" s="30">
        <f t="shared" si="5"/>
        <v>9.2950204584968388E-5</v>
      </c>
    </row>
    <row r="207" spans="16:21" ht="13.9" customHeight="1" x14ac:dyDescent="0.2">
      <c r="P207" s="27"/>
      <c r="Q207" s="30"/>
      <c r="R207" s="30"/>
      <c r="S207" s="30">
        <f>ABS(Q207)/'İtme Analizi'!$G$17</f>
        <v>0</v>
      </c>
      <c r="T207" s="30">
        <f>ABS(R207)/'İtme Analizi'!$G$14</f>
        <v>0</v>
      </c>
      <c r="U207" s="30">
        <f t="shared" si="5"/>
        <v>9.2950204584968388E-5</v>
      </c>
    </row>
    <row r="208" spans="16:21" ht="13.9" customHeight="1" x14ac:dyDescent="0.2">
      <c r="P208" s="27"/>
      <c r="Q208" s="30"/>
      <c r="R208" s="30"/>
      <c r="S208" s="30">
        <f>ABS(Q208)/'İtme Analizi'!$G$17</f>
        <v>0</v>
      </c>
      <c r="T208" s="30">
        <f>ABS(R208)/'İtme Analizi'!$G$14</f>
        <v>0</v>
      </c>
      <c r="U208" s="30">
        <f t="shared" si="5"/>
        <v>9.2950204584968388E-5</v>
      </c>
    </row>
    <row r="209" spans="16:21" ht="13.9" customHeight="1" x14ac:dyDescent="0.2">
      <c r="P209" s="27"/>
      <c r="Q209" s="30"/>
      <c r="R209" s="30"/>
      <c r="S209" s="30">
        <f>ABS(Q209)/'İtme Analizi'!$G$17</f>
        <v>0</v>
      </c>
      <c r="T209" s="30">
        <f>ABS(R209)/'İtme Analizi'!$G$14</f>
        <v>0</v>
      </c>
      <c r="U209" s="30">
        <f t="shared" si="5"/>
        <v>9.2950204584968388E-5</v>
      </c>
    </row>
    <row r="210" spans="16:21" ht="13.9" customHeight="1" x14ac:dyDescent="0.2">
      <c r="P210" s="27"/>
      <c r="Q210" s="30"/>
      <c r="R210" s="30"/>
      <c r="S210" s="30">
        <f>ABS(Q210)/'İtme Analizi'!$G$17</f>
        <v>0</v>
      </c>
      <c r="T210" s="30">
        <f>ABS(R210)/'İtme Analizi'!$G$14</f>
        <v>0</v>
      </c>
      <c r="U210" s="30">
        <f t="shared" si="5"/>
        <v>9.2950204584968388E-5</v>
      </c>
    </row>
    <row r="211" spans="16:21" ht="13.9" customHeight="1" x14ac:dyDescent="0.2">
      <c r="P211" s="27"/>
      <c r="Q211" s="30"/>
      <c r="R211" s="30"/>
      <c r="S211" s="30">
        <f>ABS(Q211)/'İtme Analizi'!$G$17</f>
        <v>0</v>
      </c>
      <c r="T211" s="30">
        <f>ABS(R211)/'İtme Analizi'!$G$14</f>
        <v>0</v>
      </c>
      <c r="U211" s="30">
        <f t="shared" si="5"/>
        <v>9.2950204584968388E-5</v>
      </c>
    </row>
    <row r="212" spans="16:21" ht="13.9" customHeight="1" x14ac:dyDescent="0.2">
      <c r="P212" s="27"/>
      <c r="Q212" s="30"/>
      <c r="R212" s="30"/>
      <c r="S212" s="30">
        <f>ABS(Q212)/'İtme Analizi'!$G$17</f>
        <v>0</v>
      </c>
      <c r="T212" s="30">
        <f>ABS(R212)/'İtme Analizi'!$G$14</f>
        <v>0</v>
      </c>
      <c r="U212" s="30">
        <f t="shared" si="5"/>
        <v>9.2950204584968388E-5</v>
      </c>
    </row>
    <row r="213" spans="16:21" ht="13.9" customHeight="1" x14ac:dyDescent="0.2">
      <c r="P213" s="27"/>
      <c r="Q213" s="30"/>
      <c r="R213" s="30"/>
      <c r="S213" s="30">
        <f>ABS(Q213)/'İtme Analizi'!$G$17</f>
        <v>0</v>
      </c>
      <c r="T213" s="30">
        <f>ABS(R213)/'İtme Analizi'!$G$14</f>
        <v>0</v>
      </c>
      <c r="U213" s="30">
        <f t="shared" si="5"/>
        <v>9.2950204584968388E-5</v>
      </c>
    </row>
    <row r="214" spans="16:21" ht="13.9" customHeight="1" x14ac:dyDescent="0.2">
      <c r="P214" s="27"/>
      <c r="Q214" s="30"/>
      <c r="R214" s="30"/>
      <c r="S214" s="30">
        <f>ABS(Q214)/'İtme Analizi'!$G$17</f>
        <v>0</v>
      </c>
      <c r="T214" s="30">
        <f>ABS(R214)/'İtme Analizi'!$G$14</f>
        <v>0</v>
      </c>
      <c r="U214" s="30">
        <f t="shared" si="5"/>
        <v>9.2950204584968388E-5</v>
      </c>
    </row>
    <row r="215" spans="16:21" ht="13.9" customHeight="1" x14ac:dyDescent="0.2">
      <c r="P215" s="27"/>
      <c r="Q215" s="30"/>
      <c r="R215" s="30"/>
      <c r="S215" s="30">
        <f>ABS(Q215)/'İtme Analizi'!$G$17</f>
        <v>0</v>
      </c>
      <c r="T215" s="30">
        <f>ABS(R215)/'İtme Analizi'!$G$14</f>
        <v>0</v>
      </c>
      <c r="U215" s="30">
        <f t="shared" si="5"/>
        <v>9.2950204584968388E-5</v>
      </c>
    </row>
    <row r="216" spans="16:21" ht="13.9" customHeight="1" x14ac:dyDescent="0.2">
      <c r="P216" s="27"/>
      <c r="Q216" s="30"/>
      <c r="R216" s="30"/>
      <c r="S216" s="30">
        <f>ABS(Q216)/'İtme Analizi'!$G$17</f>
        <v>0</v>
      </c>
      <c r="T216" s="30">
        <f>ABS(R216)/'İtme Analizi'!$G$14</f>
        <v>0</v>
      </c>
      <c r="U216" s="30">
        <f t="shared" si="5"/>
        <v>9.2950204584968388E-5</v>
      </c>
    </row>
    <row r="217" spans="16:21" ht="13.9" customHeight="1" x14ac:dyDescent="0.2">
      <c r="P217" s="27"/>
      <c r="Q217" s="30"/>
      <c r="R217" s="30"/>
      <c r="S217" s="30">
        <f>ABS(Q217)/'İtme Analizi'!$G$17</f>
        <v>0</v>
      </c>
      <c r="T217" s="30">
        <f>ABS(R217)/'İtme Analizi'!$G$14</f>
        <v>0</v>
      </c>
      <c r="U217" s="30">
        <f t="shared" si="5"/>
        <v>9.2950204584968388E-5</v>
      </c>
    </row>
    <row r="218" spans="16:21" ht="13.9" customHeight="1" x14ac:dyDescent="0.2">
      <c r="P218" s="27"/>
      <c r="Q218" s="30"/>
      <c r="R218" s="30"/>
      <c r="S218" s="30">
        <f>ABS(Q218)/'İtme Analizi'!$G$17</f>
        <v>0</v>
      </c>
      <c r="T218" s="30">
        <f>ABS(R218)/'İtme Analizi'!$G$14</f>
        <v>0</v>
      </c>
      <c r="U218" s="30">
        <f t="shared" si="5"/>
        <v>9.2950204584968388E-5</v>
      </c>
    </row>
    <row r="219" spans="16:21" ht="13.9" customHeight="1" x14ac:dyDescent="0.2">
      <c r="P219" s="27"/>
      <c r="Q219" s="30"/>
      <c r="R219" s="30"/>
      <c r="S219" s="30">
        <f>ABS(Q219)/'İtme Analizi'!$G$17</f>
        <v>0</v>
      </c>
      <c r="T219" s="30">
        <f>ABS(R219)/'İtme Analizi'!$G$14</f>
        <v>0</v>
      </c>
      <c r="U219" s="30">
        <f t="shared" si="5"/>
        <v>9.2950204584968388E-5</v>
      </c>
    </row>
    <row r="220" spans="16:21" ht="13.9" customHeight="1" x14ac:dyDescent="0.2">
      <c r="P220" s="27"/>
      <c r="Q220" s="30"/>
      <c r="R220" s="30"/>
      <c r="S220" s="30">
        <f>ABS(Q220)/'İtme Analizi'!$G$17</f>
        <v>0</v>
      </c>
      <c r="T220" s="30">
        <f>ABS(R220)/'İtme Analizi'!$G$14</f>
        <v>0</v>
      </c>
      <c r="U220" s="30">
        <f t="shared" si="5"/>
        <v>9.2950204584968388E-5</v>
      </c>
    </row>
    <row r="221" spans="16:21" ht="13.9" customHeight="1" x14ac:dyDescent="0.2">
      <c r="P221" s="27"/>
      <c r="Q221" s="30"/>
      <c r="R221" s="30"/>
      <c r="S221" s="30">
        <f>ABS(Q221)/'İtme Analizi'!$G$17</f>
        <v>0</v>
      </c>
      <c r="T221" s="30">
        <f>ABS(R221)/'İtme Analizi'!$G$14</f>
        <v>0</v>
      </c>
      <c r="U221" s="30">
        <f t="shared" si="5"/>
        <v>9.2950204584968388E-5</v>
      </c>
    </row>
    <row r="222" spans="16:21" ht="13.9" customHeight="1" x14ac:dyDescent="0.2">
      <c r="P222" s="27"/>
      <c r="Q222" s="30"/>
      <c r="R222" s="30"/>
      <c r="S222" s="30">
        <f>ABS(Q222)/'İtme Analizi'!$G$17</f>
        <v>0</v>
      </c>
      <c r="T222" s="30">
        <f>ABS(R222)/'İtme Analizi'!$G$14</f>
        <v>0</v>
      </c>
      <c r="U222" s="30">
        <f t="shared" si="5"/>
        <v>9.2950204584968388E-5</v>
      </c>
    </row>
    <row r="223" spans="16:21" ht="13.9" customHeight="1" x14ac:dyDescent="0.2">
      <c r="P223" s="27"/>
      <c r="Q223" s="30"/>
      <c r="R223" s="30"/>
      <c r="S223" s="30">
        <f>ABS(Q223)/'İtme Analizi'!$G$17</f>
        <v>0</v>
      </c>
      <c r="T223" s="30">
        <f>ABS(R223)/'İtme Analizi'!$G$14</f>
        <v>0</v>
      </c>
      <c r="U223" s="30">
        <f t="shared" si="5"/>
        <v>9.2950204584968388E-5</v>
      </c>
    </row>
    <row r="224" spans="16:21" ht="13.9" customHeight="1" x14ac:dyDescent="0.2">
      <c r="P224" s="27"/>
      <c r="Q224" s="30"/>
      <c r="R224" s="30"/>
      <c r="S224" s="30">
        <f>ABS(Q224)/'İtme Analizi'!$G$17</f>
        <v>0</v>
      </c>
      <c r="T224" s="30">
        <f>ABS(R224)/'İtme Analizi'!$G$14</f>
        <v>0</v>
      </c>
      <c r="U224" s="30">
        <f t="shared" si="5"/>
        <v>9.2950204584968388E-5</v>
      </c>
    </row>
    <row r="225" spans="16:21" ht="13.9" customHeight="1" x14ac:dyDescent="0.2">
      <c r="P225" s="27"/>
      <c r="Q225" s="30"/>
      <c r="R225" s="30"/>
      <c r="S225" s="30">
        <f>ABS(Q225)/'İtme Analizi'!$G$17</f>
        <v>0</v>
      </c>
      <c r="T225" s="30">
        <f>ABS(R225)/'İtme Analizi'!$G$14</f>
        <v>0</v>
      </c>
      <c r="U225" s="30">
        <f t="shared" si="5"/>
        <v>9.2950204584968388E-5</v>
      </c>
    </row>
    <row r="226" spans="16:21" ht="13.9" customHeight="1" x14ac:dyDescent="0.2">
      <c r="P226" s="27"/>
      <c r="Q226" s="30"/>
      <c r="R226" s="30"/>
      <c r="S226" s="30">
        <f>ABS(Q226)/'İtme Analizi'!$G$17</f>
        <v>0</v>
      </c>
      <c r="T226" s="30">
        <f>ABS(R226)/'İtme Analizi'!$G$14</f>
        <v>0</v>
      </c>
      <c r="U226" s="30">
        <f t="shared" si="5"/>
        <v>9.2950204584968388E-5</v>
      </c>
    </row>
    <row r="227" spans="16:21" ht="13.9" customHeight="1" x14ac:dyDescent="0.2">
      <c r="P227" s="27"/>
      <c r="Q227" s="30"/>
      <c r="R227" s="30"/>
      <c r="S227" s="30">
        <f>ABS(Q227)/'İtme Analizi'!$G$17</f>
        <v>0</v>
      </c>
      <c r="T227" s="30">
        <f>ABS(R227)/'İtme Analizi'!$G$14</f>
        <v>0</v>
      </c>
      <c r="U227" s="30">
        <f t="shared" si="5"/>
        <v>9.2950204584968388E-5</v>
      </c>
    </row>
    <row r="228" spans="16:21" ht="13.9" customHeight="1" x14ac:dyDescent="0.2">
      <c r="P228" s="27"/>
      <c r="Q228" s="30"/>
      <c r="R228" s="30"/>
      <c r="S228" s="30">
        <f>ABS(Q228)/'İtme Analizi'!$G$17</f>
        <v>0</v>
      </c>
      <c r="T228" s="30">
        <f>ABS(R228)/'İtme Analizi'!$G$14</f>
        <v>0</v>
      </c>
      <c r="U228" s="30">
        <f t="shared" si="5"/>
        <v>9.2950204584968388E-5</v>
      </c>
    </row>
    <row r="229" spans="16:21" ht="13.9" customHeight="1" x14ac:dyDescent="0.2">
      <c r="P229" s="27"/>
      <c r="Q229" s="30"/>
      <c r="R229" s="30"/>
      <c r="S229" s="30">
        <f>ABS(Q229)/'İtme Analizi'!$G$17</f>
        <v>0</v>
      </c>
      <c r="T229" s="30">
        <f>ABS(R229)/'İtme Analizi'!$G$14</f>
        <v>0</v>
      </c>
      <c r="U229" s="30">
        <f t="shared" si="5"/>
        <v>9.2950204584968388E-5</v>
      </c>
    </row>
    <row r="230" spans="16:21" ht="13.9" customHeight="1" x14ac:dyDescent="0.2">
      <c r="P230" s="27"/>
      <c r="Q230" s="30"/>
      <c r="R230" s="30"/>
      <c r="S230" s="30">
        <f>ABS(Q230)/'İtme Analizi'!$G$17</f>
        <v>0</v>
      </c>
      <c r="T230" s="30">
        <f>ABS(R230)/'İtme Analizi'!$G$14</f>
        <v>0</v>
      </c>
      <c r="U230" s="30">
        <f t="shared" si="5"/>
        <v>9.2950204584968388E-5</v>
      </c>
    </row>
    <row r="231" spans="16:21" ht="13.9" customHeight="1" x14ac:dyDescent="0.2">
      <c r="P231" s="27"/>
      <c r="Q231" s="30"/>
      <c r="R231" s="30"/>
      <c r="S231" s="30">
        <f>ABS(Q231)/'İtme Analizi'!$G$17</f>
        <v>0</v>
      </c>
      <c r="T231" s="30">
        <f>ABS(R231)/'İtme Analizi'!$G$14</f>
        <v>0</v>
      </c>
      <c r="U231" s="30">
        <f t="shared" si="5"/>
        <v>9.2950204584968388E-5</v>
      </c>
    </row>
    <row r="232" spans="16:21" ht="13.9" customHeight="1" x14ac:dyDescent="0.2">
      <c r="P232" s="27"/>
      <c r="Q232" s="30"/>
      <c r="R232" s="30"/>
      <c r="S232" s="30">
        <f>ABS(Q232)/'İtme Analizi'!$G$17</f>
        <v>0</v>
      </c>
      <c r="T232" s="30">
        <f>ABS(R232)/'İtme Analizi'!$G$14</f>
        <v>0</v>
      </c>
      <c r="U232" s="30">
        <f t="shared" si="5"/>
        <v>9.2950204584968388E-5</v>
      </c>
    </row>
    <row r="233" spans="16:21" ht="13.9" customHeight="1" x14ac:dyDescent="0.2">
      <c r="P233" s="27"/>
      <c r="Q233" s="30"/>
      <c r="R233" s="30"/>
      <c r="S233" s="30">
        <f>ABS(Q233)/'İtme Analizi'!$G$17</f>
        <v>0</v>
      </c>
      <c r="T233" s="30">
        <f>ABS(R233)/'İtme Analizi'!$G$14</f>
        <v>0</v>
      </c>
      <c r="U233" s="30">
        <f t="shared" si="5"/>
        <v>9.2950204584968388E-5</v>
      </c>
    </row>
    <row r="234" spans="16:21" ht="13.9" customHeight="1" x14ac:dyDescent="0.2">
      <c r="P234" s="27"/>
      <c r="Q234" s="30"/>
      <c r="R234" s="30"/>
      <c r="S234" s="30">
        <f>ABS(Q234)/'İtme Analizi'!$G$17</f>
        <v>0</v>
      </c>
      <c r="T234" s="30">
        <f>ABS(R234)/'İtme Analizi'!$G$14</f>
        <v>0</v>
      </c>
      <c r="U234" s="30">
        <f t="shared" si="5"/>
        <v>9.2950204584968388E-5</v>
      </c>
    </row>
    <row r="235" spans="16:21" ht="13.9" customHeight="1" x14ac:dyDescent="0.2">
      <c r="P235" s="27"/>
      <c r="Q235" s="30"/>
      <c r="R235" s="30"/>
      <c r="S235" s="30">
        <f>ABS(Q235)/'İtme Analizi'!$G$17</f>
        <v>0</v>
      </c>
      <c r="T235" s="30">
        <f>ABS(R235)/'İtme Analizi'!$G$14</f>
        <v>0</v>
      </c>
      <c r="U235" s="30">
        <f t="shared" si="5"/>
        <v>9.2950204584968388E-5</v>
      </c>
    </row>
    <row r="236" spans="16:21" ht="13.9" customHeight="1" x14ac:dyDescent="0.2">
      <c r="P236" s="27"/>
      <c r="Q236" s="30"/>
      <c r="R236" s="30"/>
      <c r="S236" s="30">
        <f>ABS(Q236)/'İtme Analizi'!$G$17</f>
        <v>0</v>
      </c>
      <c r="T236" s="30">
        <f>ABS(R236)/'İtme Analizi'!$G$14</f>
        <v>0</v>
      </c>
      <c r="U236" s="30">
        <f t="shared" si="5"/>
        <v>9.2950204584968388E-5</v>
      </c>
    </row>
    <row r="237" spans="16:21" ht="13.9" customHeight="1" x14ac:dyDescent="0.2">
      <c r="P237" s="27"/>
      <c r="Q237" s="30"/>
      <c r="R237" s="30"/>
      <c r="S237" s="30">
        <f>ABS(Q237)/'İtme Analizi'!$G$17</f>
        <v>0</v>
      </c>
      <c r="T237" s="30">
        <f>ABS(R237)/'İtme Analizi'!$G$14</f>
        <v>0</v>
      </c>
      <c r="U237" s="30">
        <f t="shared" si="5"/>
        <v>9.2950204584968388E-5</v>
      </c>
    </row>
    <row r="238" spans="16:21" ht="13.9" customHeight="1" x14ac:dyDescent="0.2">
      <c r="P238" s="27"/>
      <c r="Q238" s="30"/>
      <c r="R238" s="30"/>
      <c r="S238" s="30">
        <f>ABS(Q238)/'İtme Analizi'!$G$17</f>
        <v>0</v>
      </c>
      <c r="T238" s="30">
        <f>ABS(R238)/'İtme Analizi'!$G$14</f>
        <v>0</v>
      </c>
      <c r="U238" s="30">
        <f t="shared" si="5"/>
        <v>9.2950204584968388E-5</v>
      </c>
    </row>
    <row r="239" spans="16:21" ht="13.9" customHeight="1" x14ac:dyDescent="0.2">
      <c r="P239" s="27"/>
      <c r="Q239" s="30"/>
      <c r="R239" s="30"/>
      <c r="S239" s="30">
        <f>ABS(Q239)/'İtme Analizi'!$G$17</f>
        <v>0</v>
      </c>
      <c r="T239" s="30">
        <f>ABS(R239)/'İtme Analizi'!$G$14</f>
        <v>0</v>
      </c>
      <c r="U239" s="30">
        <f t="shared" si="5"/>
        <v>9.2950204584968388E-5</v>
      </c>
    </row>
    <row r="240" spans="16:21" ht="13.9" customHeight="1" x14ac:dyDescent="0.2">
      <c r="P240" s="27"/>
      <c r="Q240" s="30"/>
      <c r="R240" s="30"/>
      <c r="S240" s="30">
        <f>ABS(Q240)/'İtme Analizi'!$G$17</f>
        <v>0</v>
      </c>
      <c r="T240" s="30">
        <f>ABS(R240)/'İtme Analizi'!$G$14</f>
        <v>0</v>
      </c>
      <c r="U240" s="30">
        <f t="shared" si="5"/>
        <v>9.2950204584968388E-5</v>
      </c>
    </row>
    <row r="241" spans="16:21" ht="13.9" customHeight="1" x14ac:dyDescent="0.2">
      <c r="P241" s="27"/>
      <c r="Q241" s="30"/>
      <c r="R241" s="30"/>
      <c r="S241" s="30">
        <f>ABS(Q241)/'İtme Analizi'!$G$17</f>
        <v>0</v>
      </c>
      <c r="T241" s="30">
        <f>ABS(R241)/'İtme Analizi'!$G$14</f>
        <v>0</v>
      </c>
      <c r="U241" s="30">
        <f t="shared" si="5"/>
        <v>9.2950204584968388E-5</v>
      </c>
    </row>
    <row r="242" spans="16:21" ht="13.9" customHeight="1" x14ac:dyDescent="0.2">
      <c r="P242" s="27"/>
      <c r="Q242" s="30"/>
      <c r="R242" s="30"/>
      <c r="S242" s="30">
        <f>ABS(Q242)/'İtme Analizi'!$G$17</f>
        <v>0</v>
      </c>
      <c r="T242" s="30">
        <f>ABS(R242)/'İtme Analizi'!$G$14</f>
        <v>0</v>
      </c>
      <c r="U242" s="30">
        <f t="shared" si="5"/>
        <v>9.2950204584968388E-5</v>
      </c>
    </row>
    <row r="243" spans="16:21" ht="13.9" customHeight="1" x14ac:dyDescent="0.2">
      <c r="P243" s="27"/>
      <c r="Q243" s="30"/>
      <c r="R243" s="30"/>
      <c r="S243" s="30">
        <f>ABS(Q243)/'İtme Analizi'!$G$17</f>
        <v>0</v>
      </c>
      <c r="T243" s="30">
        <f>ABS(R243)/'İtme Analizi'!$G$14</f>
        <v>0</v>
      </c>
      <c r="U243" s="30">
        <f t="shared" si="5"/>
        <v>9.2950204584968388E-5</v>
      </c>
    </row>
    <row r="244" spans="16:21" ht="13.9" customHeight="1" x14ac:dyDescent="0.2">
      <c r="P244" s="27"/>
      <c r="Q244" s="30"/>
      <c r="R244" s="30"/>
      <c r="S244" s="30">
        <f>ABS(Q244)/'İtme Analizi'!$G$17</f>
        <v>0</v>
      </c>
      <c r="T244" s="30">
        <f>ABS(R244)/'İtme Analizi'!$G$14</f>
        <v>0</v>
      </c>
      <c r="U244" s="30">
        <f t="shared" si="5"/>
        <v>9.2950204584968388E-5</v>
      </c>
    </row>
    <row r="245" spans="16:21" ht="13.9" customHeight="1" x14ac:dyDescent="0.2">
      <c r="P245" s="27"/>
      <c r="Q245" s="30"/>
      <c r="R245" s="30"/>
      <c r="S245" s="30">
        <f>ABS(Q245)/'İtme Analizi'!$G$17</f>
        <v>0</v>
      </c>
      <c r="T245" s="30">
        <f>ABS(R245)/'İtme Analizi'!$G$14</f>
        <v>0</v>
      </c>
      <c r="U245" s="30">
        <f t="shared" si="5"/>
        <v>9.2950204584968388E-5</v>
      </c>
    </row>
    <row r="246" spans="16:21" ht="13.9" customHeight="1" x14ac:dyDescent="0.2">
      <c r="P246" s="27"/>
      <c r="Q246" s="30"/>
      <c r="R246" s="30"/>
      <c r="S246" s="30">
        <f>ABS(Q246)/'İtme Analizi'!$G$17</f>
        <v>0</v>
      </c>
      <c r="T246" s="30">
        <f>ABS(R246)/'İtme Analizi'!$G$14</f>
        <v>0</v>
      </c>
      <c r="U246" s="30">
        <f t="shared" si="5"/>
        <v>9.2950204584968388E-5</v>
      </c>
    </row>
    <row r="247" spans="16:21" ht="13.9" customHeight="1" x14ac:dyDescent="0.2">
      <c r="P247" s="27"/>
      <c r="Q247" s="30"/>
      <c r="R247" s="30"/>
      <c r="S247" s="30">
        <f>ABS(Q247)/'İtme Analizi'!$G$17</f>
        <v>0</v>
      </c>
      <c r="T247" s="30">
        <f>ABS(R247)/'İtme Analizi'!$G$14</f>
        <v>0</v>
      </c>
      <c r="U247" s="30">
        <f t="shared" si="5"/>
        <v>9.2950204584968388E-5</v>
      </c>
    </row>
    <row r="248" spans="16:21" ht="13.9" customHeight="1" x14ac:dyDescent="0.2">
      <c r="P248" s="27"/>
      <c r="Q248" s="30"/>
      <c r="R248" s="30"/>
      <c r="S248" s="30">
        <f>ABS(Q248)/'İtme Analizi'!$G$17</f>
        <v>0</v>
      </c>
      <c r="T248" s="30">
        <f>ABS(R248)/'İtme Analizi'!$G$14</f>
        <v>0</v>
      </c>
      <c r="U248" s="30">
        <f t="shared" si="5"/>
        <v>9.2950204584968388E-5</v>
      </c>
    </row>
    <row r="249" spans="16:21" ht="13.9" customHeight="1" x14ac:dyDescent="0.2">
      <c r="P249" s="27"/>
      <c r="Q249" s="30"/>
      <c r="R249" s="30"/>
      <c r="S249" s="30">
        <f>ABS(Q249)/'İtme Analizi'!$G$17</f>
        <v>0</v>
      </c>
      <c r="T249" s="30">
        <f>ABS(R249)/'İtme Analizi'!$G$14</f>
        <v>0</v>
      </c>
      <c r="U249" s="30">
        <f t="shared" si="5"/>
        <v>9.2950204584968388E-5</v>
      </c>
    </row>
    <row r="250" spans="16:21" ht="13.9" customHeight="1" x14ac:dyDescent="0.2">
      <c r="P250" s="27"/>
      <c r="Q250" s="30"/>
      <c r="R250" s="30"/>
      <c r="S250" s="30">
        <f>ABS(Q250)/'İtme Analizi'!$G$17</f>
        <v>0</v>
      </c>
      <c r="T250" s="30">
        <f>ABS(R250)/'İtme Analizi'!$G$14</f>
        <v>0</v>
      </c>
      <c r="U250" s="30">
        <f t="shared" si="5"/>
        <v>9.2950204584968388E-5</v>
      </c>
    </row>
    <row r="251" spans="16:21" ht="13.9" customHeight="1" x14ac:dyDescent="0.2">
      <c r="P251" s="27"/>
      <c r="Q251" s="30"/>
      <c r="R251" s="30"/>
      <c r="S251" s="30">
        <f>ABS(Q251)/'İtme Analizi'!$G$17</f>
        <v>0</v>
      </c>
      <c r="T251" s="30">
        <f>ABS(R251)/'İtme Analizi'!$G$14</f>
        <v>0</v>
      </c>
      <c r="U251" s="30">
        <f t="shared" si="5"/>
        <v>9.2950204584968388E-5</v>
      </c>
    </row>
    <row r="252" spans="16:21" ht="13.9" customHeight="1" x14ac:dyDescent="0.2">
      <c r="P252" s="27"/>
      <c r="Q252" s="30"/>
      <c r="R252" s="30"/>
      <c r="S252" s="30">
        <f>ABS(Q252)/'İtme Analizi'!$G$17</f>
        <v>0</v>
      </c>
      <c r="T252" s="30">
        <f>ABS(R252)/'İtme Analizi'!$G$14</f>
        <v>0</v>
      </c>
      <c r="U252" s="30">
        <f t="shared" si="5"/>
        <v>9.2950204584968388E-5</v>
      </c>
    </row>
    <row r="253" spans="16:21" ht="13.9" customHeight="1" x14ac:dyDescent="0.2">
      <c r="P253" s="27"/>
      <c r="Q253" s="30"/>
      <c r="R253" s="30"/>
      <c r="S253" s="30">
        <f>ABS(Q253)/'İtme Analizi'!$G$17</f>
        <v>0</v>
      </c>
      <c r="T253" s="30">
        <f>ABS(R253)/'İtme Analizi'!$G$14</f>
        <v>0</v>
      </c>
      <c r="U253" s="30">
        <f t="shared" si="5"/>
        <v>9.2950204584968388E-5</v>
      </c>
    </row>
    <row r="254" spans="16:21" ht="13.9" customHeight="1" x14ac:dyDescent="0.2">
      <c r="P254" s="27"/>
      <c r="Q254" s="30"/>
      <c r="R254" s="30"/>
      <c r="S254" s="30">
        <f>ABS(Q254)/'İtme Analizi'!$G$17</f>
        <v>0</v>
      </c>
      <c r="T254" s="30">
        <f>ABS(R254)/'İtme Analizi'!$G$14</f>
        <v>0</v>
      </c>
      <c r="U254" s="30">
        <f t="shared" si="5"/>
        <v>9.2950204584968388E-5</v>
      </c>
    </row>
    <row r="255" spans="16:21" ht="13.9" customHeight="1" x14ac:dyDescent="0.2">
      <c r="P255" s="27"/>
      <c r="Q255" s="30"/>
      <c r="R255" s="30"/>
      <c r="S255" s="30">
        <f>ABS(Q255)/'İtme Analizi'!$G$17</f>
        <v>0</v>
      </c>
      <c r="T255" s="30">
        <f>ABS(R255)/'İtme Analizi'!$G$14</f>
        <v>0</v>
      </c>
      <c r="U255" s="30">
        <f t="shared" si="5"/>
        <v>9.2950204584968388E-5</v>
      </c>
    </row>
    <row r="256" spans="16:21" ht="13.9" customHeight="1" x14ac:dyDescent="0.2">
      <c r="P256" s="27"/>
      <c r="Q256" s="30"/>
      <c r="R256" s="30"/>
      <c r="S256" s="30">
        <f>ABS(Q256)/'İtme Analizi'!$G$17</f>
        <v>0</v>
      </c>
      <c r="T256" s="30">
        <f>ABS(R256)/'İtme Analizi'!$G$14</f>
        <v>0</v>
      </c>
      <c r="U256" s="30">
        <f t="shared" si="5"/>
        <v>9.2950204584968388E-5</v>
      </c>
    </row>
    <row r="257" spans="16:21" ht="13.9" customHeight="1" x14ac:dyDescent="0.2">
      <c r="P257" s="27"/>
      <c r="Q257" s="30"/>
      <c r="R257" s="30"/>
      <c r="S257" s="30">
        <f>ABS(Q257)/'İtme Analizi'!$G$17</f>
        <v>0</v>
      </c>
      <c r="T257" s="30">
        <f>ABS(R257)/'İtme Analizi'!$G$14</f>
        <v>0</v>
      </c>
      <c r="U257" s="30">
        <f t="shared" si="5"/>
        <v>9.2950204584968388E-5</v>
      </c>
    </row>
    <row r="258" spans="16:21" ht="13.9" customHeight="1" x14ac:dyDescent="0.2">
      <c r="P258" s="27"/>
      <c r="Q258" s="30"/>
      <c r="R258" s="30"/>
      <c r="S258" s="30">
        <f>ABS(Q258)/'İtme Analizi'!$G$17</f>
        <v>0</v>
      </c>
      <c r="T258" s="30">
        <f>ABS(R258)/'İtme Analizi'!$G$14</f>
        <v>0</v>
      </c>
      <c r="U258" s="30">
        <f t="shared" si="5"/>
        <v>9.2950204584968388E-5</v>
      </c>
    </row>
    <row r="259" spans="16:21" ht="13.9" customHeight="1" x14ac:dyDescent="0.2">
      <c r="P259" s="27"/>
      <c r="Q259" s="30"/>
      <c r="R259" s="30"/>
      <c r="S259" s="30">
        <f>ABS(Q259)/'İtme Analizi'!$G$17</f>
        <v>0</v>
      </c>
      <c r="T259" s="30">
        <f>ABS(R259)/'İtme Analizi'!$G$14</f>
        <v>0</v>
      </c>
      <c r="U259" s="30">
        <f t="shared" si="5"/>
        <v>9.2950204584968388E-5</v>
      </c>
    </row>
    <row r="260" spans="16:21" ht="13.9" customHeight="1" x14ac:dyDescent="0.2">
      <c r="P260" s="27"/>
      <c r="Q260" s="30"/>
      <c r="R260" s="30"/>
      <c r="S260" s="30">
        <f>ABS(Q260)/'İtme Analizi'!$G$17</f>
        <v>0</v>
      </c>
      <c r="T260" s="30">
        <f>ABS(R260)/'İtme Analizi'!$G$14</f>
        <v>0</v>
      </c>
      <c r="U260" s="30">
        <f t="shared" si="5"/>
        <v>9.2950204584968388E-5</v>
      </c>
    </row>
    <row r="261" spans="16:21" ht="13.9" customHeight="1" x14ac:dyDescent="0.2">
      <c r="P261" s="27"/>
      <c r="Q261" s="30"/>
      <c r="R261" s="30"/>
      <c r="S261" s="30">
        <f>ABS(Q261)/'İtme Analizi'!$G$17</f>
        <v>0</v>
      </c>
      <c r="T261" s="30">
        <f>ABS(R261)/'İtme Analizi'!$G$14</f>
        <v>0</v>
      </c>
      <c r="U261" s="30">
        <f t="shared" si="5"/>
        <v>9.2950204584968388E-5</v>
      </c>
    </row>
    <row r="262" spans="16:21" ht="13.9" customHeight="1" x14ac:dyDescent="0.2">
      <c r="P262" s="27"/>
      <c r="Q262" s="30"/>
      <c r="R262" s="30"/>
      <c r="S262" s="30">
        <f>ABS(Q262)/'İtme Analizi'!$G$17</f>
        <v>0</v>
      </c>
      <c r="T262" s="30">
        <f>ABS(R262)/'İtme Analizi'!$G$14</f>
        <v>0</v>
      </c>
      <c r="U262" s="30">
        <f t="shared" si="5"/>
        <v>9.2950204584968388E-5</v>
      </c>
    </row>
    <row r="263" spans="16:21" ht="13.9" customHeight="1" x14ac:dyDescent="0.2">
      <c r="P263" s="27"/>
      <c r="Q263" s="30"/>
      <c r="R263" s="30"/>
      <c r="S263" s="30">
        <f>ABS(Q263)/'İtme Analizi'!$G$17</f>
        <v>0</v>
      </c>
      <c r="T263" s="30">
        <f>ABS(R263)/'İtme Analizi'!$G$14</f>
        <v>0</v>
      </c>
      <c r="U263" s="30">
        <f t="shared" si="5"/>
        <v>9.2950204584968388E-5</v>
      </c>
    </row>
    <row r="264" spans="16:21" ht="13.9" customHeight="1" x14ac:dyDescent="0.2">
      <c r="P264" s="27"/>
      <c r="Q264" s="30"/>
      <c r="R264" s="30"/>
      <c r="S264" s="30">
        <f>ABS(Q264)/'İtme Analizi'!$G$17</f>
        <v>0</v>
      </c>
      <c r="T264" s="30">
        <f>ABS(R264)/'İtme Analizi'!$G$14</f>
        <v>0</v>
      </c>
      <c r="U264" s="30">
        <f t="shared" si="5"/>
        <v>9.2950204584968388E-5</v>
      </c>
    </row>
    <row r="265" spans="16:21" ht="13.9" customHeight="1" x14ac:dyDescent="0.2">
      <c r="P265" s="27"/>
      <c r="Q265" s="30"/>
      <c r="R265" s="30"/>
      <c r="S265" s="30">
        <f>ABS(Q265)/'İtme Analizi'!$G$17</f>
        <v>0</v>
      </c>
      <c r="T265" s="30">
        <f>ABS(R265)/'İtme Analizi'!$G$14</f>
        <v>0</v>
      </c>
      <c r="U265" s="30">
        <f t="shared" ref="U265:U328" si="6">U264+(S265-S264)*((T265+T264)/2)</f>
        <v>9.2950204584968388E-5</v>
      </c>
    </row>
    <row r="266" spans="16:21" ht="13.9" customHeight="1" x14ac:dyDescent="0.2">
      <c r="P266" s="27"/>
      <c r="Q266" s="30"/>
      <c r="R266" s="30"/>
      <c r="S266" s="30">
        <f>ABS(Q266)/'İtme Analizi'!$G$17</f>
        <v>0</v>
      </c>
      <c r="T266" s="30">
        <f>ABS(R266)/'İtme Analizi'!$G$14</f>
        <v>0</v>
      </c>
      <c r="U266" s="30">
        <f t="shared" si="6"/>
        <v>9.2950204584968388E-5</v>
      </c>
    </row>
    <row r="267" spans="16:21" ht="13.9" customHeight="1" x14ac:dyDescent="0.2">
      <c r="P267" s="27"/>
      <c r="Q267" s="30"/>
      <c r="R267" s="30"/>
      <c r="S267" s="30">
        <f>ABS(Q267)/'İtme Analizi'!$G$17</f>
        <v>0</v>
      </c>
      <c r="T267" s="30">
        <f>ABS(R267)/'İtme Analizi'!$G$14</f>
        <v>0</v>
      </c>
      <c r="U267" s="30">
        <f t="shared" si="6"/>
        <v>9.2950204584968388E-5</v>
      </c>
    </row>
    <row r="268" spans="16:21" ht="13.9" customHeight="1" x14ac:dyDescent="0.2">
      <c r="P268" s="27"/>
      <c r="Q268" s="30"/>
      <c r="R268" s="30"/>
      <c r="S268" s="30">
        <f>ABS(Q268)/'İtme Analizi'!$G$17</f>
        <v>0</v>
      </c>
      <c r="T268" s="30">
        <f>ABS(R268)/'İtme Analizi'!$G$14</f>
        <v>0</v>
      </c>
      <c r="U268" s="30">
        <f t="shared" si="6"/>
        <v>9.2950204584968388E-5</v>
      </c>
    </row>
    <row r="269" spans="16:21" ht="13.9" customHeight="1" x14ac:dyDescent="0.2">
      <c r="P269" s="27"/>
      <c r="Q269" s="30"/>
      <c r="R269" s="30"/>
      <c r="S269" s="30">
        <f>ABS(Q269)/'İtme Analizi'!$G$17</f>
        <v>0</v>
      </c>
      <c r="T269" s="30">
        <f>ABS(R269)/'İtme Analizi'!$G$14</f>
        <v>0</v>
      </c>
      <c r="U269" s="30">
        <f t="shared" si="6"/>
        <v>9.2950204584968388E-5</v>
      </c>
    </row>
    <row r="270" spans="16:21" ht="13.9" customHeight="1" x14ac:dyDescent="0.2">
      <c r="P270" s="27"/>
      <c r="Q270" s="30"/>
      <c r="R270" s="30"/>
      <c r="S270" s="30">
        <f>ABS(Q270)/'İtme Analizi'!$G$17</f>
        <v>0</v>
      </c>
      <c r="T270" s="30">
        <f>ABS(R270)/'İtme Analizi'!$G$14</f>
        <v>0</v>
      </c>
      <c r="U270" s="30">
        <f t="shared" si="6"/>
        <v>9.2950204584968388E-5</v>
      </c>
    </row>
    <row r="271" spans="16:21" ht="13.9" customHeight="1" x14ac:dyDescent="0.2">
      <c r="P271" s="27"/>
      <c r="Q271" s="30"/>
      <c r="R271" s="30"/>
      <c r="S271" s="30">
        <f>ABS(Q271)/'İtme Analizi'!$G$17</f>
        <v>0</v>
      </c>
      <c r="T271" s="30">
        <f>ABS(R271)/'İtme Analizi'!$G$14</f>
        <v>0</v>
      </c>
      <c r="U271" s="30">
        <f t="shared" si="6"/>
        <v>9.2950204584968388E-5</v>
      </c>
    </row>
    <row r="272" spans="16:21" ht="13.9" customHeight="1" x14ac:dyDescent="0.2">
      <c r="P272" s="27"/>
      <c r="Q272" s="30"/>
      <c r="R272" s="30"/>
      <c r="S272" s="30">
        <f>ABS(Q272)/'İtme Analizi'!$G$17</f>
        <v>0</v>
      </c>
      <c r="T272" s="30">
        <f>ABS(R272)/'İtme Analizi'!$G$14</f>
        <v>0</v>
      </c>
      <c r="U272" s="30">
        <f t="shared" si="6"/>
        <v>9.2950204584968388E-5</v>
      </c>
    </row>
    <row r="273" spans="16:21" ht="13.9" customHeight="1" x14ac:dyDescent="0.2">
      <c r="P273" s="27"/>
      <c r="Q273" s="30"/>
      <c r="R273" s="30"/>
      <c r="S273" s="30">
        <f>ABS(Q273)/'İtme Analizi'!$G$17</f>
        <v>0</v>
      </c>
      <c r="T273" s="30">
        <f>ABS(R273)/'İtme Analizi'!$G$14</f>
        <v>0</v>
      </c>
      <c r="U273" s="30">
        <f t="shared" si="6"/>
        <v>9.2950204584968388E-5</v>
      </c>
    </row>
    <row r="274" spans="16:21" ht="13.9" customHeight="1" x14ac:dyDescent="0.2">
      <c r="P274" s="27"/>
      <c r="Q274" s="30"/>
      <c r="R274" s="30"/>
      <c r="S274" s="30">
        <f>ABS(Q274)/'İtme Analizi'!$G$17</f>
        <v>0</v>
      </c>
      <c r="T274" s="30">
        <f>ABS(R274)/'İtme Analizi'!$G$14</f>
        <v>0</v>
      </c>
      <c r="U274" s="30">
        <f t="shared" si="6"/>
        <v>9.2950204584968388E-5</v>
      </c>
    </row>
    <row r="275" spans="16:21" ht="13.9" customHeight="1" x14ac:dyDescent="0.2">
      <c r="P275" s="27"/>
      <c r="Q275" s="30"/>
      <c r="R275" s="30"/>
      <c r="S275" s="30">
        <f>ABS(Q275)/'İtme Analizi'!$G$17</f>
        <v>0</v>
      </c>
      <c r="T275" s="30">
        <f>ABS(R275)/'İtme Analizi'!$G$14</f>
        <v>0</v>
      </c>
      <c r="U275" s="30">
        <f t="shared" si="6"/>
        <v>9.2950204584968388E-5</v>
      </c>
    </row>
    <row r="276" spans="16:21" ht="13.9" customHeight="1" x14ac:dyDescent="0.2">
      <c r="P276" s="27"/>
      <c r="Q276" s="30"/>
      <c r="R276" s="30"/>
      <c r="S276" s="30">
        <f>ABS(Q276)/'İtme Analizi'!$G$17</f>
        <v>0</v>
      </c>
      <c r="T276" s="30">
        <f>ABS(R276)/'İtme Analizi'!$G$14</f>
        <v>0</v>
      </c>
      <c r="U276" s="30">
        <f t="shared" si="6"/>
        <v>9.2950204584968388E-5</v>
      </c>
    </row>
    <row r="277" spans="16:21" ht="13.9" customHeight="1" x14ac:dyDescent="0.2">
      <c r="P277" s="27"/>
      <c r="Q277" s="30"/>
      <c r="R277" s="30"/>
      <c r="S277" s="30">
        <f>ABS(Q277)/'İtme Analizi'!$G$17</f>
        <v>0</v>
      </c>
      <c r="T277" s="30">
        <f>ABS(R277)/'İtme Analizi'!$G$14</f>
        <v>0</v>
      </c>
      <c r="U277" s="30">
        <f t="shared" si="6"/>
        <v>9.2950204584968388E-5</v>
      </c>
    </row>
    <row r="278" spans="16:21" ht="13.9" customHeight="1" x14ac:dyDescent="0.2">
      <c r="P278" s="27"/>
      <c r="Q278" s="30"/>
      <c r="R278" s="30"/>
      <c r="S278" s="30">
        <f>ABS(Q278)/'İtme Analizi'!$G$17</f>
        <v>0</v>
      </c>
      <c r="T278" s="30">
        <f>ABS(R278)/'İtme Analizi'!$G$14</f>
        <v>0</v>
      </c>
      <c r="U278" s="30">
        <f t="shared" si="6"/>
        <v>9.2950204584968388E-5</v>
      </c>
    </row>
    <row r="279" spans="16:21" ht="13.9" customHeight="1" x14ac:dyDescent="0.2">
      <c r="P279" s="27"/>
      <c r="Q279" s="30"/>
      <c r="R279" s="30"/>
      <c r="S279" s="30">
        <f>ABS(Q279)/'İtme Analizi'!$G$17</f>
        <v>0</v>
      </c>
      <c r="T279" s="30">
        <f>ABS(R279)/'İtme Analizi'!$G$14</f>
        <v>0</v>
      </c>
      <c r="U279" s="30">
        <f t="shared" si="6"/>
        <v>9.2950204584968388E-5</v>
      </c>
    </row>
    <row r="280" spans="16:21" ht="13.9" customHeight="1" x14ac:dyDescent="0.2">
      <c r="P280" s="27"/>
      <c r="Q280" s="30"/>
      <c r="R280" s="30"/>
      <c r="S280" s="30">
        <f>ABS(Q280)/'İtme Analizi'!$G$17</f>
        <v>0</v>
      </c>
      <c r="T280" s="30">
        <f>ABS(R280)/'İtme Analizi'!$G$14</f>
        <v>0</v>
      </c>
      <c r="U280" s="30">
        <f t="shared" si="6"/>
        <v>9.2950204584968388E-5</v>
      </c>
    </row>
    <row r="281" spans="16:21" ht="13.9" customHeight="1" x14ac:dyDescent="0.2">
      <c r="P281" s="27"/>
      <c r="Q281" s="30"/>
      <c r="R281" s="30"/>
      <c r="S281" s="30">
        <f>ABS(Q281)/'İtme Analizi'!$G$17</f>
        <v>0</v>
      </c>
      <c r="T281" s="30">
        <f>ABS(R281)/'İtme Analizi'!$G$14</f>
        <v>0</v>
      </c>
      <c r="U281" s="30">
        <f t="shared" si="6"/>
        <v>9.2950204584968388E-5</v>
      </c>
    </row>
    <row r="282" spans="16:21" ht="13.9" customHeight="1" x14ac:dyDescent="0.2">
      <c r="P282" s="27"/>
      <c r="Q282" s="30"/>
      <c r="R282" s="30"/>
      <c r="S282" s="30">
        <f>ABS(Q282)/'İtme Analizi'!$G$17</f>
        <v>0</v>
      </c>
      <c r="T282" s="30">
        <f>ABS(R282)/'İtme Analizi'!$G$14</f>
        <v>0</v>
      </c>
      <c r="U282" s="30">
        <f t="shared" si="6"/>
        <v>9.2950204584968388E-5</v>
      </c>
    </row>
    <row r="283" spans="16:21" ht="13.9" customHeight="1" x14ac:dyDescent="0.2">
      <c r="P283" s="27"/>
      <c r="Q283" s="30"/>
      <c r="R283" s="30"/>
      <c r="S283" s="30">
        <f>ABS(Q283)/'İtme Analizi'!$G$17</f>
        <v>0</v>
      </c>
      <c r="T283" s="30">
        <f>ABS(R283)/'İtme Analizi'!$G$14</f>
        <v>0</v>
      </c>
      <c r="U283" s="30">
        <f t="shared" si="6"/>
        <v>9.2950204584968388E-5</v>
      </c>
    </row>
    <row r="284" spans="16:21" ht="13.9" customHeight="1" x14ac:dyDescent="0.2">
      <c r="P284" s="27"/>
      <c r="Q284" s="30"/>
      <c r="R284" s="30"/>
      <c r="S284" s="30">
        <f>ABS(Q284)/'İtme Analizi'!$G$17</f>
        <v>0</v>
      </c>
      <c r="T284" s="30">
        <f>ABS(R284)/'İtme Analizi'!$G$14</f>
        <v>0</v>
      </c>
      <c r="U284" s="30">
        <f t="shared" si="6"/>
        <v>9.2950204584968388E-5</v>
      </c>
    </row>
    <row r="285" spans="16:21" ht="13.9" customHeight="1" x14ac:dyDescent="0.2">
      <c r="P285" s="27"/>
      <c r="Q285" s="30"/>
      <c r="R285" s="30"/>
      <c r="S285" s="30">
        <f>ABS(Q285)/'İtme Analizi'!$G$17</f>
        <v>0</v>
      </c>
      <c r="T285" s="30">
        <f>ABS(R285)/'İtme Analizi'!$G$14</f>
        <v>0</v>
      </c>
      <c r="U285" s="30">
        <f t="shared" si="6"/>
        <v>9.2950204584968388E-5</v>
      </c>
    </row>
    <row r="286" spans="16:21" ht="13.9" customHeight="1" x14ac:dyDescent="0.2">
      <c r="P286" s="27"/>
      <c r="Q286" s="30"/>
      <c r="R286" s="30"/>
      <c r="S286" s="30">
        <f>ABS(Q286)/'İtme Analizi'!$G$17</f>
        <v>0</v>
      </c>
      <c r="T286" s="30">
        <f>ABS(R286)/'İtme Analizi'!$G$14</f>
        <v>0</v>
      </c>
      <c r="U286" s="30">
        <f t="shared" si="6"/>
        <v>9.2950204584968388E-5</v>
      </c>
    </row>
    <row r="287" spans="16:21" ht="13.9" customHeight="1" x14ac:dyDescent="0.2">
      <c r="P287" s="27"/>
      <c r="Q287" s="30"/>
      <c r="R287" s="30"/>
      <c r="S287" s="30">
        <f>ABS(Q287)/'İtme Analizi'!$G$17</f>
        <v>0</v>
      </c>
      <c r="T287" s="30">
        <f>ABS(R287)/'İtme Analizi'!$G$14</f>
        <v>0</v>
      </c>
      <c r="U287" s="30">
        <f t="shared" si="6"/>
        <v>9.2950204584968388E-5</v>
      </c>
    </row>
    <row r="288" spans="16:21" ht="13.9" customHeight="1" x14ac:dyDescent="0.2">
      <c r="P288" s="27"/>
      <c r="Q288" s="30"/>
      <c r="R288" s="30"/>
      <c r="S288" s="30">
        <f>ABS(Q288)/'İtme Analizi'!$G$17</f>
        <v>0</v>
      </c>
      <c r="T288" s="30">
        <f>ABS(R288)/'İtme Analizi'!$G$14</f>
        <v>0</v>
      </c>
      <c r="U288" s="30">
        <f t="shared" si="6"/>
        <v>9.2950204584968388E-5</v>
      </c>
    </row>
    <row r="289" spans="16:21" ht="13.9" customHeight="1" x14ac:dyDescent="0.2">
      <c r="P289" s="27"/>
      <c r="Q289" s="30"/>
      <c r="R289" s="30"/>
      <c r="S289" s="30">
        <f>ABS(Q289)/'İtme Analizi'!$G$17</f>
        <v>0</v>
      </c>
      <c r="T289" s="30">
        <f>ABS(R289)/'İtme Analizi'!$G$14</f>
        <v>0</v>
      </c>
      <c r="U289" s="30">
        <f t="shared" si="6"/>
        <v>9.2950204584968388E-5</v>
      </c>
    </row>
    <row r="290" spans="16:21" ht="13.9" customHeight="1" x14ac:dyDescent="0.2">
      <c r="P290" s="27"/>
      <c r="Q290" s="30"/>
      <c r="R290" s="30"/>
      <c r="S290" s="30">
        <f>ABS(Q290)/'İtme Analizi'!$G$17</f>
        <v>0</v>
      </c>
      <c r="T290" s="30">
        <f>ABS(R290)/'İtme Analizi'!$G$14</f>
        <v>0</v>
      </c>
      <c r="U290" s="30">
        <f t="shared" si="6"/>
        <v>9.2950204584968388E-5</v>
      </c>
    </row>
    <row r="291" spans="16:21" ht="13.9" customHeight="1" x14ac:dyDescent="0.2">
      <c r="P291" s="27"/>
      <c r="Q291" s="30"/>
      <c r="R291" s="30"/>
      <c r="S291" s="30">
        <f>ABS(Q291)/'İtme Analizi'!$G$17</f>
        <v>0</v>
      </c>
      <c r="T291" s="30">
        <f>ABS(R291)/'İtme Analizi'!$G$14</f>
        <v>0</v>
      </c>
      <c r="U291" s="30">
        <f t="shared" si="6"/>
        <v>9.2950204584968388E-5</v>
      </c>
    </row>
    <row r="292" spans="16:21" ht="13.9" customHeight="1" x14ac:dyDescent="0.2">
      <c r="P292" s="27"/>
      <c r="Q292" s="30"/>
      <c r="R292" s="30"/>
      <c r="S292" s="30">
        <f>ABS(Q292)/'İtme Analizi'!$G$17</f>
        <v>0</v>
      </c>
      <c r="T292" s="30">
        <f>ABS(R292)/'İtme Analizi'!$G$14</f>
        <v>0</v>
      </c>
      <c r="U292" s="30">
        <f t="shared" si="6"/>
        <v>9.2950204584968388E-5</v>
      </c>
    </row>
    <row r="293" spans="16:21" ht="13.9" customHeight="1" x14ac:dyDescent="0.2">
      <c r="P293" s="27"/>
      <c r="Q293" s="30"/>
      <c r="R293" s="30"/>
      <c r="S293" s="30">
        <f>ABS(Q293)/'İtme Analizi'!$G$17</f>
        <v>0</v>
      </c>
      <c r="T293" s="30">
        <f>ABS(R293)/'İtme Analizi'!$G$14</f>
        <v>0</v>
      </c>
      <c r="U293" s="30">
        <f t="shared" si="6"/>
        <v>9.2950204584968388E-5</v>
      </c>
    </row>
    <row r="294" spans="16:21" ht="13.9" customHeight="1" x14ac:dyDescent="0.2">
      <c r="P294" s="27"/>
      <c r="Q294" s="30"/>
      <c r="R294" s="30"/>
      <c r="S294" s="30">
        <f>ABS(Q294)/'İtme Analizi'!$G$17</f>
        <v>0</v>
      </c>
      <c r="T294" s="30">
        <f>ABS(R294)/'İtme Analizi'!$G$14</f>
        <v>0</v>
      </c>
      <c r="U294" s="30">
        <f t="shared" si="6"/>
        <v>9.2950204584968388E-5</v>
      </c>
    </row>
    <row r="295" spans="16:21" ht="13.9" customHeight="1" x14ac:dyDescent="0.2">
      <c r="P295" s="27"/>
      <c r="Q295" s="30"/>
      <c r="R295" s="30"/>
      <c r="S295" s="30">
        <f>ABS(Q295)/'İtme Analizi'!$G$17</f>
        <v>0</v>
      </c>
      <c r="T295" s="30">
        <f>ABS(R295)/'İtme Analizi'!$G$14</f>
        <v>0</v>
      </c>
      <c r="U295" s="30">
        <f t="shared" si="6"/>
        <v>9.2950204584968388E-5</v>
      </c>
    </row>
    <row r="296" spans="16:21" ht="13.9" customHeight="1" x14ac:dyDescent="0.2">
      <c r="P296" s="27"/>
      <c r="Q296" s="30"/>
      <c r="R296" s="30"/>
      <c r="S296" s="30">
        <f>ABS(Q296)/'İtme Analizi'!$G$17</f>
        <v>0</v>
      </c>
      <c r="T296" s="30">
        <f>ABS(R296)/'İtme Analizi'!$G$14</f>
        <v>0</v>
      </c>
      <c r="U296" s="30">
        <f t="shared" si="6"/>
        <v>9.2950204584968388E-5</v>
      </c>
    </row>
    <row r="297" spans="16:21" ht="13.9" customHeight="1" x14ac:dyDescent="0.2">
      <c r="P297" s="27"/>
      <c r="Q297" s="30"/>
      <c r="R297" s="30"/>
      <c r="S297" s="30">
        <f>ABS(Q297)/'İtme Analizi'!$G$17</f>
        <v>0</v>
      </c>
      <c r="T297" s="30">
        <f>ABS(R297)/'İtme Analizi'!$G$14</f>
        <v>0</v>
      </c>
      <c r="U297" s="30">
        <f t="shared" si="6"/>
        <v>9.2950204584968388E-5</v>
      </c>
    </row>
    <row r="298" spans="16:21" ht="13.9" customHeight="1" x14ac:dyDescent="0.2">
      <c r="P298" s="27"/>
      <c r="Q298" s="30"/>
      <c r="R298" s="30"/>
      <c r="S298" s="30">
        <f>ABS(Q298)/'İtme Analizi'!$G$17</f>
        <v>0</v>
      </c>
      <c r="T298" s="30">
        <f>ABS(R298)/'İtme Analizi'!$G$14</f>
        <v>0</v>
      </c>
      <c r="U298" s="30">
        <f t="shared" si="6"/>
        <v>9.2950204584968388E-5</v>
      </c>
    </row>
    <row r="299" spans="16:21" ht="13.9" customHeight="1" x14ac:dyDescent="0.2">
      <c r="P299" s="27"/>
      <c r="Q299" s="30"/>
      <c r="R299" s="30"/>
      <c r="S299" s="30">
        <f>ABS(Q299)/'İtme Analizi'!$G$17</f>
        <v>0</v>
      </c>
      <c r="T299" s="30">
        <f>ABS(R299)/'İtme Analizi'!$G$14</f>
        <v>0</v>
      </c>
      <c r="U299" s="30">
        <f t="shared" si="6"/>
        <v>9.2950204584968388E-5</v>
      </c>
    </row>
    <row r="300" spans="16:21" ht="13.9" customHeight="1" x14ac:dyDescent="0.2">
      <c r="P300" s="27"/>
      <c r="Q300" s="30"/>
      <c r="R300" s="30"/>
      <c r="S300" s="30">
        <f>ABS(Q300)/'İtme Analizi'!$G$17</f>
        <v>0</v>
      </c>
      <c r="T300" s="30">
        <f>ABS(R300)/'İtme Analizi'!$G$14</f>
        <v>0</v>
      </c>
      <c r="U300" s="30">
        <f t="shared" si="6"/>
        <v>9.2950204584968388E-5</v>
      </c>
    </row>
    <row r="301" spans="16:21" ht="13.9" customHeight="1" x14ac:dyDescent="0.2">
      <c r="P301" s="27"/>
      <c r="Q301" s="30"/>
      <c r="R301" s="30"/>
      <c r="S301" s="30">
        <f>ABS(Q301)/'İtme Analizi'!$G$17</f>
        <v>0</v>
      </c>
      <c r="T301" s="30">
        <f>ABS(R301)/'İtme Analizi'!$G$14</f>
        <v>0</v>
      </c>
      <c r="U301" s="30">
        <f t="shared" si="6"/>
        <v>9.2950204584968388E-5</v>
      </c>
    </row>
    <row r="302" spans="16:21" ht="13.9" customHeight="1" x14ac:dyDescent="0.2">
      <c r="P302" s="27"/>
      <c r="Q302" s="30"/>
      <c r="R302" s="30"/>
      <c r="S302" s="30">
        <f>ABS(Q302)/'İtme Analizi'!$G$17</f>
        <v>0</v>
      </c>
      <c r="T302" s="30">
        <f>ABS(R302)/'İtme Analizi'!$G$14</f>
        <v>0</v>
      </c>
      <c r="U302" s="30">
        <f t="shared" si="6"/>
        <v>9.2950204584968388E-5</v>
      </c>
    </row>
    <row r="303" spans="16:21" ht="13.9" customHeight="1" x14ac:dyDescent="0.2">
      <c r="P303" s="27"/>
      <c r="Q303" s="30"/>
      <c r="R303" s="30"/>
      <c r="S303" s="30">
        <f>ABS(Q303)/'İtme Analizi'!$G$17</f>
        <v>0</v>
      </c>
      <c r="T303" s="30">
        <f>ABS(R303)/'İtme Analizi'!$G$14</f>
        <v>0</v>
      </c>
      <c r="U303" s="30">
        <f t="shared" si="6"/>
        <v>9.2950204584968388E-5</v>
      </c>
    </row>
    <row r="304" spans="16:21" ht="13.9" customHeight="1" x14ac:dyDescent="0.2">
      <c r="P304" s="27"/>
      <c r="Q304" s="30"/>
      <c r="R304" s="30"/>
      <c r="S304" s="30">
        <f>ABS(Q304)/'İtme Analizi'!$G$17</f>
        <v>0</v>
      </c>
      <c r="T304" s="30">
        <f>ABS(R304)/'İtme Analizi'!$G$14</f>
        <v>0</v>
      </c>
      <c r="U304" s="30">
        <f t="shared" si="6"/>
        <v>9.2950204584968388E-5</v>
      </c>
    </row>
    <row r="305" spans="16:21" ht="13.9" customHeight="1" x14ac:dyDescent="0.2">
      <c r="P305" s="27"/>
      <c r="Q305" s="30"/>
      <c r="R305" s="30"/>
      <c r="S305" s="30">
        <f>ABS(Q305)/'İtme Analizi'!$G$17</f>
        <v>0</v>
      </c>
      <c r="T305" s="30">
        <f>ABS(R305)/'İtme Analizi'!$G$14</f>
        <v>0</v>
      </c>
      <c r="U305" s="30">
        <f t="shared" si="6"/>
        <v>9.2950204584968388E-5</v>
      </c>
    </row>
    <row r="306" spans="16:21" ht="13.9" customHeight="1" x14ac:dyDescent="0.2">
      <c r="P306" s="27"/>
      <c r="Q306" s="30"/>
      <c r="R306" s="30"/>
      <c r="S306" s="30">
        <f>ABS(Q306)/'İtme Analizi'!$G$17</f>
        <v>0</v>
      </c>
      <c r="T306" s="30">
        <f>ABS(R306)/'İtme Analizi'!$G$14</f>
        <v>0</v>
      </c>
      <c r="U306" s="30">
        <f t="shared" si="6"/>
        <v>9.2950204584968388E-5</v>
      </c>
    </row>
    <row r="307" spans="16:21" ht="13.9" customHeight="1" x14ac:dyDescent="0.2">
      <c r="P307" s="27"/>
      <c r="Q307" s="30"/>
      <c r="R307" s="30"/>
      <c r="S307" s="30">
        <f>ABS(Q307)/'İtme Analizi'!$G$17</f>
        <v>0</v>
      </c>
      <c r="T307" s="30">
        <f>ABS(R307)/'İtme Analizi'!$G$14</f>
        <v>0</v>
      </c>
      <c r="U307" s="30">
        <f t="shared" si="6"/>
        <v>9.2950204584968388E-5</v>
      </c>
    </row>
    <row r="308" spans="16:21" ht="13.9" customHeight="1" x14ac:dyDescent="0.2">
      <c r="P308" s="27"/>
      <c r="Q308" s="30"/>
      <c r="R308" s="30"/>
      <c r="S308" s="30">
        <f>ABS(Q308)/'İtme Analizi'!$G$17</f>
        <v>0</v>
      </c>
      <c r="T308" s="30">
        <f>ABS(R308)/'İtme Analizi'!$G$14</f>
        <v>0</v>
      </c>
      <c r="U308" s="30">
        <f t="shared" si="6"/>
        <v>9.2950204584968388E-5</v>
      </c>
    </row>
    <row r="309" spans="16:21" ht="13.9" customHeight="1" x14ac:dyDescent="0.2">
      <c r="P309" s="27"/>
      <c r="Q309" s="30"/>
      <c r="R309" s="30"/>
      <c r="S309" s="30">
        <f>ABS(Q309)/'İtme Analizi'!$G$17</f>
        <v>0</v>
      </c>
      <c r="T309" s="30">
        <f>ABS(R309)/'İtme Analizi'!$G$14</f>
        <v>0</v>
      </c>
      <c r="U309" s="30">
        <f t="shared" si="6"/>
        <v>9.2950204584968388E-5</v>
      </c>
    </row>
    <row r="310" spans="16:21" ht="13.9" customHeight="1" x14ac:dyDescent="0.2">
      <c r="P310" s="27"/>
      <c r="Q310" s="30"/>
      <c r="R310" s="30"/>
      <c r="S310" s="30">
        <f>ABS(Q310)/'İtme Analizi'!$G$17</f>
        <v>0</v>
      </c>
      <c r="T310" s="30">
        <f>ABS(R310)/'İtme Analizi'!$G$14</f>
        <v>0</v>
      </c>
      <c r="U310" s="30">
        <f t="shared" si="6"/>
        <v>9.2950204584968388E-5</v>
      </c>
    </row>
    <row r="311" spans="16:21" ht="13.9" customHeight="1" x14ac:dyDescent="0.2">
      <c r="P311" s="27"/>
      <c r="Q311" s="30"/>
      <c r="R311" s="30"/>
      <c r="S311" s="30">
        <f>ABS(Q311)/'İtme Analizi'!$G$17</f>
        <v>0</v>
      </c>
      <c r="T311" s="30">
        <f>ABS(R311)/'İtme Analizi'!$G$14</f>
        <v>0</v>
      </c>
      <c r="U311" s="30">
        <f t="shared" si="6"/>
        <v>9.2950204584968388E-5</v>
      </c>
    </row>
    <row r="312" spans="16:21" ht="13.9" customHeight="1" x14ac:dyDescent="0.2">
      <c r="P312" s="27"/>
      <c r="Q312" s="30"/>
      <c r="R312" s="30"/>
      <c r="S312" s="30">
        <f>ABS(Q312)/'İtme Analizi'!$G$17</f>
        <v>0</v>
      </c>
      <c r="T312" s="30">
        <f>ABS(R312)/'İtme Analizi'!$G$14</f>
        <v>0</v>
      </c>
      <c r="U312" s="30">
        <f t="shared" si="6"/>
        <v>9.2950204584968388E-5</v>
      </c>
    </row>
    <row r="313" spans="16:21" ht="13.9" customHeight="1" x14ac:dyDescent="0.2">
      <c r="P313" s="27"/>
      <c r="Q313" s="30"/>
      <c r="R313" s="30"/>
      <c r="S313" s="30">
        <f>ABS(Q313)/'İtme Analizi'!$G$17</f>
        <v>0</v>
      </c>
      <c r="T313" s="30">
        <f>ABS(R313)/'İtme Analizi'!$G$14</f>
        <v>0</v>
      </c>
      <c r="U313" s="30">
        <f t="shared" si="6"/>
        <v>9.2950204584968388E-5</v>
      </c>
    </row>
    <row r="314" spans="16:21" ht="13.9" customHeight="1" x14ac:dyDescent="0.2">
      <c r="P314" s="27"/>
      <c r="Q314" s="30"/>
      <c r="R314" s="30"/>
      <c r="S314" s="30">
        <f>ABS(Q314)/'İtme Analizi'!$G$17</f>
        <v>0</v>
      </c>
      <c r="T314" s="30">
        <f>ABS(R314)/'İtme Analizi'!$G$14</f>
        <v>0</v>
      </c>
      <c r="U314" s="30">
        <f t="shared" si="6"/>
        <v>9.2950204584968388E-5</v>
      </c>
    </row>
    <row r="315" spans="16:21" ht="13.9" customHeight="1" x14ac:dyDescent="0.2">
      <c r="P315" s="27"/>
      <c r="Q315" s="30"/>
      <c r="R315" s="30"/>
      <c r="S315" s="30">
        <f>ABS(Q315)/'İtme Analizi'!$G$17</f>
        <v>0</v>
      </c>
      <c r="T315" s="30">
        <f>ABS(R315)/'İtme Analizi'!$G$14</f>
        <v>0</v>
      </c>
      <c r="U315" s="30">
        <f t="shared" si="6"/>
        <v>9.2950204584968388E-5</v>
      </c>
    </row>
    <row r="316" spans="16:21" ht="13.9" customHeight="1" x14ac:dyDescent="0.2">
      <c r="P316" s="27"/>
      <c r="Q316" s="30"/>
      <c r="R316" s="30"/>
      <c r="S316" s="30">
        <f>ABS(Q316)/'İtme Analizi'!$G$17</f>
        <v>0</v>
      </c>
      <c r="T316" s="30">
        <f>ABS(R316)/'İtme Analizi'!$G$14</f>
        <v>0</v>
      </c>
      <c r="U316" s="30">
        <f t="shared" si="6"/>
        <v>9.2950204584968388E-5</v>
      </c>
    </row>
    <row r="317" spans="16:21" ht="13.9" customHeight="1" x14ac:dyDescent="0.2">
      <c r="P317" s="27"/>
      <c r="Q317" s="30"/>
      <c r="R317" s="30"/>
      <c r="S317" s="30">
        <f>ABS(Q317)/'İtme Analizi'!$G$17</f>
        <v>0</v>
      </c>
      <c r="T317" s="30">
        <f>ABS(R317)/'İtme Analizi'!$G$14</f>
        <v>0</v>
      </c>
      <c r="U317" s="30">
        <f t="shared" si="6"/>
        <v>9.2950204584968388E-5</v>
      </c>
    </row>
    <row r="318" spans="16:21" ht="13.9" customHeight="1" x14ac:dyDescent="0.2">
      <c r="P318" s="27"/>
      <c r="Q318" s="30"/>
      <c r="R318" s="30"/>
      <c r="S318" s="30">
        <f>ABS(Q318)/'İtme Analizi'!$G$17</f>
        <v>0</v>
      </c>
      <c r="T318" s="30">
        <f>ABS(R318)/'İtme Analizi'!$G$14</f>
        <v>0</v>
      </c>
      <c r="U318" s="30">
        <f t="shared" si="6"/>
        <v>9.2950204584968388E-5</v>
      </c>
    </row>
    <row r="319" spans="16:21" ht="13.9" customHeight="1" x14ac:dyDescent="0.2">
      <c r="P319" s="27"/>
      <c r="Q319" s="30"/>
      <c r="R319" s="30"/>
      <c r="S319" s="30">
        <f>ABS(Q319)/'İtme Analizi'!$G$17</f>
        <v>0</v>
      </c>
      <c r="T319" s="30">
        <f>ABS(R319)/'İtme Analizi'!$G$14</f>
        <v>0</v>
      </c>
      <c r="U319" s="30">
        <f t="shared" si="6"/>
        <v>9.2950204584968388E-5</v>
      </c>
    </row>
    <row r="320" spans="16:21" ht="13.9" customHeight="1" x14ac:dyDescent="0.2">
      <c r="P320" s="27"/>
      <c r="Q320" s="30"/>
      <c r="R320" s="30"/>
      <c r="S320" s="30">
        <f>ABS(Q320)/'İtme Analizi'!$G$17</f>
        <v>0</v>
      </c>
      <c r="T320" s="30">
        <f>ABS(R320)/'İtme Analizi'!$G$14</f>
        <v>0</v>
      </c>
      <c r="U320" s="30">
        <f t="shared" si="6"/>
        <v>9.2950204584968388E-5</v>
      </c>
    </row>
    <row r="321" spans="16:21" ht="13.9" customHeight="1" x14ac:dyDescent="0.2">
      <c r="P321" s="27"/>
      <c r="Q321" s="30"/>
      <c r="R321" s="30"/>
      <c r="S321" s="30">
        <f>ABS(Q321)/'İtme Analizi'!$G$17</f>
        <v>0</v>
      </c>
      <c r="T321" s="30">
        <f>ABS(R321)/'İtme Analizi'!$G$14</f>
        <v>0</v>
      </c>
      <c r="U321" s="30">
        <f t="shared" si="6"/>
        <v>9.2950204584968388E-5</v>
      </c>
    </row>
    <row r="322" spans="16:21" ht="13.9" customHeight="1" x14ac:dyDescent="0.2">
      <c r="P322" s="27"/>
      <c r="Q322" s="30"/>
      <c r="R322" s="30"/>
      <c r="S322" s="30">
        <f>ABS(Q322)/'İtme Analizi'!$G$17</f>
        <v>0</v>
      </c>
      <c r="T322" s="30">
        <f>ABS(R322)/'İtme Analizi'!$G$14</f>
        <v>0</v>
      </c>
      <c r="U322" s="30">
        <f t="shared" si="6"/>
        <v>9.2950204584968388E-5</v>
      </c>
    </row>
    <row r="323" spans="16:21" ht="13.9" customHeight="1" x14ac:dyDescent="0.2">
      <c r="P323" s="27"/>
      <c r="Q323" s="30"/>
      <c r="R323" s="30"/>
      <c r="S323" s="30">
        <f>ABS(Q323)/'İtme Analizi'!$G$17</f>
        <v>0</v>
      </c>
      <c r="T323" s="30">
        <f>ABS(R323)/'İtme Analizi'!$G$14</f>
        <v>0</v>
      </c>
      <c r="U323" s="30">
        <f t="shared" si="6"/>
        <v>9.2950204584968388E-5</v>
      </c>
    </row>
    <row r="324" spans="16:21" ht="13.9" customHeight="1" x14ac:dyDescent="0.2">
      <c r="P324" s="27"/>
      <c r="Q324" s="30"/>
      <c r="R324" s="30"/>
      <c r="S324" s="30">
        <f>ABS(Q324)/'İtme Analizi'!$G$17</f>
        <v>0</v>
      </c>
      <c r="T324" s="30">
        <f>ABS(R324)/'İtme Analizi'!$G$14</f>
        <v>0</v>
      </c>
      <c r="U324" s="30">
        <f t="shared" si="6"/>
        <v>9.2950204584968388E-5</v>
      </c>
    </row>
    <row r="325" spans="16:21" ht="13.9" customHeight="1" x14ac:dyDescent="0.2">
      <c r="P325" s="27"/>
      <c r="Q325" s="30"/>
      <c r="R325" s="30"/>
      <c r="S325" s="30">
        <f>ABS(Q325)/'İtme Analizi'!$G$17</f>
        <v>0</v>
      </c>
      <c r="T325" s="30">
        <f>ABS(R325)/'İtme Analizi'!$G$14</f>
        <v>0</v>
      </c>
      <c r="U325" s="30">
        <f t="shared" si="6"/>
        <v>9.2950204584968388E-5</v>
      </c>
    </row>
    <row r="326" spans="16:21" ht="13.9" customHeight="1" x14ac:dyDescent="0.2">
      <c r="P326" s="27"/>
      <c r="Q326" s="30"/>
      <c r="R326" s="30"/>
      <c r="S326" s="30">
        <f>ABS(Q326)/'İtme Analizi'!$G$17</f>
        <v>0</v>
      </c>
      <c r="T326" s="30">
        <f>ABS(R326)/'İtme Analizi'!$G$14</f>
        <v>0</v>
      </c>
      <c r="U326" s="30">
        <f t="shared" si="6"/>
        <v>9.2950204584968388E-5</v>
      </c>
    </row>
    <row r="327" spans="16:21" ht="13.9" customHeight="1" x14ac:dyDescent="0.2">
      <c r="P327" s="27"/>
      <c r="Q327" s="30"/>
      <c r="R327" s="30"/>
      <c r="S327" s="30">
        <f>ABS(Q327)/'İtme Analizi'!$G$17</f>
        <v>0</v>
      </c>
      <c r="T327" s="30">
        <f>ABS(R327)/'İtme Analizi'!$G$14</f>
        <v>0</v>
      </c>
      <c r="U327" s="30">
        <f t="shared" si="6"/>
        <v>9.2950204584968388E-5</v>
      </c>
    </row>
    <row r="328" spans="16:21" ht="13.9" customHeight="1" x14ac:dyDescent="0.2">
      <c r="P328" s="27"/>
      <c r="Q328" s="30"/>
      <c r="R328" s="30"/>
      <c r="S328" s="30">
        <f>ABS(Q328)/'İtme Analizi'!$G$17</f>
        <v>0</v>
      </c>
      <c r="T328" s="30">
        <f>ABS(R328)/'İtme Analizi'!$G$14</f>
        <v>0</v>
      </c>
      <c r="U328" s="30">
        <f t="shared" si="6"/>
        <v>9.2950204584968388E-5</v>
      </c>
    </row>
    <row r="329" spans="16:21" ht="13.9" customHeight="1" x14ac:dyDescent="0.2">
      <c r="P329" s="27"/>
      <c r="Q329" s="30"/>
      <c r="R329" s="30"/>
      <c r="S329" s="30">
        <f>ABS(Q329)/'İtme Analizi'!$G$17</f>
        <v>0</v>
      </c>
      <c r="T329" s="30">
        <f>ABS(R329)/'İtme Analizi'!$G$14</f>
        <v>0</v>
      </c>
      <c r="U329" s="30">
        <f t="shared" ref="U329:U392" si="7">U328+(S329-S328)*((T329+T328)/2)</f>
        <v>9.2950204584968388E-5</v>
      </c>
    </row>
    <row r="330" spans="16:21" ht="13.9" customHeight="1" x14ac:dyDescent="0.2">
      <c r="P330" s="27"/>
      <c r="Q330" s="30"/>
      <c r="R330" s="30"/>
      <c r="S330" s="30">
        <f>ABS(Q330)/'İtme Analizi'!$G$17</f>
        <v>0</v>
      </c>
      <c r="T330" s="30">
        <f>ABS(R330)/'İtme Analizi'!$G$14</f>
        <v>0</v>
      </c>
      <c r="U330" s="30">
        <f t="shared" si="7"/>
        <v>9.2950204584968388E-5</v>
      </c>
    </row>
    <row r="331" spans="16:21" ht="13.9" customHeight="1" x14ac:dyDescent="0.2">
      <c r="P331" s="27"/>
      <c r="Q331" s="30"/>
      <c r="R331" s="30"/>
      <c r="S331" s="30">
        <f>ABS(Q331)/'İtme Analizi'!$G$17</f>
        <v>0</v>
      </c>
      <c r="T331" s="30">
        <f>ABS(R331)/'İtme Analizi'!$G$14</f>
        <v>0</v>
      </c>
      <c r="U331" s="30">
        <f t="shared" si="7"/>
        <v>9.2950204584968388E-5</v>
      </c>
    </row>
    <row r="332" spans="16:21" ht="13.9" customHeight="1" x14ac:dyDescent="0.2">
      <c r="P332" s="27"/>
      <c r="Q332" s="30"/>
      <c r="R332" s="30"/>
      <c r="S332" s="30">
        <f>ABS(Q332)/'İtme Analizi'!$G$17</f>
        <v>0</v>
      </c>
      <c r="T332" s="30">
        <f>ABS(R332)/'İtme Analizi'!$G$14</f>
        <v>0</v>
      </c>
      <c r="U332" s="30">
        <f t="shared" si="7"/>
        <v>9.2950204584968388E-5</v>
      </c>
    </row>
    <row r="333" spans="16:21" ht="13.9" customHeight="1" x14ac:dyDescent="0.2">
      <c r="P333" s="27"/>
      <c r="Q333" s="30"/>
      <c r="R333" s="30"/>
      <c r="S333" s="30">
        <f>ABS(Q333)/'İtme Analizi'!$G$17</f>
        <v>0</v>
      </c>
      <c r="T333" s="30">
        <f>ABS(R333)/'İtme Analizi'!$G$14</f>
        <v>0</v>
      </c>
      <c r="U333" s="30">
        <f t="shared" si="7"/>
        <v>9.2950204584968388E-5</v>
      </c>
    </row>
    <row r="334" spans="16:21" ht="13.9" customHeight="1" x14ac:dyDescent="0.2">
      <c r="P334" s="27"/>
      <c r="Q334" s="30"/>
      <c r="R334" s="30"/>
      <c r="S334" s="30">
        <f>ABS(Q334)/'İtme Analizi'!$G$17</f>
        <v>0</v>
      </c>
      <c r="T334" s="30">
        <f>ABS(R334)/'İtme Analizi'!$G$14</f>
        <v>0</v>
      </c>
      <c r="U334" s="30">
        <f t="shared" si="7"/>
        <v>9.2950204584968388E-5</v>
      </c>
    </row>
    <row r="335" spans="16:21" ht="13.9" customHeight="1" x14ac:dyDescent="0.2">
      <c r="P335" s="27"/>
      <c r="Q335" s="30"/>
      <c r="R335" s="30"/>
      <c r="S335" s="30">
        <f>ABS(Q335)/'İtme Analizi'!$G$17</f>
        <v>0</v>
      </c>
      <c r="T335" s="30">
        <f>ABS(R335)/'İtme Analizi'!$G$14</f>
        <v>0</v>
      </c>
      <c r="U335" s="30">
        <f t="shared" si="7"/>
        <v>9.2950204584968388E-5</v>
      </c>
    </row>
    <row r="336" spans="16:21" ht="13.9" customHeight="1" x14ac:dyDescent="0.2">
      <c r="P336" s="27"/>
      <c r="Q336" s="30"/>
      <c r="R336" s="30"/>
      <c r="S336" s="30">
        <f>ABS(Q336)/'İtme Analizi'!$G$17</f>
        <v>0</v>
      </c>
      <c r="T336" s="30">
        <f>ABS(R336)/'İtme Analizi'!$G$14</f>
        <v>0</v>
      </c>
      <c r="U336" s="30">
        <f t="shared" si="7"/>
        <v>9.2950204584968388E-5</v>
      </c>
    </row>
    <row r="337" spans="16:21" ht="13.9" customHeight="1" x14ac:dyDescent="0.2">
      <c r="P337" s="27"/>
      <c r="Q337" s="30"/>
      <c r="R337" s="30"/>
      <c r="S337" s="30">
        <f>ABS(Q337)/'İtme Analizi'!$G$17</f>
        <v>0</v>
      </c>
      <c r="T337" s="30">
        <f>ABS(R337)/'İtme Analizi'!$G$14</f>
        <v>0</v>
      </c>
      <c r="U337" s="30">
        <f t="shared" si="7"/>
        <v>9.2950204584968388E-5</v>
      </c>
    </row>
    <row r="338" spans="16:21" ht="13.9" customHeight="1" x14ac:dyDescent="0.2">
      <c r="P338" s="27"/>
      <c r="Q338" s="30"/>
      <c r="R338" s="30"/>
      <c r="S338" s="30">
        <f>ABS(Q338)/'İtme Analizi'!$G$17</f>
        <v>0</v>
      </c>
      <c r="T338" s="30">
        <f>ABS(R338)/'İtme Analizi'!$G$14</f>
        <v>0</v>
      </c>
      <c r="U338" s="30">
        <f t="shared" si="7"/>
        <v>9.2950204584968388E-5</v>
      </c>
    </row>
    <row r="339" spans="16:21" ht="13.9" customHeight="1" x14ac:dyDescent="0.2">
      <c r="P339" s="27"/>
      <c r="Q339" s="30"/>
      <c r="R339" s="30"/>
      <c r="S339" s="30">
        <f>ABS(Q339)/'İtme Analizi'!$G$17</f>
        <v>0</v>
      </c>
      <c r="T339" s="30">
        <f>ABS(R339)/'İtme Analizi'!$G$14</f>
        <v>0</v>
      </c>
      <c r="U339" s="30">
        <f t="shared" si="7"/>
        <v>9.2950204584968388E-5</v>
      </c>
    </row>
    <row r="340" spans="16:21" ht="13.9" customHeight="1" x14ac:dyDescent="0.2">
      <c r="P340" s="27"/>
      <c r="Q340" s="30"/>
      <c r="R340" s="30"/>
      <c r="S340" s="30">
        <f>ABS(Q340)/'İtme Analizi'!$G$17</f>
        <v>0</v>
      </c>
      <c r="T340" s="30">
        <f>ABS(R340)/'İtme Analizi'!$G$14</f>
        <v>0</v>
      </c>
      <c r="U340" s="30">
        <f t="shared" si="7"/>
        <v>9.2950204584968388E-5</v>
      </c>
    </row>
    <row r="341" spans="16:21" ht="13.9" customHeight="1" x14ac:dyDescent="0.2">
      <c r="P341" s="27"/>
      <c r="Q341" s="30"/>
      <c r="R341" s="30"/>
      <c r="S341" s="30">
        <f>ABS(Q341)/'İtme Analizi'!$G$17</f>
        <v>0</v>
      </c>
      <c r="T341" s="30">
        <f>ABS(R341)/'İtme Analizi'!$G$14</f>
        <v>0</v>
      </c>
      <c r="U341" s="30">
        <f t="shared" si="7"/>
        <v>9.2950204584968388E-5</v>
      </c>
    </row>
    <row r="342" spans="16:21" ht="13.9" customHeight="1" x14ac:dyDescent="0.2">
      <c r="P342" s="27"/>
      <c r="Q342" s="30"/>
      <c r="R342" s="30"/>
      <c r="S342" s="30">
        <f>ABS(Q342)/'İtme Analizi'!$G$17</f>
        <v>0</v>
      </c>
      <c r="T342" s="30">
        <f>ABS(R342)/'İtme Analizi'!$G$14</f>
        <v>0</v>
      </c>
      <c r="U342" s="30">
        <f t="shared" si="7"/>
        <v>9.2950204584968388E-5</v>
      </c>
    </row>
    <row r="343" spans="16:21" ht="13.9" customHeight="1" x14ac:dyDescent="0.2">
      <c r="P343" s="27"/>
      <c r="Q343" s="30"/>
      <c r="R343" s="30"/>
      <c r="S343" s="30">
        <f>ABS(Q343)/'İtme Analizi'!$G$17</f>
        <v>0</v>
      </c>
      <c r="T343" s="30">
        <f>ABS(R343)/'İtme Analizi'!$G$14</f>
        <v>0</v>
      </c>
      <c r="U343" s="30">
        <f t="shared" si="7"/>
        <v>9.2950204584968388E-5</v>
      </c>
    </row>
    <row r="344" spans="16:21" ht="13.9" customHeight="1" x14ac:dyDescent="0.2">
      <c r="P344" s="27"/>
      <c r="Q344" s="30"/>
      <c r="R344" s="30"/>
      <c r="S344" s="30">
        <f>ABS(Q344)/'İtme Analizi'!$G$17</f>
        <v>0</v>
      </c>
      <c r="T344" s="30">
        <f>ABS(R344)/'İtme Analizi'!$G$14</f>
        <v>0</v>
      </c>
      <c r="U344" s="30">
        <f t="shared" si="7"/>
        <v>9.2950204584968388E-5</v>
      </c>
    </row>
    <row r="345" spans="16:21" ht="13.9" customHeight="1" x14ac:dyDescent="0.2">
      <c r="P345" s="27"/>
      <c r="Q345" s="30"/>
      <c r="R345" s="30"/>
      <c r="S345" s="30">
        <f>ABS(Q345)/'İtme Analizi'!$G$17</f>
        <v>0</v>
      </c>
      <c r="T345" s="30">
        <f>ABS(R345)/'İtme Analizi'!$G$14</f>
        <v>0</v>
      </c>
      <c r="U345" s="30">
        <f t="shared" si="7"/>
        <v>9.2950204584968388E-5</v>
      </c>
    </row>
    <row r="346" spans="16:21" ht="13.9" customHeight="1" x14ac:dyDescent="0.2">
      <c r="P346" s="27"/>
      <c r="Q346" s="30"/>
      <c r="R346" s="30"/>
      <c r="S346" s="30">
        <f>ABS(Q346)/'İtme Analizi'!$G$17</f>
        <v>0</v>
      </c>
      <c r="T346" s="30">
        <f>ABS(R346)/'İtme Analizi'!$G$14</f>
        <v>0</v>
      </c>
      <c r="U346" s="30">
        <f t="shared" si="7"/>
        <v>9.2950204584968388E-5</v>
      </c>
    </row>
    <row r="347" spans="16:21" ht="13.9" customHeight="1" x14ac:dyDescent="0.2">
      <c r="P347" s="27"/>
      <c r="Q347" s="30"/>
      <c r="R347" s="30"/>
      <c r="S347" s="30">
        <f>ABS(Q347)/'İtme Analizi'!$G$17</f>
        <v>0</v>
      </c>
      <c r="T347" s="30">
        <f>ABS(R347)/'İtme Analizi'!$G$14</f>
        <v>0</v>
      </c>
      <c r="U347" s="30">
        <f t="shared" si="7"/>
        <v>9.2950204584968388E-5</v>
      </c>
    </row>
    <row r="348" spans="16:21" ht="13.9" customHeight="1" x14ac:dyDescent="0.2">
      <c r="P348" s="27"/>
      <c r="Q348" s="30"/>
      <c r="R348" s="30"/>
      <c r="S348" s="30">
        <f>ABS(Q348)/'İtme Analizi'!$G$17</f>
        <v>0</v>
      </c>
      <c r="T348" s="30">
        <f>ABS(R348)/'İtme Analizi'!$G$14</f>
        <v>0</v>
      </c>
      <c r="U348" s="30">
        <f t="shared" si="7"/>
        <v>9.2950204584968388E-5</v>
      </c>
    </row>
    <row r="349" spans="16:21" ht="13.9" customHeight="1" x14ac:dyDescent="0.2">
      <c r="P349" s="27"/>
      <c r="Q349" s="30"/>
      <c r="R349" s="30"/>
      <c r="S349" s="30">
        <f>ABS(Q349)/'İtme Analizi'!$G$17</f>
        <v>0</v>
      </c>
      <c r="T349" s="30">
        <f>ABS(R349)/'İtme Analizi'!$G$14</f>
        <v>0</v>
      </c>
      <c r="U349" s="30">
        <f t="shared" si="7"/>
        <v>9.2950204584968388E-5</v>
      </c>
    </row>
    <row r="350" spans="16:21" ht="13.9" customHeight="1" x14ac:dyDescent="0.2">
      <c r="P350" s="27"/>
      <c r="Q350" s="30"/>
      <c r="R350" s="30"/>
      <c r="S350" s="30">
        <f>ABS(Q350)/'İtme Analizi'!$G$17</f>
        <v>0</v>
      </c>
      <c r="T350" s="30">
        <f>ABS(R350)/'İtme Analizi'!$G$14</f>
        <v>0</v>
      </c>
      <c r="U350" s="30">
        <f t="shared" si="7"/>
        <v>9.2950204584968388E-5</v>
      </c>
    </row>
    <row r="351" spans="16:21" ht="13.9" customHeight="1" x14ac:dyDescent="0.2">
      <c r="P351" s="27"/>
      <c r="Q351" s="30"/>
      <c r="R351" s="30"/>
      <c r="S351" s="30">
        <f>ABS(Q351)/'İtme Analizi'!$G$17</f>
        <v>0</v>
      </c>
      <c r="T351" s="30">
        <f>ABS(R351)/'İtme Analizi'!$G$14</f>
        <v>0</v>
      </c>
      <c r="U351" s="30">
        <f t="shared" si="7"/>
        <v>9.2950204584968388E-5</v>
      </c>
    </row>
    <row r="352" spans="16:21" ht="13.9" customHeight="1" x14ac:dyDescent="0.2">
      <c r="P352" s="27"/>
      <c r="Q352" s="30"/>
      <c r="R352" s="30"/>
      <c r="S352" s="30">
        <f>ABS(Q352)/'İtme Analizi'!$G$17</f>
        <v>0</v>
      </c>
      <c r="T352" s="30">
        <f>ABS(R352)/'İtme Analizi'!$G$14</f>
        <v>0</v>
      </c>
      <c r="U352" s="30">
        <f t="shared" si="7"/>
        <v>9.2950204584968388E-5</v>
      </c>
    </row>
    <row r="353" spans="16:21" ht="13.9" customHeight="1" x14ac:dyDescent="0.2">
      <c r="P353" s="27"/>
      <c r="Q353" s="30"/>
      <c r="R353" s="30"/>
      <c r="S353" s="30">
        <f>ABS(Q353)/'İtme Analizi'!$G$17</f>
        <v>0</v>
      </c>
      <c r="T353" s="30">
        <f>ABS(R353)/'İtme Analizi'!$G$14</f>
        <v>0</v>
      </c>
      <c r="U353" s="30">
        <f t="shared" si="7"/>
        <v>9.2950204584968388E-5</v>
      </c>
    </row>
    <row r="354" spans="16:21" ht="13.9" customHeight="1" x14ac:dyDescent="0.2">
      <c r="P354" s="27"/>
      <c r="Q354" s="30"/>
      <c r="R354" s="30"/>
      <c r="S354" s="30">
        <f>ABS(Q354)/'İtme Analizi'!$G$17</f>
        <v>0</v>
      </c>
      <c r="T354" s="30">
        <f>ABS(R354)/'İtme Analizi'!$G$14</f>
        <v>0</v>
      </c>
      <c r="U354" s="30">
        <f t="shared" si="7"/>
        <v>9.2950204584968388E-5</v>
      </c>
    </row>
    <row r="355" spans="16:21" ht="13.9" customHeight="1" x14ac:dyDescent="0.2">
      <c r="P355" s="27"/>
      <c r="Q355" s="30"/>
      <c r="R355" s="30"/>
      <c r="S355" s="30">
        <f>ABS(Q355)/'İtme Analizi'!$G$17</f>
        <v>0</v>
      </c>
      <c r="T355" s="30">
        <f>ABS(R355)/'İtme Analizi'!$G$14</f>
        <v>0</v>
      </c>
      <c r="U355" s="30">
        <f t="shared" si="7"/>
        <v>9.2950204584968388E-5</v>
      </c>
    </row>
    <row r="356" spans="16:21" ht="13.9" customHeight="1" x14ac:dyDescent="0.2">
      <c r="P356" s="27"/>
      <c r="Q356" s="30"/>
      <c r="R356" s="30"/>
      <c r="S356" s="30">
        <f>ABS(Q356)/'İtme Analizi'!$G$17</f>
        <v>0</v>
      </c>
      <c r="T356" s="30">
        <f>ABS(R356)/'İtme Analizi'!$G$14</f>
        <v>0</v>
      </c>
      <c r="U356" s="30">
        <f t="shared" si="7"/>
        <v>9.2950204584968388E-5</v>
      </c>
    </row>
    <row r="357" spans="16:21" ht="13.9" customHeight="1" x14ac:dyDescent="0.2">
      <c r="P357" s="27"/>
      <c r="Q357" s="30"/>
      <c r="R357" s="30"/>
      <c r="S357" s="30">
        <f>ABS(Q357)/'İtme Analizi'!$G$17</f>
        <v>0</v>
      </c>
      <c r="T357" s="30">
        <f>ABS(R357)/'İtme Analizi'!$G$14</f>
        <v>0</v>
      </c>
      <c r="U357" s="30">
        <f t="shared" si="7"/>
        <v>9.2950204584968388E-5</v>
      </c>
    </row>
    <row r="358" spans="16:21" ht="13.9" customHeight="1" x14ac:dyDescent="0.2">
      <c r="P358" s="27"/>
      <c r="Q358" s="30"/>
      <c r="R358" s="30"/>
      <c r="S358" s="30">
        <f>ABS(Q358)/'İtme Analizi'!$G$17</f>
        <v>0</v>
      </c>
      <c r="T358" s="30">
        <f>ABS(R358)/'İtme Analizi'!$G$14</f>
        <v>0</v>
      </c>
      <c r="U358" s="30">
        <f t="shared" si="7"/>
        <v>9.2950204584968388E-5</v>
      </c>
    </row>
    <row r="359" spans="16:21" ht="13.9" customHeight="1" x14ac:dyDescent="0.2">
      <c r="P359" s="27"/>
      <c r="Q359" s="30"/>
      <c r="R359" s="30"/>
      <c r="S359" s="30">
        <f>ABS(Q359)/'İtme Analizi'!$G$17</f>
        <v>0</v>
      </c>
      <c r="T359" s="30">
        <f>ABS(R359)/'İtme Analizi'!$G$14</f>
        <v>0</v>
      </c>
      <c r="U359" s="30">
        <f t="shared" si="7"/>
        <v>9.2950204584968388E-5</v>
      </c>
    </row>
    <row r="360" spans="16:21" ht="13.9" customHeight="1" x14ac:dyDescent="0.2">
      <c r="P360" s="27"/>
      <c r="Q360" s="30"/>
      <c r="R360" s="30"/>
      <c r="S360" s="30">
        <f>ABS(Q360)/'İtme Analizi'!$G$17</f>
        <v>0</v>
      </c>
      <c r="T360" s="30">
        <f>ABS(R360)/'İtme Analizi'!$G$14</f>
        <v>0</v>
      </c>
      <c r="U360" s="30">
        <f t="shared" si="7"/>
        <v>9.2950204584968388E-5</v>
      </c>
    </row>
    <row r="361" spans="16:21" ht="13.9" customHeight="1" x14ac:dyDescent="0.2">
      <c r="P361" s="27"/>
      <c r="Q361" s="30"/>
      <c r="R361" s="30"/>
      <c r="S361" s="30">
        <f>ABS(Q361)/'İtme Analizi'!$G$17</f>
        <v>0</v>
      </c>
      <c r="T361" s="30">
        <f>ABS(R361)/'İtme Analizi'!$G$14</f>
        <v>0</v>
      </c>
      <c r="U361" s="30">
        <f t="shared" si="7"/>
        <v>9.2950204584968388E-5</v>
      </c>
    </row>
    <row r="362" spans="16:21" ht="13.9" customHeight="1" x14ac:dyDescent="0.2">
      <c r="P362" s="27"/>
      <c r="Q362" s="30"/>
      <c r="R362" s="30"/>
      <c r="S362" s="30">
        <f>ABS(Q362)/'İtme Analizi'!$G$17</f>
        <v>0</v>
      </c>
      <c r="T362" s="30">
        <f>ABS(R362)/'İtme Analizi'!$G$14</f>
        <v>0</v>
      </c>
      <c r="U362" s="30">
        <f t="shared" si="7"/>
        <v>9.2950204584968388E-5</v>
      </c>
    </row>
    <row r="363" spans="16:21" ht="13.9" customHeight="1" x14ac:dyDescent="0.2">
      <c r="P363" s="27"/>
      <c r="Q363" s="30"/>
      <c r="R363" s="30"/>
      <c r="S363" s="30">
        <f>ABS(Q363)/'İtme Analizi'!$G$17</f>
        <v>0</v>
      </c>
      <c r="T363" s="30">
        <f>ABS(R363)/'İtme Analizi'!$G$14</f>
        <v>0</v>
      </c>
      <c r="U363" s="30">
        <f t="shared" si="7"/>
        <v>9.2950204584968388E-5</v>
      </c>
    </row>
    <row r="364" spans="16:21" ht="13.9" customHeight="1" x14ac:dyDescent="0.2">
      <c r="P364" s="27"/>
      <c r="Q364" s="30"/>
      <c r="R364" s="30"/>
      <c r="S364" s="30">
        <f>ABS(Q364)/'İtme Analizi'!$G$17</f>
        <v>0</v>
      </c>
      <c r="T364" s="30">
        <f>ABS(R364)/'İtme Analizi'!$G$14</f>
        <v>0</v>
      </c>
      <c r="U364" s="30">
        <f t="shared" si="7"/>
        <v>9.2950204584968388E-5</v>
      </c>
    </row>
    <row r="365" spans="16:21" ht="13.9" customHeight="1" x14ac:dyDescent="0.2">
      <c r="P365" s="27"/>
      <c r="Q365" s="30"/>
      <c r="R365" s="30"/>
      <c r="S365" s="30">
        <f>ABS(Q365)/'İtme Analizi'!$G$17</f>
        <v>0</v>
      </c>
      <c r="T365" s="30">
        <f>ABS(R365)/'İtme Analizi'!$G$14</f>
        <v>0</v>
      </c>
      <c r="U365" s="30">
        <f t="shared" si="7"/>
        <v>9.2950204584968388E-5</v>
      </c>
    </row>
    <row r="366" spans="16:21" ht="13.9" customHeight="1" x14ac:dyDescent="0.2">
      <c r="P366" s="27"/>
      <c r="Q366" s="30"/>
      <c r="R366" s="30"/>
      <c r="S366" s="30">
        <f>ABS(Q366)/'İtme Analizi'!$G$17</f>
        <v>0</v>
      </c>
      <c r="T366" s="30">
        <f>ABS(R366)/'İtme Analizi'!$G$14</f>
        <v>0</v>
      </c>
      <c r="U366" s="30">
        <f t="shared" si="7"/>
        <v>9.2950204584968388E-5</v>
      </c>
    </row>
    <row r="367" spans="16:21" ht="13.9" customHeight="1" x14ac:dyDescent="0.2">
      <c r="P367" s="27"/>
      <c r="Q367" s="30"/>
      <c r="R367" s="30"/>
      <c r="S367" s="30">
        <f>ABS(Q367)/'İtme Analizi'!$G$17</f>
        <v>0</v>
      </c>
      <c r="T367" s="30">
        <f>ABS(R367)/'İtme Analizi'!$G$14</f>
        <v>0</v>
      </c>
      <c r="U367" s="30">
        <f t="shared" si="7"/>
        <v>9.2950204584968388E-5</v>
      </c>
    </row>
    <row r="368" spans="16:21" ht="13.9" customHeight="1" x14ac:dyDescent="0.2">
      <c r="P368" s="27"/>
      <c r="Q368" s="30"/>
      <c r="R368" s="30"/>
      <c r="S368" s="30">
        <f>ABS(Q368)/'İtme Analizi'!$G$17</f>
        <v>0</v>
      </c>
      <c r="T368" s="30">
        <f>ABS(R368)/'İtme Analizi'!$G$14</f>
        <v>0</v>
      </c>
      <c r="U368" s="30">
        <f t="shared" si="7"/>
        <v>9.2950204584968388E-5</v>
      </c>
    </row>
    <row r="369" spans="16:21" ht="13.9" customHeight="1" x14ac:dyDescent="0.2">
      <c r="P369" s="27"/>
      <c r="Q369" s="30"/>
      <c r="R369" s="30"/>
      <c r="S369" s="30">
        <f>ABS(Q369)/'İtme Analizi'!$G$17</f>
        <v>0</v>
      </c>
      <c r="T369" s="30">
        <f>ABS(R369)/'İtme Analizi'!$G$14</f>
        <v>0</v>
      </c>
      <c r="U369" s="30">
        <f t="shared" si="7"/>
        <v>9.2950204584968388E-5</v>
      </c>
    </row>
    <row r="370" spans="16:21" ht="13.9" customHeight="1" x14ac:dyDescent="0.2">
      <c r="P370" s="27"/>
      <c r="Q370" s="30"/>
      <c r="R370" s="30"/>
      <c r="S370" s="30">
        <f>ABS(Q370)/'İtme Analizi'!$G$17</f>
        <v>0</v>
      </c>
      <c r="T370" s="30">
        <f>ABS(R370)/'İtme Analizi'!$G$14</f>
        <v>0</v>
      </c>
      <c r="U370" s="30">
        <f t="shared" si="7"/>
        <v>9.2950204584968388E-5</v>
      </c>
    </row>
    <row r="371" spans="16:21" ht="13.9" customHeight="1" x14ac:dyDescent="0.2">
      <c r="P371" s="27"/>
      <c r="Q371" s="30"/>
      <c r="R371" s="30"/>
      <c r="S371" s="30">
        <f>ABS(Q371)/'İtme Analizi'!$G$17</f>
        <v>0</v>
      </c>
      <c r="T371" s="30">
        <f>ABS(R371)/'İtme Analizi'!$G$14</f>
        <v>0</v>
      </c>
      <c r="U371" s="30">
        <f t="shared" si="7"/>
        <v>9.2950204584968388E-5</v>
      </c>
    </row>
    <row r="372" spans="16:21" ht="13.9" customHeight="1" x14ac:dyDescent="0.2">
      <c r="P372" s="27"/>
      <c r="Q372" s="30"/>
      <c r="R372" s="30"/>
      <c r="S372" s="30">
        <f>ABS(Q372)/'İtme Analizi'!$G$17</f>
        <v>0</v>
      </c>
      <c r="T372" s="30">
        <f>ABS(R372)/'İtme Analizi'!$G$14</f>
        <v>0</v>
      </c>
      <c r="U372" s="30">
        <f t="shared" si="7"/>
        <v>9.2950204584968388E-5</v>
      </c>
    </row>
    <row r="373" spans="16:21" ht="13.9" customHeight="1" x14ac:dyDescent="0.2">
      <c r="P373" s="27"/>
      <c r="Q373" s="30"/>
      <c r="R373" s="30"/>
      <c r="S373" s="30">
        <f>ABS(Q373)/'İtme Analizi'!$G$17</f>
        <v>0</v>
      </c>
      <c r="T373" s="30">
        <f>ABS(R373)/'İtme Analizi'!$G$14</f>
        <v>0</v>
      </c>
      <c r="U373" s="30">
        <f t="shared" si="7"/>
        <v>9.2950204584968388E-5</v>
      </c>
    </row>
    <row r="374" spans="16:21" ht="13.9" customHeight="1" x14ac:dyDescent="0.2">
      <c r="P374" s="27"/>
      <c r="Q374" s="30"/>
      <c r="R374" s="30"/>
      <c r="S374" s="30">
        <f>ABS(Q374)/'İtme Analizi'!$G$17</f>
        <v>0</v>
      </c>
      <c r="T374" s="30">
        <f>ABS(R374)/'İtme Analizi'!$G$14</f>
        <v>0</v>
      </c>
      <c r="U374" s="30">
        <f t="shared" si="7"/>
        <v>9.2950204584968388E-5</v>
      </c>
    </row>
    <row r="375" spans="16:21" ht="13.9" customHeight="1" x14ac:dyDescent="0.2">
      <c r="P375" s="27"/>
      <c r="Q375" s="30"/>
      <c r="R375" s="30"/>
      <c r="S375" s="30">
        <f>ABS(Q375)/'İtme Analizi'!$G$17</f>
        <v>0</v>
      </c>
      <c r="T375" s="30">
        <f>ABS(R375)/'İtme Analizi'!$G$14</f>
        <v>0</v>
      </c>
      <c r="U375" s="30">
        <f t="shared" si="7"/>
        <v>9.2950204584968388E-5</v>
      </c>
    </row>
    <row r="376" spans="16:21" ht="13.9" customHeight="1" x14ac:dyDescent="0.2">
      <c r="P376" s="27"/>
      <c r="Q376" s="30"/>
      <c r="R376" s="30"/>
      <c r="S376" s="30">
        <f>ABS(Q376)/'İtme Analizi'!$G$17</f>
        <v>0</v>
      </c>
      <c r="T376" s="30">
        <f>ABS(R376)/'İtme Analizi'!$G$14</f>
        <v>0</v>
      </c>
      <c r="U376" s="30">
        <f t="shared" si="7"/>
        <v>9.2950204584968388E-5</v>
      </c>
    </row>
    <row r="377" spans="16:21" ht="13.9" customHeight="1" x14ac:dyDescent="0.2">
      <c r="P377" s="27"/>
      <c r="Q377" s="30"/>
      <c r="R377" s="30"/>
      <c r="S377" s="30">
        <f>ABS(Q377)/'İtme Analizi'!$G$17</f>
        <v>0</v>
      </c>
      <c r="T377" s="30">
        <f>ABS(R377)/'İtme Analizi'!$G$14</f>
        <v>0</v>
      </c>
      <c r="U377" s="30">
        <f t="shared" si="7"/>
        <v>9.2950204584968388E-5</v>
      </c>
    </row>
    <row r="378" spans="16:21" ht="13.9" customHeight="1" x14ac:dyDescent="0.2">
      <c r="P378" s="27"/>
      <c r="Q378" s="30"/>
      <c r="R378" s="30"/>
      <c r="S378" s="30">
        <f>ABS(Q378)/'İtme Analizi'!$G$17</f>
        <v>0</v>
      </c>
      <c r="T378" s="30">
        <f>ABS(R378)/'İtme Analizi'!$G$14</f>
        <v>0</v>
      </c>
      <c r="U378" s="30">
        <f t="shared" si="7"/>
        <v>9.2950204584968388E-5</v>
      </c>
    </row>
    <row r="379" spans="16:21" ht="13.9" customHeight="1" x14ac:dyDescent="0.2">
      <c r="P379" s="27"/>
      <c r="Q379" s="30"/>
      <c r="R379" s="30"/>
      <c r="S379" s="30">
        <f>ABS(Q379)/'İtme Analizi'!$G$17</f>
        <v>0</v>
      </c>
      <c r="T379" s="30">
        <f>ABS(R379)/'İtme Analizi'!$G$14</f>
        <v>0</v>
      </c>
      <c r="U379" s="30">
        <f t="shared" si="7"/>
        <v>9.2950204584968388E-5</v>
      </c>
    </row>
    <row r="380" spans="16:21" ht="13.9" customHeight="1" x14ac:dyDescent="0.2">
      <c r="P380" s="27"/>
      <c r="Q380" s="30"/>
      <c r="R380" s="30"/>
      <c r="S380" s="30">
        <f>ABS(Q380)/'İtme Analizi'!$G$17</f>
        <v>0</v>
      </c>
      <c r="T380" s="30">
        <f>ABS(R380)/'İtme Analizi'!$G$14</f>
        <v>0</v>
      </c>
      <c r="U380" s="30">
        <f t="shared" si="7"/>
        <v>9.2950204584968388E-5</v>
      </c>
    </row>
    <row r="381" spans="16:21" ht="13.9" customHeight="1" x14ac:dyDescent="0.2">
      <c r="P381" s="27"/>
      <c r="Q381" s="30"/>
      <c r="R381" s="30"/>
      <c r="S381" s="30">
        <f>ABS(Q381)/'İtme Analizi'!$G$17</f>
        <v>0</v>
      </c>
      <c r="T381" s="30">
        <f>ABS(R381)/'İtme Analizi'!$G$14</f>
        <v>0</v>
      </c>
      <c r="U381" s="30">
        <f t="shared" si="7"/>
        <v>9.2950204584968388E-5</v>
      </c>
    </row>
    <row r="382" spans="16:21" ht="13.9" customHeight="1" x14ac:dyDescent="0.2">
      <c r="P382" s="27"/>
      <c r="Q382" s="30"/>
      <c r="R382" s="30"/>
      <c r="S382" s="30">
        <f>ABS(Q382)/'İtme Analizi'!$G$17</f>
        <v>0</v>
      </c>
      <c r="T382" s="30">
        <f>ABS(R382)/'İtme Analizi'!$G$14</f>
        <v>0</v>
      </c>
      <c r="U382" s="30">
        <f t="shared" si="7"/>
        <v>9.2950204584968388E-5</v>
      </c>
    </row>
    <row r="383" spans="16:21" ht="13.9" customHeight="1" x14ac:dyDescent="0.2">
      <c r="P383" s="27"/>
      <c r="Q383" s="30"/>
      <c r="R383" s="30"/>
      <c r="S383" s="30">
        <f>ABS(Q383)/'İtme Analizi'!$G$17</f>
        <v>0</v>
      </c>
      <c r="T383" s="30">
        <f>ABS(R383)/'İtme Analizi'!$G$14</f>
        <v>0</v>
      </c>
      <c r="U383" s="30">
        <f t="shared" si="7"/>
        <v>9.2950204584968388E-5</v>
      </c>
    </row>
    <row r="384" spans="16:21" ht="13.9" customHeight="1" x14ac:dyDescent="0.2">
      <c r="P384" s="27"/>
      <c r="Q384" s="30"/>
      <c r="R384" s="30"/>
      <c r="S384" s="30">
        <f>ABS(Q384)/'İtme Analizi'!$G$17</f>
        <v>0</v>
      </c>
      <c r="T384" s="30">
        <f>ABS(R384)/'İtme Analizi'!$G$14</f>
        <v>0</v>
      </c>
      <c r="U384" s="30">
        <f t="shared" si="7"/>
        <v>9.2950204584968388E-5</v>
      </c>
    </row>
    <row r="385" spans="16:21" ht="13.9" customHeight="1" x14ac:dyDescent="0.2">
      <c r="P385" s="27"/>
      <c r="Q385" s="30"/>
      <c r="R385" s="30"/>
      <c r="S385" s="30">
        <f>ABS(Q385)/'İtme Analizi'!$G$17</f>
        <v>0</v>
      </c>
      <c r="T385" s="30">
        <f>ABS(R385)/'İtme Analizi'!$G$14</f>
        <v>0</v>
      </c>
      <c r="U385" s="30">
        <f t="shared" si="7"/>
        <v>9.2950204584968388E-5</v>
      </c>
    </row>
    <row r="386" spans="16:21" ht="13.9" customHeight="1" x14ac:dyDescent="0.2">
      <c r="P386" s="27"/>
      <c r="Q386" s="30"/>
      <c r="R386" s="30"/>
      <c r="S386" s="30">
        <f>ABS(Q386)/'İtme Analizi'!$G$17</f>
        <v>0</v>
      </c>
      <c r="T386" s="30">
        <f>ABS(R386)/'İtme Analizi'!$G$14</f>
        <v>0</v>
      </c>
      <c r="U386" s="30">
        <f t="shared" si="7"/>
        <v>9.2950204584968388E-5</v>
      </c>
    </row>
    <row r="387" spans="16:21" ht="13.9" customHeight="1" x14ac:dyDescent="0.2">
      <c r="P387" s="27"/>
      <c r="Q387" s="30"/>
      <c r="R387" s="30"/>
      <c r="S387" s="30">
        <f>ABS(Q387)/'İtme Analizi'!$G$17</f>
        <v>0</v>
      </c>
      <c r="T387" s="30">
        <f>ABS(R387)/'İtme Analizi'!$G$14</f>
        <v>0</v>
      </c>
      <c r="U387" s="30">
        <f t="shared" si="7"/>
        <v>9.2950204584968388E-5</v>
      </c>
    </row>
    <row r="388" spans="16:21" ht="13.9" customHeight="1" x14ac:dyDescent="0.2">
      <c r="P388" s="27"/>
      <c r="Q388" s="30"/>
      <c r="R388" s="30"/>
      <c r="S388" s="30">
        <f>ABS(Q388)/'İtme Analizi'!$G$17</f>
        <v>0</v>
      </c>
      <c r="T388" s="30">
        <f>ABS(R388)/'İtme Analizi'!$G$14</f>
        <v>0</v>
      </c>
      <c r="U388" s="30">
        <f t="shared" si="7"/>
        <v>9.2950204584968388E-5</v>
      </c>
    </row>
    <row r="389" spans="16:21" ht="13.9" customHeight="1" x14ac:dyDescent="0.2">
      <c r="P389" s="27"/>
      <c r="Q389" s="30"/>
      <c r="R389" s="30"/>
      <c r="S389" s="30">
        <f>ABS(Q389)/'İtme Analizi'!$G$17</f>
        <v>0</v>
      </c>
      <c r="T389" s="30">
        <f>ABS(R389)/'İtme Analizi'!$G$14</f>
        <v>0</v>
      </c>
      <c r="U389" s="30">
        <f t="shared" si="7"/>
        <v>9.2950204584968388E-5</v>
      </c>
    </row>
    <row r="390" spans="16:21" ht="13.9" customHeight="1" x14ac:dyDescent="0.2">
      <c r="P390" s="27"/>
      <c r="Q390" s="30"/>
      <c r="R390" s="30"/>
      <c r="S390" s="30">
        <f>ABS(Q390)/'İtme Analizi'!$G$17</f>
        <v>0</v>
      </c>
      <c r="T390" s="30">
        <f>ABS(R390)/'İtme Analizi'!$G$14</f>
        <v>0</v>
      </c>
      <c r="U390" s="30">
        <f t="shared" si="7"/>
        <v>9.2950204584968388E-5</v>
      </c>
    </row>
    <row r="391" spans="16:21" ht="13.9" customHeight="1" x14ac:dyDescent="0.2">
      <c r="P391" s="27"/>
      <c r="Q391" s="30"/>
      <c r="R391" s="30"/>
      <c r="S391" s="30">
        <f>ABS(Q391)/'İtme Analizi'!$G$17</f>
        <v>0</v>
      </c>
      <c r="T391" s="30">
        <f>ABS(R391)/'İtme Analizi'!$G$14</f>
        <v>0</v>
      </c>
      <c r="U391" s="30">
        <f t="shared" si="7"/>
        <v>9.2950204584968388E-5</v>
      </c>
    </row>
    <row r="392" spans="16:21" ht="13.9" customHeight="1" x14ac:dyDescent="0.2">
      <c r="P392" s="27"/>
      <c r="Q392" s="30"/>
      <c r="R392" s="30"/>
      <c r="S392" s="30">
        <f>ABS(Q392)/'İtme Analizi'!$G$17</f>
        <v>0</v>
      </c>
      <c r="T392" s="30">
        <f>ABS(R392)/'İtme Analizi'!$G$14</f>
        <v>0</v>
      </c>
      <c r="U392" s="30">
        <f t="shared" si="7"/>
        <v>9.2950204584968388E-5</v>
      </c>
    </row>
    <row r="393" spans="16:21" ht="13.9" customHeight="1" x14ac:dyDescent="0.2">
      <c r="P393" s="27"/>
      <c r="Q393" s="30"/>
      <c r="R393" s="30"/>
      <c r="S393" s="30">
        <f>ABS(Q393)/'İtme Analizi'!$G$17</f>
        <v>0</v>
      </c>
      <c r="T393" s="30">
        <f>ABS(R393)/'İtme Analizi'!$G$14</f>
        <v>0</v>
      </c>
      <c r="U393" s="30">
        <f t="shared" ref="U393:U456" si="8">U392+(S393-S392)*((T393+T392)/2)</f>
        <v>9.2950204584968388E-5</v>
      </c>
    </row>
    <row r="394" spans="16:21" ht="13.9" customHeight="1" x14ac:dyDescent="0.2">
      <c r="P394" s="27"/>
      <c r="Q394" s="30"/>
      <c r="R394" s="30"/>
      <c r="S394" s="30">
        <f>ABS(Q394)/'İtme Analizi'!$G$17</f>
        <v>0</v>
      </c>
      <c r="T394" s="30">
        <f>ABS(R394)/'İtme Analizi'!$G$14</f>
        <v>0</v>
      </c>
      <c r="U394" s="30">
        <f t="shared" si="8"/>
        <v>9.2950204584968388E-5</v>
      </c>
    </row>
    <row r="395" spans="16:21" ht="13.9" customHeight="1" x14ac:dyDescent="0.2">
      <c r="P395" s="27"/>
      <c r="Q395" s="30"/>
      <c r="R395" s="30"/>
      <c r="S395" s="30">
        <f>ABS(Q395)/'İtme Analizi'!$G$17</f>
        <v>0</v>
      </c>
      <c r="T395" s="30">
        <f>ABS(R395)/'İtme Analizi'!$G$14</f>
        <v>0</v>
      </c>
      <c r="U395" s="30">
        <f t="shared" si="8"/>
        <v>9.2950204584968388E-5</v>
      </c>
    </row>
    <row r="396" spans="16:21" ht="13.9" customHeight="1" x14ac:dyDescent="0.2">
      <c r="P396" s="27"/>
      <c r="Q396" s="30"/>
      <c r="R396" s="30"/>
      <c r="S396" s="30">
        <f>ABS(Q396)/'İtme Analizi'!$G$17</f>
        <v>0</v>
      </c>
      <c r="T396" s="30">
        <f>ABS(R396)/'İtme Analizi'!$G$14</f>
        <v>0</v>
      </c>
      <c r="U396" s="30">
        <f t="shared" si="8"/>
        <v>9.2950204584968388E-5</v>
      </c>
    </row>
    <row r="397" spans="16:21" ht="13.9" customHeight="1" x14ac:dyDescent="0.2">
      <c r="P397" s="27"/>
      <c r="Q397" s="30"/>
      <c r="R397" s="30"/>
      <c r="S397" s="30">
        <f>ABS(Q397)/'İtme Analizi'!$G$17</f>
        <v>0</v>
      </c>
      <c r="T397" s="30">
        <f>ABS(R397)/'İtme Analizi'!$G$14</f>
        <v>0</v>
      </c>
      <c r="U397" s="30">
        <f t="shared" si="8"/>
        <v>9.2950204584968388E-5</v>
      </c>
    </row>
    <row r="398" spans="16:21" ht="13.9" customHeight="1" x14ac:dyDescent="0.2">
      <c r="P398" s="27"/>
      <c r="Q398" s="30"/>
      <c r="R398" s="30"/>
      <c r="S398" s="30">
        <f>ABS(Q398)/'İtme Analizi'!$G$17</f>
        <v>0</v>
      </c>
      <c r="T398" s="30">
        <f>ABS(R398)/'İtme Analizi'!$G$14</f>
        <v>0</v>
      </c>
      <c r="U398" s="30">
        <f t="shared" si="8"/>
        <v>9.2950204584968388E-5</v>
      </c>
    </row>
    <row r="399" spans="16:21" ht="13.9" customHeight="1" x14ac:dyDescent="0.2">
      <c r="P399" s="27"/>
      <c r="Q399" s="30"/>
      <c r="R399" s="30"/>
      <c r="S399" s="30">
        <f>ABS(Q399)/'İtme Analizi'!$G$17</f>
        <v>0</v>
      </c>
      <c r="T399" s="30">
        <f>ABS(R399)/'İtme Analizi'!$G$14</f>
        <v>0</v>
      </c>
      <c r="U399" s="30">
        <f t="shared" si="8"/>
        <v>9.2950204584968388E-5</v>
      </c>
    </row>
    <row r="400" spans="16:21" ht="13.9" customHeight="1" x14ac:dyDescent="0.2">
      <c r="P400" s="27"/>
      <c r="Q400" s="30"/>
      <c r="R400" s="30"/>
      <c r="S400" s="30">
        <f>ABS(Q400)/'İtme Analizi'!$G$17</f>
        <v>0</v>
      </c>
      <c r="T400" s="30">
        <f>ABS(R400)/'İtme Analizi'!$G$14</f>
        <v>0</v>
      </c>
      <c r="U400" s="30">
        <f t="shared" si="8"/>
        <v>9.2950204584968388E-5</v>
      </c>
    </row>
    <row r="401" spans="16:21" ht="13.9" customHeight="1" x14ac:dyDescent="0.2">
      <c r="P401" s="27"/>
      <c r="Q401" s="30"/>
      <c r="R401" s="30"/>
      <c r="S401" s="30">
        <f>ABS(Q401)/'İtme Analizi'!$G$17</f>
        <v>0</v>
      </c>
      <c r="T401" s="30">
        <f>ABS(R401)/'İtme Analizi'!$G$14</f>
        <v>0</v>
      </c>
      <c r="U401" s="30">
        <f t="shared" si="8"/>
        <v>9.2950204584968388E-5</v>
      </c>
    </row>
    <row r="402" spans="16:21" ht="13.9" customHeight="1" x14ac:dyDescent="0.2">
      <c r="P402" s="27"/>
      <c r="Q402" s="30"/>
      <c r="R402" s="30"/>
      <c r="S402" s="30">
        <f>ABS(Q402)/'İtme Analizi'!$G$17</f>
        <v>0</v>
      </c>
      <c r="T402" s="30">
        <f>ABS(R402)/'İtme Analizi'!$G$14</f>
        <v>0</v>
      </c>
      <c r="U402" s="30">
        <f t="shared" si="8"/>
        <v>9.2950204584968388E-5</v>
      </c>
    </row>
    <row r="403" spans="16:21" ht="13.9" customHeight="1" x14ac:dyDescent="0.2">
      <c r="P403" s="27"/>
      <c r="Q403" s="30"/>
      <c r="R403" s="30"/>
      <c r="S403" s="30">
        <f>ABS(Q403)/'İtme Analizi'!$G$17</f>
        <v>0</v>
      </c>
      <c r="T403" s="30">
        <f>ABS(R403)/'İtme Analizi'!$G$14</f>
        <v>0</v>
      </c>
      <c r="U403" s="30">
        <f t="shared" si="8"/>
        <v>9.2950204584968388E-5</v>
      </c>
    </row>
    <row r="404" spans="16:21" ht="13.9" customHeight="1" x14ac:dyDescent="0.2">
      <c r="P404" s="27"/>
      <c r="Q404" s="30"/>
      <c r="R404" s="30"/>
      <c r="S404" s="30">
        <f>ABS(Q404)/'İtme Analizi'!$G$17</f>
        <v>0</v>
      </c>
      <c r="T404" s="30">
        <f>ABS(R404)/'İtme Analizi'!$G$14</f>
        <v>0</v>
      </c>
      <c r="U404" s="30">
        <f t="shared" si="8"/>
        <v>9.2950204584968388E-5</v>
      </c>
    </row>
    <row r="405" spans="16:21" ht="13.9" customHeight="1" x14ac:dyDescent="0.2">
      <c r="P405" s="27"/>
      <c r="Q405" s="30"/>
      <c r="R405" s="30"/>
      <c r="S405" s="30">
        <f>ABS(Q405)/'İtme Analizi'!$G$17</f>
        <v>0</v>
      </c>
      <c r="T405" s="30">
        <f>ABS(R405)/'İtme Analizi'!$G$14</f>
        <v>0</v>
      </c>
      <c r="U405" s="30">
        <f t="shared" si="8"/>
        <v>9.2950204584968388E-5</v>
      </c>
    </row>
    <row r="406" spans="16:21" ht="13.9" customHeight="1" x14ac:dyDescent="0.2">
      <c r="P406" s="27"/>
      <c r="Q406" s="30"/>
      <c r="R406" s="30"/>
      <c r="S406" s="30">
        <f>ABS(Q406)/'İtme Analizi'!$G$17</f>
        <v>0</v>
      </c>
      <c r="T406" s="30">
        <f>ABS(R406)/'İtme Analizi'!$G$14</f>
        <v>0</v>
      </c>
      <c r="U406" s="30">
        <f t="shared" si="8"/>
        <v>9.2950204584968388E-5</v>
      </c>
    </row>
    <row r="407" spans="16:21" ht="13.9" customHeight="1" x14ac:dyDescent="0.2">
      <c r="P407" s="27"/>
      <c r="Q407" s="30"/>
      <c r="R407" s="30"/>
      <c r="S407" s="30">
        <f>ABS(Q407)/'İtme Analizi'!$G$17</f>
        <v>0</v>
      </c>
      <c r="T407" s="30">
        <f>ABS(R407)/'İtme Analizi'!$G$14</f>
        <v>0</v>
      </c>
      <c r="U407" s="30">
        <f t="shared" si="8"/>
        <v>9.2950204584968388E-5</v>
      </c>
    </row>
    <row r="408" spans="16:21" ht="13.9" customHeight="1" x14ac:dyDescent="0.2">
      <c r="P408" s="27"/>
      <c r="Q408" s="30"/>
      <c r="R408" s="30"/>
      <c r="S408" s="30">
        <f>ABS(Q408)/'İtme Analizi'!$G$17</f>
        <v>0</v>
      </c>
      <c r="T408" s="30">
        <f>ABS(R408)/'İtme Analizi'!$G$14</f>
        <v>0</v>
      </c>
      <c r="U408" s="30">
        <f t="shared" si="8"/>
        <v>9.2950204584968388E-5</v>
      </c>
    </row>
    <row r="409" spans="16:21" ht="13.9" customHeight="1" x14ac:dyDescent="0.2">
      <c r="P409" s="27"/>
      <c r="Q409" s="30"/>
      <c r="R409" s="30"/>
      <c r="S409" s="30">
        <f>ABS(Q409)/'İtme Analizi'!$G$17</f>
        <v>0</v>
      </c>
      <c r="T409" s="30">
        <f>ABS(R409)/'İtme Analizi'!$G$14</f>
        <v>0</v>
      </c>
      <c r="U409" s="30">
        <f t="shared" si="8"/>
        <v>9.2950204584968388E-5</v>
      </c>
    </row>
    <row r="410" spans="16:21" ht="13.9" customHeight="1" x14ac:dyDescent="0.2">
      <c r="P410" s="27"/>
      <c r="Q410" s="30"/>
      <c r="R410" s="30"/>
      <c r="S410" s="30">
        <f>ABS(Q410)/'İtme Analizi'!$G$17</f>
        <v>0</v>
      </c>
      <c r="T410" s="30">
        <f>ABS(R410)/'İtme Analizi'!$G$14</f>
        <v>0</v>
      </c>
      <c r="U410" s="30">
        <f t="shared" si="8"/>
        <v>9.2950204584968388E-5</v>
      </c>
    </row>
    <row r="411" spans="16:21" ht="13.9" customHeight="1" x14ac:dyDescent="0.2">
      <c r="P411" s="27"/>
      <c r="Q411" s="30"/>
      <c r="R411" s="30"/>
      <c r="S411" s="30">
        <f>ABS(Q411)/'İtme Analizi'!$G$17</f>
        <v>0</v>
      </c>
      <c r="T411" s="30">
        <f>ABS(R411)/'İtme Analizi'!$G$14</f>
        <v>0</v>
      </c>
      <c r="U411" s="30">
        <f t="shared" si="8"/>
        <v>9.2950204584968388E-5</v>
      </c>
    </row>
    <row r="412" spans="16:21" ht="13.9" customHeight="1" x14ac:dyDescent="0.2">
      <c r="P412" s="27"/>
      <c r="Q412" s="30"/>
      <c r="R412" s="30"/>
      <c r="S412" s="30">
        <f>ABS(Q412)/'İtme Analizi'!$G$17</f>
        <v>0</v>
      </c>
      <c r="T412" s="30">
        <f>ABS(R412)/'İtme Analizi'!$G$14</f>
        <v>0</v>
      </c>
      <c r="U412" s="30">
        <f t="shared" si="8"/>
        <v>9.2950204584968388E-5</v>
      </c>
    </row>
    <row r="413" spans="16:21" ht="13.9" customHeight="1" x14ac:dyDescent="0.2">
      <c r="P413" s="27"/>
      <c r="Q413" s="30"/>
      <c r="R413" s="30"/>
      <c r="S413" s="30">
        <f>ABS(Q413)/'İtme Analizi'!$G$17</f>
        <v>0</v>
      </c>
      <c r="T413" s="30">
        <f>ABS(R413)/'İtme Analizi'!$G$14</f>
        <v>0</v>
      </c>
      <c r="U413" s="30">
        <f t="shared" si="8"/>
        <v>9.2950204584968388E-5</v>
      </c>
    </row>
    <row r="414" spans="16:21" ht="13.9" customHeight="1" x14ac:dyDescent="0.2">
      <c r="P414" s="27"/>
      <c r="Q414" s="30"/>
      <c r="R414" s="30"/>
      <c r="S414" s="30">
        <f>ABS(Q414)/'İtme Analizi'!$G$17</f>
        <v>0</v>
      </c>
      <c r="T414" s="30">
        <f>ABS(R414)/'İtme Analizi'!$G$14</f>
        <v>0</v>
      </c>
      <c r="U414" s="30">
        <f t="shared" si="8"/>
        <v>9.2950204584968388E-5</v>
      </c>
    </row>
    <row r="415" spans="16:21" ht="13.9" customHeight="1" x14ac:dyDescent="0.2">
      <c r="P415" s="27"/>
      <c r="Q415" s="30"/>
      <c r="R415" s="30"/>
      <c r="S415" s="30">
        <f>ABS(Q415)/'İtme Analizi'!$G$17</f>
        <v>0</v>
      </c>
      <c r="T415" s="30">
        <f>ABS(R415)/'İtme Analizi'!$G$14</f>
        <v>0</v>
      </c>
      <c r="U415" s="30">
        <f t="shared" si="8"/>
        <v>9.2950204584968388E-5</v>
      </c>
    </row>
    <row r="416" spans="16:21" ht="13.9" customHeight="1" x14ac:dyDescent="0.2">
      <c r="P416" s="27"/>
      <c r="Q416" s="30"/>
      <c r="R416" s="30"/>
      <c r="S416" s="30">
        <f>ABS(Q416)/'İtme Analizi'!$G$17</f>
        <v>0</v>
      </c>
      <c r="T416" s="30">
        <f>ABS(R416)/'İtme Analizi'!$G$14</f>
        <v>0</v>
      </c>
      <c r="U416" s="30">
        <f t="shared" si="8"/>
        <v>9.2950204584968388E-5</v>
      </c>
    </row>
    <row r="417" spans="16:21" ht="13.9" customHeight="1" x14ac:dyDescent="0.2">
      <c r="P417" s="27"/>
      <c r="Q417" s="30"/>
      <c r="R417" s="30"/>
      <c r="S417" s="30">
        <f>ABS(Q417)/'İtme Analizi'!$G$17</f>
        <v>0</v>
      </c>
      <c r="T417" s="30">
        <f>ABS(R417)/'İtme Analizi'!$G$14</f>
        <v>0</v>
      </c>
      <c r="U417" s="30">
        <f t="shared" si="8"/>
        <v>9.2950204584968388E-5</v>
      </c>
    </row>
    <row r="418" spans="16:21" ht="13.9" customHeight="1" x14ac:dyDescent="0.2">
      <c r="P418" s="27"/>
      <c r="Q418" s="30"/>
      <c r="R418" s="30"/>
      <c r="S418" s="30">
        <f>ABS(Q418)/'İtme Analizi'!$G$17</f>
        <v>0</v>
      </c>
      <c r="T418" s="30">
        <f>ABS(R418)/'İtme Analizi'!$G$14</f>
        <v>0</v>
      </c>
      <c r="U418" s="30">
        <f t="shared" si="8"/>
        <v>9.2950204584968388E-5</v>
      </c>
    </row>
    <row r="419" spans="16:21" ht="13.9" customHeight="1" x14ac:dyDescent="0.2">
      <c r="P419" s="27"/>
      <c r="Q419" s="30"/>
      <c r="R419" s="30"/>
      <c r="S419" s="30">
        <f>ABS(Q419)/'İtme Analizi'!$G$17</f>
        <v>0</v>
      </c>
      <c r="T419" s="30">
        <f>ABS(R419)/'İtme Analizi'!$G$14</f>
        <v>0</v>
      </c>
      <c r="U419" s="30">
        <f t="shared" si="8"/>
        <v>9.2950204584968388E-5</v>
      </c>
    </row>
    <row r="420" spans="16:21" ht="13.9" customHeight="1" x14ac:dyDescent="0.2">
      <c r="P420" s="27"/>
      <c r="Q420" s="30"/>
      <c r="R420" s="30"/>
      <c r="S420" s="30">
        <f>ABS(Q420)/'İtme Analizi'!$G$17</f>
        <v>0</v>
      </c>
      <c r="T420" s="30">
        <f>ABS(R420)/'İtme Analizi'!$G$14</f>
        <v>0</v>
      </c>
      <c r="U420" s="30">
        <f t="shared" si="8"/>
        <v>9.2950204584968388E-5</v>
      </c>
    </row>
    <row r="421" spans="16:21" ht="13.9" customHeight="1" x14ac:dyDescent="0.2">
      <c r="P421" s="27"/>
      <c r="Q421" s="30"/>
      <c r="R421" s="30"/>
      <c r="S421" s="30">
        <f>ABS(Q421)/'İtme Analizi'!$G$17</f>
        <v>0</v>
      </c>
      <c r="T421" s="30">
        <f>ABS(R421)/'İtme Analizi'!$G$14</f>
        <v>0</v>
      </c>
      <c r="U421" s="30">
        <f t="shared" si="8"/>
        <v>9.2950204584968388E-5</v>
      </c>
    </row>
    <row r="422" spans="16:21" ht="13.9" customHeight="1" x14ac:dyDescent="0.2">
      <c r="P422" s="27"/>
      <c r="Q422" s="30"/>
      <c r="R422" s="30"/>
      <c r="S422" s="30">
        <f>ABS(Q422)/'İtme Analizi'!$G$17</f>
        <v>0</v>
      </c>
      <c r="T422" s="30">
        <f>ABS(R422)/'İtme Analizi'!$G$14</f>
        <v>0</v>
      </c>
      <c r="U422" s="30">
        <f t="shared" si="8"/>
        <v>9.2950204584968388E-5</v>
      </c>
    </row>
    <row r="423" spans="16:21" ht="13.9" customHeight="1" x14ac:dyDescent="0.2">
      <c r="P423" s="27"/>
      <c r="Q423" s="30"/>
      <c r="R423" s="30"/>
      <c r="S423" s="30">
        <f>ABS(Q423)/'İtme Analizi'!$G$17</f>
        <v>0</v>
      </c>
      <c r="T423" s="30">
        <f>ABS(R423)/'İtme Analizi'!$G$14</f>
        <v>0</v>
      </c>
      <c r="U423" s="30">
        <f t="shared" si="8"/>
        <v>9.2950204584968388E-5</v>
      </c>
    </row>
    <row r="424" spans="16:21" ht="13.9" customHeight="1" x14ac:dyDescent="0.2">
      <c r="P424" s="27"/>
      <c r="Q424" s="30"/>
      <c r="R424" s="30"/>
      <c r="S424" s="30">
        <f>ABS(Q424)/'İtme Analizi'!$G$17</f>
        <v>0</v>
      </c>
      <c r="T424" s="30">
        <f>ABS(R424)/'İtme Analizi'!$G$14</f>
        <v>0</v>
      </c>
      <c r="U424" s="30">
        <f t="shared" si="8"/>
        <v>9.2950204584968388E-5</v>
      </c>
    </row>
    <row r="425" spans="16:21" ht="13.9" customHeight="1" x14ac:dyDescent="0.2">
      <c r="P425" s="27"/>
      <c r="Q425" s="30"/>
      <c r="R425" s="30"/>
      <c r="S425" s="30">
        <f>ABS(Q425)/'İtme Analizi'!$G$17</f>
        <v>0</v>
      </c>
      <c r="T425" s="30">
        <f>ABS(R425)/'İtme Analizi'!$G$14</f>
        <v>0</v>
      </c>
      <c r="U425" s="30">
        <f t="shared" si="8"/>
        <v>9.2950204584968388E-5</v>
      </c>
    </row>
    <row r="426" spans="16:21" ht="13.9" customHeight="1" x14ac:dyDescent="0.2">
      <c r="P426" s="27"/>
      <c r="Q426" s="30"/>
      <c r="R426" s="30"/>
      <c r="S426" s="30">
        <f>ABS(Q426)/'İtme Analizi'!$G$17</f>
        <v>0</v>
      </c>
      <c r="T426" s="30">
        <f>ABS(R426)/'İtme Analizi'!$G$14</f>
        <v>0</v>
      </c>
      <c r="U426" s="30">
        <f t="shared" si="8"/>
        <v>9.2950204584968388E-5</v>
      </c>
    </row>
    <row r="427" spans="16:21" ht="13.9" customHeight="1" x14ac:dyDescent="0.2">
      <c r="P427" s="27"/>
      <c r="Q427" s="30"/>
      <c r="R427" s="30"/>
      <c r="S427" s="30">
        <f>ABS(Q427)/'İtme Analizi'!$G$17</f>
        <v>0</v>
      </c>
      <c r="T427" s="30">
        <f>ABS(R427)/'İtme Analizi'!$G$14</f>
        <v>0</v>
      </c>
      <c r="U427" s="30">
        <f t="shared" si="8"/>
        <v>9.2950204584968388E-5</v>
      </c>
    </row>
    <row r="428" spans="16:21" ht="13.9" customHeight="1" x14ac:dyDescent="0.2">
      <c r="P428" s="27"/>
      <c r="Q428" s="30"/>
      <c r="R428" s="30"/>
      <c r="S428" s="30">
        <f>ABS(Q428)/'İtme Analizi'!$G$17</f>
        <v>0</v>
      </c>
      <c r="T428" s="30">
        <f>ABS(R428)/'İtme Analizi'!$G$14</f>
        <v>0</v>
      </c>
      <c r="U428" s="30">
        <f t="shared" si="8"/>
        <v>9.2950204584968388E-5</v>
      </c>
    </row>
    <row r="429" spans="16:21" ht="13.9" customHeight="1" x14ac:dyDescent="0.2">
      <c r="P429" s="27"/>
      <c r="Q429" s="30"/>
      <c r="R429" s="30"/>
      <c r="S429" s="30">
        <f>ABS(Q429)/'İtme Analizi'!$G$17</f>
        <v>0</v>
      </c>
      <c r="T429" s="30">
        <f>ABS(R429)/'İtme Analizi'!$G$14</f>
        <v>0</v>
      </c>
      <c r="U429" s="30">
        <f t="shared" si="8"/>
        <v>9.2950204584968388E-5</v>
      </c>
    </row>
    <row r="430" spans="16:21" ht="13.9" customHeight="1" x14ac:dyDescent="0.2">
      <c r="P430" s="27"/>
      <c r="Q430" s="30"/>
      <c r="R430" s="30"/>
      <c r="S430" s="30">
        <f>ABS(Q430)/'İtme Analizi'!$G$17</f>
        <v>0</v>
      </c>
      <c r="T430" s="30">
        <f>ABS(R430)/'İtme Analizi'!$G$14</f>
        <v>0</v>
      </c>
      <c r="U430" s="30">
        <f t="shared" si="8"/>
        <v>9.2950204584968388E-5</v>
      </c>
    </row>
    <row r="431" spans="16:21" ht="13.9" customHeight="1" x14ac:dyDescent="0.2">
      <c r="P431" s="27"/>
      <c r="Q431" s="30"/>
      <c r="R431" s="30"/>
      <c r="S431" s="30">
        <f>ABS(Q431)/'İtme Analizi'!$G$17</f>
        <v>0</v>
      </c>
      <c r="T431" s="30">
        <f>ABS(R431)/'İtme Analizi'!$G$14</f>
        <v>0</v>
      </c>
      <c r="U431" s="30">
        <f t="shared" si="8"/>
        <v>9.2950204584968388E-5</v>
      </c>
    </row>
    <row r="432" spans="16:21" ht="13.9" customHeight="1" x14ac:dyDescent="0.2">
      <c r="P432" s="27"/>
      <c r="Q432" s="30"/>
      <c r="R432" s="30"/>
      <c r="S432" s="30">
        <f>ABS(Q432)/'İtme Analizi'!$G$17</f>
        <v>0</v>
      </c>
      <c r="T432" s="30">
        <f>ABS(R432)/'İtme Analizi'!$G$14</f>
        <v>0</v>
      </c>
      <c r="U432" s="30">
        <f t="shared" si="8"/>
        <v>9.2950204584968388E-5</v>
      </c>
    </row>
    <row r="433" spans="16:21" ht="13.9" customHeight="1" x14ac:dyDescent="0.2">
      <c r="P433" s="27"/>
      <c r="Q433" s="30"/>
      <c r="R433" s="30"/>
      <c r="S433" s="30">
        <f>ABS(Q433)/'İtme Analizi'!$G$17</f>
        <v>0</v>
      </c>
      <c r="T433" s="30">
        <f>ABS(R433)/'İtme Analizi'!$G$14</f>
        <v>0</v>
      </c>
      <c r="U433" s="30">
        <f t="shared" si="8"/>
        <v>9.2950204584968388E-5</v>
      </c>
    </row>
    <row r="434" spans="16:21" ht="13.9" customHeight="1" x14ac:dyDescent="0.2">
      <c r="P434" s="27"/>
      <c r="Q434" s="30"/>
      <c r="R434" s="30"/>
      <c r="S434" s="30">
        <f>ABS(Q434)/'İtme Analizi'!$G$17</f>
        <v>0</v>
      </c>
      <c r="T434" s="30">
        <f>ABS(R434)/'İtme Analizi'!$G$14</f>
        <v>0</v>
      </c>
      <c r="U434" s="30">
        <f t="shared" si="8"/>
        <v>9.2950204584968388E-5</v>
      </c>
    </row>
    <row r="435" spans="16:21" ht="13.9" customHeight="1" x14ac:dyDescent="0.2">
      <c r="P435" s="27"/>
      <c r="Q435" s="30"/>
      <c r="R435" s="30"/>
      <c r="S435" s="30">
        <f>ABS(Q435)/'İtme Analizi'!$G$17</f>
        <v>0</v>
      </c>
      <c r="T435" s="30">
        <f>ABS(R435)/'İtme Analizi'!$G$14</f>
        <v>0</v>
      </c>
      <c r="U435" s="30">
        <f t="shared" si="8"/>
        <v>9.2950204584968388E-5</v>
      </c>
    </row>
    <row r="436" spans="16:21" ht="13.9" customHeight="1" x14ac:dyDescent="0.2">
      <c r="P436" s="27"/>
      <c r="Q436" s="30"/>
      <c r="R436" s="30"/>
      <c r="S436" s="30">
        <f>ABS(Q436)/'İtme Analizi'!$G$17</f>
        <v>0</v>
      </c>
      <c r="T436" s="30">
        <f>ABS(R436)/'İtme Analizi'!$G$14</f>
        <v>0</v>
      </c>
      <c r="U436" s="30">
        <f t="shared" si="8"/>
        <v>9.2950204584968388E-5</v>
      </c>
    </row>
    <row r="437" spans="16:21" ht="13.9" customHeight="1" x14ac:dyDescent="0.2">
      <c r="P437" s="27"/>
      <c r="Q437" s="30"/>
      <c r="R437" s="30"/>
      <c r="S437" s="30">
        <f>ABS(Q437)/'İtme Analizi'!$G$17</f>
        <v>0</v>
      </c>
      <c r="T437" s="30">
        <f>ABS(R437)/'İtme Analizi'!$G$14</f>
        <v>0</v>
      </c>
      <c r="U437" s="30">
        <f t="shared" si="8"/>
        <v>9.2950204584968388E-5</v>
      </c>
    </row>
    <row r="438" spans="16:21" ht="13.9" customHeight="1" x14ac:dyDescent="0.2">
      <c r="P438" s="27"/>
      <c r="Q438" s="30"/>
      <c r="R438" s="30"/>
      <c r="S438" s="30">
        <f>ABS(Q438)/'İtme Analizi'!$G$17</f>
        <v>0</v>
      </c>
      <c r="T438" s="30">
        <f>ABS(R438)/'İtme Analizi'!$G$14</f>
        <v>0</v>
      </c>
      <c r="U438" s="30">
        <f t="shared" si="8"/>
        <v>9.2950204584968388E-5</v>
      </c>
    </row>
    <row r="439" spans="16:21" ht="13.9" customHeight="1" x14ac:dyDescent="0.2">
      <c r="P439" s="27"/>
      <c r="Q439" s="30"/>
      <c r="R439" s="30"/>
      <c r="S439" s="30">
        <f>ABS(Q439)/'İtme Analizi'!$G$17</f>
        <v>0</v>
      </c>
      <c r="T439" s="30">
        <f>ABS(R439)/'İtme Analizi'!$G$14</f>
        <v>0</v>
      </c>
      <c r="U439" s="30">
        <f t="shared" si="8"/>
        <v>9.2950204584968388E-5</v>
      </c>
    </row>
    <row r="440" spans="16:21" ht="13.9" customHeight="1" x14ac:dyDescent="0.2">
      <c r="P440" s="27"/>
      <c r="Q440" s="30"/>
      <c r="R440" s="30"/>
      <c r="S440" s="30">
        <f>ABS(Q440)/'İtme Analizi'!$G$17</f>
        <v>0</v>
      </c>
      <c r="T440" s="30">
        <f>ABS(R440)/'İtme Analizi'!$G$14</f>
        <v>0</v>
      </c>
      <c r="U440" s="30">
        <f t="shared" si="8"/>
        <v>9.2950204584968388E-5</v>
      </c>
    </row>
    <row r="441" spans="16:21" ht="13.9" customHeight="1" x14ac:dyDescent="0.2">
      <c r="P441" s="27"/>
      <c r="Q441" s="30"/>
      <c r="R441" s="30"/>
      <c r="S441" s="30">
        <f>ABS(Q441)/'İtme Analizi'!$G$17</f>
        <v>0</v>
      </c>
      <c r="T441" s="30">
        <f>ABS(R441)/'İtme Analizi'!$G$14</f>
        <v>0</v>
      </c>
      <c r="U441" s="30">
        <f t="shared" si="8"/>
        <v>9.2950204584968388E-5</v>
      </c>
    </row>
    <row r="442" spans="16:21" ht="13.9" customHeight="1" x14ac:dyDescent="0.2">
      <c r="P442" s="27"/>
      <c r="Q442" s="30"/>
      <c r="R442" s="30"/>
      <c r="S442" s="30">
        <f>ABS(Q442)/'İtme Analizi'!$G$17</f>
        <v>0</v>
      </c>
      <c r="T442" s="30">
        <f>ABS(R442)/'İtme Analizi'!$G$14</f>
        <v>0</v>
      </c>
      <c r="U442" s="30">
        <f t="shared" si="8"/>
        <v>9.2950204584968388E-5</v>
      </c>
    </row>
    <row r="443" spans="16:21" ht="13.9" customHeight="1" x14ac:dyDescent="0.2">
      <c r="P443" s="27"/>
      <c r="Q443" s="30"/>
      <c r="R443" s="30"/>
      <c r="S443" s="30">
        <f>ABS(Q443)/'İtme Analizi'!$G$17</f>
        <v>0</v>
      </c>
      <c r="T443" s="30">
        <f>ABS(R443)/'İtme Analizi'!$G$14</f>
        <v>0</v>
      </c>
      <c r="U443" s="30">
        <f t="shared" si="8"/>
        <v>9.2950204584968388E-5</v>
      </c>
    </row>
    <row r="444" spans="16:21" ht="13.9" customHeight="1" x14ac:dyDescent="0.2">
      <c r="P444" s="27"/>
      <c r="Q444" s="30"/>
      <c r="R444" s="30"/>
      <c r="S444" s="30">
        <f>ABS(Q444)/'İtme Analizi'!$G$17</f>
        <v>0</v>
      </c>
      <c r="T444" s="30">
        <f>ABS(R444)/'İtme Analizi'!$G$14</f>
        <v>0</v>
      </c>
      <c r="U444" s="30">
        <f t="shared" si="8"/>
        <v>9.2950204584968388E-5</v>
      </c>
    </row>
    <row r="445" spans="16:21" ht="13.9" customHeight="1" x14ac:dyDescent="0.2">
      <c r="P445" s="27"/>
      <c r="Q445" s="30"/>
      <c r="R445" s="30"/>
      <c r="S445" s="30">
        <f>ABS(Q445)/'İtme Analizi'!$G$17</f>
        <v>0</v>
      </c>
      <c r="T445" s="30">
        <f>ABS(R445)/'İtme Analizi'!$G$14</f>
        <v>0</v>
      </c>
      <c r="U445" s="30">
        <f t="shared" si="8"/>
        <v>9.2950204584968388E-5</v>
      </c>
    </row>
    <row r="446" spans="16:21" ht="13.9" customHeight="1" x14ac:dyDescent="0.2">
      <c r="P446" s="27"/>
      <c r="Q446" s="30"/>
      <c r="R446" s="30"/>
      <c r="S446" s="30">
        <f>ABS(Q446)/'İtme Analizi'!$G$17</f>
        <v>0</v>
      </c>
      <c r="T446" s="30">
        <f>ABS(R446)/'İtme Analizi'!$G$14</f>
        <v>0</v>
      </c>
      <c r="U446" s="30">
        <f t="shared" si="8"/>
        <v>9.2950204584968388E-5</v>
      </c>
    </row>
    <row r="447" spans="16:21" ht="13.9" customHeight="1" x14ac:dyDescent="0.2">
      <c r="P447" s="27"/>
      <c r="Q447" s="30"/>
      <c r="R447" s="30"/>
      <c r="S447" s="30">
        <f>ABS(Q447)/'İtme Analizi'!$G$17</f>
        <v>0</v>
      </c>
      <c r="T447" s="30">
        <f>ABS(R447)/'İtme Analizi'!$G$14</f>
        <v>0</v>
      </c>
      <c r="U447" s="30">
        <f t="shared" si="8"/>
        <v>9.2950204584968388E-5</v>
      </c>
    </row>
    <row r="448" spans="16:21" ht="13.9" customHeight="1" x14ac:dyDescent="0.2">
      <c r="P448" s="27"/>
      <c r="Q448" s="30"/>
      <c r="R448" s="30"/>
      <c r="S448" s="30">
        <f>ABS(Q448)/'İtme Analizi'!$G$17</f>
        <v>0</v>
      </c>
      <c r="T448" s="30">
        <f>ABS(R448)/'İtme Analizi'!$G$14</f>
        <v>0</v>
      </c>
      <c r="U448" s="30">
        <f t="shared" si="8"/>
        <v>9.2950204584968388E-5</v>
      </c>
    </row>
    <row r="449" spans="16:21" ht="13.9" customHeight="1" x14ac:dyDescent="0.2">
      <c r="P449" s="27"/>
      <c r="Q449" s="30"/>
      <c r="R449" s="30"/>
      <c r="S449" s="30">
        <f>ABS(Q449)/'İtme Analizi'!$G$17</f>
        <v>0</v>
      </c>
      <c r="T449" s="30">
        <f>ABS(R449)/'İtme Analizi'!$G$14</f>
        <v>0</v>
      </c>
      <c r="U449" s="30">
        <f t="shared" si="8"/>
        <v>9.2950204584968388E-5</v>
      </c>
    </row>
    <row r="450" spans="16:21" ht="13.9" customHeight="1" x14ac:dyDescent="0.2">
      <c r="P450" s="27"/>
      <c r="Q450" s="30"/>
      <c r="R450" s="30"/>
      <c r="S450" s="30">
        <f>ABS(Q450)/'İtme Analizi'!$G$17</f>
        <v>0</v>
      </c>
      <c r="T450" s="30">
        <f>ABS(R450)/'İtme Analizi'!$G$14</f>
        <v>0</v>
      </c>
      <c r="U450" s="30">
        <f t="shared" si="8"/>
        <v>9.2950204584968388E-5</v>
      </c>
    </row>
    <row r="451" spans="16:21" ht="13.9" customHeight="1" x14ac:dyDescent="0.2">
      <c r="P451" s="27"/>
      <c r="Q451" s="30"/>
      <c r="R451" s="30"/>
      <c r="S451" s="30">
        <f>ABS(Q451)/'İtme Analizi'!$G$17</f>
        <v>0</v>
      </c>
      <c r="T451" s="30">
        <f>ABS(R451)/'İtme Analizi'!$G$14</f>
        <v>0</v>
      </c>
      <c r="U451" s="30">
        <f t="shared" si="8"/>
        <v>9.2950204584968388E-5</v>
      </c>
    </row>
    <row r="452" spans="16:21" ht="13.9" customHeight="1" x14ac:dyDescent="0.2">
      <c r="P452" s="27"/>
      <c r="Q452" s="30"/>
      <c r="R452" s="30"/>
      <c r="S452" s="30">
        <f>ABS(Q452)/'İtme Analizi'!$G$17</f>
        <v>0</v>
      </c>
      <c r="T452" s="30">
        <f>ABS(R452)/'İtme Analizi'!$G$14</f>
        <v>0</v>
      </c>
      <c r="U452" s="30">
        <f t="shared" si="8"/>
        <v>9.2950204584968388E-5</v>
      </c>
    </row>
    <row r="453" spans="16:21" ht="13.9" customHeight="1" x14ac:dyDescent="0.2">
      <c r="P453" s="27"/>
      <c r="Q453" s="30"/>
      <c r="R453" s="30"/>
      <c r="S453" s="30">
        <f>ABS(Q453)/'İtme Analizi'!$G$17</f>
        <v>0</v>
      </c>
      <c r="T453" s="30">
        <f>ABS(R453)/'İtme Analizi'!$G$14</f>
        <v>0</v>
      </c>
      <c r="U453" s="30">
        <f t="shared" si="8"/>
        <v>9.2950204584968388E-5</v>
      </c>
    </row>
    <row r="454" spans="16:21" ht="13.9" customHeight="1" x14ac:dyDescent="0.2">
      <c r="P454" s="27"/>
      <c r="Q454" s="30"/>
      <c r="R454" s="30"/>
      <c r="S454" s="30">
        <f>ABS(Q454)/'İtme Analizi'!$G$17</f>
        <v>0</v>
      </c>
      <c r="T454" s="30">
        <f>ABS(R454)/'İtme Analizi'!$G$14</f>
        <v>0</v>
      </c>
      <c r="U454" s="30">
        <f t="shared" si="8"/>
        <v>9.2950204584968388E-5</v>
      </c>
    </row>
    <row r="455" spans="16:21" ht="13.9" customHeight="1" x14ac:dyDescent="0.2">
      <c r="P455" s="27"/>
      <c r="Q455" s="30"/>
      <c r="R455" s="30"/>
      <c r="S455" s="30">
        <f>ABS(Q455)/'İtme Analizi'!$G$17</f>
        <v>0</v>
      </c>
      <c r="T455" s="30">
        <f>ABS(R455)/'İtme Analizi'!$G$14</f>
        <v>0</v>
      </c>
      <c r="U455" s="30">
        <f t="shared" si="8"/>
        <v>9.2950204584968388E-5</v>
      </c>
    </row>
    <row r="456" spans="16:21" ht="13.9" customHeight="1" x14ac:dyDescent="0.2">
      <c r="P456" s="27"/>
      <c r="Q456" s="30"/>
      <c r="R456" s="30"/>
      <c r="S456" s="30">
        <f>ABS(Q456)/'İtme Analizi'!$G$17</f>
        <v>0</v>
      </c>
      <c r="T456" s="30">
        <f>ABS(R456)/'İtme Analizi'!$G$14</f>
        <v>0</v>
      </c>
      <c r="U456" s="30">
        <f t="shared" si="8"/>
        <v>9.2950204584968388E-5</v>
      </c>
    </row>
    <row r="457" spans="16:21" ht="13.9" customHeight="1" x14ac:dyDescent="0.2">
      <c r="P457" s="27"/>
      <c r="Q457" s="30"/>
      <c r="R457" s="30"/>
      <c r="S457" s="30">
        <f>ABS(Q457)/'İtme Analizi'!$G$17</f>
        <v>0</v>
      </c>
      <c r="T457" s="30">
        <f>ABS(R457)/'İtme Analizi'!$G$14</f>
        <v>0</v>
      </c>
      <c r="U457" s="30">
        <f t="shared" ref="U457:U520" si="9">U456+(S457-S456)*((T457+T456)/2)</f>
        <v>9.2950204584968388E-5</v>
      </c>
    </row>
    <row r="458" spans="16:21" ht="13.9" customHeight="1" x14ac:dyDescent="0.2">
      <c r="P458" s="27"/>
      <c r="Q458" s="30"/>
      <c r="R458" s="30"/>
      <c r="S458" s="30">
        <f>ABS(Q458)/'İtme Analizi'!$G$17</f>
        <v>0</v>
      </c>
      <c r="T458" s="30">
        <f>ABS(R458)/'İtme Analizi'!$G$14</f>
        <v>0</v>
      </c>
      <c r="U458" s="30">
        <f t="shared" si="9"/>
        <v>9.2950204584968388E-5</v>
      </c>
    </row>
    <row r="459" spans="16:21" ht="13.9" customHeight="1" x14ac:dyDescent="0.2">
      <c r="P459" s="27"/>
      <c r="Q459" s="30"/>
      <c r="R459" s="30"/>
      <c r="S459" s="30">
        <f>ABS(Q459)/'İtme Analizi'!$G$17</f>
        <v>0</v>
      </c>
      <c r="T459" s="30">
        <f>ABS(R459)/'İtme Analizi'!$G$14</f>
        <v>0</v>
      </c>
      <c r="U459" s="30">
        <f t="shared" si="9"/>
        <v>9.2950204584968388E-5</v>
      </c>
    </row>
    <row r="460" spans="16:21" ht="13.9" customHeight="1" x14ac:dyDescent="0.2">
      <c r="P460" s="27"/>
      <c r="Q460" s="30"/>
      <c r="R460" s="30"/>
      <c r="S460" s="30">
        <f>ABS(Q460)/'İtme Analizi'!$G$17</f>
        <v>0</v>
      </c>
      <c r="T460" s="30">
        <f>ABS(R460)/'İtme Analizi'!$G$14</f>
        <v>0</v>
      </c>
      <c r="U460" s="30">
        <f t="shared" si="9"/>
        <v>9.2950204584968388E-5</v>
      </c>
    </row>
    <row r="461" spans="16:21" ht="13.9" customHeight="1" x14ac:dyDescent="0.2">
      <c r="P461" s="27"/>
      <c r="Q461" s="30"/>
      <c r="R461" s="30"/>
      <c r="S461" s="30">
        <f>ABS(Q461)/'İtme Analizi'!$G$17</f>
        <v>0</v>
      </c>
      <c r="T461" s="30">
        <f>ABS(R461)/'İtme Analizi'!$G$14</f>
        <v>0</v>
      </c>
      <c r="U461" s="30">
        <f t="shared" si="9"/>
        <v>9.2950204584968388E-5</v>
      </c>
    </row>
    <row r="462" spans="16:21" ht="13.9" customHeight="1" x14ac:dyDescent="0.2">
      <c r="P462" s="27"/>
      <c r="Q462" s="30"/>
      <c r="R462" s="30"/>
      <c r="S462" s="30">
        <f>ABS(Q462)/'İtme Analizi'!$G$17</f>
        <v>0</v>
      </c>
      <c r="T462" s="30">
        <f>ABS(R462)/'İtme Analizi'!$G$14</f>
        <v>0</v>
      </c>
      <c r="U462" s="30">
        <f t="shared" si="9"/>
        <v>9.2950204584968388E-5</v>
      </c>
    </row>
    <row r="463" spans="16:21" ht="13.9" customHeight="1" x14ac:dyDescent="0.2">
      <c r="P463" s="27"/>
      <c r="Q463" s="30"/>
      <c r="R463" s="30"/>
      <c r="S463" s="30">
        <f>ABS(Q463)/'İtme Analizi'!$G$17</f>
        <v>0</v>
      </c>
      <c r="T463" s="30">
        <f>ABS(R463)/'İtme Analizi'!$G$14</f>
        <v>0</v>
      </c>
      <c r="U463" s="30">
        <f t="shared" si="9"/>
        <v>9.2950204584968388E-5</v>
      </c>
    </row>
    <row r="464" spans="16:21" ht="13.9" customHeight="1" x14ac:dyDescent="0.2">
      <c r="P464" s="27"/>
      <c r="Q464" s="30"/>
      <c r="R464" s="30"/>
      <c r="S464" s="30">
        <f>ABS(Q464)/'İtme Analizi'!$G$17</f>
        <v>0</v>
      </c>
      <c r="T464" s="30">
        <f>ABS(R464)/'İtme Analizi'!$G$14</f>
        <v>0</v>
      </c>
      <c r="U464" s="30">
        <f t="shared" si="9"/>
        <v>9.2950204584968388E-5</v>
      </c>
    </row>
    <row r="465" spans="16:21" ht="13.9" customHeight="1" x14ac:dyDescent="0.2">
      <c r="P465" s="27"/>
      <c r="Q465" s="30"/>
      <c r="R465" s="30"/>
      <c r="S465" s="30">
        <f>ABS(Q465)/'İtme Analizi'!$G$17</f>
        <v>0</v>
      </c>
      <c r="T465" s="30">
        <f>ABS(R465)/'İtme Analizi'!$G$14</f>
        <v>0</v>
      </c>
      <c r="U465" s="30">
        <f t="shared" si="9"/>
        <v>9.2950204584968388E-5</v>
      </c>
    </row>
    <row r="466" spans="16:21" ht="13.9" customHeight="1" x14ac:dyDescent="0.2">
      <c r="P466" s="27"/>
      <c r="Q466" s="30"/>
      <c r="R466" s="30"/>
      <c r="S466" s="30">
        <f>ABS(Q466)/'İtme Analizi'!$G$17</f>
        <v>0</v>
      </c>
      <c r="T466" s="30">
        <f>ABS(R466)/'İtme Analizi'!$G$14</f>
        <v>0</v>
      </c>
      <c r="U466" s="30">
        <f t="shared" si="9"/>
        <v>9.2950204584968388E-5</v>
      </c>
    </row>
    <row r="467" spans="16:21" ht="13.9" customHeight="1" x14ac:dyDescent="0.2">
      <c r="P467" s="27"/>
      <c r="Q467" s="30"/>
      <c r="R467" s="30"/>
      <c r="S467" s="30">
        <f>ABS(Q467)/'İtme Analizi'!$G$17</f>
        <v>0</v>
      </c>
      <c r="T467" s="30">
        <f>ABS(R467)/'İtme Analizi'!$G$14</f>
        <v>0</v>
      </c>
      <c r="U467" s="30">
        <f t="shared" si="9"/>
        <v>9.2950204584968388E-5</v>
      </c>
    </row>
    <row r="468" spans="16:21" ht="13.9" customHeight="1" x14ac:dyDescent="0.2">
      <c r="P468" s="27"/>
      <c r="Q468" s="30"/>
      <c r="R468" s="30"/>
      <c r="S468" s="30">
        <f>ABS(Q468)/'İtme Analizi'!$G$17</f>
        <v>0</v>
      </c>
      <c r="T468" s="30">
        <f>ABS(R468)/'İtme Analizi'!$G$14</f>
        <v>0</v>
      </c>
      <c r="U468" s="30">
        <f t="shared" si="9"/>
        <v>9.2950204584968388E-5</v>
      </c>
    </row>
    <row r="469" spans="16:21" ht="13.9" customHeight="1" x14ac:dyDescent="0.2">
      <c r="P469" s="27"/>
      <c r="Q469" s="30"/>
      <c r="R469" s="30"/>
      <c r="S469" s="30">
        <f>ABS(Q469)/'İtme Analizi'!$G$17</f>
        <v>0</v>
      </c>
      <c r="T469" s="30">
        <f>ABS(R469)/'İtme Analizi'!$G$14</f>
        <v>0</v>
      </c>
      <c r="U469" s="30">
        <f t="shared" si="9"/>
        <v>9.2950204584968388E-5</v>
      </c>
    </row>
    <row r="470" spans="16:21" ht="13.9" customHeight="1" x14ac:dyDescent="0.2">
      <c r="P470" s="27"/>
      <c r="Q470" s="30"/>
      <c r="R470" s="30"/>
      <c r="S470" s="30">
        <f>ABS(Q470)/'İtme Analizi'!$G$17</f>
        <v>0</v>
      </c>
      <c r="T470" s="30">
        <f>ABS(R470)/'İtme Analizi'!$G$14</f>
        <v>0</v>
      </c>
      <c r="U470" s="30">
        <f t="shared" si="9"/>
        <v>9.2950204584968388E-5</v>
      </c>
    </row>
    <row r="471" spans="16:21" ht="13.9" customHeight="1" x14ac:dyDescent="0.2">
      <c r="P471" s="27"/>
      <c r="Q471" s="30"/>
      <c r="R471" s="30"/>
      <c r="S471" s="30">
        <f>ABS(Q471)/'İtme Analizi'!$G$17</f>
        <v>0</v>
      </c>
      <c r="T471" s="30">
        <f>ABS(R471)/'İtme Analizi'!$G$14</f>
        <v>0</v>
      </c>
      <c r="U471" s="30">
        <f t="shared" si="9"/>
        <v>9.2950204584968388E-5</v>
      </c>
    </row>
    <row r="472" spans="16:21" ht="13.9" customHeight="1" x14ac:dyDescent="0.2">
      <c r="P472" s="27"/>
      <c r="Q472" s="30"/>
      <c r="R472" s="30"/>
      <c r="S472" s="30">
        <f>ABS(Q472)/'İtme Analizi'!$G$17</f>
        <v>0</v>
      </c>
      <c r="T472" s="30">
        <f>ABS(R472)/'İtme Analizi'!$G$14</f>
        <v>0</v>
      </c>
      <c r="U472" s="30">
        <f t="shared" si="9"/>
        <v>9.2950204584968388E-5</v>
      </c>
    </row>
    <row r="473" spans="16:21" ht="13.9" customHeight="1" x14ac:dyDescent="0.2">
      <c r="P473" s="27"/>
      <c r="Q473" s="30"/>
      <c r="R473" s="30"/>
      <c r="S473" s="30">
        <f>ABS(Q473)/'İtme Analizi'!$G$17</f>
        <v>0</v>
      </c>
      <c r="T473" s="30">
        <f>ABS(R473)/'İtme Analizi'!$G$14</f>
        <v>0</v>
      </c>
      <c r="U473" s="30">
        <f t="shared" si="9"/>
        <v>9.2950204584968388E-5</v>
      </c>
    </row>
    <row r="474" spans="16:21" ht="13.9" customHeight="1" x14ac:dyDescent="0.2">
      <c r="P474" s="27"/>
      <c r="Q474" s="30"/>
      <c r="R474" s="30"/>
      <c r="S474" s="30">
        <f>ABS(Q474)/'İtme Analizi'!$G$17</f>
        <v>0</v>
      </c>
      <c r="T474" s="30">
        <f>ABS(R474)/'İtme Analizi'!$G$14</f>
        <v>0</v>
      </c>
      <c r="U474" s="30">
        <f t="shared" si="9"/>
        <v>9.2950204584968388E-5</v>
      </c>
    </row>
    <row r="475" spans="16:21" ht="13.9" customHeight="1" x14ac:dyDescent="0.2">
      <c r="P475" s="27"/>
      <c r="Q475" s="30"/>
      <c r="R475" s="30"/>
      <c r="S475" s="30">
        <f>ABS(Q475)/'İtme Analizi'!$G$17</f>
        <v>0</v>
      </c>
      <c r="T475" s="30">
        <f>ABS(R475)/'İtme Analizi'!$G$14</f>
        <v>0</v>
      </c>
      <c r="U475" s="30">
        <f t="shared" si="9"/>
        <v>9.2950204584968388E-5</v>
      </c>
    </row>
    <row r="476" spans="16:21" ht="13.9" customHeight="1" x14ac:dyDescent="0.2">
      <c r="P476" s="27"/>
      <c r="Q476" s="30"/>
      <c r="R476" s="30"/>
      <c r="S476" s="30">
        <f>ABS(Q476)/'İtme Analizi'!$G$17</f>
        <v>0</v>
      </c>
      <c r="T476" s="30">
        <f>ABS(R476)/'İtme Analizi'!$G$14</f>
        <v>0</v>
      </c>
      <c r="U476" s="30">
        <f t="shared" si="9"/>
        <v>9.2950204584968388E-5</v>
      </c>
    </row>
    <row r="477" spans="16:21" ht="13.9" customHeight="1" x14ac:dyDescent="0.2">
      <c r="P477" s="27"/>
      <c r="Q477" s="30"/>
      <c r="R477" s="30"/>
      <c r="S477" s="30">
        <f>ABS(Q477)/'İtme Analizi'!$G$17</f>
        <v>0</v>
      </c>
      <c r="T477" s="30">
        <f>ABS(R477)/'İtme Analizi'!$G$14</f>
        <v>0</v>
      </c>
      <c r="U477" s="30">
        <f t="shared" si="9"/>
        <v>9.2950204584968388E-5</v>
      </c>
    </row>
    <row r="478" spans="16:21" ht="13.9" customHeight="1" x14ac:dyDescent="0.2">
      <c r="P478" s="27"/>
      <c r="Q478" s="30"/>
      <c r="R478" s="30"/>
      <c r="S478" s="30">
        <f>ABS(Q478)/'İtme Analizi'!$G$17</f>
        <v>0</v>
      </c>
      <c r="T478" s="30">
        <f>ABS(R478)/'İtme Analizi'!$G$14</f>
        <v>0</v>
      </c>
      <c r="U478" s="30">
        <f t="shared" si="9"/>
        <v>9.2950204584968388E-5</v>
      </c>
    </row>
    <row r="479" spans="16:21" ht="13.9" customHeight="1" x14ac:dyDescent="0.2">
      <c r="P479" s="27"/>
      <c r="Q479" s="30"/>
      <c r="R479" s="30"/>
      <c r="S479" s="30">
        <f>ABS(Q479)/'İtme Analizi'!$G$17</f>
        <v>0</v>
      </c>
      <c r="T479" s="30">
        <f>ABS(R479)/'İtme Analizi'!$G$14</f>
        <v>0</v>
      </c>
      <c r="U479" s="30">
        <f t="shared" si="9"/>
        <v>9.2950204584968388E-5</v>
      </c>
    </row>
    <row r="480" spans="16:21" ht="13.9" customHeight="1" x14ac:dyDescent="0.2">
      <c r="P480" s="27"/>
      <c r="Q480" s="30"/>
      <c r="R480" s="30"/>
      <c r="S480" s="30">
        <f>ABS(Q480)/'İtme Analizi'!$G$17</f>
        <v>0</v>
      </c>
      <c r="T480" s="30">
        <f>ABS(R480)/'İtme Analizi'!$G$14</f>
        <v>0</v>
      </c>
      <c r="U480" s="30">
        <f t="shared" si="9"/>
        <v>9.2950204584968388E-5</v>
      </c>
    </row>
    <row r="481" spans="16:21" ht="13.9" customHeight="1" x14ac:dyDescent="0.2">
      <c r="P481" s="27"/>
      <c r="Q481" s="30"/>
      <c r="R481" s="30"/>
      <c r="S481" s="30">
        <f>ABS(Q481)/'İtme Analizi'!$G$17</f>
        <v>0</v>
      </c>
      <c r="T481" s="30">
        <f>ABS(R481)/'İtme Analizi'!$G$14</f>
        <v>0</v>
      </c>
      <c r="U481" s="30">
        <f t="shared" si="9"/>
        <v>9.2950204584968388E-5</v>
      </c>
    </row>
    <row r="482" spans="16:21" ht="13.9" customHeight="1" x14ac:dyDescent="0.2">
      <c r="P482" s="27"/>
      <c r="Q482" s="30"/>
      <c r="R482" s="30"/>
      <c r="S482" s="30">
        <f>ABS(Q482)/'İtme Analizi'!$G$17</f>
        <v>0</v>
      </c>
      <c r="T482" s="30">
        <f>ABS(R482)/'İtme Analizi'!$G$14</f>
        <v>0</v>
      </c>
      <c r="U482" s="30">
        <f t="shared" si="9"/>
        <v>9.2950204584968388E-5</v>
      </c>
    </row>
    <row r="483" spans="16:21" ht="13.9" customHeight="1" x14ac:dyDescent="0.2">
      <c r="P483" s="27"/>
      <c r="Q483" s="30"/>
      <c r="R483" s="30"/>
      <c r="S483" s="30">
        <f>ABS(Q483)/'İtme Analizi'!$G$17</f>
        <v>0</v>
      </c>
      <c r="T483" s="30">
        <f>ABS(R483)/'İtme Analizi'!$G$14</f>
        <v>0</v>
      </c>
      <c r="U483" s="30">
        <f t="shared" si="9"/>
        <v>9.2950204584968388E-5</v>
      </c>
    </row>
    <row r="484" spans="16:21" ht="13.9" customHeight="1" x14ac:dyDescent="0.2">
      <c r="P484" s="27"/>
      <c r="Q484" s="30"/>
      <c r="R484" s="30"/>
      <c r="S484" s="30">
        <f>ABS(Q484)/'İtme Analizi'!$G$17</f>
        <v>0</v>
      </c>
      <c r="T484" s="30">
        <f>ABS(R484)/'İtme Analizi'!$G$14</f>
        <v>0</v>
      </c>
      <c r="U484" s="30">
        <f t="shared" si="9"/>
        <v>9.2950204584968388E-5</v>
      </c>
    </row>
    <row r="485" spans="16:21" ht="13.9" customHeight="1" x14ac:dyDescent="0.2">
      <c r="P485" s="27"/>
      <c r="Q485" s="30"/>
      <c r="R485" s="30"/>
      <c r="S485" s="30">
        <f>ABS(Q485)/'İtme Analizi'!$G$17</f>
        <v>0</v>
      </c>
      <c r="T485" s="30">
        <f>ABS(R485)/'İtme Analizi'!$G$14</f>
        <v>0</v>
      </c>
      <c r="U485" s="30">
        <f t="shared" si="9"/>
        <v>9.2950204584968388E-5</v>
      </c>
    </row>
    <row r="486" spans="16:21" ht="13.9" customHeight="1" x14ac:dyDescent="0.2">
      <c r="P486" s="27"/>
      <c r="Q486" s="30"/>
      <c r="R486" s="30"/>
      <c r="S486" s="30">
        <f>ABS(Q486)/'İtme Analizi'!$G$17</f>
        <v>0</v>
      </c>
      <c r="T486" s="30">
        <f>ABS(R486)/'İtme Analizi'!$G$14</f>
        <v>0</v>
      </c>
      <c r="U486" s="30">
        <f t="shared" si="9"/>
        <v>9.2950204584968388E-5</v>
      </c>
    </row>
    <row r="487" spans="16:21" ht="13.9" customHeight="1" x14ac:dyDescent="0.2">
      <c r="P487" s="27"/>
      <c r="Q487" s="30"/>
      <c r="R487" s="30"/>
      <c r="S487" s="30">
        <f>ABS(Q487)/'İtme Analizi'!$G$17</f>
        <v>0</v>
      </c>
      <c r="T487" s="30">
        <f>ABS(R487)/'İtme Analizi'!$G$14</f>
        <v>0</v>
      </c>
      <c r="U487" s="30">
        <f t="shared" si="9"/>
        <v>9.2950204584968388E-5</v>
      </c>
    </row>
    <row r="488" spans="16:21" ht="13.9" customHeight="1" x14ac:dyDescent="0.2">
      <c r="P488" s="27"/>
      <c r="Q488" s="30"/>
      <c r="R488" s="30"/>
      <c r="S488" s="30">
        <f>ABS(Q488)/'İtme Analizi'!$G$17</f>
        <v>0</v>
      </c>
      <c r="T488" s="30">
        <f>ABS(R488)/'İtme Analizi'!$G$14</f>
        <v>0</v>
      </c>
      <c r="U488" s="30">
        <f t="shared" si="9"/>
        <v>9.2950204584968388E-5</v>
      </c>
    </row>
    <row r="489" spans="16:21" ht="13.9" customHeight="1" x14ac:dyDescent="0.2">
      <c r="P489" s="27"/>
      <c r="Q489" s="30"/>
      <c r="R489" s="30"/>
      <c r="S489" s="30">
        <f>ABS(Q489)/'İtme Analizi'!$G$17</f>
        <v>0</v>
      </c>
      <c r="T489" s="30">
        <f>ABS(R489)/'İtme Analizi'!$G$14</f>
        <v>0</v>
      </c>
      <c r="U489" s="30">
        <f t="shared" si="9"/>
        <v>9.2950204584968388E-5</v>
      </c>
    </row>
    <row r="490" spans="16:21" ht="13.9" customHeight="1" x14ac:dyDescent="0.2">
      <c r="P490" s="27"/>
      <c r="Q490" s="30"/>
      <c r="R490" s="30"/>
      <c r="S490" s="30">
        <f>ABS(Q490)/'İtme Analizi'!$G$17</f>
        <v>0</v>
      </c>
      <c r="T490" s="30">
        <f>ABS(R490)/'İtme Analizi'!$G$14</f>
        <v>0</v>
      </c>
      <c r="U490" s="30">
        <f t="shared" si="9"/>
        <v>9.2950204584968388E-5</v>
      </c>
    </row>
    <row r="491" spans="16:21" ht="13.9" customHeight="1" x14ac:dyDescent="0.2">
      <c r="P491" s="27"/>
      <c r="Q491" s="30"/>
      <c r="R491" s="30"/>
      <c r="S491" s="30">
        <f>ABS(Q491)/'İtme Analizi'!$G$17</f>
        <v>0</v>
      </c>
      <c r="T491" s="30">
        <f>ABS(R491)/'İtme Analizi'!$G$14</f>
        <v>0</v>
      </c>
      <c r="U491" s="30">
        <f t="shared" si="9"/>
        <v>9.2950204584968388E-5</v>
      </c>
    </row>
    <row r="492" spans="16:21" ht="13.9" customHeight="1" x14ac:dyDescent="0.2">
      <c r="P492" s="27"/>
      <c r="Q492" s="30"/>
      <c r="R492" s="30"/>
      <c r="S492" s="30">
        <f>ABS(Q492)/'İtme Analizi'!$G$17</f>
        <v>0</v>
      </c>
      <c r="T492" s="30">
        <f>ABS(R492)/'İtme Analizi'!$G$14</f>
        <v>0</v>
      </c>
      <c r="U492" s="30">
        <f t="shared" si="9"/>
        <v>9.2950204584968388E-5</v>
      </c>
    </row>
    <row r="493" spans="16:21" ht="13.9" customHeight="1" x14ac:dyDescent="0.2">
      <c r="P493" s="27"/>
      <c r="Q493" s="30"/>
      <c r="R493" s="30"/>
      <c r="S493" s="30">
        <f>ABS(Q493)/'İtme Analizi'!$G$17</f>
        <v>0</v>
      </c>
      <c r="T493" s="30">
        <f>ABS(R493)/'İtme Analizi'!$G$14</f>
        <v>0</v>
      </c>
      <c r="U493" s="30">
        <f t="shared" si="9"/>
        <v>9.2950204584968388E-5</v>
      </c>
    </row>
    <row r="494" spans="16:21" ht="13.9" customHeight="1" x14ac:dyDescent="0.2">
      <c r="P494" s="27"/>
      <c r="Q494" s="30"/>
      <c r="R494" s="30"/>
      <c r="S494" s="30">
        <f>ABS(Q494)/'İtme Analizi'!$G$17</f>
        <v>0</v>
      </c>
      <c r="T494" s="30">
        <f>ABS(R494)/'İtme Analizi'!$G$14</f>
        <v>0</v>
      </c>
      <c r="U494" s="30">
        <f t="shared" si="9"/>
        <v>9.2950204584968388E-5</v>
      </c>
    </row>
    <row r="495" spans="16:21" ht="13.9" customHeight="1" x14ac:dyDescent="0.2">
      <c r="P495" s="27"/>
      <c r="Q495" s="30"/>
      <c r="R495" s="30"/>
      <c r="S495" s="30">
        <f>ABS(Q495)/'İtme Analizi'!$G$17</f>
        <v>0</v>
      </c>
      <c r="T495" s="30">
        <f>ABS(R495)/'İtme Analizi'!$G$14</f>
        <v>0</v>
      </c>
      <c r="U495" s="30">
        <f t="shared" si="9"/>
        <v>9.2950204584968388E-5</v>
      </c>
    </row>
    <row r="496" spans="16:21" ht="13.9" customHeight="1" x14ac:dyDescent="0.2">
      <c r="P496" s="27"/>
      <c r="Q496" s="30"/>
      <c r="R496" s="30"/>
      <c r="S496" s="30">
        <f>ABS(Q496)/'İtme Analizi'!$G$17</f>
        <v>0</v>
      </c>
      <c r="T496" s="30">
        <f>ABS(R496)/'İtme Analizi'!$G$14</f>
        <v>0</v>
      </c>
      <c r="U496" s="30">
        <f t="shared" si="9"/>
        <v>9.2950204584968388E-5</v>
      </c>
    </row>
    <row r="497" spans="16:21" ht="13.9" customHeight="1" x14ac:dyDescent="0.2">
      <c r="P497" s="27"/>
      <c r="Q497" s="30"/>
      <c r="R497" s="30"/>
      <c r="S497" s="30">
        <f>ABS(Q497)/'İtme Analizi'!$G$17</f>
        <v>0</v>
      </c>
      <c r="T497" s="30">
        <f>ABS(R497)/'İtme Analizi'!$G$14</f>
        <v>0</v>
      </c>
      <c r="U497" s="30">
        <f t="shared" si="9"/>
        <v>9.2950204584968388E-5</v>
      </c>
    </row>
    <row r="498" spans="16:21" ht="13.9" customHeight="1" x14ac:dyDescent="0.2">
      <c r="P498" s="27"/>
      <c r="Q498" s="30"/>
      <c r="R498" s="30"/>
      <c r="S498" s="30">
        <f>ABS(Q498)/'İtme Analizi'!$G$17</f>
        <v>0</v>
      </c>
      <c r="T498" s="30">
        <f>ABS(R498)/'İtme Analizi'!$G$14</f>
        <v>0</v>
      </c>
      <c r="U498" s="30">
        <f t="shared" si="9"/>
        <v>9.2950204584968388E-5</v>
      </c>
    </row>
    <row r="499" spans="16:21" ht="13.9" customHeight="1" x14ac:dyDescent="0.2">
      <c r="P499" s="27"/>
      <c r="Q499" s="30"/>
      <c r="R499" s="30"/>
      <c r="S499" s="30">
        <f>ABS(Q499)/'İtme Analizi'!$G$17</f>
        <v>0</v>
      </c>
      <c r="T499" s="30">
        <f>ABS(R499)/'İtme Analizi'!$G$14</f>
        <v>0</v>
      </c>
      <c r="U499" s="30">
        <f t="shared" si="9"/>
        <v>9.2950204584968388E-5</v>
      </c>
    </row>
    <row r="500" spans="16:21" ht="13.9" customHeight="1" x14ac:dyDescent="0.2">
      <c r="P500" s="27"/>
      <c r="Q500" s="30"/>
      <c r="R500" s="30"/>
      <c r="S500" s="30">
        <f>ABS(Q500)/'İtme Analizi'!$G$17</f>
        <v>0</v>
      </c>
      <c r="T500" s="30">
        <f>ABS(R500)/'İtme Analizi'!$G$14</f>
        <v>0</v>
      </c>
      <c r="U500" s="30">
        <f t="shared" si="9"/>
        <v>9.2950204584968388E-5</v>
      </c>
    </row>
    <row r="501" spans="16:21" ht="13.9" customHeight="1" x14ac:dyDescent="0.2">
      <c r="P501" s="27"/>
      <c r="Q501" s="30"/>
      <c r="R501" s="30"/>
      <c r="S501" s="30">
        <f>ABS(Q501)/'İtme Analizi'!$G$17</f>
        <v>0</v>
      </c>
      <c r="T501" s="30">
        <f>ABS(R501)/'İtme Analizi'!$G$14</f>
        <v>0</v>
      </c>
      <c r="U501" s="30">
        <f t="shared" si="9"/>
        <v>9.2950204584968388E-5</v>
      </c>
    </row>
    <row r="502" spans="16:21" ht="13.9" customHeight="1" x14ac:dyDescent="0.2">
      <c r="P502" s="27"/>
      <c r="Q502" s="30"/>
      <c r="R502" s="30"/>
      <c r="S502" s="30">
        <f>ABS(Q502)/'İtme Analizi'!$G$17</f>
        <v>0</v>
      </c>
      <c r="T502" s="30">
        <f>ABS(R502)/'İtme Analizi'!$G$14</f>
        <v>0</v>
      </c>
      <c r="U502" s="30">
        <f t="shared" si="9"/>
        <v>9.2950204584968388E-5</v>
      </c>
    </row>
    <row r="503" spans="16:21" ht="13.9" customHeight="1" x14ac:dyDescent="0.2">
      <c r="P503" s="27"/>
      <c r="Q503" s="30"/>
      <c r="R503" s="30"/>
      <c r="S503" s="30">
        <f>ABS(Q503)/'İtme Analizi'!$G$17</f>
        <v>0</v>
      </c>
      <c r="T503" s="30">
        <f>ABS(R503)/'İtme Analizi'!$G$14</f>
        <v>0</v>
      </c>
      <c r="U503" s="30">
        <f t="shared" si="9"/>
        <v>9.2950204584968388E-5</v>
      </c>
    </row>
    <row r="504" spans="16:21" ht="13.9" customHeight="1" x14ac:dyDescent="0.2">
      <c r="P504" s="27"/>
      <c r="Q504" s="30"/>
      <c r="R504" s="30"/>
      <c r="S504" s="30">
        <f>ABS(Q504)/'İtme Analizi'!$G$17</f>
        <v>0</v>
      </c>
      <c r="T504" s="30">
        <f>ABS(R504)/'İtme Analizi'!$G$14</f>
        <v>0</v>
      </c>
      <c r="U504" s="30">
        <f t="shared" si="9"/>
        <v>9.2950204584968388E-5</v>
      </c>
    </row>
    <row r="505" spans="16:21" ht="13.9" customHeight="1" x14ac:dyDescent="0.2">
      <c r="P505" s="27"/>
      <c r="Q505" s="30"/>
      <c r="R505" s="30"/>
      <c r="S505" s="30">
        <f>ABS(Q505)/'İtme Analizi'!$G$17</f>
        <v>0</v>
      </c>
      <c r="T505" s="30">
        <f>ABS(R505)/'İtme Analizi'!$G$14</f>
        <v>0</v>
      </c>
      <c r="U505" s="30">
        <f t="shared" si="9"/>
        <v>9.2950204584968388E-5</v>
      </c>
    </row>
    <row r="506" spans="16:21" ht="13.9" customHeight="1" x14ac:dyDescent="0.2">
      <c r="P506" s="27"/>
      <c r="Q506" s="30"/>
      <c r="R506" s="30"/>
      <c r="S506" s="30">
        <f>ABS(Q506)/'İtme Analizi'!$G$17</f>
        <v>0</v>
      </c>
      <c r="T506" s="30">
        <f>ABS(R506)/'İtme Analizi'!$G$14</f>
        <v>0</v>
      </c>
      <c r="U506" s="30">
        <f t="shared" si="9"/>
        <v>9.2950204584968388E-5</v>
      </c>
    </row>
    <row r="507" spans="16:21" ht="13.9" customHeight="1" x14ac:dyDescent="0.2">
      <c r="P507" s="27"/>
      <c r="Q507" s="30"/>
      <c r="R507" s="30"/>
      <c r="S507" s="30">
        <f>ABS(Q507)/'İtme Analizi'!$G$17</f>
        <v>0</v>
      </c>
      <c r="T507" s="30">
        <f>ABS(R507)/'İtme Analizi'!$G$14</f>
        <v>0</v>
      </c>
      <c r="U507" s="30">
        <f t="shared" si="9"/>
        <v>9.2950204584968388E-5</v>
      </c>
    </row>
    <row r="508" spans="16:21" ht="13.9" customHeight="1" x14ac:dyDescent="0.2">
      <c r="P508" s="27"/>
      <c r="Q508" s="30"/>
      <c r="R508" s="30"/>
      <c r="S508" s="30">
        <f>ABS(Q508)/'İtme Analizi'!$G$17</f>
        <v>0</v>
      </c>
      <c r="T508" s="30">
        <f>ABS(R508)/'İtme Analizi'!$G$14</f>
        <v>0</v>
      </c>
      <c r="U508" s="30">
        <f t="shared" si="9"/>
        <v>9.2950204584968388E-5</v>
      </c>
    </row>
    <row r="509" spans="16:21" ht="13.9" customHeight="1" x14ac:dyDescent="0.2">
      <c r="P509" s="27"/>
      <c r="Q509" s="30"/>
      <c r="R509" s="30"/>
      <c r="S509" s="30">
        <f>ABS(Q509)/'İtme Analizi'!$G$17</f>
        <v>0</v>
      </c>
      <c r="T509" s="30">
        <f>ABS(R509)/'İtme Analizi'!$G$14</f>
        <v>0</v>
      </c>
      <c r="U509" s="30">
        <f t="shared" si="9"/>
        <v>9.2950204584968388E-5</v>
      </c>
    </row>
    <row r="510" spans="16:21" ht="13.9" customHeight="1" x14ac:dyDescent="0.2">
      <c r="P510" s="27"/>
      <c r="Q510" s="30"/>
      <c r="R510" s="30"/>
      <c r="S510" s="30">
        <f>ABS(Q510)/'İtme Analizi'!$G$17</f>
        <v>0</v>
      </c>
      <c r="T510" s="30">
        <f>ABS(R510)/'İtme Analizi'!$G$14</f>
        <v>0</v>
      </c>
      <c r="U510" s="30">
        <f t="shared" si="9"/>
        <v>9.2950204584968388E-5</v>
      </c>
    </row>
    <row r="511" spans="16:21" ht="13.9" customHeight="1" x14ac:dyDescent="0.2">
      <c r="P511" s="27"/>
      <c r="Q511" s="30"/>
      <c r="R511" s="30"/>
      <c r="S511" s="30">
        <f>ABS(Q511)/'İtme Analizi'!$G$17</f>
        <v>0</v>
      </c>
      <c r="T511" s="30">
        <f>ABS(R511)/'İtme Analizi'!$G$14</f>
        <v>0</v>
      </c>
      <c r="U511" s="30">
        <f t="shared" si="9"/>
        <v>9.2950204584968388E-5</v>
      </c>
    </row>
    <row r="512" spans="16:21" ht="13.9" customHeight="1" x14ac:dyDescent="0.2">
      <c r="P512" s="27"/>
      <c r="Q512" s="30"/>
      <c r="R512" s="30"/>
      <c r="S512" s="30">
        <f>ABS(Q512)/'İtme Analizi'!$G$17</f>
        <v>0</v>
      </c>
      <c r="T512" s="30">
        <f>ABS(R512)/'İtme Analizi'!$G$14</f>
        <v>0</v>
      </c>
      <c r="U512" s="30">
        <f t="shared" si="9"/>
        <v>9.2950204584968388E-5</v>
      </c>
    </row>
    <row r="513" spans="16:21" ht="13.9" customHeight="1" x14ac:dyDescent="0.2">
      <c r="P513" s="27"/>
      <c r="Q513" s="30"/>
      <c r="R513" s="30"/>
      <c r="S513" s="30">
        <f>ABS(Q513)/'İtme Analizi'!$G$17</f>
        <v>0</v>
      </c>
      <c r="T513" s="30">
        <f>ABS(R513)/'İtme Analizi'!$G$14</f>
        <v>0</v>
      </c>
      <c r="U513" s="30">
        <f t="shared" si="9"/>
        <v>9.2950204584968388E-5</v>
      </c>
    </row>
    <row r="514" spans="16:21" ht="13.9" customHeight="1" x14ac:dyDescent="0.2">
      <c r="P514" s="27"/>
      <c r="Q514" s="30"/>
      <c r="R514" s="30"/>
      <c r="S514" s="30">
        <f>ABS(Q514)/'İtme Analizi'!$G$17</f>
        <v>0</v>
      </c>
      <c r="T514" s="30">
        <f>ABS(R514)/'İtme Analizi'!$G$14</f>
        <v>0</v>
      </c>
      <c r="U514" s="30">
        <f t="shared" si="9"/>
        <v>9.2950204584968388E-5</v>
      </c>
    </row>
    <row r="515" spans="16:21" ht="13.9" customHeight="1" x14ac:dyDescent="0.2">
      <c r="P515" s="27"/>
      <c r="Q515" s="30"/>
      <c r="R515" s="30"/>
      <c r="S515" s="30">
        <f>ABS(Q515)/'İtme Analizi'!$G$17</f>
        <v>0</v>
      </c>
      <c r="T515" s="30">
        <f>ABS(R515)/'İtme Analizi'!$G$14</f>
        <v>0</v>
      </c>
      <c r="U515" s="30">
        <f t="shared" si="9"/>
        <v>9.2950204584968388E-5</v>
      </c>
    </row>
    <row r="516" spans="16:21" ht="13.9" customHeight="1" x14ac:dyDescent="0.2">
      <c r="P516" s="27"/>
      <c r="Q516" s="30"/>
      <c r="R516" s="30"/>
      <c r="S516" s="30">
        <f>ABS(Q516)/'İtme Analizi'!$G$17</f>
        <v>0</v>
      </c>
      <c r="T516" s="30">
        <f>ABS(R516)/'İtme Analizi'!$G$14</f>
        <v>0</v>
      </c>
      <c r="U516" s="30">
        <f t="shared" si="9"/>
        <v>9.2950204584968388E-5</v>
      </c>
    </row>
    <row r="517" spans="16:21" ht="13.9" customHeight="1" x14ac:dyDescent="0.2">
      <c r="P517" s="27"/>
      <c r="Q517" s="30"/>
      <c r="R517" s="30"/>
      <c r="S517" s="30">
        <f>ABS(Q517)/'İtme Analizi'!$G$17</f>
        <v>0</v>
      </c>
      <c r="T517" s="30">
        <f>ABS(R517)/'İtme Analizi'!$G$14</f>
        <v>0</v>
      </c>
      <c r="U517" s="30">
        <f t="shared" si="9"/>
        <v>9.2950204584968388E-5</v>
      </c>
    </row>
    <row r="518" spans="16:21" ht="13.9" customHeight="1" x14ac:dyDescent="0.2">
      <c r="P518" s="27"/>
      <c r="Q518" s="30"/>
      <c r="R518" s="30"/>
      <c r="S518" s="30">
        <f>ABS(Q518)/'İtme Analizi'!$G$17</f>
        <v>0</v>
      </c>
      <c r="T518" s="30">
        <f>ABS(R518)/'İtme Analizi'!$G$14</f>
        <v>0</v>
      </c>
      <c r="U518" s="30">
        <f t="shared" si="9"/>
        <v>9.2950204584968388E-5</v>
      </c>
    </row>
    <row r="519" spans="16:21" ht="13.9" customHeight="1" x14ac:dyDescent="0.2">
      <c r="P519" s="27"/>
      <c r="Q519" s="30"/>
      <c r="R519" s="30"/>
      <c r="S519" s="30">
        <f>ABS(Q519)/'İtme Analizi'!$G$17</f>
        <v>0</v>
      </c>
      <c r="T519" s="30">
        <f>ABS(R519)/'İtme Analizi'!$G$14</f>
        <v>0</v>
      </c>
      <c r="U519" s="30">
        <f t="shared" si="9"/>
        <v>9.2950204584968388E-5</v>
      </c>
    </row>
    <row r="520" spans="16:21" ht="13.9" customHeight="1" x14ac:dyDescent="0.2">
      <c r="P520" s="27"/>
      <c r="Q520" s="30"/>
      <c r="R520" s="30"/>
      <c r="S520" s="30">
        <f>ABS(Q520)/'İtme Analizi'!$G$17</f>
        <v>0</v>
      </c>
      <c r="T520" s="30">
        <f>ABS(R520)/'İtme Analizi'!$G$14</f>
        <v>0</v>
      </c>
      <c r="U520" s="30">
        <f t="shared" si="9"/>
        <v>9.2950204584968388E-5</v>
      </c>
    </row>
    <row r="521" spans="16:21" ht="13.9" customHeight="1" x14ac:dyDescent="0.2">
      <c r="P521" s="27"/>
      <c r="Q521" s="30"/>
      <c r="R521" s="30"/>
      <c r="S521" s="30">
        <f>ABS(Q521)/'İtme Analizi'!$G$17</f>
        <v>0</v>
      </c>
      <c r="T521" s="30">
        <f>ABS(R521)/'İtme Analizi'!$G$14</f>
        <v>0</v>
      </c>
      <c r="U521" s="30">
        <f t="shared" ref="U521:U584" si="10">U520+(S521-S520)*((T521+T520)/2)</f>
        <v>9.2950204584968388E-5</v>
      </c>
    </row>
    <row r="522" spans="16:21" ht="13.9" customHeight="1" x14ac:dyDescent="0.2">
      <c r="P522" s="27"/>
      <c r="Q522" s="30"/>
      <c r="R522" s="30"/>
      <c r="S522" s="30">
        <f>ABS(Q522)/'İtme Analizi'!$G$17</f>
        <v>0</v>
      </c>
      <c r="T522" s="30">
        <f>ABS(R522)/'İtme Analizi'!$G$14</f>
        <v>0</v>
      </c>
      <c r="U522" s="30">
        <f t="shared" si="10"/>
        <v>9.2950204584968388E-5</v>
      </c>
    </row>
    <row r="523" spans="16:21" ht="13.9" customHeight="1" x14ac:dyDescent="0.2">
      <c r="P523" s="27"/>
      <c r="Q523" s="30"/>
      <c r="R523" s="30"/>
      <c r="S523" s="30">
        <f>ABS(Q523)/'İtme Analizi'!$G$17</f>
        <v>0</v>
      </c>
      <c r="T523" s="30">
        <f>ABS(R523)/'İtme Analizi'!$G$14</f>
        <v>0</v>
      </c>
      <c r="U523" s="30">
        <f t="shared" si="10"/>
        <v>9.2950204584968388E-5</v>
      </c>
    </row>
    <row r="524" spans="16:21" ht="13.9" customHeight="1" x14ac:dyDescent="0.2">
      <c r="P524" s="27"/>
      <c r="Q524" s="30"/>
      <c r="R524" s="30"/>
      <c r="S524" s="30">
        <f>ABS(Q524)/'İtme Analizi'!$G$17</f>
        <v>0</v>
      </c>
      <c r="T524" s="30">
        <f>ABS(R524)/'İtme Analizi'!$G$14</f>
        <v>0</v>
      </c>
      <c r="U524" s="30">
        <f t="shared" si="10"/>
        <v>9.2950204584968388E-5</v>
      </c>
    </row>
    <row r="525" spans="16:21" ht="13.9" customHeight="1" x14ac:dyDescent="0.2">
      <c r="P525" s="27"/>
      <c r="Q525" s="30"/>
      <c r="R525" s="30"/>
      <c r="S525" s="30">
        <f>ABS(Q525)/'İtme Analizi'!$G$17</f>
        <v>0</v>
      </c>
      <c r="T525" s="30">
        <f>ABS(R525)/'İtme Analizi'!$G$14</f>
        <v>0</v>
      </c>
      <c r="U525" s="30">
        <f t="shared" si="10"/>
        <v>9.2950204584968388E-5</v>
      </c>
    </row>
    <row r="526" spans="16:21" ht="13.9" customHeight="1" x14ac:dyDescent="0.2">
      <c r="P526" s="27"/>
      <c r="Q526" s="30"/>
      <c r="R526" s="30"/>
      <c r="S526" s="30">
        <f>ABS(Q526)/'İtme Analizi'!$G$17</f>
        <v>0</v>
      </c>
      <c r="T526" s="30">
        <f>ABS(R526)/'İtme Analizi'!$G$14</f>
        <v>0</v>
      </c>
      <c r="U526" s="30">
        <f t="shared" si="10"/>
        <v>9.2950204584968388E-5</v>
      </c>
    </row>
    <row r="527" spans="16:21" ht="13.9" customHeight="1" x14ac:dyDescent="0.2">
      <c r="P527" s="27"/>
      <c r="Q527" s="30"/>
      <c r="R527" s="30"/>
      <c r="S527" s="30">
        <f>ABS(Q527)/'İtme Analizi'!$G$17</f>
        <v>0</v>
      </c>
      <c r="T527" s="30">
        <f>ABS(R527)/'İtme Analizi'!$G$14</f>
        <v>0</v>
      </c>
      <c r="U527" s="30">
        <f t="shared" si="10"/>
        <v>9.2950204584968388E-5</v>
      </c>
    </row>
    <row r="528" spans="16:21" ht="13.9" customHeight="1" x14ac:dyDescent="0.2">
      <c r="P528" s="27"/>
      <c r="Q528" s="30"/>
      <c r="R528" s="30"/>
      <c r="S528" s="30">
        <f>ABS(Q528)/'İtme Analizi'!$G$17</f>
        <v>0</v>
      </c>
      <c r="T528" s="30">
        <f>ABS(R528)/'İtme Analizi'!$G$14</f>
        <v>0</v>
      </c>
      <c r="U528" s="30">
        <f t="shared" si="10"/>
        <v>9.2950204584968388E-5</v>
      </c>
    </row>
    <row r="529" spans="16:21" ht="13.9" customHeight="1" x14ac:dyDescent="0.2">
      <c r="P529" s="27"/>
      <c r="Q529" s="30"/>
      <c r="R529" s="30"/>
      <c r="S529" s="30">
        <f>ABS(Q529)/'İtme Analizi'!$G$17</f>
        <v>0</v>
      </c>
      <c r="T529" s="30">
        <f>ABS(R529)/'İtme Analizi'!$G$14</f>
        <v>0</v>
      </c>
      <c r="U529" s="30">
        <f t="shared" si="10"/>
        <v>9.2950204584968388E-5</v>
      </c>
    </row>
    <row r="530" spans="16:21" ht="13.9" customHeight="1" x14ac:dyDescent="0.2">
      <c r="P530" s="27"/>
      <c r="Q530" s="30"/>
      <c r="R530" s="30"/>
      <c r="S530" s="30">
        <f>ABS(Q530)/'İtme Analizi'!$G$17</f>
        <v>0</v>
      </c>
      <c r="T530" s="30">
        <f>ABS(R530)/'İtme Analizi'!$G$14</f>
        <v>0</v>
      </c>
      <c r="U530" s="30">
        <f t="shared" si="10"/>
        <v>9.2950204584968388E-5</v>
      </c>
    </row>
    <row r="531" spans="16:21" ht="13.9" customHeight="1" x14ac:dyDescent="0.2">
      <c r="P531" s="27"/>
      <c r="Q531" s="30"/>
      <c r="R531" s="30"/>
      <c r="S531" s="30">
        <f>ABS(Q531)/'İtme Analizi'!$G$17</f>
        <v>0</v>
      </c>
      <c r="T531" s="30">
        <f>ABS(R531)/'İtme Analizi'!$G$14</f>
        <v>0</v>
      </c>
      <c r="U531" s="30">
        <f t="shared" si="10"/>
        <v>9.2950204584968388E-5</v>
      </c>
    </row>
    <row r="532" spans="16:21" ht="13.9" customHeight="1" x14ac:dyDescent="0.2">
      <c r="P532" s="27"/>
      <c r="Q532" s="30"/>
      <c r="R532" s="30"/>
      <c r="S532" s="30">
        <f>ABS(Q532)/'İtme Analizi'!$G$17</f>
        <v>0</v>
      </c>
      <c r="T532" s="30">
        <f>ABS(R532)/'İtme Analizi'!$G$14</f>
        <v>0</v>
      </c>
      <c r="U532" s="30">
        <f t="shared" si="10"/>
        <v>9.2950204584968388E-5</v>
      </c>
    </row>
    <row r="533" spans="16:21" ht="13.9" customHeight="1" x14ac:dyDescent="0.2">
      <c r="P533" s="27"/>
      <c r="Q533" s="30"/>
      <c r="R533" s="30"/>
      <c r="S533" s="30">
        <f>ABS(Q533)/'İtme Analizi'!$G$17</f>
        <v>0</v>
      </c>
      <c r="T533" s="30">
        <f>ABS(R533)/'İtme Analizi'!$G$14</f>
        <v>0</v>
      </c>
      <c r="U533" s="30">
        <f t="shared" si="10"/>
        <v>9.2950204584968388E-5</v>
      </c>
    </row>
    <row r="534" spans="16:21" ht="13.9" customHeight="1" x14ac:dyDescent="0.2">
      <c r="P534" s="27"/>
      <c r="Q534" s="30"/>
      <c r="R534" s="30"/>
      <c r="S534" s="30">
        <f>ABS(Q534)/'İtme Analizi'!$G$17</f>
        <v>0</v>
      </c>
      <c r="T534" s="30">
        <f>ABS(R534)/'İtme Analizi'!$G$14</f>
        <v>0</v>
      </c>
      <c r="U534" s="30">
        <f t="shared" si="10"/>
        <v>9.2950204584968388E-5</v>
      </c>
    </row>
    <row r="535" spans="16:21" ht="13.9" customHeight="1" x14ac:dyDescent="0.2">
      <c r="P535" s="27"/>
      <c r="Q535" s="30"/>
      <c r="R535" s="30"/>
      <c r="S535" s="30">
        <f>ABS(Q535)/'İtme Analizi'!$G$17</f>
        <v>0</v>
      </c>
      <c r="T535" s="30">
        <f>ABS(R535)/'İtme Analizi'!$G$14</f>
        <v>0</v>
      </c>
      <c r="U535" s="30">
        <f t="shared" si="10"/>
        <v>9.2950204584968388E-5</v>
      </c>
    </row>
    <row r="536" spans="16:21" ht="13.9" customHeight="1" x14ac:dyDescent="0.2">
      <c r="P536" s="27"/>
      <c r="Q536" s="30"/>
      <c r="R536" s="30"/>
      <c r="S536" s="30">
        <f>ABS(Q536)/'İtme Analizi'!$G$17</f>
        <v>0</v>
      </c>
      <c r="T536" s="30">
        <f>ABS(R536)/'İtme Analizi'!$G$14</f>
        <v>0</v>
      </c>
      <c r="U536" s="30">
        <f t="shared" si="10"/>
        <v>9.2950204584968388E-5</v>
      </c>
    </row>
    <row r="537" spans="16:21" ht="13.9" customHeight="1" x14ac:dyDescent="0.2">
      <c r="P537" s="27"/>
      <c r="Q537" s="30"/>
      <c r="R537" s="30"/>
      <c r="S537" s="30">
        <f>ABS(Q537)/'İtme Analizi'!$G$17</f>
        <v>0</v>
      </c>
      <c r="T537" s="30">
        <f>ABS(R537)/'İtme Analizi'!$G$14</f>
        <v>0</v>
      </c>
      <c r="U537" s="30">
        <f t="shared" si="10"/>
        <v>9.2950204584968388E-5</v>
      </c>
    </row>
    <row r="538" spans="16:21" ht="13.9" customHeight="1" x14ac:dyDescent="0.2">
      <c r="P538" s="27"/>
      <c r="Q538" s="30"/>
      <c r="R538" s="30"/>
      <c r="S538" s="30">
        <f>ABS(Q538)/'İtme Analizi'!$G$17</f>
        <v>0</v>
      </c>
      <c r="T538" s="30">
        <f>ABS(R538)/'İtme Analizi'!$G$14</f>
        <v>0</v>
      </c>
      <c r="U538" s="30">
        <f t="shared" si="10"/>
        <v>9.2950204584968388E-5</v>
      </c>
    </row>
    <row r="539" spans="16:21" ht="13.9" customHeight="1" x14ac:dyDescent="0.2">
      <c r="P539" s="27"/>
      <c r="Q539" s="30"/>
      <c r="R539" s="30"/>
      <c r="S539" s="30">
        <f>ABS(Q539)/'İtme Analizi'!$G$17</f>
        <v>0</v>
      </c>
      <c r="T539" s="30">
        <f>ABS(R539)/'İtme Analizi'!$G$14</f>
        <v>0</v>
      </c>
      <c r="U539" s="30">
        <f t="shared" si="10"/>
        <v>9.2950204584968388E-5</v>
      </c>
    </row>
    <row r="540" spans="16:21" ht="13.9" customHeight="1" x14ac:dyDescent="0.2">
      <c r="P540" s="27"/>
      <c r="Q540" s="30"/>
      <c r="R540" s="30"/>
      <c r="S540" s="30">
        <f>ABS(Q540)/'İtme Analizi'!$G$17</f>
        <v>0</v>
      </c>
      <c r="T540" s="30">
        <f>ABS(R540)/'İtme Analizi'!$G$14</f>
        <v>0</v>
      </c>
      <c r="U540" s="30">
        <f t="shared" si="10"/>
        <v>9.2950204584968388E-5</v>
      </c>
    </row>
    <row r="541" spans="16:21" ht="13.9" customHeight="1" x14ac:dyDescent="0.2">
      <c r="P541" s="27"/>
      <c r="Q541" s="30"/>
      <c r="R541" s="30"/>
      <c r="S541" s="30">
        <f>ABS(Q541)/'İtme Analizi'!$G$17</f>
        <v>0</v>
      </c>
      <c r="T541" s="30">
        <f>ABS(R541)/'İtme Analizi'!$G$14</f>
        <v>0</v>
      </c>
      <c r="U541" s="30">
        <f t="shared" si="10"/>
        <v>9.2950204584968388E-5</v>
      </c>
    </row>
    <row r="542" spans="16:21" ht="13.9" customHeight="1" x14ac:dyDescent="0.2">
      <c r="P542" s="27"/>
      <c r="Q542" s="30"/>
      <c r="R542" s="30"/>
      <c r="S542" s="30">
        <f>ABS(Q542)/'İtme Analizi'!$G$17</f>
        <v>0</v>
      </c>
      <c r="T542" s="30">
        <f>ABS(R542)/'İtme Analizi'!$G$14</f>
        <v>0</v>
      </c>
      <c r="U542" s="30">
        <f t="shared" si="10"/>
        <v>9.2950204584968388E-5</v>
      </c>
    </row>
    <row r="543" spans="16:21" ht="13.9" customHeight="1" x14ac:dyDescent="0.2">
      <c r="P543" s="27"/>
      <c r="Q543" s="30"/>
      <c r="R543" s="30"/>
      <c r="S543" s="30">
        <f>ABS(Q543)/'İtme Analizi'!$G$17</f>
        <v>0</v>
      </c>
      <c r="T543" s="30">
        <f>ABS(R543)/'İtme Analizi'!$G$14</f>
        <v>0</v>
      </c>
      <c r="U543" s="30">
        <f t="shared" si="10"/>
        <v>9.2950204584968388E-5</v>
      </c>
    </row>
    <row r="544" spans="16:21" ht="13.9" customHeight="1" x14ac:dyDescent="0.2">
      <c r="P544" s="27"/>
      <c r="Q544" s="30"/>
      <c r="R544" s="30"/>
      <c r="S544" s="30">
        <f>ABS(Q544)/'İtme Analizi'!$G$17</f>
        <v>0</v>
      </c>
      <c r="T544" s="30">
        <f>ABS(R544)/'İtme Analizi'!$G$14</f>
        <v>0</v>
      </c>
      <c r="U544" s="30">
        <f t="shared" si="10"/>
        <v>9.2950204584968388E-5</v>
      </c>
    </row>
    <row r="545" spans="16:21" ht="13.9" customHeight="1" x14ac:dyDescent="0.2">
      <c r="P545" s="27"/>
      <c r="Q545" s="30"/>
      <c r="R545" s="30"/>
      <c r="S545" s="30">
        <f>ABS(Q545)/'İtme Analizi'!$G$17</f>
        <v>0</v>
      </c>
      <c r="T545" s="30">
        <f>ABS(R545)/'İtme Analizi'!$G$14</f>
        <v>0</v>
      </c>
      <c r="U545" s="30">
        <f t="shared" si="10"/>
        <v>9.2950204584968388E-5</v>
      </c>
    </row>
    <row r="546" spans="16:21" ht="13.9" customHeight="1" x14ac:dyDescent="0.2">
      <c r="P546" s="27"/>
      <c r="Q546" s="30"/>
      <c r="R546" s="30"/>
      <c r="S546" s="30">
        <f>ABS(Q546)/'İtme Analizi'!$G$17</f>
        <v>0</v>
      </c>
      <c r="T546" s="30">
        <f>ABS(R546)/'İtme Analizi'!$G$14</f>
        <v>0</v>
      </c>
      <c r="U546" s="30">
        <f t="shared" si="10"/>
        <v>9.2950204584968388E-5</v>
      </c>
    </row>
    <row r="547" spans="16:21" ht="13.9" customHeight="1" x14ac:dyDescent="0.2">
      <c r="P547" s="27"/>
      <c r="Q547" s="30"/>
      <c r="R547" s="30"/>
      <c r="S547" s="30">
        <f>ABS(Q547)/'İtme Analizi'!$G$17</f>
        <v>0</v>
      </c>
      <c r="T547" s="30">
        <f>ABS(R547)/'İtme Analizi'!$G$14</f>
        <v>0</v>
      </c>
      <c r="U547" s="30">
        <f t="shared" si="10"/>
        <v>9.2950204584968388E-5</v>
      </c>
    </row>
    <row r="548" spans="16:21" ht="13.9" customHeight="1" x14ac:dyDescent="0.2">
      <c r="P548" s="27"/>
      <c r="Q548" s="30"/>
      <c r="R548" s="30"/>
      <c r="S548" s="30">
        <f>ABS(Q548)/'İtme Analizi'!$G$17</f>
        <v>0</v>
      </c>
      <c r="T548" s="30">
        <f>ABS(R548)/'İtme Analizi'!$G$14</f>
        <v>0</v>
      </c>
      <c r="U548" s="30">
        <f t="shared" si="10"/>
        <v>9.2950204584968388E-5</v>
      </c>
    </row>
    <row r="549" spans="16:21" ht="13.9" customHeight="1" x14ac:dyDescent="0.2">
      <c r="P549" s="27"/>
      <c r="Q549" s="30"/>
      <c r="R549" s="30"/>
      <c r="S549" s="30">
        <f>ABS(Q549)/'İtme Analizi'!$G$17</f>
        <v>0</v>
      </c>
      <c r="T549" s="30">
        <f>ABS(R549)/'İtme Analizi'!$G$14</f>
        <v>0</v>
      </c>
      <c r="U549" s="30">
        <f t="shared" si="10"/>
        <v>9.2950204584968388E-5</v>
      </c>
    </row>
    <row r="550" spans="16:21" ht="13.9" customHeight="1" x14ac:dyDescent="0.2">
      <c r="P550" s="27"/>
      <c r="Q550" s="30"/>
      <c r="R550" s="30"/>
      <c r="S550" s="30">
        <f>ABS(Q550)/'İtme Analizi'!$G$17</f>
        <v>0</v>
      </c>
      <c r="T550" s="30">
        <f>ABS(R550)/'İtme Analizi'!$G$14</f>
        <v>0</v>
      </c>
      <c r="U550" s="30">
        <f t="shared" si="10"/>
        <v>9.2950204584968388E-5</v>
      </c>
    </row>
    <row r="551" spans="16:21" ht="13.9" customHeight="1" x14ac:dyDescent="0.2">
      <c r="P551" s="27"/>
      <c r="Q551" s="30"/>
      <c r="R551" s="30"/>
      <c r="S551" s="30">
        <f>ABS(Q551)/'İtme Analizi'!$G$17</f>
        <v>0</v>
      </c>
      <c r="T551" s="30">
        <f>ABS(R551)/'İtme Analizi'!$G$14</f>
        <v>0</v>
      </c>
      <c r="U551" s="30">
        <f t="shared" si="10"/>
        <v>9.2950204584968388E-5</v>
      </c>
    </row>
    <row r="552" spans="16:21" ht="13.9" customHeight="1" x14ac:dyDescent="0.2">
      <c r="P552" s="27"/>
      <c r="Q552" s="30"/>
      <c r="R552" s="30"/>
      <c r="S552" s="30">
        <f>ABS(Q552)/'İtme Analizi'!$G$17</f>
        <v>0</v>
      </c>
      <c r="T552" s="30">
        <f>ABS(R552)/'İtme Analizi'!$G$14</f>
        <v>0</v>
      </c>
      <c r="U552" s="30">
        <f t="shared" si="10"/>
        <v>9.2950204584968388E-5</v>
      </c>
    </row>
    <row r="553" spans="16:21" ht="13.9" customHeight="1" x14ac:dyDescent="0.2">
      <c r="P553" s="27"/>
      <c r="Q553" s="30"/>
      <c r="R553" s="30"/>
      <c r="S553" s="30">
        <f>ABS(Q553)/'İtme Analizi'!$G$17</f>
        <v>0</v>
      </c>
      <c r="T553" s="30">
        <f>ABS(R553)/'İtme Analizi'!$G$14</f>
        <v>0</v>
      </c>
      <c r="U553" s="30">
        <f t="shared" si="10"/>
        <v>9.2950204584968388E-5</v>
      </c>
    </row>
    <row r="554" spans="16:21" ht="13.9" customHeight="1" x14ac:dyDescent="0.2">
      <c r="P554" s="27"/>
      <c r="Q554" s="30"/>
      <c r="R554" s="30"/>
      <c r="S554" s="30">
        <f>ABS(Q554)/'İtme Analizi'!$G$17</f>
        <v>0</v>
      </c>
      <c r="T554" s="30">
        <f>ABS(R554)/'İtme Analizi'!$G$14</f>
        <v>0</v>
      </c>
      <c r="U554" s="30">
        <f t="shared" si="10"/>
        <v>9.2950204584968388E-5</v>
      </c>
    </row>
    <row r="555" spans="16:21" ht="13.9" customHeight="1" x14ac:dyDescent="0.2">
      <c r="P555" s="27"/>
      <c r="Q555" s="30"/>
      <c r="R555" s="30"/>
      <c r="S555" s="30">
        <f>ABS(Q555)/'İtme Analizi'!$G$17</f>
        <v>0</v>
      </c>
      <c r="T555" s="30">
        <f>ABS(R555)/'İtme Analizi'!$G$14</f>
        <v>0</v>
      </c>
      <c r="U555" s="30">
        <f t="shared" si="10"/>
        <v>9.2950204584968388E-5</v>
      </c>
    </row>
    <row r="556" spans="16:21" ht="13.9" customHeight="1" x14ac:dyDescent="0.2">
      <c r="P556" s="27"/>
      <c r="Q556" s="30"/>
      <c r="R556" s="30"/>
      <c r="S556" s="30">
        <f>ABS(Q556)/'İtme Analizi'!$G$17</f>
        <v>0</v>
      </c>
      <c r="T556" s="30">
        <f>ABS(R556)/'İtme Analizi'!$G$14</f>
        <v>0</v>
      </c>
      <c r="U556" s="30">
        <f t="shared" si="10"/>
        <v>9.2950204584968388E-5</v>
      </c>
    </row>
    <row r="557" spans="16:21" ht="13.9" customHeight="1" x14ac:dyDescent="0.2">
      <c r="P557" s="27"/>
      <c r="Q557" s="30"/>
      <c r="R557" s="30"/>
      <c r="S557" s="30">
        <f>ABS(Q557)/'İtme Analizi'!$G$17</f>
        <v>0</v>
      </c>
      <c r="T557" s="30">
        <f>ABS(R557)/'İtme Analizi'!$G$14</f>
        <v>0</v>
      </c>
      <c r="U557" s="30">
        <f t="shared" si="10"/>
        <v>9.2950204584968388E-5</v>
      </c>
    </row>
    <row r="558" spans="16:21" ht="13.9" customHeight="1" x14ac:dyDescent="0.2">
      <c r="P558" s="27"/>
      <c r="Q558" s="30"/>
      <c r="R558" s="30"/>
      <c r="S558" s="30">
        <f>ABS(Q558)/'İtme Analizi'!$G$17</f>
        <v>0</v>
      </c>
      <c r="T558" s="30">
        <f>ABS(R558)/'İtme Analizi'!$G$14</f>
        <v>0</v>
      </c>
      <c r="U558" s="30">
        <f t="shared" si="10"/>
        <v>9.2950204584968388E-5</v>
      </c>
    </row>
    <row r="559" spans="16:21" ht="13.9" customHeight="1" x14ac:dyDescent="0.2">
      <c r="P559" s="27"/>
      <c r="Q559" s="30"/>
      <c r="R559" s="30"/>
      <c r="S559" s="30">
        <f>ABS(Q559)/'İtme Analizi'!$G$17</f>
        <v>0</v>
      </c>
      <c r="T559" s="30">
        <f>ABS(R559)/'İtme Analizi'!$G$14</f>
        <v>0</v>
      </c>
      <c r="U559" s="30">
        <f t="shared" si="10"/>
        <v>9.2950204584968388E-5</v>
      </c>
    </row>
    <row r="560" spans="16:21" ht="13.9" customHeight="1" x14ac:dyDescent="0.2">
      <c r="P560" s="27"/>
      <c r="Q560" s="30"/>
      <c r="R560" s="30"/>
      <c r="S560" s="30">
        <f>ABS(Q560)/'İtme Analizi'!$G$17</f>
        <v>0</v>
      </c>
      <c r="T560" s="30">
        <f>ABS(R560)/'İtme Analizi'!$G$14</f>
        <v>0</v>
      </c>
      <c r="U560" s="30">
        <f t="shared" si="10"/>
        <v>9.2950204584968388E-5</v>
      </c>
    </row>
    <row r="561" spans="16:21" ht="13.9" customHeight="1" x14ac:dyDescent="0.2">
      <c r="P561" s="27"/>
      <c r="Q561" s="30"/>
      <c r="R561" s="30"/>
      <c r="S561" s="30">
        <f>ABS(Q561)/'İtme Analizi'!$G$17</f>
        <v>0</v>
      </c>
      <c r="T561" s="30">
        <f>ABS(R561)/'İtme Analizi'!$G$14</f>
        <v>0</v>
      </c>
      <c r="U561" s="30">
        <f t="shared" si="10"/>
        <v>9.2950204584968388E-5</v>
      </c>
    </row>
    <row r="562" spans="16:21" ht="13.9" customHeight="1" x14ac:dyDescent="0.2">
      <c r="P562" s="27"/>
      <c r="Q562" s="30"/>
      <c r="R562" s="30"/>
      <c r="S562" s="30">
        <f>ABS(Q562)/'İtme Analizi'!$G$17</f>
        <v>0</v>
      </c>
      <c r="T562" s="30">
        <f>ABS(R562)/'İtme Analizi'!$G$14</f>
        <v>0</v>
      </c>
      <c r="U562" s="30">
        <f t="shared" si="10"/>
        <v>9.2950204584968388E-5</v>
      </c>
    </row>
    <row r="563" spans="16:21" ht="13.9" customHeight="1" x14ac:dyDescent="0.2">
      <c r="P563" s="27"/>
      <c r="Q563" s="30"/>
      <c r="R563" s="30"/>
      <c r="S563" s="30">
        <f>ABS(Q563)/'İtme Analizi'!$G$17</f>
        <v>0</v>
      </c>
      <c r="T563" s="30">
        <f>ABS(R563)/'İtme Analizi'!$G$14</f>
        <v>0</v>
      </c>
      <c r="U563" s="30">
        <f t="shared" si="10"/>
        <v>9.2950204584968388E-5</v>
      </c>
    </row>
    <row r="564" spans="16:21" ht="13.9" customHeight="1" x14ac:dyDescent="0.2">
      <c r="P564" s="27"/>
      <c r="Q564" s="30"/>
      <c r="R564" s="30"/>
      <c r="S564" s="30">
        <f>ABS(Q564)/'İtme Analizi'!$G$17</f>
        <v>0</v>
      </c>
      <c r="T564" s="30">
        <f>ABS(R564)/'İtme Analizi'!$G$14</f>
        <v>0</v>
      </c>
      <c r="U564" s="30">
        <f t="shared" si="10"/>
        <v>9.2950204584968388E-5</v>
      </c>
    </row>
    <row r="565" spans="16:21" ht="13.9" customHeight="1" x14ac:dyDescent="0.2">
      <c r="P565" s="27"/>
      <c r="Q565" s="30"/>
      <c r="R565" s="30"/>
      <c r="S565" s="30">
        <f>ABS(Q565)/'İtme Analizi'!$G$17</f>
        <v>0</v>
      </c>
      <c r="T565" s="30">
        <f>ABS(R565)/'İtme Analizi'!$G$14</f>
        <v>0</v>
      </c>
      <c r="U565" s="30">
        <f t="shared" si="10"/>
        <v>9.2950204584968388E-5</v>
      </c>
    </row>
    <row r="566" spans="16:21" ht="13.9" customHeight="1" x14ac:dyDescent="0.2">
      <c r="P566" s="27"/>
      <c r="Q566" s="30"/>
      <c r="R566" s="30"/>
      <c r="S566" s="30">
        <f>ABS(Q566)/'İtme Analizi'!$G$17</f>
        <v>0</v>
      </c>
      <c r="T566" s="30">
        <f>ABS(R566)/'İtme Analizi'!$G$14</f>
        <v>0</v>
      </c>
      <c r="U566" s="30">
        <f t="shared" si="10"/>
        <v>9.2950204584968388E-5</v>
      </c>
    </row>
    <row r="567" spans="16:21" ht="13.9" customHeight="1" x14ac:dyDescent="0.2">
      <c r="P567" s="27"/>
      <c r="Q567" s="30"/>
      <c r="R567" s="30"/>
      <c r="S567" s="30">
        <f>ABS(Q567)/'İtme Analizi'!$G$17</f>
        <v>0</v>
      </c>
      <c r="T567" s="30">
        <f>ABS(R567)/'İtme Analizi'!$G$14</f>
        <v>0</v>
      </c>
      <c r="U567" s="30">
        <f t="shared" si="10"/>
        <v>9.2950204584968388E-5</v>
      </c>
    </row>
    <row r="568" spans="16:21" ht="13.9" customHeight="1" x14ac:dyDescent="0.2">
      <c r="P568" s="27"/>
      <c r="Q568" s="30"/>
      <c r="R568" s="30"/>
      <c r="S568" s="30">
        <f>ABS(Q568)/'İtme Analizi'!$G$17</f>
        <v>0</v>
      </c>
      <c r="T568" s="30">
        <f>ABS(R568)/'İtme Analizi'!$G$14</f>
        <v>0</v>
      </c>
      <c r="U568" s="30">
        <f t="shared" si="10"/>
        <v>9.2950204584968388E-5</v>
      </c>
    </row>
    <row r="569" spans="16:21" ht="13.9" customHeight="1" x14ac:dyDescent="0.2">
      <c r="P569" s="27"/>
      <c r="Q569" s="30"/>
      <c r="R569" s="30"/>
      <c r="S569" s="30">
        <f>ABS(Q569)/'İtme Analizi'!$G$17</f>
        <v>0</v>
      </c>
      <c r="T569" s="30">
        <f>ABS(R569)/'İtme Analizi'!$G$14</f>
        <v>0</v>
      </c>
      <c r="U569" s="30">
        <f t="shared" si="10"/>
        <v>9.2950204584968388E-5</v>
      </c>
    </row>
    <row r="570" spans="16:21" ht="13.9" customHeight="1" x14ac:dyDescent="0.2">
      <c r="P570" s="27"/>
      <c r="Q570" s="30"/>
      <c r="R570" s="30"/>
      <c r="S570" s="30">
        <f>ABS(Q570)/'İtme Analizi'!$G$17</f>
        <v>0</v>
      </c>
      <c r="T570" s="30">
        <f>ABS(R570)/'İtme Analizi'!$G$14</f>
        <v>0</v>
      </c>
      <c r="U570" s="30">
        <f t="shared" si="10"/>
        <v>9.2950204584968388E-5</v>
      </c>
    </row>
    <row r="571" spans="16:21" ht="13.9" customHeight="1" x14ac:dyDescent="0.2">
      <c r="P571" s="27"/>
      <c r="Q571" s="30"/>
      <c r="R571" s="30"/>
      <c r="S571" s="30">
        <f>ABS(Q571)/'İtme Analizi'!$G$17</f>
        <v>0</v>
      </c>
      <c r="T571" s="30">
        <f>ABS(R571)/'İtme Analizi'!$G$14</f>
        <v>0</v>
      </c>
      <c r="U571" s="30">
        <f t="shared" si="10"/>
        <v>9.2950204584968388E-5</v>
      </c>
    </row>
    <row r="572" spans="16:21" ht="13.9" customHeight="1" x14ac:dyDescent="0.2">
      <c r="P572" s="27"/>
      <c r="Q572" s="30"/>
      <c r="R572" s="30"/>
      <c r="S572" s="30">
        <f>ABS(Q572)/'İtme Analizi'!$G$17</f>
        <v>0</v>
      </c>
      <c r="T572" s="30">
        <f>ABS(R572)/'İtme Analizi'!$G$14</f>
        <v>0</v>
      </c>
      <c r="U572" s="30">
        <f t="shared" si="10"/>
        <v>9.2950204584968388E-5</v>
      </c>
    </row>
    <row r="573" spans="16:21" ht="13.9" customHeight="1" x14ac:dyDescent="0.2">
      <c r="P573" s="27"/>
      <c r="Q573" s="30"/>
      <c r="R573" s="30"/>
      <c r="S573" s="30">
        <f>ABS(Q573)/'İtme Analizi'!$G$17</f>
        <v>0</v>
      </c>
      <c r="T573" s="30">
        <f>ABS(R573)/'İtme Analizi'!$G$14</f>
        <v>0</v>
      </c>
      <c r="U573" s="30">
        <f t="shared" si="10"/>
        <v>9.2950204584968388E-5</v>
      </c>
    </row>
    <row r="574" spans="16:21" ht="13.9" customHeight="1" x14ac:dyDescent="0.2">
      <c r="P574" s="27"/>
      <c r="Q574" s="30"/>
      <c r="R574" s="30"/>
      <c r="S574" s="30">
        <f>ABS(Q574)/'İtme Analizi'!$G$17</f>
        <v>0</v>
      </c>
      <c r="T574" s="30">
        <f>ABS(R574)/'İtme Analizi'!$G$14</f>
        <v>0</v>
      </c>
      <c r="U574" s="30">
        <f t="shared" si="10"/>
        <v>9.2950204584968388E-5</v>
      </c>
    </row>
    <row r="575" spans="16:21" ht="13.9" customHeight="1" x14ac:dyDescent="0.2">
      <c r="P575" s="27"/>
      <c r="Q575" s="30"/>
      <c r="R575" s="30"/>
      <c r="S575" s="30">
        <f>ABS(Q575)/'İtme Analizi'!$G$17</f>
        <v>0</v>
      </c>
      <c r="T575" s="30">
        <f>ABS(R575)/'İtme Analizi'!$G$14</f>
        <v>0</v>
      </c>
      <c r="U575" s="30">
        <f t="shared" si="10"/>
        <v>9.2950204584968388E-5</v>
      </c>
    </row>
    <row r="576" spans="16:21" ht="13.9" customHeight="1" x14ac:dyDescent="0.2">
      <c r="P576" s="27"/>
      <c r="Q576" s="30"/>
      <c r="R576" s="30"/>
      <c r="S576" s="30">
        <f>ABS(Q576)/'İtme Analizi'!$G$17</f>
        <v>0</v>
      </c>
      <c r="T576" s="30">
        <f>ABS(R576)/'İtme Analizi'!$G$14</f>
        <v>0</v>
      </c>
      <c r="U576" s="30">
        <f t="shared" si="10"/>
        <v>9.2950204584968388E-5</v>
      </c>
    </row>
    <row r="577" spans="16:21" ht="13.9" customHeight="1" x14ac:dyDescent="0.2">
      <c r="P577" s="27"/>
      <c r="Q577" s="30"/>
      <c r="R577" s="30"/>
      <c r="S577" s="30">
        <f>ABS(Q577)/'İtme Analizi'!$G$17</f>
        <v>0</v>
      </c>
      <c r="T577" s="30">
        <f>ABS(R577)/'İtme Analizi'!$G$14</f>
        <v>0</v>
      </c>
      <c r="U577" s="30">
        <f t="shared" si="10"/>
        <v>9.2950204584968388E-5</v>
      </c>
    </row>
    <row r="578" spans="16:21" ht="13.9" customHeight="1" x14ac:dyDescent="0.2">
      <c r="P578" s="27"/>
      <c r="Q578" s="30"/>
      <c r="R578" s="30"/>
      <c r="S578" s="30">
        <f>ABS(Q578)/'İtme Analizi'!$G$17</f>
        <v>0</v>
      </c>
      <c r="T578" s="30">
        <f>ABS(R578)/'İtme Analizi'!$G$14</f>
        <v>0</v>
      </c>
      <c r="U578" s="30">
        <f t="shared" si="10"/>
        <v>9.2950204584968388E-5</v>
      </c>
    </row>
    <row r="579" spans="16:21" ht="13.9" customHeight="1" x14ac:dyDescent="0.2">
      <c r="P579" s="27"/>
      <c r="Q579" s="30"/>
      <c r="R579" s="30"/>
      <c r="S579" s="30">
        <f>ABS(Q579)/'İtme Analizi'!$G$17</f>
        <v>0</v>
      </c>
      <c r="T579" s="30">
        <f>ABS(R579)/'İtme Analizi'!$G$14</f>
        <v>0</v>
      </c>
      <c r="U579" s="30">
        <f t="shared" si="10"/>
        <v>9.2950204584968388E-5</v>
      </c>
    </row>
    <row r="580" spans="16:21" ht="13.9" customHeight="1" x14ac:dyDescent="0.2">
      <c r="P580" s="27"/>
      <c r="Q580" s="30"/>
      <c r="R580" s="30"/>
      <c r="S580" s="30">
        <f>ABS(Q580)/'İtme Analizi'!$G$17</f>
        <v>0</v>
      </c>
      <c r="T580" s="30">
        <f>ABS(R580)/'İtme Analizi'!$G$14</f>
        <v>0</v>
      </c>
      <c r="U580" s="30">
        <f t="shared" si="10"/>
        <v>9.2950204584968388E-5</v>
      </c>
    </row>
    <row r="581" spans="16:21" ht="13.9" customHeight="1" x14ac:dyDescent="0.2">
      <c r="P581" s="27"/>
      <c r="Q581" s="30"/>
      <c r="R581" s="30"/>
      <c r="S581" s="30">
        <f>ABS(Q581)/'İtme Analizi'!$G$17</f>
        <v>0</v>
      </c>
      <c r="T581" s="30">
        <f>ABS(R581)/'İtme Analizi'!$G$14</f>
        <v>0</v>
      </c>
      <c r="U581" s="30">
        <f t="shared" si="10"/>
        <v>9.2950204584968388E-5</v>
      </c>
    </row>
    <row r="582" spans="16:21" ht="13.9" customHeight="1" x14ac:dyDescent="0.2">
      <c r="P582" s="27"/>
      <c r="Q582" s="30"/>
      <c r="R582" s="30"/>
      <c r="S582" s="30">
        <f>ABS(Q582)/'İtme Analizi'!$G$17</f>
        <v>0</v>
      </c>
      <c r="T582" s="30">
        <f>ABS(R582)/'İtme Analizi'!$G$14</f>
        <v>0</v>
      </c>
      <c r="U582" s="30">
        <f t="shared" si="10"/>
        <v>9.2950204584968388E-5</v>
      </c>
    </row>
    <row r="583" spans="16:21" ht="13.9" customHeight="1" x14ac:dyDescent="0.2">
      <c r="P583" s="27"/>
      <c r="Q583" s="30"/>
      <c r="R583" s="30"/>
      <c r="S583" s="30">
        <f>ABS(Q583)/'İtme Analizi'!$G$17</f>
        <v>0</v>
      </c>
      <c r="T583" s="30">
        <f>ABS(R583)/'İtme Analizi'!$G$14</f>
        <v>0</v>
      </c>
      <c r="U583" s="30">
        <f t="shared" si="10"/>
        <v>9.2950204584968388E-5</v>
      </c>
    </row>
    <row r="584" spans="16:21" ht="13.9" customHeight="1" x14ac:dyDescent="0.2">
      <c r="P584" s="27"/>
      <c r="Q584" s="30"/>
      <c r="R584" s="30"/>
      <c r="S584" s="30">
        <f>ABS(Q584)/'İtme Analizi'!$G$17</f>
        <v>0</v>
      </c>
      <c r="T584" s="30">
        <f>ABS(R584)/'İtme Analizi'!$G$14</f>
        <v>0</v>
      </c>
      <c r="U584" s="30">
        <f t="shared" si="10"/>
        <v>9.2950204584968388E-5</v>
      </c>
    </row>
    <row r="585" spans="16:21" ht="13.9" customHeight="1" x14ac:dyDescent="0.2">
      <c r="P585" s="27"/>
      <c r="Q585" s="30"/>
      <c r="R585" s="30"/>
      <c r="S585" s="30">
        <f>ABS(Q585)/'İtme Analizi'!$G$17</f>
        <v>0</v>
      </c>
      <c r="T585" s="30">
        <f>ABS(R585)/'İtme Analizi'!$G$14</f>
        <v>0</v>
      </c>
      <c r="U585" s="30">
        <f t="shared" ref="U585:U648" si="11">U584+(S585-S584)*((T585+T584)/2)</f>
        <v>9.2950204584968388E-5</v>
      </c>
    </row>
    <row r="586" spans="16:21" ht="13.9" customHeight="1" x14ac:dyDescent="0.2">
      <c r="P586" s="27"/>
      <c r="Q586" s="30"/>
      <c r="R586" s="30"/>
      <c r="S586" s="30">
        <f>ABS(Q586)/'İtme Analizi'!$G$17</f>
        <v>0</v>
      </c>
      <c r="T586" s="30">
        <f>ABS(R586)/'İtme Analizi'!$G$14</f>
        <v>0</v>
      </c>
      <c r="U586" s="30">
        <f t="shared" si="11"/>
        <v>9.2950204584968388E-5</v>
      </c>
    </row>
    <row r="587" spans="16:21" ht="13.9" customHeight="1" x14ac:dyDescent="0.2">
      <c r="P587" s="27"/>
      <c r="Q587" s="30"/>
      <c r="R587" s="30"/>
      <c r="S587" s="30">
        <f>ABS(Q587)/'İtme Analizi'!$G$17</f>
        <v>0</v>
      </c>
      <c r="T587" s="30">
        <f>ABS(R587)/'İtme Analizi'!$G$14</f>
        <v>0</v>
      </c>
      <c r="U587" s="30">
        <f t="shared" si="11"/>
        <v>9.2950204584968388E-5</v>
      </c>
    </row>
    <row r="588" spans="16:21" ht="13.9" customHeight="1" x14ac:dyDescent="0.2">
      <c r="P588" s="27"/>
      <c r="Q588" s="30"/>
      <c r="R588" s="30"/>
      <c r="S588" s="30">
        <f>ABS(Q588)/'İtme Analizi'!$G$17</f>
        <v>0</v>
      </c>
      <c r="T588" s="30">
        <f>ABS(R588)/'İtme Analizi'!$G$14</f>
        <v>0</v>
      </c>
      <c r="U588" s="30">
        <f t="shared" si="11"/>
        <v>9.2950204584968388E-5</v>
      </c>
    </row>
    <row r="589" spans="16:21" ht="13.9" customHeight="1" x14ac:dyDescent="0.2">
      <c r="P589" s="27"/>
      <c r="Q589" s="30"/>
      <c r="R589" s="30"/>
      <c r="S589" s="30">
        <f>ABS(Q589)/'İtme Analizi'!$G$17</f>
        <v>0</v>
      </c>
      <c r="T589" s="30">
        <f>ABS(R589)/'İtme Analizi'!$G$14</f>
        <v>0</v>
      </c>
      <c r="U589" s="30">
        <f t="shared" si="11"/>
        <v>9.2950204584968388E-5</v>
      </c>
    </row>
    <row r="590" spans="16:21" ht="13.9" customHeight="1" x14ac:dyDescent="0.2">
      <c r="P590" s="27"/>
      <c r="Q590" s="30"/>
      <c r="R590" s="30"/>
      <c r="S590" s="30">
        <f>ABS(Q590)/'İtme Analizi'!$G$17</f>
        <v>0</v>
      </c>
      <c r="T590" s="30">
        <f>ABS(R590)/'İtme Analizi'!$G$14</f>
        <v>0</v>
      </c>
      <c r="U590" s="30">
        <f t="shared" si="11"/>
        <v>9.2950204584968388E-5</v>
      </c>
    </row>
    <row r="591" spans="16:21" ht="13.9" customHeight="1" x14ac:dyDescent="0.2">
      <c r="P591" s="27"/>
      <c r="Q591" s="30"/>
      <c r="R591" s="30"/>
      <c r="S591" s="30">
        <f>ABS(Q591)/'İtme Analizi'!$G$17</f>
        <v>0</v>
      </c>
      <c r="T591" s="30">
        <f>ABS(R591)/'İtme Analizi'!$G$14</f>
        <v>0</v>
      </c>
      <c r="U591" s="30">
        <f t="shared" si="11"/>
        <v>9.2950204584968388E-5</v>
      </c>
    </row>
    <row r="592" spans="16:21" ht="13.9" customHeight="1" x14ac:dyDescent="0.2">
      <c r="P592" s="27"/>
      <c r="Q592" s="30"/>
      <c r="R592" s="30"/>
      <c r="S592" s="30">
        <f>ABS(Q592)/'İtme Analizi'!$G$17</f>
        <v>0</v>
      </c>
      <c r="T592" s="30">
        <f>ABS(R592)/'İtme Analizi'!$G$14</f>
        <v>0</v>
      </c>
      <c r="U592" s="30">
        <f t="shared" si="11"/>
        <v>9.2950204584968388E-5</v>
      </c>
    </row>
    <row r="593" spans="16:21" ht="13.9" customHeight="1" x14ac:dyDescent="0.2">
      <c r="P593" s="27"/>
      <c r="Q593" s="30"/>
      <c r="R593" s="30"/>
      <c r="S593" s="30">
        <f>ABS(Q593)/'İtme Analizi'!$G$17</f>
        <v>0</v>
      </c>
      <c r="T593" s="30">
        <f>ABS(R593)/'İtme Analizi'!$G$14</f>
        <v>0</v>
      </c>
      <c r="U593" s="30">
        <f t="shared" si="11"/>
        <v>9.2950204584968388E-5</v>
      </c>
    </row>
    <row r="594" spans="16:21" ht="13.9" customHeight="1" x14ac:dyDescent="0.2">
      <c r="P594" s="27"/>
      <c r="Q594" s="30"/>
      <c r="R594" s="30"/>
      <c r="S594" s="30">
        <f>ABS(Q594)/'İtme Analizi'!$G$17</f>
        <v>0</v>
      </c>
      <c r="T594" s="30">
        <f>ABS(R594)/'İtme Analizi'!$G$14</f>
        <v>0</v>
      </c>
      <c r="U594" s="30">
        <f t="shared" si="11"/>
        <v>9.2950204584968388E-5</v>
      </c>
    </row>
    <row r="595" spans="16:21" ht="13.9" customHeight="1" x14ac:dyDescent="0.2">
      <c r="P595" s="27"/>
      <c r="Q595" s="30"/>
      <c r="R595" s="30"/>
      <c r="S595" s="30">
        <f>ABS(Q595)/'İtme Analizi'!$G$17</f>
        <v>0</v>
      </c>
      <c r="T595" s="30">
        <f>ABS(R595)/'İtme Analizi'!$G$14</f>
        <v>0</v>
      </c>
      <c r="U595" s="30">
        <f t="shared" si="11"/>
        <v>9.2950204584968388E-5</v>
      </c>
    </row>
    <row r="596" spans="16:21" ht="13.9" customHeight="1" x14ac:dyDescent="0.2">
      <c r="P596" s="27"/>
      <c r="Q596" s="30"/>
      <c r="R596" s="30"/>
      <c r="S596" s="30">
        <f>ABS(Q596)/'İtme Analizi'!$G$17</f>
        <v>0</v>
      </c>
      <c r="T596" s="30">
        <f>ABS(R596)/'İtme Analizi'!$G$14</f>
        <v>0</v>
      </c>
      <c r="U596" s="30">
        <f t="shared" si="11"/>
        <v>9.2950204584968388E-5</v>
      </c>
    </row>
    <row r="597" spans="16:21" ht="13.9" customHeight="1" x14ac:dyDescent="0.2">
      <c r="P597" s="27"/>
      <c r="Q597" s="30"/>
      <c r="R597" s="30"/>
      <c r="S597" s="30">
        <f>ABS(Q597)/'İtme Analizi'!$G$17</f>
        <v>0</v>
      </c>
      <c r="T597" s="30">
        <f>ABS(R597)/'İtme Analizi'!$G$14</f>
        <v>0</v>
      </c>
      <c r="U597" s="30">
        <f t="shared" si="11"/>
        <v>9.2950204584968388E-5</v>
      </c>
    </row>
    <row r="598" spans="16:21" ht="13.9" customHeight="1" x14ac:dyDescent="0.2">
      <c r="P598" s="27"/>
      <c r="Q598" s="30"/>
      <c r="R598" s="30"/>
      <c r="S598" s="30">
        <f>ABS(Q598)/'İtme Analizi'!$G$17</f>
        <v>0</v>
      </c>
      <c r="T598" s="30">
        <f>ABS(R598)/'İtme Analizi'!$G$14</f>
        <v>0</v>
      </c>
      <c r="U598" s="30">
        <f t="shared" si="11"/>
        <v>9.2950204584968388E-5</v>
      </c>
    </row>
    <row r="599" spans="16:21" ht="13.9" customHeight="1" x14ac:dyDescent="0.2">
      <c r="P599" s="27"/>
      <c r="Q599" s="30"/>
      <c r="R599" s="30"/>
      <c r="S599" s="30">
        <f>ABS(Q599)/'İtme Analizi'!$G$17</f>
        <v>0</v>
      </c>
      <c r="T599" s="30">
        <f>ABS(R599)/'İtme Analizi'!$G$14</f>
        <v>0</v>
      </c>
      <c r="U599" s="30">
        <f t="shared" si="11"/>
        <v>9.2950204584968388E-5</v>
      </c>
    </row>
    <row r="600" spans="16:21" ht="13.9" customHeight="1" x14ac:dyDescent="0.2">
      <c r="P600" s="27"/>
      <c r="Q600" s="30"/>
      <c r="R600" s="30"/>
      <c r="S600" s="30">
        <f>ABS(Q600)/'İtme Analizi'!$G$17</f>
        <v>0</v>
      </c>
      <c r="T600" s="30">
        <f>ABS(R600)/'İtme Analizi'!$G$14</f>
        <v>0</v>
      </c>
      <c r="U600" s="30">
        <f t="shared" si="11"/>
        <v>9.2950204584968388E-5</v>
      </c>
    </row>
    <row r="601" spans="16:21" ht="13.9" customHeight="1" x14ac:dyDescent="0.2">
      <c r="P601" s="27"/>
      <c r="Q601" s="30"/>
      <c r="R601" s="30"/>
      <c r="S601" s="30">
        <f>ABS(Q601)/'İtme Analizi'!$G$17</f>
        <v>0</v>
      </c>
      <c r="T601" s="30">
        <f>ABS(R601)/'İtme Analizi'!$G$14</f>
        <v>0</v>
      </c>
      <c r="U601" s="30">
        <f t="shared" si="11"/>
        <v>9.2950204584968388E-5</v>
      </c>
    </row>
    <row r="602" spans="16:21" ht="13.9" customHeight="1" x14ac:dyDescent="0.2">
      <c r="P602" s="27"/>
      <c r="Q602" s="30"/>
      <c r="R602" s="30"/>
      <c r="S602" s="30">
        <f>ABS(Q602)/'İtme Analizi'!$G$17</f>
        <v>0</v>
      </c>
      <c r="T602" s="30">
        <f>ABS(R602)/'İtme Analizi'!$G$14</f>
        <v>0</v>
      </c>
      <c r="U602" s="30">
        <f t="shared" si="11"/>
        <v>9.2950204584968388E-5</v>
      </c>
    </row>
    <row r="603" spans="16:21" ht="13.9" customHeight="1" x14ac:dyDescent="0.2">
      <c r="P603" s="27"/>
      <c r="Q603" s="30"/>
      <c r="R603" s="30"/>
      <c r="S603" s="30">
        <f>ABS(Q603)/'İtme Analizi'!$G$17</f>
        <v>0</v>
      </c>
      <c r="T603" s="30">
        <f>ABS(R603)/'İtme Analizi'!$G$14</f>
        <v>0</v>
      </c>
      <c r="U603" s="30">
        <f t="shared" si="11"/>
        <v>9.2950204584968388E-5</v>
      </c>
    </row>
    <row r="604" spans="16:21" ht="13.9" customHeight="1" x14ac:dyDescent="0.2">
      <c r="P604" s="27"/>
      <c r="Q604" s="30"/>
      <c r="R604" s="30"/>
      <c r="S604" s="30">
        <f>ABS(Q604)/'İtme Analizi'!$G$17</f>
        <v>0</v>
      </c>
      <c r="T604" s="30">
        <f>ABS(R604)/'İtme Analizi'!$G$14</f>
        <v>0</v>
      </c>
      <c r="U604" s="30">
        <f t="shared" si="11"/>
        <v>9.2950204584968388E-5</v>
      </c>
    </row>
    <row r="605" spans="16:21" ht="13.9" customHeight="1" x14ac:dyDescent="0.2">
      <c r="P605" s="27"/>
      <c r="Q605" s="30"/>
      <c r="R605" s="30"/>
      <c r="S605" s="30">
        <f>ABS(Q605)/'İtme Analizi'!$G$17</f>
        <v>0</v>
      </c>
      <c r="T605" s="30">
        <f>ABS(R605)/'İtme Analizi'!$G$14</f>
        <v>0</v>
      </c>
      <c r="U605" s="30">
        <f t="shared" si="11"/>
        <v>9.2950204584968388E-5</v>
      </c>
    </row>
    <row r="606" spans="16:21" ht="13.9" customHeight="1" x14ac:dyDescent="0.2">
      <c r="P606" s="27"/>
      <c r="Q606" s="30"/>
      <c r="R606" s="30"/>
      <c r="S606" s="30">
        <f>ABS(Q606)/'İtme Analizi'!$G$17</f>
        <v>0</v>
      </c>
      <c r="T606" s="30">
        <f>ABS(R606)/'İtme Analizi'!$G$14</f>
        <v>0</v>
      </c>
      <c r="U606" s="30">
        <f t="shared" si="11"/>
        <v>9.2950204584968388E-5</v>
      </c>
    </row>
    <row r="607" spans="16:21" ht="13.9" customHeight="1" x14ac:dyDescent="0.2">
      <c r="P607" s="27"/>
      <c r="Q607" s="30"/>
      <c r="R607" s="30"/>
      <c r="S607" s="30">
        <f>ABS(Q607)/'İtme Analizi'!$G$17</f>
        <v>0</v>
      </c>
      <c r="T607" s="30">
        <f>ABS(R607)/'İtme Analizi'!$G$14</f>
        <v>0</v>
      </c>
      <c r="U607" s="30">
        <f t="shared" si="11"/>
        <v>9.2950204584968388E-5</v>
      </c>
    </row>
    <row r="608" spans="16:21" ht="13.9" customHeight="1" x14ac:dyDescent="0.2">
      <c r="P608" s="27"/>
      <c r="Q608" s="30"/>
      <c r="R608" s="30"/>
      <c r="S608" s="30">
        <f>ABS(Q608)/'İtme Analizi'!$G$17</f>
        <v>0</v>
      </c>
      <c r="T608" s="30">
        <f>ABS(R608)/'İtme Analizi'!$G$14</f>
        <v>0</v>
      </c>
      <c r="U608" s="30">
        <f t="shared" si="11"/>
        <v>9.2950204584968388E-5</v>
      </c>
    </row>
    <row r="609" spans="16:21" ht="13.9" customHeight="1" x14ac:dyDescent="0.2">
      <c r="P609" s="27"/>
      <c r="Q609" s="30"/>
      <c r="R609" s="30"/>
      <c r="S609" s="30">
        <f>ABS(Q609)/'İtme Analizi'!$G$17</f>
        <v>0</v>
      </c>
      <c r="T609" s="30">
        <f>ABS(R609)/'İtme Analizi'!$G$14</f>
        <v>0</v>
      </c>
      <c r="U609" s="30">
        <f t="shared" si="11"/>
        <v>9.2950204584968388E-5</v>
      </c>
    </row>
    <row r="610" spans="16:21" ht="13.9" customHeight="1" x14ac:dyDescent="0.2">
      <c r="P610" s="27"/>
      <c r="Q610" s="30"/>
      <c r="R610" s="30"/>
      <c r="S610" s="30">
        <f>ABS(Q610)/'İtme Analizi'!$G$17</f>
        <v>0</v>
      </c>
      <c r="T610" s="30">
        <f>ABS(R610)/'İtme Analizi'!$G$14</f>
        <v>0</v>
      </c>
      <c r="U610" s="30">
        <f t="shared" si="11"/>
        <v>9.2950204584968388E-5</v>
      </c>
    </row>
    <row r="611" spans="16:21" ht="13.9" customHeight="1" x14ac:dyDescent="0.2">
      <c r="P611" s="27"/>
      <c r="Q611" s="30"/>
      <c r="R611" s="30"/>
      <c r="S611" s="30">
        <f>ABS(Q611)/'İtme Analizi'!$G$17</f>
        <v>0</v>
      </c>
      <c r="T611" s="30">
        <f>ABS(R611)/'İtme Analizi'!$G$14</f>
        <v>0</v>
      </c>
      <c r="U611" s="30">
        <f t="shared" si="11"/>
        <v>9.2950204584968388E-5</v>
      </c>
    </row>
    <row r="612" spans="16:21" ht="13.9" customHeight="1" x14ac:dyDescent="0.2">
      <c r="P612" s="27"/>
      <c r="Q612" s="30"/>
      <c r="R612" s="30"/>
      <c r="S612" s="30">
        <f>ABS(Q612)/'İtme Analizi'!$G$17</f>
        <v>0</v>
      </c>
      <c r="T612" s="30">
        <f>ABS(R612)/'İtme Analizi'!$G$14</f>
        <v>0</v>
      </c>
      <c r="U612" s="30">
        <f t="shared" si="11"/>
        <v>9.2950204584968388E-5</v>
      </c>
    </row>
    <row r="613" spans="16:21" ht="13.9" customHeight="1" x14ac:dyDescent="0.2">
      <c r="P613" s="27"/>
      <c r="Q613" s="30"/>
      <c r="R613" s="30"/>
      <c r="S613" s="30">
        <f>ABS(Q613)/'İtme Analizi'!$G$17</f>
        <v>0</v>
      </c>
      <c r="T613" s="30">
        <f>ABS(R613)/'İtme Analizi'!$G$14</f>
        <v>0</v>
      </c>
      <c r="U613" s="30">
        <f t="shared" si="11"/>
        <v>9.2950204584968388E-5</v>
      </c>
    </row>
    <row r="614" spans="16:21" ht="13.9" customHeight="1" x14ac:dyDescent="0.2">
      <c r="P614" s="27"/>
      <c r="Q614" s="30"/>
      <c r="R614" s="30"/>
      <c r="S614" s="30">
        <f>ABS(Q614)/'İtme Analizi'!$G$17</f>
        <v>0</v>
      </c>
      <c r="T614" s="30">
        <f>ABS(R614)/'İtme Analizi'!$G$14</f>
        <v>0</v>
      </c>
      <c r="U614" s="30">
        <f t="shared" si="11"/>
        <v>9.2950204584968388E-5</v>
      </c>
    </row>
    <row r="615" spans="16:21" ht="13.9" customHeight="1" x14ac:dyDescent="0.2">
      <c r="P615" s="27"/>
      <c r="Q615" s="30"/>
      <c r="R615" s="30"/>
      <c r="S615" s="30">
        <f>ABS(Q615)/'İtme Analizi'!$G$17</f>
        <v>0</v>
      </c>
      <c r="T615" s="30">
        <f>ABS(R615)/'İtme Analizi'!$G$14</f>
        <v>0</v>
      </c>
      <c r="U615" s="30">
        <f t="shared" si="11"/>
        <v>9.2950204584968388E-5</v>
      </c>
    </row>
    <row r="616" spans="16:21" ht="13.9" customHeight="1" x14ac:dyDescent="0.2">
      <c r="P616" s="27"/>
      <c r="Q616" s="30"/>
      <c r="R616" s="30"/>
      <c r="S616" s="30">
        <f>ABS(Q616)/'İtme Analizi'!$G$17</f>
        <v>0</v>
      </c>
      <c r="T616" s="30">
        <f>ABS(R616)/'İtme Analizi'!$G$14</f>
        <v>0</v>
      </c>
      <c r="U616" s="30">
        <f t="shared" si="11"/>
        <v>9.2950204584968388E-5</v>
      </c>
    </row>
    <row r="617" spans="16:21" ht="13.9" customHeight="1" x14ac:dyDescent="0.2">
      <c r="P617" s="27"/>
      <c r="Q617" s="30"/>
      <c r="R617" s="30"/>
      <c r="S617" s="30">
        <f>ABS(Q617)/'İtme Analizi'!$G$17</f>
        <v>0</v>
      </c>
      <c r="T617" s="30">
        <f>ABS(R617)/'İtme Analizi'!$G$14</f>
        <v>0</v>
      </c>
      <c r="U617" s="30">
        <f t="shared" si="11"/>
        <v>9.2950204584968388E-5</v>
      </c>
    </row>
    <row r="618" spans="16:21" ht="13.9" customHeight="1" x14ac:dyDescent="0.2">
      <c r="P618" s="27"/>
      <c r="Q618" s="30"/>
      <c r="R618" s="30"/>
      <c r="S618" s="30">
        <f>ABS(Q618)/'İtme Analizi'!$G$17</f>
        <v>0</v>
      </c>
      <c r="T618" s="30">
        <f>ABS(R618)/'İtme Analizi'!$G$14</f>
        <v>0</v>
      </c>
      <c r="U618" s="30">
        <f t="shared" si="11"/>
        <v>9.2950204584968388E-5</v>
      </c>
    </row>
    <row r="619" spans="16:21" ht="13.9" customHeight="1" x14ac:dyDescent="0.2">
      <c r="P619" s="27"/>
      <c r="Q619" s="30"/>
      <c r="R619" s="30"/>
      <c r="S619" s="30">
        <f>ABS(Q619)/'İtme Analizi'!$G$17</f>
        <v>0</v>
      </c>
      <c r="T619" s="30">
        <f>ABS(R619)/'İtme Analizi'!$G$14</f>
        <v>0</v>
      </c>
      <c r="U619" s="30">
        <f t="shared" si="11"/>
        <v>9.2950204584968388E-5</v>
      </c>
    </row>
    <row r="620" spans="16:21" ht="13.9" customHeight="1" x14ac:dyDescent="0.2">
      <c r="P620" s="27"/>
      <c r="Q620" s="30"/>
      <c r="R620" s="30"/>
      <c r="S620" s="30">
        <f>ABS(Q620)/'İtme Analizi'!$G$17</f>
        <v>0</v>
      </c>
      <c r="T620" s="30">
        <f>ABS(R620)/'İtme Analizi'!$G$14</f>
        <v>0</v>
      </c>
      <c r="U620" s="30">
        <f t="shared" si="11"/>
        <v>9.2950204584968388E-5</v>
      </c>
    </row>
    <row r="621" spans="16:21" ht="13.9" customHeight="1" x14ac:dyDescent="0.2">
      <c r="P621" s="27"/>
      <c r="Q621" s="30"/>
      <c r="R621" s="30"/>
      <c r="S621" s="30">
        <f>ABS(Q621)/'İtme Analizi'!$G$17</f>
        <v>0</v>
      </c>
      <c r="T621" s="30">
        <f>ABS(R621)/'İtme Analizi'!$G$14</f>
        <v>0</v>
      </c>
      <c r="U621" s="30">
        <f t="shared" si="11"/>
        <v>9.2950204584968388E-5</v>
      </c>
    </row>
    <row r="622" spans="16:21" ht="13.9" customHeight="1" x14ac:dyDescent="0.2">
      <c r="P622" s="27"/>
      <c r="Q622" s="30"/>
      <c r="R622" s="30"/>
      <c r="S622" s="30">
        <f>ABS(Q622)/'İtme Analizi'!$G$17</f>
        <v>0</v>
      </c>
      <c r="T622" s="30">
        <f>ABS(R622)/'İtme Analizi'!$G$14</f>
        <v>0</v>
      </c>
      <c r="U622" s="30">
        <f t="shared" si="11"/>
        <v>9.2950204584968388E-5</v>
      </c>
    </row>
    <row r="623" spans="16:21" ht="13.9" customHeight="1" x14ac:dyDescent="0.2">
      <c r="P623" s="27"/>
      <c r="Q623" s="30"/>
      <c r="R623" s="30"/>
      <c r="S623" s="30">
        <f>ABS(Q623)/'İtme Analizi'!$G$17</f>
        <v>0</v>
      </c>
      <c r="T623" s="30">
        <f>ABS(R623)/'İtme Analizi'!$G$14</f>
        <v>0</v>
      </c>
      <c r="U623" s="30">
        <f t="shared" si="11"/>
        <v>9.2950204584968388E-5</v>
      </c>
    </row>
    <row r="624" spans="16:21" ht="13.9" customHeight="1" x14ac:dyDescent="0.2">
      <c r="P624" s="27"/>
      <c r="Q624" s="30"/>
      <c r="R624" s="30"/>
      <c r="S624" s="30">
        <f>ABS(Q624)/'İtme Analizi'!$G$17</f>
        <v>0</v>
      </c>
      <c r="T624" s="30">
        <f>ABS(R624)/'İtme Analizi'!$G$14</f>
        <v>0</v>
      </c>
      <c r="U624" s="30">
        <f t="shared" si="11"/>
        <v>9.2950204584968388E-5</v>
      </c>
    </row>
    <row r="625" spans="16:21" ht="13.9" customHeight="1" x14ac:dyDescent="0.2">
      <c r="P625" s="27"/>
      <c r="Q625" s="30"/>
      <c r="R625" s="30"/>
      <c r="S625" s="30">
        <f>ABS(Q625)/'İtme Analizi'!$G$17</f>
        <v>0</v>
      </c>
      <c r="T625" s="30">
        <f>ABS(R625)/'İtme Analizi'!$G$14</f>
        <v>0</v>
      </c>
      <c r="U625" s="30">
        <f t="shared" si="11"/>
        <v>9.2950204584968388E-5</v>
      </c>
    </row>
    <row r="626" spans="16:21" ht="13.9" customHeight="1" x14ac:dyDescent="0.2">
      <c r="P626" s="27"/>
      <c r="Q626" s="30"/>
      <c r="R626" s="30"/>
      <c r="S626" s="30">
        <f>ABS(Q626)/'İtme Analizi'!$G$17</f>
        <v>0</v>
      </c>
      <c r="T626" s="30">
        <f>ABS(R626)/'İtme Analizi'!$G$14</f>
        <v>0</v>
      </c>
      <c r="U626" s="30">
        <f t="shared" si="11"/>
        <v>9.2950204584968388E-5</v>
      </c>
    </row>
    <row r="627" spans="16:21" ht="13.9" customHeight="1" x14ac:dyDescent="0.2">
      <c r="P627" s="27"/>
      <c r="Q627" s="30"/>
      <c r="R627" s="30"/>
      <c r="S627" s="30">
        <f>ABS(Q627)/'İtme Analizi'!$G$17</f>
        <v>0</v>
      </c>
      <c r="T627" s="30">
        <f>ABS(R627)/'İtme Analizi'!$G$14</f>
        <v>0</v>
      </c>
      <c r="U627" s="30">
        <f t="shared" si="11"/>
        <v>9.2950204584968388E-5</v>
      </c>
    </row>
    <row r="628" spans="16:21" ht="13.9" customHeight="1" x14ac:dyDescent="0.2">
      <c r="P628" s="27"/>
      <c r="Q628" s="30"/>
      <c r="R628" s="30"/>
      <c r="S628" s="30">
        <f>ABS(Q628)/'İtme Analizi'!$G$17</f>
        <v>0</v>
      </c>
      <c r="T628" s="30">
        <f>ABS(R628)/'İtme Analizi'!$G$14</f>
        <v>0</v>
      </c>
      <c r="U628" s="30">
        <f t="shared" si="11"/>
        <v>9.2950204584968388E-5</v>
      </c>
    </row>
    <row r="629" spans="16:21" ht="13.9" customHeight="1" x14ac:dyDescent="0.2">
      <c r="P629" s="27"/>
      <c r="Q629" s="30"/>
      <c r="R629" s="30"/>
      <c r="S629" s="30">
        <f>ABS(Q629)/'İtme Analizi'!$G$17</f>
        <v>0</v>
      </c>
      <c r="T629" s="30">
        <f>ABS(R629)/'İtme Analizi'!$G$14</f>
        <v>0</v>
      </c>
      <c r="U629" s="30">
        <f t="shared" si="11"/>
        <v>9.2950204584968388E-5</v>
      </c>
    </row>
    <row r="630" spans="16:21" ht="13.9" customHeight="1" x14ac:dyDescent="0.2">
      <c r="P630" s="27"/>
      <c r="Q630" s="30"/>
      <c r="R630" s="30"/>
      <c r="S630" s="30">
        <f>ABS(Q630)/'İtme Analizi'!$G$17</f>
        <v>0</v>
      </c>
      <c r="T630" s="30">
        <f>ABS(R630)/'İtme Analizi'!$G$14</f>
        <v>0</v>
      </c>
      <c r="U630" s="30">
        <f t="shared" si="11"/>
        <v>9.2950204584968388E-5</v>
      </c>
    </row>
    <row r="631" spans="16:21" ht="13.9" customHeight="1" x14ac:dyDescent="0.2">
      <c r="P631" s="27"/>
      <c r="Q631" s="30"/>
      <c r="R631" s="30"/>
      <c r="S631" s="30">
        <f>ABS(Q631)/'İtme Analizi'!$G$17</f>
        <v>0</v>
      </c>
      <c r="T631" s="30">
        <f>ABS(R631)/'İtme Analizi'!$G$14</f>
        <v>0</v>
      </c>
      <c r="U631" s="30">
        <f t="shared" si="11"/>
        <v>9.2950204584968388E-5</v>
      </c>
    </row>
    <row r="632" spans="16:21" ht="13.9" customHeight="1" x14ac:dyDescent="0.2">
      <c r="P632" s="27"/>
      <c r="Q632" s="30"/>
      <c r="R632" s="30"/>
      <c r="S632" s="30">
        <f>ABS(Q632)/'İtme Analizi'!$G$17</f>
        <v>0</v>
      </c>
      <c r="T632" s="30">
        <f>ABS(R632)/'İtme Analizi'!$G$14</f>
        <v>0</v>
      </c>
      <c r="U632" s="30">
        <f t="shared" si="11"/>
        <v>9.2950204584968388E-5</v>
      </c>
    </row>
    <row r="633" spans="16:21" ht="13.9" customHeight="1" x14ac:dyDescent="0.2">
      <c r="P633" s="27"/>
      <c r="Q633" s="30"/>
      <c r="R633" s="30"/>
      <c r="S633" s="30">
        <f>ABS(Q633)/'İtme Analizi'!$G$17</f>
        <v>0</v>
      </c>
      <c r="T633" s="30">
        <f>ABS(R633)/'İtme Analizi'!$G$14</f>
        <v>0</v>
      </c>
      <c r="U633" s="30">
        <f t="shared" si="11"/>
        <v>9.2950204584968388E-5</v>
      </c>
    </row>
    <row r="634" spans="16:21" ht="13.9" customHeight="1" x14ac:dyDescent="0.2">
      <c r="P634" s="27"/>
      <c r="Q634" s="30"/>
      <c r="R634" s="30"/>
      <c r="S634" s="30">
        <f>ABS(Q634)/'İtme Analizi'!$G$17</f>
        <v>0</v>
      </c>
      <c r="T634" s="30">
        <f>ABS(R634)/'İtme Analizi'!$G$14</f>
        <v>0</v>
      </c>
      <c r="U634" s="30">
        <f t="shared" si="11"/>
        <v>9.2950204584968388E-5</v>
      </c>
    </row>
    <row r="635" spans="16:21" ht="13.9" customHeight="1" x14ac:dyDescent="0.2">
      <c r="P635" s="27"/>
      <c r="Q635" s="30"/>
      <c r="R635" s="30"/>
      <c r="S635" s="30">
        <f>ABS(Q635)/'İtme Analizi'!$G$17</f>
        <v>0</v>
      </c>
      <c r="T635" s="30">
        <f>ABS(R635)/'İtme Analizi'!$G$14</f>
        <v>0</v>
      </c>
      <c r="U635" s="30">
        <f t="shared" si="11"/>
        <v>9.2950204584968388E-5</v>
      </c>
    </row>
    <row r="636" spans="16:21" ht="13.9" customHeight="1" x14ac:dyDescent="0.2">
      <c r="P636" s="27"/>
      <c r="Q636" s="30"/>
      <c r="R636" s="30"/>
      <c r="S636" s="30">
        <f>ABS(Q636)/'İtme Analizi'!$G$17</f>
        <v>0</v>
      </c>
      <c r="T636" s="30">
        <f>ABS(R636)/'İtme Analizi'!$G$14</f>
        <v>0</v>
      </c>
      <c r="U636" s="30">
        <f t="shared" si="11"/>
        <v>9.2950204584968388E-5</v>
      </c>
    </row>
    <row r="637" spans="16:21" ht="13.9" customHeight="1" x14ac:dyDescent="0.2">
      <c r="P637" s="27"/>
      <c r="Q637" s="30"/>
      <c r="R637" s="30"/>
      <c r="S637" s="30">
        <f>ABS(Q637)/'İtme Analizi'!$G$17</f>
        <v>0</v>
      </c>
      <c r="T637" s="30">
        <f>ABS(R637)/'İtme Analizi'!$G$14</f>
        <v>0</v>
      </c>
      <c r="U637" s="30">
        <f t="shared" si="11"/>
        <v>9.2950204584968388E-5</v>
      </c>
    </row>
    <row r="638" spans="16:21" ht="13.9" customHeight="1" x14ac:dyDescent="0.2">
      <c r="P638" s="27"/>
      <c r="Q638" s="30"/>
      <c r="R638" s="30"/>
      <c r="S638" s="30">
        <f>ABS(Q638)/'İtme Analizi'!$G$17</f>
        <v>0</v>
      </c>
      <c r="T638" s="30">
        <f>ABS(R638)/'İtme Analizi'!$G$14</f>
        <v>0</v>
      </c>
      <c r="U638" s="30">
        <f t="shared" si="11"/>
        <v>9.2950204584968388E-5</v>
      </c>
    </row>
    <row r="639" spans="16:21" ht="13.9" customHeight="1" x14ac:dyDescent="0.2">
      <c r="P639" s="27"/>
      <c r="Q639" s="30"/>
      <c r="R639" s="30"/>
      <c r="S639" s="30">
        <f>ABS(Q639)/'İtme Analizi'!$G$17</f>
        <v>0</v>
      </c>
      <c r="T639" s="30">
        <f>ABS(R639)/'İtme Analizi'!$G$14</f>
        <v>0</v>
      </c>
      <c r="U639" s="30">
        <f t="shared" si="11"/>
        <v>9.2950204584968388E-5</v>
      </c>
    </row>
    <row r="640" spans="16:21" ht="13.9" customHeight="1" x14ac:dyDescent="0.2">
      <c r="P640" s="27"/>
      <c r="Q640" s="30"/>
      <c r="R640" s="30"/>
      <c r="S640" s="30">
        <f>ABS(Q640)/'İtme Analizi'!$G$17</f>
        <v>0</v>
      </c>
      <c r="T640" s="30">
        <f>ABS(R640)/'İtme Analizi'!$G$14</f>
        <v>0</v>
      </c>
      <c r="U640" s="30">
        <f t="shared" si="11"/>
        <v>9.2950204584968388E-5</v>
      </c>
    </row>
    <row r="641" spans="16:21" ht="13.9" customHeight="1" x14ac:dyDescent="0.2">
      <c r="P641" s="27"/>
      <c r="Q641" s="30"/>
      <c r="R641" s="30"/>
      <c r="S641" s="30">
        <f>ABS(Q641)/'İtme Analizi'!$G$17</f>
        <v>0</v>
      </c>
      <c r="T641" s="30">
        <f>ABS(R641)/'İtme Analizi'!$G$14</f>
        <v>0</v>
      </c>
      <c r="U641" s="30">
        <f t="shared" si="11"/>
        <v>9.2950204584968388E-5</v>
      </c>
    </row>
    <row r="642" spans="16:21" ht="13.9" customHeight="1" x14ac:dyDescent="0.2">
      <c r="P642" s="27"/>
      <c r="Q642" s="30"/>
      <c r="R642" s="30"/>
      <c r="S642" s="30">
        <f>ABS(Q642)/'İtme Analizi'!$G$17</f>
        <v>0</v>
      </c>
      <c r="T642" s="30">
        <f>ABS(R642)/'İtme Analizi'!$G$14</f>
        <v>0</v>
      </c>
      <c r="U642" s="30">
        <f t="shared" si="11"/>
        <v>9.2950204584968388E-5</v>
      </c>
    </row>
    <row r="643" spans="16:21" ht="13.9" customHeight="1" x14ac:dyDescent="0.2">
      <c r="P643" s="27"/>
      <c r="Q643" s="30"/>
      <c r="R643" s="30"/>
      <c r="S643" s="30">
        <f>ABS(Q643)/'İtme Analizi'!$G$17</f>
        <v>0</v>
      </c>
      <c r="T643" s="30">
        <f>ABS(R643)/'İtme Analizi'!$G$14</f>
        <v>0</v>
      </c>
      <c r="U643" s="30">
        <f t="shared" si="11"/>
        <v>9.2950204584968388E-5</v>
      </c>
    </row>
    <row r="644" spans="16:21" ht="13.9" customHeight="1" x14ac:dyDescent="0.2">
      <c r="P644" s="27"/>
      <c r="Q644" s="30"/>
      <c r="R644" s="30"/>
      <c r="S644" s="30">
        <f>ABS(Q644)/'İtme Analizi'!$G$17</f>
        <v>0</v>
      </c>
      <c r="T644" s="30">
        <f>ABS(R644)/'İtme Analizi'!$G$14</f>
        <v>0</v>
      </c>
      <c r="U644" s="30">
        <f t="shared" si="11"/>
        <v>9.2950204584968388E-5</v>
      </c>
    </row>
    <row r="645" spans="16:21" ht="13.9" customHeight="1" x14ac:dyDescent="0.2">
      <c r="P645" s="27"/>
      <c r="Q645" s="30"/>
      <c r="R645" s="30"/>
      <c r="S645" s="30">
        <f>ABS(Q645)/'İtme Analizi'!$G$17</f>
        <v>0</v>
      </c>
      <c r="T645" s="30">
        <f>ABS(R645)/'İtme Analizi'!$G$14</f>
        <v>0</v>
      </c>
      <c r="U645" s="30">
        <f t="shared" si="11"/>
        <v>9.2950204584968388E-5</v>
      </c>
    </row>
    <row r="646" spans="16:21" ht="13.9" customHeight="1" x14ac:dyDescent="0.2">
      <c r="P646" s="27"/>
      <c r="Q646" s="30"/>
      <c r="R646" s="30"/>
      <c r="S646" s="30">
        <f>ABS(Q646)/'İtme Analizi'!$G$17</f>
        <v>0</v>
      </c>
      <c r="T646" s="30">
        <f>ABS(R646)/'İtme Analizi'!$G$14</f>
        <v>0</v>
      </c>
      <c r="U646" s="30">
        <f t="shared" si="11"/>
        <v>9.2950204584968388E-5</v>
      </c>
    </row>
    <row r="647" spans="16:21" ht="13.9" customHeight="1" x14ac:dyDescent="0.2">
      <c r="P647" s="27"/>
      <c r="Q647" s="30"/>
      <c r="R647" s="30"/>
      <c r="S647" s="30">
        <f>ABS(Q647)/'İtme Analizi'!$G$17</f>
        <v>0</v>
      </c>
      <c r="T647" s="30">
        <f>ABS(R647)/'İtme Analizi'!$G$14</f>
        <v>0</v>
      </c>
      <c r="U647" s="30">
        <f t="shared" si="11"/>
        <v>9.2950204584968388E-5</v>
      </c>
    </row>
    <row r="648" spans="16:21" ht="13.9" customHeight="1" x14ac:dyDescent="0.2">
      <c r="P648" s="27"/>
      <c r="Q648" s="30"/>
      <c r="R648" s="30"/>
      <c r="S648" s="30">
        <f>ABS(Q648)/'İtme Analizi'!$G$17</f>
        <v>0</v>
      </c>
      <c r="T648" s="30">
        <f>ABS(R648)/'İtme Analizi'!$G$14</f>
        <v>0</v>
      </c>
      <c r="U648" s="30">
        <f t="shared" si="11"/>
        <v>9.2950204584968388E-5</v>
      </c>
    </row>
    <row r="649" spans="16:21" ht="13.9" customHeight="1" x14ac:dyDescent="0.2">
      <c r="P649" s="27"/>
      <c r="Q649" s="30"/>
      <c r="R649" s="30"/>
      <c r="S649" s="30">
        <f>ABS(Q649)/'İtme Analizi'!$G$17</f>
        <v>0</v>
      </c>
      <c r="T649" s="30">
        <f>ABS(R649)/'İtme Analizi'!$G$14</f>
        <v>0</v>
      </c>
      <c r="U649" s="30">
        <f t="shared" ref="U649:U712" si="12">U648+(S649-S648)*((T649+T648)/2)</f>
        <v>9.2950204584968388E-5</v>
      </c>
    </row>
    <row r="650" spans="16:21" ht="13.9" customHeight="1" x14ac:dyDescent="0.2">
      <c r="P650" s="27"/>
      <c r="Q650" s="30"/>
      <c r="R650" s="30"/>
      <c r="S650" s="30">
        <f>ABS(Q650)/'İtme Analizi'!$G$17</f>
        <v>0</v>
      </c>
      <c r="T650" s="30">
        <f>ABS(R650)/'İtme Analizi'!$G$14</f>
        <v>0</v>
      </c>
      <c r="U650" s="30">
        <f t="shared" si="12"/>
        <v>9.2950204584968388E-5</v>
      </c>
    </row>
    <row r="651" spans="16:21" ht="13.9" customHeight="1" x14ac:dyDescent="0.2">
      <c r="P651" s="27"/>
      <c r="Q651" s="30"/>
      <c r="R651" s="30"/>
      <c r="S651" s="30">
        <f>ABS(Q651)/'İtme Analizi'!$G$17</f>
        <v>0</v>
      </c>
      <c r="T651" s="30">
        <f>ABS(R651)/'İtme Analizi'!$G$14</f>
        <v>0</v>
      </c>
      <c r="U651" s="30">
        <f t="shared" si="12"/>
        <v>9.2950204584968388E-5</v>
      </c>
    </row>
    <row r="652" spans="16:21" ht="13.9" customHeight="1" x14ac:dyDescent="0.2">
      <c r="P652" s="27"/>
      <c r="Q652" s="30"/>
      <c r="R652" s="30"/>
      <c r="S652" s="30">
        <f>ABS(Q652)/'İtme Analizi'!$G$17</f>
        <v>0</v>
      </c>
      <c r="T652" s="30">
        <f>ABS(R652)/'İtme Analizi'!$G$14</f>
        <v>0</v>
      </c>
      <c r="U652" s="30">
        <f t="shared" si="12"/>
        <v>9.2950204584968388E-5</v>
      </c>
    </row>
    <row r="653" spans="16:21" ht="13.9" customHeight="1" x14ac:dyDescent="0.2">
      <c r="P653" s="27"/>
      <c r="Q653" s="30"/>
      <c r="R653" s="30"/>
      <c r="S653" s="30">
        <f>ABS(Q653)/'İtme Analizi'!$G$17</f>
        <v>0</v>
      </c>
      <c r="T653" s="30">
        <f>ABS(R653)/'İtme Analizi'!$G$14</f>
        <v>0</v>
      </c>
      <c r="U653" s="30">
        <f t="shared" si="12"/>
        <v>9.2950204584968388E-5</v>
      </c>
    </row>
    <row r="654" spans="16:21" ht="13.9" customHeight="1" x14ac:dyDescent="0.2">
      <c r="P654" s="27"/>
      <c r="Q654" s="30"/>
      <c r="R654" s="30"/>
      <c r="S654" s="30">
        <f>ABS(Q654)/'İtme Analizi'!$G$17</f>
        <v>0</v>
      </c>
      <c r="T654" s="30">
        <f>ABS(R654)/'İtme Analizi'!$G$14</f>
        <v>0</v>
      </c>
      <c r="U654" s="30">
        <f t="shared" si="12"/>
        <v>9.2950204584968388E-5</v>
      </c>
    </row>
    <row r="655" spans="16:21" ht="13.9" customHeight="1" x14ac:dyDescent="0.2">
      <c r="P655" s="27"/>
      <c r="Q655" s="30"/>
      <c r="R655" s="30"/>
      <c r="S655" s="30">
        <f>ABS(Q655)/'İtme Analizi'!$G$17</f>
        <v>0</v>
      </c>
      <c r="T655" s="30">
        <f>ABS(R655)/'İtme Analizi'!$G$14</f>
        <v>0</v>
      </c>
      <c r="U655" s="30">
        <f t="shared" si="12"/>
        <v>9.2950204584968388E-5</v>
      </c>
    </row>
    <row r="656" spans="16:21" ht="13.9" customHeight="1" x14ac:dyDescent="0.2">
      <c r="P656" s="27"/>
      <c r="Q656" s="30"/>
      <c r="R656" s="30"/>
      <c r="S656" s="30">
        <f>ABS(Q656)/'İtme Analizi'!$G$17</f>
        <v>0</v>
      </c>
      <c r="T656" s="30">
        <f>ABS(R656)/'İtme Analizi'!$G$14</f>
        <v>0</v>
      </c>
      <c r="U656" s="30">
        <f t="shared" si="12"/>
        <v>9.2950204584968388E-5</v>
      </c>
    </row>
    <row r="657" spans="16:21" ht="13.9" customHeight="1" x14ac:dyDescent="0.2">
      <c r="P657" s="27"/>
      <c r="Q657" s="30"/>
      <c r="R657" s="30"/>
      <c r="S657" s="30">
        <f>ABS(Q657)/'İtme Analizi'!$G$17</f>
        <v>0</v>
      </c>
      <c r="T657" s="30">
        <f>ABS(R657)/'İtme Analizi'!$G$14</f>
        <v>0</v>
      </c>
      <c r="U657" s="30">
        <f t="shared" si="12"/>
        <v>9.2950204584968388E-5</v>
      </c>
    </row>
    <row r="658" spans="16:21" ht="13.9" customHeight="1" x14ac:dyDescent="0.2">
      <c r="P658" s="27"/>
      <c r="Q658" s="30"/>
      <c r="R658" s="30"/>
      <c r="S658" s="30">
        <f>ABS(Q658)/'İtme Analizi'!$G$17</f>
        <v>0</v>
      </c>
      <c r="T658" s="30">
        <f>ABS(R658)/'İtme Analizi'!$G$14</f>
        <v>0</v>
      </c>
      <c r="U658" s="30">
        <f t="shared" si="12"/>
        <v>9.2950204584968388E-5</v>
      </c>
    </row>
    <row r="659" spans="16:21" ht="13.9" customHeight="1" x14ac:dyDescent="0.2">
      <c r="P659" s="27"/>
      <c r="Q659" s="30"/>
      <c r="R659" s="30"/>
      <c r="S659" s="30">
        <f>ABS(Q659)/'İtme Analizi'!$G$17</f>
        <v>0</v>
      </c>
      <c r="T659" s="30">
        <f>ABS(R659)/'İtme Analizi'!$G$14</f>
        <v>0</v>
      </c>
      <c r="U659" s="30">
        <f t="shared" si="12"/>
        <v>9.2950204584968388E-5</v>
      </c>
    </row>
    <row r="660" spans="16:21" ht="13.9" customHeight="1" x14ac:dyDescent="0.2">
      <c r="P660" s="27"/>
      <c r="Q660" s="30"/>
      <c r="R660" s="30"/>
      <c r="S660" s="30">
        <f>ABS(Q660)/'İtme Analizi'!$G$17</f>
        <v>0</v>
      </c>
      <c r="T660" s="30">
        <f>ABS(R660)/'İtme Analizi'!$G$14</f>
        <v>0</v>
      </c>
      <c r="U660" s="30">
        <f t="shared" si="12"/>
        <v>9.2950204584968388E-5</v>
      </c>
    </row>
    <row r="661" spans="16:21" ht="13.9" customHeight="1" x14ac:dyDescent="0.2">
      <c r="P661" s="27"/>
      <c r="Q661" s="30"/>
      <c r="R661" s="30"/>
      <c r="S661" s="30">
        <f>ABS(Q661)/'İtme Analizi'!$G$17</f>
        <v>0</v>
      </c>
      <c r="T661" s="30">
        <f>ABS(R661)/'İtme Analizi'!$G$14</f>
        <v>0</v>
      </c>
      <c r="U661" s="30">
        <f t="shared" si="12"/>
        <v>9.2950204584968388E-5</v>
      </c>
    </row>
    <row r="662" spans="16:21" ht="13.9" customHeight="1" x14ac:dyDescent="0.2">
      <c r="P662" s="27"/>
      <c r="Q662" s="30"/>
      <c r="R662" s="30"/>
      <c r="S662" s="30">
        <f>ABS(Q662)/'İtme Analizi'!$G$17</f>
        <v>0</v>
      </c>
      <c r="T662" s="30">
        <f>ABS(R662)/'İtme Analizi'!$G$14</f>
        <v>0</v>
      </c>
      <c r="U662" s="30">
        <f t="shared" si="12"/>
        <v>9.2950204584968388E-5</v>
      </c>
    </row>
    <row r="663" spans="16:21" ht="13.9" customHeight="1" x14ac:dyDescent="0.2">
      <c r="P663" s="27"/>
      <c r="Q663" s="30"/>
      <c r="R663" s="30"/>
      <c r="S663" s="30">
        <f>ABS(Q663)/'İtme Analizi'!$G$17</f>
        <v>0</v>
      </c>
      <c r="T663" s="30">
        <f>ABS(R663)/'İtme Analizi'!$G$14</f>
        <v>0</v>
      </c>
      <c r="U663" s="30">
        <f t="shared" si="12"/>
        <v>9.2950204584968388E-5</v>
      </c>
    </row>
    <row r="664" spans="16:21" ht="13.9" customHeight="1" x14ac:dyDescent="0.2">
      <c r="P664" s="27"/>
      <c r="Q664" s="30"/>
      <c r="R664" s="30"/>
      <c r="S664" s="30">
        <f>ABS(Q664)/'İtme Analizi'!$G$17</f>
        <v>0</v>
      </c>
      <c r="T664" s="30">
        <f>ABS(R664)/'İtme Analizi'!$G$14</f>
        <v>0</v>
      </c>
      <c r="U664" s="30">
        <f t="shared" si="12"/>
        <v>9.2950204584968388E-5</v>
      </c>
    </row>
    <row r="665" spans="16:21" ht="13.9" customHeight="1" x14ac:dyDescent="0.2">
      <c r="P665" s="27"/>
      <c r="Q665" s="30"/>
      <c r="R665" s="30"/>
      <c r="S665" s="30">
        <f>ABS(Q665)/'İtme Analizi'!$G$17</f>
        <v>0</v>
      </c>
      <c r="T665" s="30">
        <f>ABS(R665)/'İtme Analizi'!$G$14</f>
        <v>0</v>
      </c>
      <c r="U665" s="30">
        <f t="shared" si="12"/>
        <v>9.2950204584968388E-5</v>
      </c>
    </row>
    <row r="666" spans="16:21" ht="13.9" customHeight="1" x14ac:dyDescent="0.2">
      <c r="P666" s="27"/>
      <c r="Q666" s="30"/>
      <c r="R666" s="30"/>
      <c r="S666" s="30">
        <f>ABS(Q666)/'İtme Analizi'!$G$17</f>
        <v>0</v>
      </c>
      <c r="T666" s="30">
        <f>ABS(R666)/'İtme Analizi'!$G$14</f>
        <v>0</v>
      </c>
      <c r="U666" s="30">
        <f t="shared" si="12"/>
        <v>9.2950204584968388E-5</v>
      </c>
    </row>
    <row r="667" spans="16:21" ht="13.9" customHeight="1" x14ac:dyDescent="0.2">
      <c r="P667" s="27"/>
      <c r="Q667" s="30"/>
      <c r="R667" s="30"/>
      <c r="S667" s="30">
        <f>ABS(Q667)/'İtme Analizi'!$G$17</f>
        <v>0</v>
      </c>
      <c r="T667" s="30">
        <f>ABS(R667)/'İtme Analizi'!$G$14</f>
        <v>0</v>
      </c>
      <c r="U667" s="30">
        <f t="shared" si="12"/>
        <v>9.2950204584968388E-5</v>
      </c>
    </row>
    <row r="668" spans="16:21" ht="13.9" customHeight="1" x14ac:dyDescent="0.2">
      <c r="P668" s="27"/>
      <c r="Q668" s="30"/>
      <c r="R668" s="30"/>
      <c r="S668" s="30">
        <f>ABS(Q668)/'İtme Analizi'!$G$17</f>
        <v>0</v>
      </c>
      <c r="T668" s="30">
        <f>ABS(R668)/'İtme Analizi'!$G$14</f>
        <v>0</v>
      </c>
      <c r="U668" s="30">
        <f t="shared" si="12"/>
        <v>9.2950204584968388E-5</v>
      </c>
    </row>
    <row r="669" spans="16:21" ht="13.9" customHeight="1" x14ac:dyDescent="0.2">
      <c r="P669" s="27"/>
      <c r="Q669" s="30"/>
      <c r="R669" s="30"/>
      <c r="S669" s="30">
        <f>ABS(Q669)/'İtme Analizi'!$G$17</f>
        <v>0</v>
      </c>
      <c r="T669" s="30">
        <f>ABS(R669)/'İtme Analizi'!$G$14</f>
        <v>0</v>
      </c>
      <c r="U669" s="30">
        <f t="shared" si="12"/>
        <v>9.2950204584968388E-5</v>
      </c>
    </row>
    <row r="670" spans="16:21" ht="13.9" customHeight="1" x14ac:dyDescent="0.2">
      <c r="P670" s="27"/>
      <c r="Q670" s="30"/>
      <c r="R670" s="30"/>
      <c r="S670" s="30">
        <f>ABS(Q670)/'İtme Analizi'!$G$17</f>
        <v>0</v>
      </c>
      <c r="T670" s="30">
        <f>ABS(R670)/'İtme Analizi'!$G$14</f>
        <v>0</v>
      </c>
      <c r="U670" s="30">
        <f t="shared" si="12"/>
        <v>9.2950204584968388E-5</v>
      </c>
    </row>
    <row r="671" spans="16:21" ht="13.9" customHeight="1" x14ac:dyDescent="0.2">
      <c r="P671" s="27"/>
      <c r="Q671" s="30"/>
      <c r="R671" s="30"/>
      <c r="S671" s="30">
        <f>ABS(Q671)/'İtme Analizi'!$G$17</f>
        <v>0</v>
      </c>
      <c r="T671" s="30">
        <f>ABS(R671)/'İtme Analizi'!$G$14</f>
        <v>0</v>
      </c>
      <c r="U671" s="30">
        <f t="shared" si="12"/>
        <v>9.2950204584968388E-5</v>
      </c>
    </row>
    <row r="672" spans="16:21" ht="13.9" customHeight="1" x14ac:dyDescent="0.2">
      <c r="P672" s="27"/>
      <c r="Q672" s="30"/>
      <c r="R672" s="30"/>
      <c r="S672" s="30">
        <f>ABS(Q672)/'İtme Analizi'!$G$17</f>
        <v>0</v>
      </c>
      <c r="T672" s="30">
        <f>ABS(R672)/'İtme Analizi'!$G$14</f>
        <v>0</v>
      </c>
      <c r="U672" s="30">
        <f t="shared" si="12"/>
        <v>9.2950204584968388E-5</v>
      </c>
    </row>
    <row r="673" spans="16:21" ht="13.9" customHeight="1" x14ac:dyDescent="0.2">
      <c r="P673" s="27"/>
      <c r="Q673" s="30"/>
      <c r="R673" s="30"/>
      <c r="S673" s="30">
        <f>ABS(Q673)/'İtme Analizi'!$G$17</f>
        <v>0</v>
      </c>
      <c r="T673" s="30">
        <f>ABS(R673)/'İtme Analizi'!$G$14</f>
        <v>0</v>
      </c>
      <c r="U673" s="30">
        <f t="shared" si="12"/>
        <v>9.2950204584968388E-5</v>
      </c>
    </row>
    <row r="674" spans="16:21" ht="13.9" customHeight="1" x14ac:dyDescent="0.2">
      <c r="P674" s="27"/>
      <c r="Q674" s="30"/>
      <c r="R674" s="30"/>
      <c r="S674" s="30">
        <f>ABS(Q674)/'İtme Analizi'!$G$17</f>
        <v>0</v>
      </c>
      <c r="T674" s="30">
        <f>ABS(R674)/'İtme Analizi'!$G$14</f>
        <v>0</v>
      </c>
      <c r="U674" s="30">
        <f t="shared" si="12"/>
        <v>9.2950204584968388E-5</v>
      </c>
    </row>
    <row r="675" spans="16:21" ht="13.9" customHeight="1" x14ac:dyDescent="0.2">
      <c r="P675" s="27"/>
      <c r="Q675" s="30"/>
      <c r="R675" s="30"/>
      <c r="S675" s="30">
        <f>ABS(Q675)/'İtme Analizi'!$G$17</f>
        <v>0</v>
      </c>
      <c r="T675" s="30">
        <f>ABS(R675)/'İtme Analizi'!$G$14</f>
        <v>0</v>
      </c>
      <c r="U675" s="30">
        <f t="shared" si="12"/>
        <v>9.2950204584968388E-5</v>
      </c>
    </row>
    <row r="676" spans="16:21" ht="13.9" customHeight="1" x14ac:dyDescent="0.2">
      <c r="P676" s="27"/>
      <c r="Q676" s="30"/>
      <c r="R676" s="30"/>
      <c r="S676" s="30">
        <f>ABS(Q676)/'İtme Analizi'!$G$17</f>
        <v>0</v>
      </c>
      <c r="T676" s="30">
        <f>ABS(R676)/'İtme Analizi'!$G$14</f>
        <v>0</v>
      </c>
      <c r="U676" s="30">
        <f t="shared" si="12"/>
        <v>9.2950204584968388E-5</v>
      </c>
    </row>
    <row r="677" spans="16:21" ht="13.9" customHeight="1" x14ac:dyDescent="0.2">
      <c r="P677" s="27"/>
      <c r="Q677" s="30"/>
      <c r="R677" s="30"/>
      <c r="S677" s="30">
        <f>ABS(Q677)/'İtme Analizi'!$G$17</f>
        <v>0</v>
      </c>
      <c r="T677" s="30">
        <f>ABS(R677)/'İtme Analizi'!$G$14</f>
        <v>0</v>
      </c>
      <c r="U677" s="30">
        <f t="shared" si="12"/>
        <v>9.2950204584968388E-5</v>
      </c>
    </row>
    <row r="678" spans="16:21" ht="13.9" customHeight="1" x14ac:dyDescent="0.2">
      <c r="P678" s="27"/>
      <c r="Q678" s="30"/>
      <c r="R678" s="30"/>
      <c r="S678" s="30">
        <f>ABS(Q678)/'İtme Analizi'!$G$17</f>
        <v>0</v>
      </c>
      <c r="T678" s="30">
        <f>ABS(R678)/'İtme Analizi'!$G$14</f>
        <v>0</v>
      </c>
      <c r="U678" s="30">
        <f t="shared" si="12"/>
        <v>9.2950204584968388E-5</v>
      </c>
    </row>
    <row r="679" spans="16:21" ht="13.9" customHeight="1" x14ac:dyDescent="0.2">
      <c r="P679" s="27"/>
      <c r="Q679" s="30"/>
      <c r="R679" s="30"/>
      <c r="S679" s="30">
        <f>ABS(Q679)/'İtme Analizi'!$G$17</f>
        <v>0</v>
      </c>
      <c r="T679" s="30">
        <f>ABS(R679)/'İtme Analizi'!$G$14</f>
        <v>0</v>
      </c>
      <c r="U679" s="30">
        <f t="shared" si="12"/>
        <v>9.2950204584968388E-5</v>
      </c>
    </row>
    <row r="680" spans="16:21" ht="13.9" customHeight="1" x14ac:dyDescent="0.2">
      <c r="P680" s="27"/>
      <c r="Q680" s="30"/>
      <c r="R680" s="30"/>
      <c r="S680" s="30">
        <f>ABS(Q680)/'İtme Analizi'!$G$17</f>
        <v>0</v>
      </c>
      <c r="T680" s="30">
        <f>ABS(R680)/'İtme Analizi'!$G$14</f>
        <v>0</v>
      </c>
      <c r="U680" s="30">
        <f t="shared" si="12"/>
        <v>9.2950204584968388E-5</v>
      </c>
    </row>
    <row r="681" spans="16:21" ht="13.9" customHeight="1" x14ac:dyDescent="0.2">
      <c r="P681" s="27"/>
      <c r="Q681" s="30"/>
      <c r="R681" s="30"/>
      <c r="S681" s="30">
        <f>ABS(Q681)/'İtme Analizi'!$G$17</f>
        <v>0</v>
      </c>
      <c r="T681" s="30">
        <f>ABS(R681)/'İtme Analizi'!$G$14</f>
        <v>0</v>
      </c>
      <c r="U681" s="30">
        <f t="shared" si="12"/>
        <v>9.2950204584968388E-5</v>
      </c>
    </row>
    <row r="682" spans="16:21" ht="13.9" customHeight="1" x14ac:dyDescent="0.2">
      <c r="P682" s="27"/>
      <c r="Q682" s="30"/>
      <c r="R682" s="30"/>
      <c r="S682" s="30">
        <f>ABS(Q682)/'İtme Analizi'!$G$17</f>
        <v>0</v>
      </c>
      <c r="T682" s="30">
        <f>ABS(R682)/'İtme Analizi'!$G$14</f>
        <v>0</v>
      </c>
      <c r="U682" s="30">
        <f t="shared" si="12"/>
        <v>9.2950204584968388E-5</v>
      </c>
    </row>
    <row r="683" spans="16:21" ht="13.9" customHeight="1" x14ac:dyDescent="0.2">
      <c r="P683" s="27"/>
      <c r="Q683" s="30"/>
      <c r="R683" s="30"/>
      <c r="S683" s="30">
        <f>ABS(Q683)/'İtme Analizi'!$G$17</f>
        <v>0</v>
      </c>
      <c r="T683" s="30">
        <f>ABS(R683)/'İtme Analizi'!$G$14</f>
        <v>0</v>
      </c>
      <c r="U683" s="30">
        <f t="shared" si="12"/>
        <v>9.2950204584968388E-5</v>
      </c>
    </row>
    <row r="684" spans="16:21" ht="13.9" customHeight="1" x14ac:dyDescent="0.2">
      <c r="P684" s="27"/>
      <c r="Q684" s="30"/>
      <c r="R684" s="30"/>
      <c r="S684" s="30">
        <f>ABS(Q684)/'İtme Analizi'!$G$17</f>
        <v>0</v>
      </c>
      <c r="T684" s="30">
        <f>ABS(R684)/'İtme Analizi'!$G$14</f>
        <v>0</v>
      </c>
      <c r="U684" s="30">
        <f t="shared" si="12"/>
        <v>9.2950204584968388E-5</v>
      </c>
    </row>
    <row r="685" spans="16:21" ht="13.9" customHeight="1" x14ac:dyDescent="0.2">
      <c r="P685" s="27"/>
      <c r="Q685" s="30"/>
      <c r="R685" s="30"/>
      <c r="S685" s="30">
        <f>ABS(Q685)/'İtme Analizi'!$G$17</f>
        <v>0</v>
      </c>
      <c r="T685" s="30">
        <f>ABS(R685)/'İtme Analizi'!$G$14</f>
        <v>0</v>
      </c>
      <c r="U685" s="30">
        <f t="shared" si="12"/>
        <v>9.2950204584968388E-5</v>
      </c>
    </row>
    <row r="686" spans="16:21" ht="13.9" customHeight="1" x14ac:dyDescent="0.2">
      <c r="P686" s="27"/>
      <c r="Q686" s="30"/>
      <c r="R686" s="30"/>
      <c r="S686" s="30">
        <f>ABS(Q686)/'İtme Analizi'!$G$17</f>
        <v>0</v>
      </c>
      <c r="T686" s="30">
        <f>ABS(R686)/'İtme Analizi'!$G$14</f>
        <v>0</v>
      </c>
      <c r="U686" s="30">
        <f t="shared" si="12"/>
        <v>9.2950204584968388E-5</v>
      </c>
    </row>
    <row r="687" spans="16:21" ht="13.9" customHeight="1" x14ac:dyDescent="0.2">
      <c r="P687" s="27"/>
      <c r="Q687" s="30"/>
      <c r="R687" s="30"/>
      <c r="S687" s="30">
        <f>ABS(Q687)/'İtme Analizi'!$G$17</f>
        <v>0</v>
      </c>
      <c r="T687" s="30">
        <f>ABS(R687)/'İtme Analizi'!$G$14</f>
        <v>0</v>
      </c>
      <c r="U687" s="30">
        <f t="shared" si="12"/>
        <v>9.2950204584968388E-5</v>
      </c>
    </row>
    <row r="688" spans="16:21" ht="13.9" customHeight="1" x14ac:dyDescent="0.2">
      <c r="P688" s="27"/>
      <c r="Q688" s="30"/>
      <c r="R688" s="30"/>
      <c r="S688" s="30">
        <f>ABS(Q688)/'İtme Analizi'!$G$17</f>
        <v>0</v>
      </c>
      <c r="T688" s="30">
        <f>ABS(R688)/'İtme Analizi'!$G$14</f>
        <v>0</v>
      </c>
      <c r="U688" s="30">
        <f t="shared" si="12"/>
        <v>9.2950204584968388E-5</v>
      </c>
    </row>
    <row r="689" spans="16:21" ht="13.9" customHeight="1" x14ac:dyDescent="0.2">
      <c r="P689" s="27"/>
      <c r="Q689" s="30"/>
      <c r="R689" s="30"/>
      <c r="S689" s="30">
        <f>ABS(Q689)/'İtme Analizi'!$G$17</f>
        <v>0</v>
      </c>
      <c r="T689" s="30">
        <f>ABS(R689)/'İtme Analizi'!$G$14</f>
        <v>0</v>
      </c>
      <c r="U689" s="30">
        <f t="shared" si="12"/>
        <v>9.2950204584968388E-5</v>
      </c>
    </row>
    <row r="690" spans="16:21" ht="13.9" customHeight="1" x14ac:dyDescent="0.2">
      <c r="P690" s="27"/>
      <c r="Q690" s="30"/>
      <c r="R690" s="30"/>
      <c r="S690" s="30">
        <f>ABS(Q690)/'İtme Analizi'!$G$17</f>
        <v>0</v>
      </c>
      <c r="T690" s="30">
        <f>ABS(R690)/'İtme Analizi'!$G$14</f>
        <v>0</v>
      </c>
      <c r="U690" s="30">
        <f t="shared" si="12"/>
        <v>9.2950204584968388E-5</v>
      </c>
    </row>
    <row r="691" spans="16:21" ht="13.9" customHeight="1" x14ac:dyDescent="0.2">
      <c r="P691" s="27"/>
      <c r="Q691" s="30"/>
      <c r="R691" s="30"/>
      <c r="S691" s="30">
        <f>ABS(Q691)/'İtme Analizi'!$G$17</f>
        <v>0</v>
      </c>
      <c r="T691" s="30">
        <f>ABS(R691)/'İtme Analizi'!$G$14</f>
        <v>0</v>
      </c>
      <c r="U691" s="30">
        <f t="shared" si="12"/>
        <v>9.2950204584968388E-5</v>
      </c>
    </row>
    <row r="692" spans="16:21" ht="13.9" customHeight="1" x14ac:dyDescent="0.2">
      <c r="P692" s="27"/>
      <c r="Q692" s="30"/>
      <c r="R692" s="30"/>
      <c r="S692" s="30">
        <f>ABS(Q692)/'İtme Analizi'!$G$17</f>
        <v>0</v>
      </c>
      <c r="T692" s="30">
        <f>ABS(R692)/'İtme Analizi'!$G$14</f>
        <v>0</v>
      </c>
      <c r="U692" s="30">
        <f t="shared" si="12"/>
        <v>9.2950204584968388E-5</v>
      </c>
    </row>
    <row r="693" spans="16:21" ht="13.9" customHeight="1" x14ac:dyDescent="0.2">
      <c r="P693" s="27"/>
      <c r="Q693" s="30"/>
      <c r="R693" s="30"/>
      <c r="S693" s="30">
        <f>ABS(Q693)/'İtme Analizi'!$G$17</f>
        <v>0</v>
      </c>
      <c r="T693" s="30">
        <f>ABS(R693)/'İtme Analizi'!$G$14</f>
        <v>0</v>
      </c>
      <c r="U693" s="30">
        <f t="shared" si="12"/>
        <v>9.2950204584968388E-5</v>
      </c>
    </row>
    <row r="694" spans="16:21" ht="13.9" customHeight="1" x14ac:dyDescent="0.2">
      <c r="P694" s="27"/>
      <c r="Q694" s="30"/>
      <c r="R694" s="30"/>
      <c r="S694" s="30">
        <f>ABS(Q694)/'İtme Analizi'!$G$17</f>
        <v>0</v>
      </c>
      <c r="T694" s="30">
        <f>ABS(R694)/'İtme Analizi'!$G$14</f>
        <v>0</v>
      </c>
      <c r="U694" s="30">
        <f t="shared" si="12"/>
        <v>9.2950204584968388E-5</v>
      </c>
    </row>
    <row r="695" spans="16:21" ht="13.9" customHeight="1" x14ac:dyDescent="0.2">
      <c r="P695" s="27"/>
      <c r="Q695" s="30"/>
      <c r="R695" s="30"/>
      <c r="S695" s="30">
        <f>ABS(Q695)/'İtme Analizi'!$G$17</f>
        <v>0</v>
      </c>
      <c r="T695" s="30">
        <f>ABS(R695)/'İtme Analizi'!$G$14</f>
        <v>0</v>
      </c>
      <c r="U695" s="30">
        <f t="shared" si="12"/>
        <v>9.2950204584968388E-5</v>
      </c>
    </row>
    <row r="696" spans="16:21" ht="13.9" customHeight="1" x14ac:dyDescent="0.2">
      <c r="P696" s="27"/>
      <c r="Q696" s="30"/>
      <c r="R696" s="30"/>
      <c r="S696" s="30">
        <f>ABS(Q696)/'İtme Analizi'!$G$17</f>
        <v>0</v>
      </c>
      <c r="T696" s="30">
        <f>ABS(R696)/'İtme Analizi'!$G$14</f>
        <v>0</v>
      </c>
      <c r="U696" s="30">
        <f t="shared" si="12"/>
        <v>9.2950204584968388E-5</v>
      </c>
    </row>
    <row r="697" spans="16:21" ht="13.9" customHeight="1" x14ac:dyDescent="0.2">
      <c r="P697" s="27"/>
      <c r="Q697" s="30"/>
      <c r="R697" s="30"/>
      <c r="S697" s="30">
        <f>ABS(Q697)/'İtme Analizi'!$G$17</f>
        <v>0</v>
      </c>
      <c r="T697" s="30">
        <f>ABS(R697)/'İtme Analizi'!$G$14</f>
        <v>0</v>
      </c>
      <c r="U697" s="30">
        <f t="shared" si="12"/>
        <v>9.2950204584968388E-5</v>
      </c>
    </row>
    <row r="698" spans="16:21" ht="13.9" customHeight="1" x14ac:dyDescent="0.2">
      <c r="P698" s="27"/>
      <c r="Q698" s="30"/>
      <c r="R698" s="30"/>
      <c r="S698" s="30">
        <f>ABS(Q698)/'İtme Analizi'!$G$17</f>
        <v>0</v>
      </c>
      <c r="T698" s="30">
        <f>ABS(R698)/'İtme Analizi'!$G$14</f>
        <v>0</v>
      </c>
      <c r="U698" s="30">
        <f t="shared" si="12"/>
        <v>9.2950204584968388E-5</v>
      </c>
    </row>
    <row r="699" spans="16:21" ht="13.9" customHeight="1" x14ac:dyDescent="0.2">
      <c r="P699" s="27"/>
      <c r="Q699" s="30"/>
      <c r="R699" s="30"/>
      <c r="S699" s="30">
        <f>ABS(Q699)/'İtme Analizi'!$G$17</f>
        <v>0</v>
      </c>
      <c r="T699" s="30">
        <f>ABS(R699)/'İtme Analizi'!$G$14</f>
        <v>0</v>
      </c>
      <c r="U699" s="30">
        <f t="shared" si="12"/>
        <v>9.2950204584968388E-5</v>
      </c>
    </row>
    <row r="700" spans="16:21" ht="13.9" customHeight="1" x14ac:dyDescent="0.2">
      <c r="P700" s="27"/>
      <c r="Q700" s="30"/>
      <c r="R700" s="30"/>
      <c r="S700" s="30">
        <f>ABS(Q700)/'İtme Analizi'!$G$17</f>
        <v>0</v>
      </c>
      <c r="T700" s="30">
        <f>ABS(R700)/'İtme Analizi'!$G$14</f>
        <v>0</v>
      </c>
      <c r="U700" s="30">
        <f t="shared" si="12"/>
        <v>9.2950204584968388E-5</v>
      </c>
    </row>
    <row r="701" spans="16:21" ht="13.9" customHeight="1" x14ac:dyDescent="0.2">
      <c r="P701" s="27"/>
      <c r="Q701" s="30"/>
      <c r="R701" s="30"/>
      <c r="S701" s="30">
        <f>ABS(Q701)/'İtme Analizi'!$G$17</f>
        <v>0</v>
      </c>
      <c r="T701" s="30">
        <f>ABS(R701)/'İtme Analizi'!$G$14</f>
        <v>0</v>
      </c>
      <c r="U701" s="30">
        <f t="shared" si="12"/>
        <v>9.2950204584968388E-5</v>
      </c>
    </row>
    <row r="702" spans="16:21" ht="13.9" customHeight="1" x14ac:dyDescent="0.2">
      <c r="P702" s="27"/>
      <c r="Q702" s="30"/>
      <c r="R702" s="30"/>
      <c r="S702" s="30">
        <f>ABS(Q702)/'İtme Analizi'!$G$17</f>
        <v>0</v>
      </c>
      <c r="T702" s="30">
        <f>ABS(R702)/'İtme Analizi'!$G$14</f>
        <v>0</v>
      </c>
      <c r="U702" s="30">
        <f t="shared" si="12"/>
        <v>9.2950204584968388E-5</v>
      </c>
    </row>
    <row r="703" spans="16:21" ht="13.9" customHeight="1" x14ac:dyDescent="0.2">
      <c r="P703" s="27"/>
      <c r="Q703" s="30"/>
      <c r="R703" s="30"/>
      <c r="S703" s="30">
        <f>ABS(Q703)/'İtme Analizi'!$G$17</f>
        <v>0</v>
      </c>
      <c r="T703" s="30">
        <f>ABS(R703)/'İtme Analizi'!$G$14</f>
        <v>0</v>
      </c>
      <c r="U703" s="30">
        <f t="shared" si="12"/>
        <v>9.2950204584968388E-5</v>
      </c>
    </row>
    <row r="704" spans="16:21" ht="13.9" customHeight="1" x14ac:dyDescent="0.2">
      <c r="P704" s="27"/>
      <c r="Q704" s="30"/>
      <c r="R704" s="30"/>
      <c r="S704" s="30">
        <f>ABS(Q704)/'İtme Analizi'!$G$17</f>
        <v>0</v>
      </c>
      <c r="T704" s="30">
        <f>ABS(R704)/'İtme Analizi'!$G$14</f>
        <v>0</v>
      </c>
      <c r="U704" s="30">
        <f t="shared" si="12"/>
        <v>9.2950204584968388E-5</v>
      </c>
    </row>
    <row r="705" spans="16:21" ht="13.9" customHeight="1" x14ac:dyDescent="0.2">
      <c r="P705" s="27"/>
      <c r="Q705" s="30"/>
      <c r="R705" s="30"/>
      <c r="S705" s="30">
        <f>ABS(Q705)/'İtme Analizi'!$G$17</f>
        <v>0</v>
      </c>
      <c r="T705" s="30">
        <f>ABS(R705)/'İtme Analizi'!$G$14</f>
        <v>0</v>
      </c>
      <c r="U705" s="30">
        <f t="shared" si="12"/>
        <v>9.2950204584968388E-5</v>
      </c>
    </row>
    <row r="706" spans="16:21" ht="13.9" customHeight="1" x14ac:dyDescent="0.2">
      <c r="P706" s="27"/>
      <c r="Q706" s="30"/>
      <c r="R706" s="30"/>
      <c r="S706" s="30">
        <f>ABS(Q706)/'İtme Analizi'!$G$17</f>
        <v>0</v>
      </c>
      <c r="T706" s="30">
        <f>ABS(R706)/'İtme Analizi'!$G$14</f>
        <v>0</v>
      </c>
      <c r="U706" s="30">
        <f t="shared" si="12"/>
        <v>9.2950204584968388E-5</v>
      </c>
    </row>
    <row r="707" spans="16:21" ht="13.9" customHeight="1" x14ac:dyDescent="0.2">
      <c r="P707" s="27"/>
      <c r="Q707" s="30"/>
      <c r="R707" s="30"/>
      <c r="S707" s="30">
        <f>ABS(Q707)/'İtme Analizi'!$G$17</f>
        <v>0</v>
      </c>
      <c r="T707" s="30">
        <f>ABS(R707)/'İtme Analizi'!$G$14</f>
        <v>0</v>
      </c>
      <c r="U707" s="30">
        <f t="shared" si="12"/>
        <v>9.2950204584968388E-5</v>
      </c>
    </row>
    <row r="708" spans="16:21" ht="13.9" customHeight="1" x14ac:dyDescent="0.2">
      <c r="P708" s="27"/>
      <c r="Q708" s="30"/>
      <c r="R708" s="30"/>
      <c r="S708" s="30">
        <f>ABS(Q708)/'İtme Analizi'!$G$17</f>
        <v>0</v>
      </c>
      <c r="T708" s="30">
        <f>ABS(R708)/'İtme Analizi'!$G$14</f>
        <v>0</v>
      </c>
      <c r="U708" s="30">
        <f t="shared" si="12"/>
        <v>9.2950204584968388E-5</v>
      </c>
    </row>
    <row r="709" spans="16:21" ht="13.9" customHeight="1" x14ac:dyDescent="0.2">
      <c r="P709" s="27"/>
      <c r="Q709" s="30"/>
      <c r="R709" s="30"/>
      <c r="S709" s="30">
        <f>ABS(Q709)/'İtme Analizi'!$G$17</f>
        <v>0</v>
      </c>
      <c r="T709" s="30">
        <f>ABS(R709)/'İtme Analizi'!$G$14</f>
        <v>0</v>
      </c>
      <c r="U709" s="30">
        <f t="shared" si="12"/>
        <v>9.2950204584968388E-5</v>
      </c>
    </row>
    <row r="710" spans="16:21" ht="13.9" customHeight="1" x14ac:dyDescent="0.2">
      <c r="P710" s="27"/>
      <c r="Q710" s="30"/>
      <c r="R710" s="30"/>
      <c r="S710" s="30">
        <f>ABS(Q710)/'İtme Analizi'!$G$17</f>
        <v>0</v>
      </c>
      <c r="T710" s="30">
        <f>ABS(R710)/'İtme Analizi'!$G$14</f>
        <v>0</v>
      </c>
      <c r="U710" s="30">
        <f t="shared" si="12"/>
        <v>9.2950204584968388E-5</v>
      </c>
    </row>
    <row r="711" spans="16:21" ht="13.9" customHeight="1" x14ac:dyDescent="0.2">
      <c r="P711" s="27"/>
      <c r="Q711" s="30"/>
      <c r="R711" s="30"/>
      <c r="S711" s="30">
        <f>ABS(Q711)/'İtme Analizi'!$G$17</f>
        <v>0</v>
      </c>
      <c r="T711" s="30">
        <f>ABS(R711)/'İtme Analizi'!$G$14</f>
        <v>0</v>
      </c>
      <c r="U711" s="30">
        <f t="shared" si="12"/>
        <v>9.2950204584968388E-5</v>
      </c>
    </row>
    <row r="712" spans="16:21" ht="13.9" customHeight="1" x14ac:dyDescent="0.2">
      <c r="P712" s="27"/>
      <c r="Q712" s="30"/>
      <c r="R712" s="30"/>
      <c r="S712" s="30">
        <f>ABS(Q712)/'İtme Analizi'!$G$17</f>
        <v>0</v>
      </c>
      <c r="T712" s="30">
        <f>ABS(R712)/'İtme Analizi'!$G$14</f>
        <v>0</v>
      </c>
      <c r="U712" s="30">
        <f t="shared" si="12"/>
        <v>9.2950204584968388E-5</v>
      </c>
    </row>
    <row r="713" spans="16:21" ht="13.9" customHeight="1" x14ac:dyDescent="0.2">
      <c r="P713" s="27"/>
      <c r="Q713" s="30"/>
      <c r="R713" s="30"/>
      <c r="S713" s="30">
        <f>ABS(Q713)/'İtme Analizi'!$G$17</f>
        <v>0</v>
      </c>
      <c r="T713" s="30">
        <f>ABS(R713)/'İtme Analizi'!$G$14</f>
        <v>0</v>
      </c>
      <c r="U713" s="30">
        <f t="shared" ref="U713:U776" si="13">U712+(S713-S712)*((T713+T712)/2)</f>
        <v>9.2950204584968388E-5</v>
      </c>
    </row>
    <row r="714" spans="16:21" ht="13.9" customHeight="1" x14ac:dyDescent="0.2">
      <c r="P714" s="27"/>
      <c r="Q714" s="30"/>
      <c r="R714" s="30"/>
      <c r="S714" s="30">
        <f>ABS(Q714)/'İtme Analizi'!$G$17</f>
        <v>0</v>
      </c>
      <c r="T714" s="30">
        <f>ABS(R714)/'İtme Analizi'!$G$14</f>
        <v>0</v>
      </c>
      <c r="U714" s="30">
        <f t="shared" si="13"/>
        <v>9.2950204584968388E-5</v>
      </c>
    </row>
    <row r="715" spans="16:21" ht="13.9" customHeight="1" x14ac:dyDescent="0.2">
      <c r="P715" s="27"/>
      <c r="Q715" s="30"/>
      <c r="R715" s="30"/>
      <c r="S715" s="30">
        <f>ABS(Q715)/'İtme Analizi'!$G$17</f>
        <v>0</v>
      </c>
      <c r="T715" s="30">
        <f>ABS(R715)/'İtme Analizi'!$G$14</f>
        <v>0</v>
      </c>
      <c r="U715" s="30">
        <f t="shared" si="13"/>
        <v>9.2950204584968388E-5</v>
      </c>
    </row>
    <row r="716" spans="16:21" ht="13.9" customHeight="1" x14ac:dyDescent="0.2">
      <c r="P716" s="27"/>
      <c r="Q716" s="30"/>
      <c r="R716" s="30"/>
      <c r="S716" s="30">
        <f>ABS(Q716)/'İtme Analizi'!$G$17</f>
        <v>0</v>
      </c>
      <c r="T716" s="30">
        <f>ABS(R716)/'İtme Analizi'!$G$14</f>
        <v>0</v>
      </c>
      <c r="U716" s="30">
        <f t="shared" si="13"/>
        <v>9.2950204584968388E-5</v>
      </c>
    </row>
    <row r="717" spans="16:21" ht="13.9" customHeight="1" x14ac:dyDescent="0.2">
      <c r="P717" s="27"/>
      <c r="Q717" s="30"/>
      <c r="R717" s="30"/>
      <c r="S717" s="30">
        <f>ABS(Q717)/'İtme Analizi'!$G$17</f>
        <v>0</v>
      </c>
      <c r="T717" s="30">
        <f>ABS(R717)/'İtme Analizi'!$G$14</f>
        <v>0</v>
      </c>
      <c r="U717" s="30">
        <f t="shared" si="13"/>
        <v>9.2950204584968388E-5</v>
      </c>
    </row>
    <row r="718" spans="16:21" ht="13.9" customHeight="1" x14ac:dyDescent="0.2">
      <c r="P718" s="27"/>
      <c r="Q718" s="30"/>
      <c r="R718" s="30"/>
      <c r="S718" s="30">
        <f>ABS(Q718)/'İtme Analizi'!$G$17</f>
        <v>0</v>
      </c>
      <c r="T718" s="30">
        <f>ABS(R718)/'İtme Analizi'!$G$14</f>
        <v>0</v>
      </c>
      <c r="U718" s="30">
        <f t="shared" si="13"/>
        <v>9.2950204584968388E-5</v>
      </c>
    </row>
    <row r="719" spans="16:21" ht="13.9" customHeight="1" x14ac:dyDescent="0.2">
      <c r="P719" s="27"/>
      <c r="Q719" s="30"/>
      <c r="R719" s="30"/>
      <c r="S719" s="30">
        <f>ABS(Q719)/'İtme Analizi'!$G$17</f>
        <v>0</v>
      </c>
      <c r="T719" s="30">
        <f>ABS(R719)/'İtme Analizi'!$G$14</f>
        <v>0</v>
      </c>
      <c r="U719" s="30">
        <f t="shared" si="13"/>
        <v>9.2950204584968388E-5</v>
      </c>
    </row>
    <row r="720" spans="16:21" ht="13.9" customHeight="1" x14ac:dyDescent="0.2">
      <c r="P720" s="27"/>
      <c r="Q720" s="30"/>
      <c r="R720" s="30"/>
      <c r="S720" s="30">
        <f>ABS(Q720)/'İtme Analizi'!$G$17</f>
        <v>0</v>
      </c>
      <c r="T720" s="30">
        <f>ABS(R720)/'İtme Analizi'!$G$14</f>
        <v>0</v>
      </c>
      <c r="U720" s="30">
        <f t="shared" si="13"/>
        <v>9.2950204584968388E-5</v>
      </c>
    </row>
    <row r="721" spans="16:21" ht="13.9" customHeight="1" x14ac:dyDescent="0.2">
      <c r="P721" s="27"/>
      <c r="Q721" s="30"/>
      <c r="R721" s="30"/>
      <c r="S721" s="30">
        <f>ABS(Q721)/'İtme Analizi'!$G$17</f>
        <v>0</v>
      </c>
      <c r="T721" s="30">
        <f>ABS(R721)/'İtme Analizi'!$G$14</f>
        <v>0</v>
      </c>
      <c r="U721" s="30">
        <f t="shared" si="13"/>
        <v>9.2950204584968388E-5</v>
      </c>
    </row>
    <row r="722" spans="16:21" ht="13.9" customHeight="1" x14ac:dyDescent="0.2">
      <c r="P722" s="27"/>
      <c r="Q722" s="30"/>
      <c r="R722" s="30"/>
      <c r="S722" s="30">
        <f>ABS(Q722)/'İtme Analizi'!$G$17</f>
        <v>0</v>
      </c>
      <c r="T722" s="30">
        <f>ABS(R722)/'İtme Analizi'!$G$14</f>
        <v>0</v>
      </c>
      <c r="U722" s="30">
        <f t="shared" si="13"/>
        <v>9.2950204584968388E-5</v>
      </c>
    </row>
    <row r="723" spans="16:21" ht="13.9" customHeight="1" x14ac:dyDescent="0.2">
      <c r="P723" s="27"/>
      <c r="Q723" s="30"/>
      <c r="R723" s="30"/>
      <c r="S723" s="30">
        <f>ABS(Q723)/'İtme Analizi'!$G$17</f>
        <v>0</v>
      </c>
      <c r="T723" s="30">
        <f>ABS(R723)/'İtme Analizi'!$G$14</f>
        <v>0</v>
      </c>
      <c r="U723" s="30">
        <f t="shared" si="13"/>
        <v>9.2950204584968388E-5</v>
      </c>
    </row>
    <row r="724" spans="16:21" ht="13.9" customHeight="1" x14ac:dyDescent="0.2">
      <c r="P724" s="27"/>
      <c r="Q724" s="30"/>
      <c r="R724" s="30"/>
      <c r="S724" s="30">
        <f>ABS(Q724)/'İtme Analizi'!$G$17</f>
        <v>0</v>
      </c>
      <c r="T724" s="30">
        <f>ABS(R724)/'İtme Analizi'!$G$14</f>
        <v>0</v>
      </c>
      <c r="U724" s="30">
        <f t="shared" si="13"/>
        <v>9.2950204584968388E-5</v>
      </c>
    </row>
    <row r="725" spans="16:21" ht="13.9" customHeight="1" x14ac:dyDescent="0.2">
      <c r="P725" s="27"/>
      <c r="Q725" s="30"/>
      <c r="R725" s="30"/>
      <c r="S725" s="30">
        <f>ABS(Q725)/'İtme Analizi'!$G$17</f>
        <v>0</v>
      </c>
      <c r="T725" s="30">
        <f>ABS(R725)/'İtme Analizi'!$G$14</f>
        <v>0</v>
      </c>
      <c r="U725" s="30">
        <f t="shared" si="13"/>
        <v>9.2950204584968388E-5</v>
      </c>
    </row>
    <row r="726" spans="16:21" ht="13.9" customHeight="1" x14ac:dyDescent="0.2">
      <c r="P726" s="27"/>
      <c r="Q726" s="30"/>
      <c r="R726" s="30"/>
      <c r="S726" s="30">
        <f>ABS(Q726)/'İtme Analizi'!$G$17</f>
        <v>0</v>
      </c>
      <c r="T726" s="30">
        <f>ABS(R726)/'İtme Analizi'!$G$14</f>
        <v>0</v>
      </c>
      <c r="U726" s="30">
        <f t="shared" si="13"/>
        <v>9.2950204584968388E-5</v>
      </c>
    </row>
    <row r="727" spans="16:21" ht="13.9" customHeight="1" x14ac:dyDescent="0.2">
      <c r="P727" s="27"/>
      <c r="Q727" s="30"/>
      <c r="R727" s="30"/>
      <c r="S727" s="30">
        <f>ABS(Q727)/'İtme Analizi'!$G$17</f>
        <v>0</v>
      </c>
      <c r="T727" s="30">
        <f>ABS(R727)/'İtme Analizi'!$G$14</f>
        <v>0</v>
      </c>
      <c r="U727" s="30">
        <f t="shared" si="13"/>
        <v>9.2950204584968388E-5</v>
      </c>
    </row>
    <row r="728" spans="16:21" ht="13.9" customHeight="1" x14ac:dyDescent="0.2">
      <c r="P728" s="27"/>
      <c r="Q728" s="30"/>
      <c r="R728" s="30"/>
      <c r="S728" s="30">
        <f>ABS(Q728)/'İtme Analizi'!$G$17</f>
        <v>0</v>
      </c>
      <c r="T728" s="30">
        <f>ABS(R728)/'İtme Analizi'!$G$14</f>
        <v>0</v>
      </c>
      <c r="U728" s="30">
        <f t="shared" si="13"/>
        <v>9.2950204584968388E-5</v>
      </c>
    </row>
    <row r="729" spans="16:21" ht="13.9" customHeight="1" x14ac:dyDescent="0.2">
      <c r="P729" s="27"/>
      <c r="Q729" s="30"/>
      <c r="R729" s="30"/>
      <c r="S729" s="30">
        <f>ABS(Q729)/'İtme Analizi'!$G$17</f>
        <v>0</v>
      </c>
      <c r="T729" s="30">
        <f>ABS(R729)/'İtme Analizi'!$G$14</f>
        <v>0</v>
      </c>
      <c r="U729" s="30">
        <f t="shared" si="13"/>
        <v>9.2950204584968388E-5</v>
      </c>
    </row>
    <row r="730" spans="16:21" ht="13.9" customHeight="1" x14ac:dyDescent="0.2">
      <c r="P730" s="27"/>
      <c r="Q730" s="30"/>
      <c r="R730" s="30"/>
      <c r="S730" s="30">
        <f>ABS(Q730)/'İtme Analizi'!$G$17</f>
        <v>0</v>
      </c>
      <c r="T730" s="30">
        <f>ABS(R730)/'İtme Analizi'!$G$14</f>
        <v>0</v>
      </c>
      <c r="U730" s="30">
        <f t="shared" si="13"/>
        <v>9.2950204584968388E-5</v>
      </c>
    </row>
    <row r="731" spans="16:21" ht="13.9" customHeight="1" x14ac:dyDescent="0.2">
      <c r="P731" s="27"/>
      <c r="Q731" s="30"/>
      <c r="R731" s="30"/>
      <c r="S731" s="30">
        <f>ABS(Q731)/'İtme Analizi'!$G$17</f>
        <v>0</v>
      </c>
      <c r="T731" s="30">
        <f>ABS(R731)/'İtme Analizi'!$G$14</f>
        <v>0</v>
      </c>
      <c r="U731" s="30">
        <f t="shared" si="13"/>
        <v>9.2950204584968388E-5</v>
      </c>
    </row>
    <row r="732" spans="16:21" ht="13.9" customHeight="1" x14ac:dyDescent="0.2">
      <c r="P732" s="27"/>
      <c r="Q732" s="30"/>
      <c r="R732" s="30"/>
      <c r="S732" s="30">
        <f>ABS(Q732)/'İtme Analizi'!$G$17</f>
        <v>0</v>
      </c>
      <c r="T732" s="30">
        <f>ABS(R732)/'İtme Analizi'!$G$14</f>
        <v>0</v>
      </c>
      <c r="U732" s="30">
        <f t="shared" si="13"/>
        <v>9.2950204584968388E-5</v>
      </c>
    </row>
    <row r="733" spans="16:21" ht="13.9" customHeight="1" x14ac:dyDescent="0.2">
      <c r="P733" s="27"/>
      <c r="Q733" s="30"/>
      <c r="R733" s="30"/>
      <c r="S733" s="30">
        <f>ABS(Q733)/'İtme Analizi'!$G$17</f>
        <v>0</v>
      </c>
      <c r="T733" s="30">
        <f>ABS(R733)/'İtme Analizi'!$G$14</f>
        <v>0</v>
      </c>
      <c r="U733" s="30">
        <f t="shared" si="13"/>
        <v>9.2950204584968388E-5</v>
      </c>
    </row>
    <row r="734" spans="16:21" ht="13.9" customHeight="1" x14ac:dyDescent="0.2">
      <c r="P734" s="27"/>
      <c r="Q734" s="30"/>
      <c r="R734" s="30"/>
      <c r="S734" s="30">
        <f>ABS(Q734)/'İtme Analizi'!$G$17</f>
        <v>0</v>
      </c>
      <c r="T734" s="30">
        <f>ABS(R734)/'İtme Analizi'!$G$14</f>
        <v>0</v>
      </c>
      <c r="U734" s="30">
        <f t="shared" si="13"/>
        <v>9.2950204584968388E-5</v>
      </c>
    </row>
    <row r="735" spans="16:21" ht="13.9" customHeight="1" x14ac:dyDescent="0.2">
      <c r="P735" s="27"/>
      <c r="Q735" s="30"/>
      <c r="R735" s="30"/>
      <c r="S735" s="30">
        <f>ABS(Q735)/'İtme Analizi'!$G$17</f>
        <v>0</v>
      </c>
      <c r="T735" s="30">
        <f>ABS(R735)/'İtme Analizi'!$G$14</f>
        <v>0</v>
      </c>
      <c r="U735" s="30">
        <f t="shared" si="13"/>
        <v>9.2950204584968388E-5</v>
      </c>
    </row>
    <row r="736" spans="16:21" ht="13.9" customHeight="1" x14ac:dyDescent="0.2">
      <c r="P736" s="27"/>
      <c r="Q736" s="30"/>
      <c r="R736" s="30"/>
      <c r="S736" s="30">
        <f>ABS(Q736)/'İtme Analizi'!$G$17</f>
        <v>0</v>
      </c>
      <c r="T736" s="30">
        <f>ABS(R736)/'İtme Analizi'!$G$14</f>
        <v>0</v>
      </c>
      <c r="U736" s="30">
        <f t="shared" si="13"/>
        <v>9.2950204584968388E-5</v>
      </c>
    </row>
    <row r="737" spans="16:21" ht="13.9" customHeight="1" x14ac:dyDescent="0.2">
      <c r="P737" s="27"/>
      <c r="Q737" s="30"/>
      <c r="R737" s="30"/>
      <c r="S737" s="30">
        <f>ABS(Q737)/'İtme Analizi'!$G$17</f>
        <v>0</v>
      </c>
      <c r="T737" s="30">
        <f>ABS(R737)/'İtme Analizi'!$G$14</f>
        <v>0</v>
      </c>
      <c r="U737" s="30">
        <f t="shared" si="13"/>
        <v>9.2950204584968388E-5</v>
      </c>
    </row>
    <row r="738" spans="16:21" ht="13.9" customHeight="1" x14ac:dyDescent="0.2">
      <c r="P738" s="27"/>
      <c r="Q738" s="30"/>
      <c r="R738" s="30"/>
      <c r="S738" s="30">
        <f>ABS(Q738)/'İtme Analizi'!$G$17</f>
        <v>0</v>
      </c>
      <c r="T738" s="30">
        <f>ABS(R738)/'İtme Analizi'!$G$14</f>
        <v>0</v>
      </c>
      <c r="U738" s="30">
        <f t="shared" si="13"/>
        <v>9.2950204584968388E-5</v>
      </c>
    </row>
    <row r="739" spans="16:21" ht="13.9" customHeight="1" x14ac:dyDescent="0.2">
      <c r="P739" s="27"/>
      <c r="Q739" s="30"/>
      <c r="R739" s="30"/>
      <c r="S739" s="30">
        <f>ABS(Q739)/'İtme Analizi'!$G$17</f>
        <v>0</v>
      </c>
      <c r="T739" s="30">
        <f>ABS(R739)/'İtme Analizi'!$G$14</f>
        <v>0</v>
      </c>
      <c r="U739" s="30">
        <f t="shared" si="13"/>
        <v>9.2950204584968388E-5</v>
      </c>
    </row>
    <row r="740" spans="16:21" ht="13.9" customHeight="1" x14ac:dyDescent="0.2">
      <c r="P740" s="27"/>
      <c r="Q740" s="30"/>
      <c r="R740" s="30"/>
      <c r="S740" s="30">
        <f>ABS(Q740)/'İtme Analizi'!$G$17</f>
        <v>0</v>
      </c>
      <c r="T740" s="30">
        <f>ABS(R740)/'İtme Analizi'!$G$14</f>
        <v>0</v>
      </c>
      <c r="U740" s="30">
        <f t="shared" si="13"/>
        <v>9.2950204584968388E-5</v>
      </c>
    </row>
    <row r="741" spans="16:21" ht="13.9" customHeight="1" x14ac:dyDescent="0.2">
      <c r="P741" s="27"/>
      <c r="Q741" s="30"/>
      <c r="R741" s="30"/>
      <c r="S741" s="30">
        <f>ABS(Q741)/'İtme Analizi'!$G$17</f>
        <v>0</v>
      </c>
      <c r="T741" s="30">
        <f>ABS(R741)/'İtme Analizi'!$G$14</f>
        <v>0</v>
      </c>
      <c r="U741" s="30">
        <f t="shared" si="13"/>
        <v>9.2950204584968388E-5</v>
      </c>
    </row>
    <row r="742" spans="16:21" ht="13.9" customHeight="1" x14ac:dyDescent="0.2">
      <c r="P742" s="27"/>
      <c r="Q742" s="30"/>
      <c r="R742" s="30"/>
      <c r="S742" s="30">
        <f>ABS(Q742)/'İtme Analizi'!$G$17</f>
        <v>0</v>
      </c>
      <c r="T742" s="30">
        <f>ABS(R742)/'İtme Analizi'!$G$14</f>
        <v>0</v>
      </c>
      <c r="U742" s="30">
        <f t="shared" si="13"/>
        <v>9.2950204584968388E-5</v>
      </c>
    </row>
    <row r="743" spans="16:21" ht="13.9" customHeight="1" x14ac:dyDescent="0.2">
      <c r="P743" s="27"/>
      <c r="Q743" s="30"/>
      <c r="R743" s="30"/>
      <c r="S743" s="30">
        <f>ABS(Q743)/'İtme Analizi'!$G$17</f>
        <v>0</v>
      </c>
      <c r="T743" s="30">
        <f>ABS(R743)/'İtme Analizi'!$G$14</f>
        <v>0</v>
      </c>
      <c r="U743" s="30">
        <f t="shared" si="13"/>
        <v>9.2950204584968388E-5</v>
      </c>
    </row>
    <row r="744" spans="16:21" ht="13.9" customHeight="1" x14ac:dyDescent="0.2">
      <c r="P744" s="27"/>
      <c r="Q744" s="30"/>
      <c r="R744" s="30"/>
      <c r="S744" s="30">
        <f>ABS(Q744)/'İtme Analizi'!$G$17</f>
        <v>0</v>
      </c>
      <c r="T744" s="30">
        <f>ABS(R744)/'İtme Analizi'!$G$14</f>
        <v>0</v>
      </c>
      <c r="U744" s="30">
        <f t="shared" si="13"/>
        <v>9.2950204584968388E-5</v>
      </c>
    </row>
    <row r="745" spans="16:21" ht="13.9" customHeight="1" x14ac:dyDescent="0.2">
      <c r="P745" s="27"/>
      <c r="Q745" s="30"/>
      <c r="R745" s="30"/>
      <c r="S745" s="30">
        <f>ABS(Q745)/'İtme Analizi'!$G$17</f>
        <v>0</v>
      </c>
      <c r="T745" s="30">
        <f>ABS(R745)/'İtme Analizi'!$G$14</f>
        <v>0</v>
      </c>
      <c r="U745" s="30">
        <f t="shared" si="13"/>
        <v>9.2950204584968388E-5</v>
      </c>
    </row>
    <row r="746" spans="16:21" ht="13.9" customHeight="1" x14ac:dyDescent="0.2">
      <c r="P746" s="27"/>
      <c r="Q746" s="30"/>
      <c r="R746" s="30"/>
      <c r="S746" s="30">
        <f>ABS(Q746)/'İtme Analizi'!$G$17</f>
        <v>0</v>
      </c>
      <c r="T746" s="30">
        <f>ABS(R746)/'İtme Analizi'!$G$14</f>
        <v>0</v>
      </c>
      <c r="U746" s="30">
        <f t="shared" si="13"/>
        <v>9.2950204584968388E-5</v>
      </c>
    </row>
    <row r="747" spans="16:21" ht="13.9" customHeight="1" x14ac:dyDescent="0.2">
      <c r="P747" s="27"/>
      <c r="Q747" s="30"/>
      <c r="R747" s="30"/>
      <c r="S747" s="30">
        <f>ABS(Q747)/'İtme Analizi'!$G$17</f>
        <v>0</v>
      </c>
      <c r="T747" s="30">
        <f>ABS(R747)/'İtme Analizi'!$G$14</f>
        <v>0</v>
      </c>
      <c r="U747" s="30">
        <f t="shared" si="13"/>
        <v>9.2950204584968388E-5</v>
      </c>
    </row>
    <row r="748" spans="16:21" ht="13.9" customHeight="1" x14ac:dyDescent="0.2">
      <c r="P748" s="27"/>
      <c r="Q748" s="30"/>
      <c r="R748" s="30"/>
      <c r="S748" s="30">
        <f>ABS(Q748)/'İtme Analizi'!$G$17</f>
        <v>0</v>
      </c>
      <c r="T748" s="30">
        <f>ABS(R748)/'İtme Analizi'!$G$14</f>
        <v>0</v>
      </c>
      <c r="U748" s="30">
        <f t="shared" si="13"/>
        <v>9.2950204584968388E-5</v>
      </c>
    </row>
    <row r="749" spans="16:21" ht="13.9" customHeight="1" x14ac:dyDescent="0.2">
      <c r="P749" s="27"/>
      <c r="Q749" s="30"/>
      <c r="R749" s="30"/>
      <c r="S749" s="30">
        <f>ABS(Q749)/'İtme Analizi'!$G$17</f>
        <v>0</v>
      </c>
      <c r="T749" s="30">
        <f>ABS(R749)/'İtme Analizi'!$G$14</f>
        <v>0</v>
      </c>
      <c r="U749" s="30">
        <f t="shared" si="13"/>
        <v>9.2950204584968388E-5</v>
      </c>
    </row>
    <row r="750" spans="16:21" ht="13.9" customHeight="1" x14ac:dyDescent="0.2">
      <c r="P750" s="27"/>
      <c r="Q750" s="30"/>
      <c r="R750" s="30"/>
      <c r="S750" s="30">
        <f>ABS(Q750)/'İtme Analizi'!$G$17</f>
        <v>0</v>
      </c>
      <c r="T750" s="30">
        <f>ABS(R750)/'İtme Analizi'!$G$14</f>
        <v>0</v>
      </c>
      <c r="U750" s="30">
        <f t="shared" si="13"/>
        <v>9.2950204584968388E-5</v>
      </c>
    </row>
    <row r="751" spans="16:21" ht="13.9" customHeight="1" x14ac:dyDescent="0.2">
      <c r="P751" s="27"/>
      <c r="Q751" s="30"/>
      <c r="R751" s="30"/>
      <c r="S751" s="30">
        <f>ABS(Q751)/'İtme Analizi'!$G$17</f>
        <v>0</v>
      </c>
      <c r="T751" s="30">
        <f>ABS(R751)/'İtme Analizi'!$G$14</f>
        <v>0</v>
      </c>
      <c r="U751" s="30">
        <f t="shared" si="13"/>
        <v>9.2950204584968388E-5</v>
      </c>
    </row>
    <row r="752" spans="16:21" ht="13.9" customHeight="1" x14ac:dyDescent="0.2">
      <c r="P752" s="27"/>
      <c r="Q752" s="30"/>
      <c r="R752" s="30"/>
      <c r="S752" s="30">
        <f>ABS(Q752)/'İtme Analizi'!$G$17</f>
        <v>0</v>
      </c>
      <c r="T752" s="30">
        <f>ABS(R752)/'İtme Analizi'!$G$14</f>
        <v>0</v>
      </c>
      <c r="U752" s="30">
        <f t="shared" si="13"/>
        <v>9.2950204584968388E-5</v>
      </c>
    </row>
    <row r="753" spans="16:21" ht="13.9" customHeight="1" x14ac:dyDescent="0.2">
      <c r="P753" s="27"/>
      <c r="Q753" s="30"/>
      <c r="R753" s="30"/>
      <c r="S753" s="30">
        <f>ABS(Q753)/'İtme Analizi'!$G$17</f>
        <v>0</v>
      </c>
      <c r="T753" s="30">
        <f>ABS(R753)/'İtme Analizi'!$G$14</f>
        <v>0</v>
      </c>
      <c r="U753" s="30">
        <f t="shared" si="13"/>
        <v>9.2950204584968388E-5</v>
      </c>
    </row>
    <row r="754" spans="16:21" ht="13.9" customHeight="1" x14ac:dyDescent="0.2">
      <c r="P754" s="27"/>
      <c r="Q754" s="30"/>
      <c r="R754" s="30"/>
      <c r="S754" s="30">
        <f>ABS(Q754)/'İtme Analizi'!$G$17</f>
        <v>0</v>
      </c>
      <c r="T754" s="30">
        <f>ABS(R754)/'İtme Analizi'!$G$14</f>
        <v>0</v>
      </c>
      <c r="U754" s="30">
        <f t="shared" si="13"/>
        <v>9.2950204584968388E-5</v>
      </c>
    </row>
    <row r="755" spans="16:21" ht="13.9" customHeight="1" x14ac:dyDescent="0.2">
      <c r="P755" s="27"/>
      <c r="Q755" s="30"/>
      <c r="R755" s="30"/>
      <c r="S755" s="30">
        <f>ABS(Q755)/'İtme Analizi'!$G$17</f>
        <v>0</v>
      </c>
      <c r="T755" s="30">
        <f>ABS(R755)/'İtme Analizi'!$G$14</f>
        <v>0</v>
      </c>
      <c r="U755" s="30">
        <f t="shared" si="13"/>
        <v>9.2950204584968388E-5</v>
      </c>
    </row>
    <row r="756" spans="16:21" ht="13.9" customHeight="1" x14ac:dyDescent="0.2">
      <c r="P756" s="27"/>
      <c r="Q756" s="30"/>
      <c r="R756" s="30"/>
      <c r="S756" s="30">
        <f>ABS(Q756)/'İtme Analizi'!$G$17</f>
        <v>0</v>
      </c>
      <c r="T756" s="30">
        <f>ABS(R756)/'İtme Analizi'!$G$14</f>
        <v>0</v>
      </c>
      <c r="U756" s="30">
        <f t="shared" si="13"/>
        <v>9.2950204584968388E-5</v>
      </c>
    </row>
    <row r="757" spans="16:21" ht="13.9" customHeight="1" x14ac:dyDescent="0.2">
      <c r="P757" s="27"/>
      <c r="Q757" s="30"/>
      <c r="R757" s="30"/>
      <c r="S757" s="30">
        <f>ABS(Q757)/'İtme Analizi'!$G$17</f>
        <v>0</v>
      </c>
      <c r="T757" s="30">
        <f>ABS(R757)/'İtme Analizi'!$G$14</f>
        <v>0</v>
      </c>
      <c r="U757" s="30">
        <f t="shared" si="13"/>
        <v>9.2950204584968388E-5</v>
      </c>
    </row>
    <row r="758" spans="16:21" ht="13.9" customHeight="1" x14ac:dyDescent="0.2">
      <c r="P758" s="27"/>
      <c r="Q758" s="30"/>
      <c r="R758" s="30"/>
      <c r="S758" s="30">
        <f>ABS(Q758)/'İtme Analizi'!$G$17</f>
        <v>0</v>
      </c>
      <c r="T758" s="30">
        <f>ABS(R758)/'İtme Analizi'!$G$14</f>
        <v>0</v>
      </c>
      <c r="U758" s="30">
        <f t="shared" si="13"/>
        <v>9.2950204584968388E-5</v>
      </c>
    </row>
    <row r="759" spans="16:21" ht="13.9" customHeight="1" x14ac:dyDescent="0.2">
      <c r="P759" s="27"/>
      <c r="Q759" s="30"/>
      <c r="R759" s="30"/>
      <c r="S759" s="30">
        <f>ABS(Q759)/'İtme Analizi'!$G$17</f>
        <v>0</v>
      </c>
      <c r="T759" s="30">
        <f>ABS(R759)/'İtme Analizi'!$G$14</f>
        <v>0</v>
      </c>
      <c r="U759" s="30">
        <f t="shared" si="13"/>
        <v>9.2950204584968388E-5</v>
      </c>
    </row>
    <row r="760" spans="16:21" ht="13.9" customHeight="1" x14ac:dyDescent="0.2">
      <c r="P760" s="27"/>
      <c r="Q760" s="30"/>
      <c r="R760" s="30"/>
      <c r="S760" s="30">
        <f>ABS(Q760)/'İtme Analizi'!$G$17</f>
        <v>0</v>
      </c>
      <c r="T760" s="30">
        <f>ABS(R760)/'İtme Analizi'!$G$14</f>
        <v>0</v>
      </c>
      <c r="U760" s="30">
        <f t="shared" si="13"/>
        <v>9.2950204584968388E-5</v>
      </c>
    </row>
    <row r="761" spans="16:21" ht="13.9" customHeight="1" x14ac:dyDescent="0.2">
      <c r="P761" s="27"/>
      <c r="Q761" s="30"/>
      <c r="R761" s="30"/>
      <c r="S761" s="30">
        <f>ABS(Q761)/'İtme Analizi'!$G$17</f>
        <v>0</v>
      </c>
      <c r="T761" s="30">
        <f>ABS(R761)/'İtme Analizi'!$G$14</f>
        <v>0</v>
      </c>
      <c r="U761" s="30">
        <f t="shared" si="13"/>
        <v>9.2950204584968388E-5</v>
      </c>
    </row>
    <row r="762" spans="16:21" ht="13.9" customHeight="1" x14ac:dyDescent="0.2">
      <c r="P762" s="27"/>
      <c r="Q762" s="30"/>
      <c r="R762" s="30"/>
      <c r="S762" s="30">
        <f>ABS(Q762)/'İtme Analizi'!$G$17</f>
        <v>0</v>
      </c>
      <c r="T762" s="30">
        <f>ABS(R762)/'İtme Analizi'!$G$14</f>
        <v>0</v>
      </c>
      <c r="U762" s="30">
        <f t="shared" si="13"/>
        <v>9.2950204584968388E-5</v>
      </c>
    </row>
    <row r="763" spans="16:21" ht="13.9" customHeight="1" x14ac:dyDescent="0.2">
      <c r="P763" s="27"/>
      <c r="Q763" s="30"/>
      <c r="R763" s="30"/>
      <c r="S763" s="30">
        <f>ABS(Q763)/'İtme Analizi'!$G$17</f>
        <v>0</v>
      </c>
      <c r="T763" s="30">
        <f>ABS(R763)/'İtme Analizi'!$G$14</f>
        <v>0</v>
      </c>
      <c r="U763" s="30">
        <f t="shared" si="13"/>
        <v>9.2950204584968388E-5</v>
      </c>
    </row>
    <row r="764" spans="16:21" ht="13.9" customHeight="1" x14ac:dyDescent="0.2">
      <c r="P764" s="27"/>
      <c r="Q764" s="30"/>
      <c r="R764" s="30"/>
      <c r="S764" s="30">
        <f>ABS(Q764)/'İtme Analizi'!$G$17</f>
        <v>0</v>
      </c>
      <c r="T764" s="30">
        <f>ABS(R764)/'İtme Analizi'!$G$14</f>
        <v>0</v>
      </c>
      <c r="U764" s="30">
        <f t="shared" si="13"/>
        <v>9.2950204584968388E-5</v>
      </c>
    </row>
    <row r="765" spans="16:21" ht="13.9" customHeight="1" x14ac:dyDescent="0.2">
      <c r="P765" s="27"/>
      <c r="Q765" s="30"/>
      <c r="R765" s="30"/>
      <c r="S765" s="30">
        <f>ABS(Q765)/'İtme Analizi'!$G$17</f>
        <v>0</v>
      </c>
      <c r="T765" s="30">
        <f>ABS(R765)/'İtme Analizi'!$G$14</f>
        <v>0</v>
      </c>
      <c r="U765" s="30">
        <f t="shared" si="13"/>
        <v>9.2950204584968388E-5</v>
      </c>
    </row>
    <row r="766" spans="16:21" ht="13.9" customHeight="1" x14ac:dyDescent="0.2">
      <c r="P766" s="27"/>
      <c r="Q766" s="30"/>
      <c r="R766" s="30"/>
      <c r="S766" s="30">
        <f>ABS(Q766)/'İtme Analizi'!$G$17</f>
        <v>0</v>
      </c>
      <c r="T766" s="30">
        <f>ABS(R766)/'İtme Analizi'!$G$14</f>
        <v>0</v>
      </c>
      <c r="U766" s="30">
        <f t="shared" si="13"/>
        <v>9.2950204584968388E-5</v>
      </c>
    </row>
    <row r="767" spans="16:21" ht="13.9" customHeight="1" x14ac:dyDescent="0.2">
      <c r="P767" s="27"/>
      <c r="Q767" s="30"/>
      <c r="R767" s="30"/>
      <c r="S767" s="30">
        <f>ABS(Q767)/'İtme Analizi'!$G$17</f>
        <v>0</v>
      </c>
      <c r="T767" s="30">
        <f>ABS(R767)/'İtme Analizi'!$G$14</f>
        <v>0</v>
      </c>
      <c r="U767" s="30">
        <f t="shared" si="13"/>
        <v>9.2950204584968388E-5</v>
      </c>
    </row>
    <row r="768" spans="16:21" ht="13.9" customHeight="1" x14ac:dyDescent="0.2">
      <c r="P768" s="27"/>
      <c r="Q768" s="30"/>
      <c r="R768" s="30"/>
      <c r="S768" s="30">
        <f>ABS(Q768)/'İtme Analizi'!$G$17</f>
        <v>0</v>
      </c>
      <c r="T768" s="30">
        <f>ABS(R768)/'İtme Analizi'!$G$14</f>
        <v>0</v>
      </c>
      <c r="U768" s="30">
        <f t="shared" si="13"/>
        <v>9.2950204584968388E-5</v>
      </c>
    </row>
    <row r="769" spans="16:21" ht="13.9" customHeight="1" x14ac:dyDescent="0.2">
      <c r="P769" s="27"/>
      <c r="Q769" s="30"/>
      <c r="R769" s="30"/>
      <c r="S769" s="30">
        <f>ABS(Q769)/'İtme Analizi'!$G$17</f>
        <v>0</v>
      </c>
      <c r="T769" s="30">
        <f>ABS(R769)/'İtme Analizi'!$G$14</f>
        <v>0</v>
      </c>
      <c r="U769" s="30">
        <f t="shared" si="13"/>
        <v>9.2950204584968388E-5</v>
      </c>
    </row>
    <row r="770" spans="16:21" ht="13.9" customHeight="1" x14ac:dyDescent="0.2">
      <c r="P770" s="27"/>
      <c r="Q770" s="30"/>
      <c r="R770" s="30"/>
      <c r="S770" s="30">
        <f>ABS(Q770)/'İtme Analizi'!$G$17</f>
        <v>0</v>
      </c>
      <c r="T770" s="30">
        <f>ABS(R770)/'İtme Analizi'!$G$14</f>
        <v>0</v>
      </c>
      <c r="U770" s="30">
        <f t="shared" si="13"/>
        <v>9.2950204584968388E-5</v>
      </c>
    </row>
    <row r="771" spans="16:21" ht="13.9" customHeight="1" x14ac:dyDescent="0.2">
      <c r="P771" s="27"/>
      <c r="Q771" s="30"/>
      <c r="R771" s="30"/>
      <c r="S771" s="30">
        <f>ABS(Q771)/'İtme Analizi'!$G$17</f>
        <v>0</v>
      </c>
      <c r="T771" s="30">
        <f>ABS(R771)/'İtme Analizi'!$G$14</f>
        <v>0</v>
      </c>
      <c r="U771" s="30">
        <f t="shared" si="13"/>
        <v>9.2950204584968388E-5</v>
      </c>
    </row>
    <row r="772" spans="16:21" ht="13.9" customHeight="1" x14ac:dyDescent="0.2">
      <c r="P772" s="27"/>
      <c r="Q772" s="30"/>
      <c r="R772" s="30"/>
      <c r="S772" s="30">
        <f>ABS(Q772)/'İtme Analizi'!$G$17</f>
        <v>0</v>
      </c>
      <c r="T772" s="30">
        <f>ABS(R772)/'İtme Analizi'!$G$14</f>
        <v>0</v>
      </c>
      <c r="U772" s="30">
        <f t="shared" si="13"/>
        <v>9.2950204584968388E-5</v>
      </c>
    </row>
    <row r="773" spans="16:21" ht="13.9" customHeight="1" x14ac:dyDescent="0.2">
      <c r="P773" s="27"/>
      <c r="Q773" s="30"/>
      <c r="R773" s="30"/>
      <c r="S773" s="30">
        <f>ABS(Q773)/'İtme Analizi'!$G$17</f>
        <v>0</v>
      </c>
      <c r="T773" s="30">
        <f>ABS(R773)/'İtme Analizi'!$G$14</f>
        <v>0</v>
      </c>
      <c r="U773" s="30">
        <f t="shared" si="13"/>
        <v>9.2950204584968388E-5</v>
      </c>
    </row>
    <row r="774" spans="16:21" ht="13.9" customHeight="1" x14ac:dyDescent="0.2">
      <c r="P774" s="27"/>
      <c r="Q774" s="30"/>
      <c r="R774" s="30"/>
      <c r="S774" s="30">
        <f>ABS(Q774)/'İtme Analizi'!$G$17</f>
        <v>0</v>
      </c>
      <c r="T774" s="30">
        <f>ABS(R774)/'İtme Analizi'!$G$14</f>
        <v>0</v>
      </c>
      <c r="U774" s="30">
        <f t="shared" si="13"/>
        <v>9.2950204584968388E-5</v>
      </c>
    </row>
    <row r="775" spans="16:21" ht="13.9" customHeight="1" x14ac:dyDescent="0.2">
      <c r="P775" s="27"/>
      <c r="Q775" s="30"/>
      <c r="R775" s="30"/>
      <c r="S775" s="30">
        <f>ABS(Q775)/'İtme Analizi'!$G$17</f>
        <v>0</v>
      </c>
      <c r="T775" s="30">
        <f>ABS(R775)/'İtme Analizi'!$G$14</f>
        <v>0</v>
      </c>
      <c r="U775" s="30">
        <f t="shared" si="13"/>
        <v>9.2950204584968388E-5</v>
      </c>
    </row>
    <row r="776" spans="16:21" ht="13.9" customHeight="1" x14ac:dyDescent="0.2">
      <c r="P776" s="27"/>
      <c r="Q776" s="30"/>
      <c r="R776" s="30"/>
      <c r="S776" s="30">
        <f>ABS(Q776)/'İtme Analizi'!$G$17</f>
        <v>0</v>
      </c>
      <c r="T776" s="30">
        <f>ABS(R776)/'İtme Analizi'!$G$14</f>
        <v>0</v>
      </c>
      <c r="U776" s="30">
        <f t="shared" si="13"/>
        <v>9.2950204584968388E-5</v>
      </c>
    </row>
    <row r="777" spans="16:21" ht="13.9" customHeight="1" x14ac:dyDescent="0.2">
      <c r="P777" s="27"/>
      <c r="Q777" s="30"/>
      <c r="R777" s="30"/>
      <c r="S777" s="30">
        <f>ABS(Q777)/'İtme Analizi'!$G$17</f>
        <v>0</v>
      </c>
      <c r="T777" s="30">
        <f>ABS(R777)/'İtme Analizi'!$G$14</f>
        <v>0</v>
      </c>
      <c r="U777" s="30">
        <f t="shared" ref="U777:U840" si="14">U776+(S777-S776)*((T777+T776)/2)</f>
        <v>9.2950204584968388E-5</v>
      </c>
    </row>
    <row r="778" spans="16:21" ht="13.9" customHeight="1" x14ac:dyDescent="0.2">
      <c r="P778" s="27"/>
      <c r="Q778" s="30"/>
      <c r="R778" s="30"/>
      <c r="S778" s="30">
        <f>ABS(Q778)/'İtme Analizi'!$G$17</f>
        <v>0</v>
      </c>
      <c r="T778" s="30">
        <f>ABS(R778)/'İtme Analizi'!$G$14</f>
        <v>0</v>
      </c>
      <c r="U778" s="30">
        <f t="shared" si="14"/>
        <v>9.2950204584968388E-5</v>
      </c>
    </row>
    <row r="779" spans="16:21" ht="13.9" customHeight="1" x14ac:dyDescent="0.2">
      <c r="P779" s="27"/>
      <c r="Q779" s="30"/>
      <c r="R779" s="30"/>
      <c r="S779" s="30">
        <f>ABS(Q779)/'İtme Analizi'!$G$17</f>
        <v>0</v>
      </c>
      <c r="T779" s="30">
        <f>ABS(R779)/'İtme Analizi'!$G$14</f>
        <v>0</v>
      </c>
      <c r="U779" s="30">
        <f t="shared" si="14"/>
        <v>9.2950204584968388E-5</v>
      </c>
    </row>
    <row r="780" spans="16:21" ht="13.9" customHeight="1" x14ac:dyDescent="0.2">
      <c r="P780" s="27"/>
      <c r="Q780" s="30"/>
      <c r="R780" s="30"/>
      <c r="S780" s="30">
        <f>ABS(Q780)/'İtme Analizi'!$G$17</f>
        <v>0</v>
      </c>
      <c r="T780" s="30">
        <f>ABS(R780)/'İtme Analizi'!$G$14</f>
        <v>0</v>
      </c>
      <c r="U780" s="30">
        <f t="shared" si="14"/>
        <v>9.2950204584968388E-5</v>
      </c>
    </row>
    <row r="781" spans="16:21" ht="13.9" customHeight="1" x14ac:dyDescent="0.2">
      <c r="P781" s="27"/>
      <c r="Q781" s="30"/>
      <c r="R781" s="30"/>
      <c r="S781" s="30">
        <f>ABS(Q781)/'İtme Analizi'!$G$17</f>
        <v>0</v>
      </c>
      <c r="T781" s="30">
        <f>ABS(R781)/'İtme Analizi'!$G$14</f>
        <v>0</v>
      </c>
      <c r="U781" s="30">
        <f t="shared" si="14"/>
        <v>9.2950204584968388E-5</v>
      </c>
    </row>
    <row r="782" spans="16:21" ht="13.9" customHeight="1" x14ac:dyDescent="0.2">
      <c r="P782" s="27"/>
      <c r="Q782" s="30"/>
      <c r="R782" s="30"/>
      <c r="S782" s="30">
        <f>ABS(Q782)/'İtme Analizi'!$G$17</f>
        <v>0</v>
      </c>
      <c r="T782" s="30">
        <f>ABS(R782)/'İtme Analizi'!$G$14</f>
        <v>0</v>
      </c>
      <c r="U782" s="30">
        <f t="shared" si="14"/>
        <v>9.2950204584968388E-5</v>
      </c>
    </row>
    <row r="783" spans="16:21" ht="13.9" customHeight="1" x14ac:dyDescent="0.2">
      <c r="P783" s="27"/>
      <c r="Q783" s="30"/>
      <c r="R783" s="30"/>
      <c r="S783" s="30">
        <f>ABS(Q783)/'İtme Analizi'!$G$17</f>
        <v>0</v>
      </c>
      <c r="T783" s="30">
        <f>ABS(R783)/'İtme Analizi'!$G$14</f>
        <v>0</v>
      </c>
      <c r="U783" s="30">
        <f t="shared" si="14"/>
        <v>9.2950204584968388E-5</v>
      </c>
    </row>
    <row r="784" spans="16:21" ht="13.9" customHeight="1" x14ac:dyDescent="0.2">
      <c r="P784" s="27"/>
      <c r="Q784" s="30"/>
      <c r="R784" s="30"/>
      <c r="S784" s="30">
        <f>ABS(Q784)/'İtme Analizi'!$G$17</f>
        <v>0</v>
      </c>
      <c r="T784" s="30">
        <f>ABS(R784)/'İtme Analizi'!$G$14</f>
        <v>0</v>
      </c>
      <c r="U784" s="30">
        <f t="shared" si="14"/>
        <v>9.2950204584968388E-5</v>
      </c>
    </row>
    <row r="785" spans="16:21" ht="13.9" customHeight="1" x14ac:dyDescent="0.2">
      <c r="P785" s="27"/>
      <c r="Q785" s="30"/>
      <c r="R785" s="30"/>
      <c r="S785" s="30">
        <f>ABS(Q785)/'İtme Analizi'!$G$17</f>
        <v>0</v>
      </c>
      <c r="T785" s="30">
        <f>ABS(R785)/'İtme Analizi'!$G$14</f>
        <v>0</v>
      </c>
      <c r="U785" s="30">
        <f t="shared" si="14"/>
        <v>9.2950204584968388E-5</v>
      </c>
    </row>
    <row r="786" spans="16:21" ht="13.9" customHeight="1" x14ac:dyDescent="0.2">
      <c r="P786" s="27"/>
      <c r="Q786" s="30"/>
      <c r="R786" s="30"/>
      <c r="S786" s="30">
        <f>ABS(Q786)/'İtme Analizi'!$G$17</f>
        <v>0</v>
      </c>
      <c r="T786" s="30">
        <f>ABS(R786)/'İtme Analizi'!$G$14</f>
        <v>0</v>
      </c>
      <c r="U786" s="30">
        <f t="shared" si="14"/>
        <v>9.2950204584968388E-5</v>
      </c>
    </row>
    <row r="787" spans="16:21" ht="13.9" customHeight="1" x14ac:dyDescent="0.2">
      <c r="P787" s="27"/>
      <c r="Q787" s="30"/>
      <c r="R787" s="30"/>
      <c r="S787" s="30">
        <f>ABS(Q787)/'İtme Analizi'!$G$17</f>
        <v>0</v>
      </c>
      <c r="T787" s="30">
        <f>ABS(R787)/'İtme Analizi'!$G$14</f>
        <v>0</v>
      </c>
      <c r="U787" s="30">
        <f t="shared" si="14"/>
        <v>9.2950204584968388E-5</v>
      </c>
    </row>
    <row r="788" spans="16:21" ht="13.9" customHeight="1" x14ac:dyDescent="0.2">
      <c r="P788" s="27"/>
      <c r="Q788" s="30"/>
      <c r="R788" s="30"/>
      <c r="S788" s="30">
        <f>ABS(Q788)/'İtme Analizi'!$G$17</f>
        <v>0</v>
      </c>
      <c r="T788" s="30">
        <f>ABS(R788)/'İtme Analizi'!$G$14</f>
        <v>0</v>
      </c>
      <c r="U788" s="30">
        <f t="shared" si="14"/>
        <v>9.2950204584968388E-5</v>
      </c>
    </row>
    <row r="789" spans="16:21" ht="13.9" customHeight="1" x14ac:dyDescent="0.2">
      <c r="P789" s="27"/>
      <c r="Q789" s="30"/>
      <c r="R789" s="30"/>
      <c r="S789" s="30">
        <f>ABS(Q789)/'İtme Analizi'!$G$17</f>
        <v>0</v>
      </c>
      <c r="T789" s="30">
        <f>ABS(R789)/'İtme Analizi'!$G$14</f>
        <v>0</v>
      </c>
      <c r="U789" s="30">
        <f t="shared" si="14"/>
        <v>9.2950204584968388E-5</v>
      </c>
    </row>
    <row r="790" spans="16:21" ht="13.9" customHeight="1" x14ac:dyDescent="0.2">
      <c r="P790" s="27"/>
      <c r="Q790" s="30"/>
      <c r="R790" s="30"/>
      <c r="S790" s="30">
        <f>ABS(Q790)/'İtme Analizi'!$G$17</f>
        <v>0</v>
      </c>
      <c r="T790" s="30">
        <f>ABS(R790)/'İtme Analizi'!$G$14</f>
        <v>0</v>
      </c>
      <c r="U790" s="30">
        <f t="shared" si="14"/>
        <v>9.2950204584968388E-5</v>
      </c>
    </row>
    <row r="791" spans="16:21" ht="13.9" customHeight="1" x14ac:dyDescent="0.2">
      <c r="P791" s="27"/>
      <c r="Q791" s="30"/>
      <c r="R791" s="30"/>
      <c r="S791" s="30">
        <f>ABS(Q791)/'İtme Analizi'!$G$17</f>
        <v>0</v>
      </c>
      <c r="T791" s="30">
        <f>ABS(R791)/'İtme Analizi'!$G$14</f>
        <v>0</v>
      </c>
      <c r="U791" s="30">
        <f t="shared" si="14"/>
        <v>9.2950204584968388E-5</v>
      </c>
    </row>
    <row r="792" spans="16:21" ht="13.9" customHeight="1" x14ac:dyDescent="0.2">
      <c r="P792" s="27"/>
      <c r="Q792" s="30"/>
      <c r="R792" s="30"/>
      <c r="S792" s="30">
        <f>ABS(Q792)/'İtme Analizi'!$G$17</f>
        <v>0</v>
      </c>
      <c r="T792" s="30">
        <f>ABS(R792)/'İtme Analizi'!$G$14</f>
        <v>0</v>
      </c>
      <c r="U792" s="30">
        <f t="shared" si="14"/>
        <v>9.2950204584968388E-5</v>
      </c>
    </row>
    <row r="793" spans="16:21" ht="13.9" customHeight="1" x14ac:dyDescent="0.2">
      <c r="P793" s="27"/>
      <c r="Q793" s="30"/>
      <c r="R793" s="30"/>
      <c r="S793" s="30">
        <f>ABS(Q793)/'İtme Analizi'!$G$17</f>
        <v>0</v>
      </c>
      <c r="T793" s="30">
        <f>ABS(R793)/'İtme Analizi'!$G$14</f>
        <v>0</v>
      </c>
      <c r="U793" s="30">
        <f t="shared" si="14"/>
        <v>9.2950204584968388E-5</v>
      </c>
    </row>
    <row r="794" spans="16:21" ht="13.9" customHeight="1" x14ac:dyDescent="0.2">
      <c r="P794" s="27"/>
      <c r="Q794" s="30"/>
      <c r="R794" s="30"/>
      <c r="S794" s="30">
        <f>ABS(Q794)/'İtme Analizi'!$G$17</f>
        <v>0</v>
      </c>
      <c r="T794" s="30">
        <f>ABS(R794)/'İtme Analizi'!$G$14</f>
        <v>0</v>
      </c>
      <c r="U794" s="30">
        <f t="shared" si="14"/>
        <v>9.2950204584968388E-5</v>
      </c>
    </row>
    <row r="795" spans="16:21" ht="13.9" customHeight="1" x14ac:dyDescent="0.2">
      <c r="P795" s="27"/>
      <c r="Q795" s="30"/>
      <c r="R795" s="30"/>
      <c r="S795" s="30">
        <f>ABS(Q795)/'İtme Analizi'!$G$17</f>
        <v>0</v>
      </c>
      <c r="T795" s="30">
        <f>ABS(R795)/'İtme Analizi'!$G$14</f>
        <v>0</v>
      </c>
      <c r="U795" s="30">
        <f t="shared" si="14"/>
        <v>9.2950204584968388E-5</v>
      </c>
    </row>
    <row r="796" spans="16:21" ht="13.9" customHeight="1" x14ac:dyDescent="0.2">
      <c r="P796" s="27"/>
      <c r="Q796" s="30"/>
      <c r="R796" s="30"/>
      <c r="S796" s="30">
        <f>ABS(Q796)/'İtme Analizi'!$G$17</f>
        <v>0</v>
      </c>
      <c r="T796" s="30">
        <f>ABS(R796)/'İtme Analizi'!$G$14</f>
        <v>0</v>
      </c>
      <c r="U796" s="30">
        <f t="shared" si="14"/>
        <v>9.2950204584968388E-5</v>
      </c>
    </row>
    <row r="797" spans="16:21" ht="13.9" customHeight="1" x14ac:dyDescent="0.2">
      <c r="P797" s="27"/>
      <c r="Q797" s="30"/>
      <c r="R797" s="30"/>
      <c r="S797" s="30">
        <f>ABS(Q797)/'İtme Analizi'!$G$17</f>
        <v>0</v>
      </c>
      <c r="T797" s="30">
        <f>ABS(R797)/'İtme Analizi'!$G$14</f>
        <v>0</v>
      </c>
      <c r="U797" s="30">
        <f t="shared" si="14"/>
        <v>9.2950204584968388E-5</v>
      </c>
    </row>
    <row r="798" spans="16:21" ht="13.9" customHeight="1" x14ac:dyDescent="0.2">
      <c r="P798" s="27"/>
      <c r="Q798" s="30"/>
      <c r="R798" s="30"/>
      <c r="S798" s="30">
        <f>ABS(Q798)/'İtme Analizi'!$G$17</f>
        <v>0</v>
      </c>
      <c r="T798" s="30">
        <f>ABS(R798)/'İtme Analizi'!$G$14</f>
        <v>0</v>
      </c>
      <c r="U798" s="30">
        <f t="shared" si="14"/>
        <v>9.2950204584968388E-5</v>
      </c>
    </row>
    <row r="799" spans="16:21" ht="13.9" customHeight="1" x14ac:dyDescent="0.2">
      <c r="P799" s="27"/>
      <c r="Q799" s="30"/>
      <c r="R799" s="30"/>
      <c r="S799" s="30">
        <f>ABS(Q799)/'İtme Analizi'!$G$17</f>
        <v>0</v>
      </c>
      <c r="T799" s="30">
        <f>ABS(R799)/'İtme Analizi'!$G$14</f>
        <v>0</v>
      </c>
      <c r="U799" s="30">
        <f t="shared" si="14"/>
        <v>9.2950204584968388E-5</v>
      </c>
    </row>
    <row r="800" spans="16:21" ht="13.9" customHeight="1" x14ac:dyDescent="0.2">
      <c r="P800" s="27"/>
      <c r="Q800" s="30"/>
      <c r="R800" s="30"/>
      <c r="S800" s="30">
        <f>ABS(Q800)/'İtme Analizi'!$G$17</f>
        <v>0</v>
      </c>
      <c r="T800" s="30">
        <f>ABS(R800)/'İtme Analizi'!$G$14</f>
        <v>0</v>
      </c>
      <c r="U800" s="30">
        <f t="shared" si="14"/>
        <v>9.2950204584968388E-5</v>
      </c>
    </row>
    <row r="801" spans="16:21" ht="13.9" customHeight="1" x14ac:dyDescent="0.2">
      <c r="P801" s="27"/>
      <c r="Q801" s="30"/>
      <c r="R801" s="30"/>
      <c r="S801" s="30">
        <f>ABS(Q801)/'İtme Analizi'!$G$17</f>
        <v>0</v>
      </c>
      <c r="T801" s="30">
        <f>ABS(R801)/'İtme Analizi'!$G$14</f>
        <v>0</v>
      </c>
      <c r="U801" s="30">
        <f t="shared" si="14"/>
        <v>9.2950204584968388E-5</v>
      </c>
    </row>
    <row r="802" spans="16:21" ht="13.9" customHeight="1" x14ac:dyDescent="0.2">
      <c r="P802" s="27"/>
      <c r="Q802" s="30"/>
      <c r="R802" s="30"/>
      <c r="S802" s="30">
        <f>ABS(Q802)/'İtme Analizi'!$G$17</f>
        <v>0</v>
      </c>
      <c r="T802" s="30">
        <f>ABS(R802)/'İtme Analizi'!$G$14</f>
        <v>0</v>
      </c>
      <c r="U802" s="30">
        <f t="shared" si="14"/>
        <v>9.2950204584968388E-5</v>
      </c>
    </row>
    <row r="803" spans="16:21" ht="13.9" customHeight="1" x14ac:dyDescent="0.2">
      <c r="P803" s="27"/>
      <c r="Q803" s="30"/>
      <c r="R803" s="30"/>
      <c r="S803" s="30">
        <f>ABS(Q803)/'İtme Analizi'!$G$17</f>
        <v>0</v>
      </c>
      <c r="T803" s="30">
        <f>ABS(R803)/'İtme Analizi'!$G$14</f>
        <v>0</v>
      </c>
      <c r="U803" s="30">
        <f t="shared" si="14"/>
        <v>9.2950204584968388E-5</v>
      </c>
    </row>
    <row r="804" spans="16:21" ht="13.9" customHeight="1" x14ac:dyDescent="0.2">
      <c r="P804" s="27"/>
      <c r="Q804" s="30"/>
      <c r="R804" s="30"/>
      <c r="S804" s="30">
        <f>ABS(Q804)/'İtme Analizi'!$G$17</f>
        <v>0</v>
      </c>
      <c r="T804" s="30">
        <f>ABS(R804)/'İtme Analizi'!$G$14</f>
        <v>0</v>
      </c>
      <c r="U804" s="30">
        <f t="shared" si="14"/>
        <v>9.2950204584968388E-5</v>
      </c>
    </row>
    <row r="805" spans="16:21" ht="13.9" customHeight="1" x14ac:dyDescent="0.2">
      <c r="P805" s="27"/>
      <c r="Q805" s="30"/>
      <c r="R805" s="30"/>
      <c r="S805" s="30">
        <f>ABS(Q805)/'İtme Analizi'!$G$17</f>
        <v>0</v>
      </c>
      <c r="T805" s="30">
        <f>ABS(R805)/'İtme Analizi'!$G$14</f>
        <v>0</v>
      </c>
      <c r="U805" s="30">
        <f t="shared" si="14"/>
        <v>9.2950204584968388E-5</v>
      </c>
    </row>
    <row r="806" spans="16:21" ht="13.9" customHeight="1" x14ac:dyDescent="0.2">
      <c r="P806" s="27"/>
      <c r="Q806" s="30"/>
      <c r="R806" s="30"/>
      <c r="S806" s="30">
        <f>ABS(Q806)/'İtme Analizi'!$G$17</f>
        <v>0</v>
      </c>
      <c r="T806" s="30">
        <f>ABS(R806)/'İtme Analizi'!$G$14</f>
        <v>0</v>
      </c>
      <c r="U806" s="30">
        <f t="shared" si="14"/>
        <v>9.2950204584968388E-5</v>
      </c>
    </row>
    <row r="807" spans="16:21" ht="13.9" customHeight="1" x14ac:dyDescent="0.2">
      <c r="P807" s="27"/>
      <c r="Q807" s="30"/>
      <c r="R807" s="30"/>
      <c r="S807" s="30">
        <f>ABS(Q807)/'İtme Analizi'!$G$17</f>
        <v>0</v>
      </c>
      <c r="T807" s="30">
        <f>ABS(R807)/'İtme Analizi'!$G$14</f>
        <v>0</v>
      </c>
      <c r="U807" s="30">
        <f t="shared" si="14"/>
        <v>9.2950204584968388E-5</v>
      </c>
    </row>
    <row r="808" spans="16:21" ht="13.9" customHeight="1" x14ac:dyDescent="0.2">
      <c r="P808" s="27"/>
      <c r="Q808" s="30"/>
      <c r="R808" s="30"/>
      <c r="S808" s="30">
        <f>ABS(Q808)/'İtme Analizi'!$G$17</f>
        <v>0</v>
      </c>
      <c r="T808" s="30">
        <f>ABS(R808)/'İtme Analizi'!$G$14</f>
        <v>0</v>
      </c>
      <c r="U808" s="30">
        <f t="shared" si="14"/>
        <v>9.2950204584968388E-5</v>
      </c>
    </row>
    <row r="809" spans="16:21" ht="13.9" customHeight="1" x14ac:dyDescent="0.2">
      <c r="P809" s="27"/>
      <c r="Q809" s="30"/>
      <c r="R809" s="30"/>
      <c r="S809" s="30">
        <f>ABS(Q809)/'İtme Analizi'!$G$17</f>
        <v>0</v>
      </c>
      <c r="T809" s="30">
        <f>ABS(R809)/'İtme Analizi'!$G$14</f>
        <v>0</v>
      </c>
      <c r="U809" s="30">
        <f t="shared" si="14"/>
        <v>9.2950204584968388E-5</v>
      </c>
    </row>
    <row r="810" spans="16:21" ht="13.9" customHeight="1" x14ac:dyDescent="0.2">
      <c r="P810" s="27"/>
      <c r="Q810" s="30"/>
      <c r="R810" s="30"/>
      <c r="S810" s="30">
        <f>ABS(Q810)/'İtme Analizi'!$G$17</f>
        <v>0</v>
      </c>
      <c r="T810" s="30">
        <f>ABS(R810)/'İtme Analizi'!$G$14</f>
        <v>0</v>
      </c>
      <c r="U810" s="30">
        <f t="shared" si="14"/>
        <v>9.2950204584968388E-5</v>
      </c>
    </row>
    <row r="811" spans="16:21" ht="13.9" customHeight="1" x14ac:dyDescent="0.2">
      <c r="P811" s="27"/>
      <c r="Q811" s="30"/>
      <c r="R811" s="30"/>
      <c r="S811" s="30">
        <f>ABS(Q811)/'İtme Analizi'!$G$17</f>
        <v>0</v>
      </c>
      <c r="T811" s="30">
        <f>ABS(R811)/'İtme Analizi'!$G$14</f>
        <v>0</v>
      </c>
      <c r="U811" s="30">
        <f t="shared" si="14"/>
        <v>9.2950204584968388E-5</v>
      </c>
    </row>
    <row r="812" spans="16:21" ht="13.9" customHeight="1" x14ac:dyDescent="0.2">
      <c r="P812" s="27"/>
      <c r="Q812" s="30"/>
      <c r="R812" s="30"/>
      <c r="S812" s="30">
        <f>ABS(Q812)/'İtme Analizi'!$G$17</f>
        <v>0</v>
      </c>
      <c r="T812" s="30">
        <f>ABS(R812)/'İtme Analizi'!$G$14</f>
        <v>0</v>
      </c>
      <c r="U812" s="30">
        <f t="shared" si="14"/>
        <v>9.2950204584968388E-5</v>
      </c>
    </row>
    <row r="813" spans="16:21" ht="13.9" customHeight="1" x14ac:dyDescent="0.2">
      <c r="P813" s="27"/>
      <c r="Q813" s="30"/>
      <c r="R813" s="30"/>
      <c r="S813" s="30">
        <f>ABS(Q813)/'İtme Analizi'!$G$17</f>
        <v>0</v>
      </c>
      <c r="T813" s="30">
        <f>ABS(R813)/'İtme Analizi'!$G$14</f>
        <v>0</v>
      </c>
      <c r="U813" s="30">
        <f t="shared" si="14"/>
        <v>9.2950204584968388E-5</v>
      </c>
    </row>
    <row r="814" spans="16:21" ht="13.9" customHeight="1" x14ac:dyDescent="0.2">
      <c r="P814" s="27"/>
      <c r="Q814" s="30"/>
      <c r="R814" s="30"/>
      <c r="S814" s="30">
        <f>ABS(Q814)/'İtme Analizi'!$G$17</f>
        <v>0</v>
      </c>
      <c r="T814" s="30">
        <f>ABS(R814)/'İtme Analizi'!$G$14</f>
        <v>0</v>
      </c>
      <c r="U814" s="30">
        <f t="shared" si="14"/>
        <v>9.2950204584968388E-5</v>
      </c>
    </row>
    <row r="815" spans="16:21" ht="13.9" customHeight="1" x14ac:dyDescent="0.2">
      <c r="P815" s="27"/>
      <c r="Q815" s="30"/>
      <c r="R815" s="30"/>
      <c r="S815" s="30">
        <f>ABS(Q815)/'İtme Analizi'!$G$17</f>
        <v>0</v>
      </c>
      <c r="T815" s="30">
        <f>ABS(R815)/'İtme Analizi'!$G$14</f>
        <v>0</v>
      </c>
      <c r="U815" s="30">
        <f t="shared" si="14"/>
        <v>9.2950204584968388E-5</v>
      </c>
    </row>
    <row r="816" spans="16:21" ht="13.9" customHeight="1" x14ac:dyDescent="0.2">
      <c r="P816" s="27"/>
      <c r="Q816" s="30"/>
      <c r="R816" s="30"/>
      <c r="S816" s="30">
        <f>ABS(Q816)/'İtme Analizi'!$G$17</f>
        <v>0</v>
      </c>
      <c r="T816" s="30">
        <f>ABS(R816)/'İtme Analizi'!$G$14</f>
        <v>0</v>
      </c>
      <c r="U816" s="30">
        <f t="shared" si="14"/>
        <v>9.2950204584968388E-5</v>
      </c>
    </row>
    <row r="817" spans="16:21" ht="13.9" customHeight="1" x14ac:dyDescent="0.2">
      <c r="P817" s="27"/>
      <c r="Q817" s="30"/>
      <c r="R817" s="30"/>
      <c r="S817" s="30">
        <f>ABS(Q817)/'İtme Analizi'!$G$17</f>
        <v>0</v>
      </c>
      <c r="T817" s="30">
        <f>ABS(R817)/'İtme Analizi'!$G$14</f>
        <v>0</v>
      </c>
      <c r="U817" s="30">
        <f t="shared" si="14"/>
        <v>9.2950204584968388E-5</v>
      </c>
    </row>
    <row r="818" spans="16:21" ht="13.9" customHeight="1" x14ac:dyDescent="0.2">
      <c r="P818" s="27"/>
      <c r="Q818" s="30"/>
      <c r="R818" s="30"/>
      <c r="S818" s="30">
        <f>ABS(Q818)/'İtme Analizi'!$G$17</f>
        <v>0</v>
      </c>
      <c r="T818" s="30">
        <f>ABS(R818)/'İtme Analizi'!$G$14</f>
        <v>0</v>
      </c>
      <c r="U818" s="30">
        <f t="shared" si="14"/>
        <v>9.2950204584968388E-5</v>
      </c>
    </row>
    <row r="819" spans="16:21" ht="13.9" customHeight="1" x14ac:dyDescent="0.2">
      <c r="P819" s="27"/>
      <c r="Q819" s="30"/>
      <c r="R819" s="30"/>
      <c r="S819" s="30">
        <f>ABS(Q819)/'İtme Analizi'!$G$17</f>
        <v>0</v>
      </c>
      <c r="T819" s="30">
        <f>ABS(R819)/'İtme Analizi'!$G$14</f>
        <v>0</v>
      </c>
      <c r="U819" s="30">
        <f t="shared" si="14"/>
        <v>9.2950204584968388E-5</v>
      </c>
    </row>
    <row r="820" spans="16:21" ht="13.9" customHeight="1" x14ac:dyDescent="0.2">
      <c r="P820" s="27"/>
      <c r="Q820" s="30"/>
      <c r="R820" s="30"/>
      <c r="S820" s="30">
        <f>ABS(Q820)/'İtme Analizi'!$G$17</f>
        <v>0</v>
      </c>
      <c r="T820" s="30">
        <f>ABS(R820)/'İtme Analizi'!$G$14</f>
        <v>0</v>
      </c>
      <c r="U820" s="30">
        <f t="shared" si="14"/>
        <v>9.2950204584968388E-5</v>
      </c>
    </row>
    <row r="821" spans="16:21" ht="13.9" customHeight="1" x14ac:dyDescent="0.2">
      <c r="P821" s="27"/>
      <c r="Q821" s="30"/>
      <c r="R821" s="30"/>
      <c r="S821" s="30">
        <f>ABS(Q821)/'İtme Analizi'!$G$17</f>
        <v>0</v>
      </c>
      <c r="T821" s="30">
        <f>ABS(R821)/'İtme Analizi'!$G$14</f>
        <v>0</v>
      </c>
      <c r="U821" s="30">
        <f t="shared" si="14"/>
        <v>9.2950204584968388E-5</v>
      </c>
    </row>
    <row r="822" spans="16:21" ht="13.9" customHeight="1" x14ac:dyDescent="0.2">
      <c r="P822" s="27"/>
      <c r="Q822" s="30"/>
      <c r="R822" s="30"/>
      <c r="S822" s="30">
        <f>ABS(Q822)/'İtme Analizi'!$G$17</f>
        <v>0</v>
      </c>
      <c r="T822" s="30">
        <f>ABS(R822)/'İtme Analizi'!$G$14</f>
        <v>0</v>
      </c>
      <c r="U822" s="30">
        <f t="shared" si="14"/>
        <v>9.2950204584968388E-5</v>
      </c>
    </row>
    <row r="823" spans="16:21" ht="13.9" customHeight="1" x14ac:dyDescent="0.2">
      <c r="P823" s="27"/>
      <c r="Q823" s="30"/>
      <c r="R823" s="30"/>
      <c r="S823" s="30">
        <f>ABS(Q823)/'İtme Analizi'!$G$17</f>
        <v>0</v>
      </c>
      <c r="T823" s="30">
        <f>ABS(R823)/'İtme Analizi'!$G$14</f>
        <v>0</v>
      </c>
      <c r="U823" s="30">
        <f t="shared" si="14"/>
        <v>9.2950204584968388E-5</v>
      </c>
    </row>
    <row r="824" spans="16:21" ht="13.9" customHeight="1" x14ac:dyDescent="0.2">
      <c r="P824" s="27"/>
      <c r="Q824" s="30"/>
      <c r="R824" s="30"/>
      <c r="S824" s="30">
        <f>ABS(Q824)/'İtme Analizi'!$G$17</f>
        <v>0</v>
      </c>
      <c r="T824" s="30">
        <f>ABS(R824)/'İtme Analizi'!$G$14</f>
        <v>0</v>
      </c>
      <c r="U824" s="30">
        <f t="shared" si="14"/>
        <v>9.2950204584968388E-5</v>
      </c>
    </row>
    <row r="825" spans="16:21" ht="13.9" customHeight="1" x14ac:dyDescent="0.2">
      <c r="P825" s="27"/>
      <c r="Q825" s="30"/>
      <c r="R825" s="30"/>
      <c r="S825" s="30">
        <f>ABS(Q825)/'İtme Analizi'!$G$17</f>
        <v>0</v>
      </c>
      <c r="T825" s="30">
        <f>ABS(R825)/'İtme Analizi'!$G$14</f>
        <v>0</v>
      </c>
      <c r="U825" s="30">
        <f t="shared" si="14"/>
        <v>9.2950204584968388E-5</v>
      </c>
    </row>
    <row r="826" spans="16:21" ht="13.9" customHeight="1" x14ac:dyDescent="0.2">
      <c r="P826" s="27"/>
      <c r="Q826" s="30"/>
      <c r="R826" s="30"/>
      <c r="S826" s="30">
        <f>ABS(Q826)/'İtme Analizi'!$G$17</f>
        <v>0</v>
      </c>
      <c r="T826" s="30">
        <f>ABS(R826)/'İtme Analizi'!$G$14</f>
        <v>0</v>
      </c>
      <c r="U826" s="30">
        <f t="shared" si="14"/>
        <v>9.2950204584968388E-5</v>
      </c>
    </row>
    <row r="827" spans="16:21" ht="13.9" customHeight="1" x14ac:dyDescent="0.2">
      <c r="P827" s="27"/>
      <c r="Q827" s="30"/>
      <c r="R827" s="30"/>
      <c r="S827" s="30">
        <f>ABS(Q827)/'İtme Analizi'!$G$17</f>
        <v>0</v>
      </c>
      <c r="T827" s="30">
        <f>ABS(R827)/'İtme Analizi'!$G$14</f>
        <v>0</v>
      </c>
      <c r="U827" s="30">
        <f t="shared" si="14"/>
        <v>9.2950204584968388E-5</v>
      </c>
    </row>
    <row r="828" spans="16:21" ht="13.9" customHeight="1" x14ac:dyDescent="0.2">
      <c r="P828" s="27"/>
      <c r="Q828" s="30"/>
      <c r="R828" s="30"/>
      <c r="S828" s="30">
        <f>ABS(Q828)/'İtme Analizi'!$G$17</f>
        <v>0</v>
      </c>
      <c r="T828" s="30">
        <f>ABS(R828)/'İtme Analizi'!$G$14</f>
        <v>0</v>
      </c>
      <c r="U828" s="30">
        <f t="shared" si="14"/>
        <v>9.2950204584968388E-5</v>
      </c>
    </row>
    <row r="829" spans="16:21" ht="13.9" customHeight="1" x14ac:dyDescent="0.2">
      <c r="P829" s="27"/>
      <c r="Q829" s="30"/>
      <c r="R829" s="30"/>
      <c r="S829" s="30">
        <f>ABS(Q829)/'İtme Analizi'!$G$17</f>
        <v>0</v>
      </c>
      <c r="T829" s="30">
        <f>ABS(R829)/'İtme Analizi'!$G$14</f>
        <v>0</v>
      </c>
      <c r="U829" s="30">
        <f t="shared" si="14"/>
        <v>9.2950204584968388E-5</v>
      </c>
    </row>
    <row r="830" spans="16:21" ht="13.9" customHeight="1" x14ac:dyDescent="0.2">
      <c r="P830" s="27"/>
      <c r="Q830" s="30"/>
      <c r="R830" s="30"/>
      <c r="S830" s="30">
        <f>ABS(Q830)/'İtme Analizi'!$G$17</f>
        <v>0</v>
      </c>
      <c r="T830" s="30">
        <f>ABS(R830)/'İtme Analizi'!$G$14</f>
        <v>0</v>
      </c>
      <c r="U830" s="30">
        <f t="shared" si="14"/>
        <v>9.2950204584968388E-5</v>
      </c>
    </row>
    <row r="831" spans="16:21" ht="13.9" customHeight="1" x14ac:dyDescent="0.2">
      <c r="P831" s="27"/>
      <c r="Q831" s="30"/>
      <c r="R831" s="30"/>
      <c r="S831" s="30">
        <f>ABS(Q831)/'İtme Analizi'!$G$17</f>
        <v>0</v>
      </c>
      <c r="T831" s="30">
        <f>ABS(R831)/'İtme Analizi'!$G$14</f>
        <v>0</v>
      </c>
      <c r="U831" s="30">
        <f t="shared" si="14"/>
        <v>9.2950204584968388E-5</v>
      </c>
    </row>
    <row r="832" spans="16:21" ht="13.9" customHeight="1" x14ac:dyDescent="0.2">
      <c r="P832" s="27"/>
      <c r="Q832" s="30"/>
      <c r="R832" s="30"/>
      <c r="S832" s="30">
        <f>ABS(Q832)/'İtme Analizi'!$G$17</f>
        <v>0</v>
      </c>
      <c r="T832" s="30">
        <f>ABS(R832)/'İtme Analizi'!$G$14</f>
        <v>0</v>
      </c>
      <c r="U832" s="30">
        <f t="shared" si="14"/>
        <v>9.2950204584968388E-5</v>
      </c>
    </row>
    <row r="833" spans="16:21" ht="13.9" customHeight="1" x14ac:dyDescent="0.2">
      <c r="P833" s="27"/>
      <c r="Q833" s="30"/>
      <c r="R833" s="30"/>
      <c r="S833" s="30">
        <f>ABS(Q833)/'İtme Analizi'!$G$17</f>
        <v>0</v>
      </c>
      <c r="T833" s="30">
        <f>ABS(R833)/'İtme Analizi'!$G$14</f>
        <v>0</v>
      </c>
      <c r="U833" s="30">
        <f t="shared" si="14"/>
        <v>9.2950204584968388E-5</v>
      </c>
    </row>
    <row r="834" spans="16:21" ht="13.9" customHeight="1" x14ac:dyDescent="0.2">
      <c r="P834" s="27"/>
      <c r="Q834" s="30"/>
      <c r="R834" s="30"/>
      <c r="S834" s="30">
        <f>ABS(Q834)/'İtme Analizi'!$G$17</f>
        <v>0</v>
      </c>
      <c r="T834" s="30">
        <f>ABS(R834)/'İtme Analizi'!$G$14</f>
        <v>0</v>
      </c>
      <c r="U834" s="30">
        <f t="shared" si="14"/>
        <v>9.2950204584968388E-5</v>
      </c>
    </row>
    <row r="835" spans="16:21" ht="13.9" customHeight="1" x14ac:dyDescent="0.2">
      <c r="P835" s="27"/>
      <c r="Q835" s="30"/>
      <c r="R835" s="30"/>
      <c r="S835" s="30">
        <f>ABS(Q835)/'İtme Analizi'!$G$17</f>
        <v>0</v>
      </c>
      <c r="T835" s="30">
        <f>ABS(R835)/'İtme Analizi'!$G$14</f>
        <v>0</v>
      </c>
      <c r="U835" s="30">
        <f t="shared" si="14"/>
        <v>9.2950204584968388E-5</v>
      </c>
    </row>
    <row r="836" spans="16:21" ht="13.9" customHeight="1" x14ac:dyDescent="0.2">
      <c r="P836" s="27"/>
      <c r="Q836" s="30"/>
      <c r="R836" s="30"/>
      <c r="S836" s="30">
        <f>ABS(Q836)/'İtme Analizi'!$G$17</f>
        <v>0</v>
      </c>
      <c r="T836" s="30">
        <f>ABS(R836)/'İtme Analizi'!$G$14</f>
        <v>0</v>
      </c>
      <c r="U836" s="30">
        <f t="shared" si="14"/>
        <v>9.2950204584968388E-5</v>
      </c>
    </row>
    <row r="837" spans="16:21" ht="13.9" customHeight="1" x14ac:dyDescent="0.2">
      <c r="P837" s="27"/>
      <c r="Q837" s="30"/>
      <c r="R837" s="30"/>
      <c r="S837" s="30">
        <f>ABS(Q837)/'İtme Analizi'!$G$17</f>
        <v>0</v>
      </c>
      <c r="T837" s="30">
        <f>ABS(R837)/'İtme Analizi'!$G$14</f>
        <v>0</v>
      </c>
      <c r="U837" s="30">
        <f t="shared" si="14"/>
        <v>9.2950204584968388E-5</v>
      </c>
    </row>
    <row r="838" spans="16:21" ht="13.9" customHeight="1" x14ac:dyDescent="0.2">
      <c r="P838" s="27"/>
      <c r="Q838" s="30"/>
      <c r="R838" s="30"/>
      <c r="S838" s="30">
        <f>ABS(Q838)/'İtme Analizi'!$G$17</f>
        <v>0</v>
      </c>
      <c r="T838" s="30">
        <f>ABS(R838)/'İtme Analizi'!$G$14</f>
        <v>0</v>
      </c>
      <c r="U838" s="30">
        <f t="shared" si="14"/>
        <v>9.2950204584968388E-5</v>
      </c>
    </row>
    <row r="839" spans="16:21" ht="13.9" customHeight="1" x14ac:dyDescent="0.2">
      <c r="P839" s="27"/>
      <c r="Q839" s="30"/>
      <c r="R839" s="30"/>
      <c r="S839" s="30">
        <f>ABS(Q839)/'İtme Analizi'!$G$17</f>
        <v>0</v>
      </c>
      <c r="T839" s="30">
        <f>ABS(R839)/'İtme Analizi'!$G$14</f>
        <v>0</v>
      </c>
      <c r="U839" s="30">
        <f t="shared" si="14"/>
        <v>9.2950204584968388E-5</v>
      </c>
    </row>
    <row r="840" spans="16:21" ht="13.9" customHeight="1" x14ac:dyDescent="0.2">
      <c r="P840" s="27"/>
      <c r="Q840" s="30"/>
      <c r="R840" s="30"/>
      <c r="S840" s="30">
        <f>ABS(Q840)/'İtme Analizi'!$G$17</f>
        <v>0</v>
      </c>
      <c r="T840" s="30">
        <f>ABS(R840)/'İtme Analizi'!$G$14</f>
        <v>0</v>
      </c>
      <c r="U840" s="30">
        <f t="shared" si="14"/>
        <v>9.2950204584968388E-5</v>
      </c>
    </row>
    <row r="841" spans="16:21" ht="13.9" customHeight="1" x14ac:dyDescent="0.2">
      <c r="P841" s="27"/>
      <c r="Q841" s="30"/>
      <c r="R841" s="30"/>
      <c r="S841" s="30">
        <f>ABS(Q841)/'İtme Analizi'!$G$17</f>
        <v>0</v>
      </c>
      <c r="T841" s="30">
        <f>ABS(R841)/'İtme Analizi'!$G$14</f>
        <v>0</v>
      </c>
      <c r="U841" s="30">
        <f t="shared" ref="U841:U904" si="15">U840+(S841-S840)*((T841+T840)/2)</f>
        <v>9.2950204584968388E-5</v>
      </c>
    </row>
    <row r="842" spans="16:21" ht="13.9" customHeight="1" x14ac:dyDescent="0.2">
      <c r="P842" s="27"/>
      <c r="Q842" s="30"/>
      <c r="R842" s="30"/>
      <c r="S842" s="30">
        <f>ABS(Q842)/'İtme Analizi'!$G$17</f>
        <v>0</v>
      </c>
      <c r="T842" s="30">
        <f>ABS(R842)/'İtme Analizi'!$G$14</f>
        <v>0</v>
      </c>
      <c r="U842" s="30">
        <f t="shared" si="15"/>
        <v>9.2950204584968388E-5</v>
      </c>
    </row>
    <row r="843" spans="16:21" ht="13.9" customHeight="1" x14ac:dyDescent="0.2">
      <c r="P843" s="27"/>
      <c r="Q843" s="30"/>
      <c r="R843" s="30"/>
      <c r="S843" s="30">
        <f>ABS(Q843)/'İtme Analizi'!$G$17</f>
        <v>0</v>
      </c>
      <c r="T843" s="30">
        <f>ABS(R843)/'İtme Analizi'!$G$14</f>
        <v>0</v>
      </c>
      <c r="U843" s="30">
        <f t="shared" si="15"/>
        <v>9.2950204584968388E-5</v>
      </c>
    </row>
    <row r="844" spans="16:21" ht="13.9" customHeight="1" x14ac:dyDescent="0.2">
      <c r="P844" s="27"/>
      <c r="Q844" s="30"/>
      <c r="R844" s="30"/>
      <c r="S844" s="30">
        <f>ABS(Q844)/'İtme Analizi'!$G$17</f>
        <v>0</v>
      </c>
      <c r="T844" s="30">
        <f>ABS(R844)/'İtme Analizi'!$G$14</f>
        <v>0</v>
      </c>
      <c r="U844" s="30">
        <f t="shared" si="15"/>
        <v>9.2950204584968388E-5</v>
      </c>
    </row>
    <row r="845" spans="16:21" ht="13.9" customHeight="1" x14ac:dyDescent="0.2">
      <c r="P845" s="27"/>
      <c r="Q845" s="30"/>
      <c r="R845" s="30"/>
      <c r="S845" s="30">
        <f>ABS(Q845)/'İtme Analizi'!$G$17</f>
        <v>0</v>
      </c>
      <c r="T845" s="30">
        <f>ABS(R845)/'İtme Analizi'!$G$14</f>
        <v>0</v>
      </c>
      <c r="U845" s="30">
        <f t="shared" si="15"/>
        <v>9.2950204584968388E-5</v>
      </c>
    </row>
    <row r="846" spans="16:21" ht="13.9" customHeight="1" x14ac:dyDescent="0.2">
      <c r="P846" s="27"/>
      <c r="Q846" s="30"/>
      <c r="R846" s="30"/>
      <c r="S846" s="30">
        <f>ABS(Q846)/'İtme Analizi'!$G$17</f>
        <v>0</v>
      </c>
      <c r="T846" s="30">
        <f>ABS(R846)/'İtme Analizi'!$G$14</f>
        <v>0</v>
      </c>
      <c r="U846" s="30">
        <f t="shared" si="15"/>
        <v>9.2950204584968388E-5</v>
      </c>
    </row>
    <row r="847" spans="16:21" ht="13.9" customHeight="1" x14ac:dyDescent="0.2">
      <c r="P847" s="27"/>
      <c r="Q847" s="30"/>
      <c r="R847" s="30"/>
      <c r="S847" s="30">
        <f>ABS(Q847)/'İtme Analizi'!$G$17</f>
        <v>0</v>
      </c>
      <c r="T847" s="30">
        <f>ABS(R847)/'İtme Analizi'!$G$14</f>
        <v>0</v>
      </c>
      <c r="U847" s="30">
        <f t="shared" si="15"/>
        <v>9.2950204584968388E-5</v>
      </c>
    </row>
    <row r="848" spans="16:21" ht="13.9" customHeight="1" x14ac:dyDescent="0.2">
      <c r="P848" s="27"/>
      <c r="Q848" s="30"/>
      <c r="R848" s="30"/>
      <c r="S848" s="30">
        <f>ABS(Q848)/'İtme Analizi'!$G$17</f>
        <v>0</v>
      </c>
      <c r="T848" s="30">
        <f>ABS(R848)/'İtme Analizi'!$G$14</f>
        <v>0</v>
      </c>
      <c r="U848" s="30">
        <f t="shared" si="15"/>
        <v>9.2950204584968388E-5</v>
      </c>
    </row>
    <row r="849" spans="16:21" ht="13.9" customHeight="1" x14ac:dyDescent="0.2">
      <c r="P849" s="27"/>
      <c r="Q849" s="30"/>
      <c r="R849" s="30"/>
      <c r="S849" s="30">
        <f>ABS(Q849)/'İtme Analizi'!$G$17</f>
        <v>0</v>
      </c>
      <c r="T849" s="30">
        <f>ABS(R849)/'İtme Analizi'!$G$14</f>
        <v>0</v>
      </c>
      <c r="U849" s="30">
        <f t="shared" si="15"/>
        <v>9.2950204584968388E-5</v>
      </c>
    </row>
    <row r="850" spans="16:21" ht="13.9" customHeight="1" x14ac:dyDescent="0.2">
      <c r="P850" s="27"/>
      <c r="Q850" s="30"/>
      <c r="R850" s="30"/>
      <c r="S850" s="30">
        <f>ABS(Q850)/'İtme Analizi'!$G$17</f>
        <v>0</v>
      </c>
      <c r="T850" s="30">
        <f>ABS(R850)/'İtme Analizi'!$G$14</f>
        <v>0</v>
      </c>
      <c r="U850" s="30">
        <f t="shared" si="15"/>
        <v>9.2950204584968388E-5</v>
      </c>
    </row>
    <row r="851" spans="16:21" ht="13.9" customHeight="1" x14ac:dyDescent="0.2">
      <c r="P851" s="27"/>
      <c r="Q851" s="30"/>
      <c r="R851" s="30"/>
      <c r="S851" s="30">
        <f>ABS(Q851)/'İtme Analizi'!$G$17</f>
        <v>0</v>
      </c>
      <c r="T851" s="30">
        <f>ABS(R851)/'İtme Analizi'!$G$14</f>
        <v>0</v>
      </c>
      <c r="U851" s="30">
        <f t="shared" si="15"/>
        <v>9.2950204584968388E-5</v>
      </c>
    </row>
    <row r="852" spans="16:21" ht="13.9" customHeight="1" x14ac:dyDescent="0.2">
      <c r="P852" s="27"/>
      <c r="Q852" s="30"/>
      <c r="R852" s="30"/>
      <c r="S852" s="30">
        <f>ABS(Q852)/'İtme Analizi'!$G$17</f>
        <v>0</v>
      </c>
      <c r="T852" s="30">
        <f>ABS(R852)/'İtme Analizi'!$G$14</f>
        <v>0</v>
      </c>
      <c r="U852" s="30">
        <f t="shared" si="15"/>
        <v>9.2950204584968388E-5</v>
      </c>
    </row>
    <row r="853" spans="16:21" ht="13.9" customHeight="1" x14ac:dyDescent="0.2">
      <c r="P853" s="27"/>
      <c r="Q853" s="30"/>
      <c r="R853" s="30"/>
      <c r="S853" s="30">
        <f>ABS(Q853)/'İtme Analizi'!$G$17</f>
        <v>0</v>
      </c>
      <c r="T853" s="30">
        <f>ABS(R853)/'İtme Analizi'!$G$14</f>
        <v>0</v>
      </c>
      <c r="U853" s="30">
        <f t="shared" si="15"/>
        <v>9.2950204584968388E-5</v>
      </c>
    </row>
    <row r="854" spans="16:21" ht="13.9" customHeight="1" x14ac:dyDescent="0.2">
      <c r="P854" s="27"/>
      <c r="Q854" s="30"/>
      <c r="R854" s="30"/>
      <c r="S854" s="30">
        <f>ABS(Q854)/'İtme Analizi'!$G$17</f>
        <v>0</v>
      </c>
      <c r="T854" s="30">
        <f>ABS(R854)/'İtme Analizi'!$G$14</f>
        <v>0</v>
      </c>
      <c r="U854" s="30">
        <f t="shared" si="15"/>
        <v>9.2950204584968388E-5</v>
      </c>
    </row>
    <row r="855" spans="16:21" ht="13.9" customHeight="1" x14ac:dyDescent="0.2">
      <c r="P855" s="27"/>
      <c r="Q855" s="30"/>
      <c r="R855" s="30"/>
      <c r="S855" s="30">
        <f>ABS(Q855)/'İtme Analizi'!$G$17</f>
        <v>0</v>
      </c>
      <c r="T855" s="30">
        <f>ABS(R855)/'İtme Analizi'!$G$14</f>
        <v>0</v>
      </c>
      <c r="U855" s="30">
        <f t="shared" si="15"/>
        <v>9.2950204584968388E-5</v>
      </c>
    </row>
    <row r="856" spans="16:21" ht="13.9" customHeight="1" x14ac:dyDescent="0.2">
      <c r="P856" s="27"/>
      <c r="Q856" s="30"/>
      <c r="R856" s="30"/>
      <c r="S856" s="30">
        <f>ABS(Q856)/'İtme Analizi'!$G$17</f>
        <v>0</v>
      </c>
      <c r="T856" s="30">
        <f>ABS(R856)/'İtme Analizi'!$G$14</f>
        <v>0</v>
      </c>
      <c r="U856" s="30">
        <f t="shared" si="15"/>
        <v>9.2950204584968388E-5</v>
      </c>
    </row>
    <row r="857" spans="16:21" ht="13.9" customHeight="1" x14ac:dyDescent="0.2">
      <c r="P857" s="27"/>
      <c r="Q857" s="30"/>
      <c r="R857" s="30"/>
      <c r="S857" s="30">
        <f>ABS(Q857)/'İtme Analizi'!$G$17</f>
        <v>0</v>
      </c>
      <c r="T857" s="30">
        <f>ABS(R857)/'İtme Analizi'!$G$14</f>
        <v>0</v>
      </c>
      <c r="U857" s="30">
        <f t="shared" si="15"/>
        <v>9.2950204584968388E-5</v>
      </c>
    </row>
    <row r="858" spans="16:21" ht="13.9" customHeight="1" x14ac:dyDescent="0.2">
      <c r="P858" s="27"/>
      <c r="Q858" s="30"/>
      <c r="R858" s="30"/>
      <c r="S858" s="30">
        <f>ABS(Q858)/'İtme Analizi'!$G$17</f>
        <v>0</v>
      </c>
      <c r="T858" s="30">
        <f>ABS(R858)/'İtme Analizi'!$G$14</f>
        <v>0</v>
      </c>
      <c r="U858" s="30">
        <f t="shared" si="15"/>
        <v>9.2950204584968388E-5</v>
      </c>
    </row>
    <row r="859" spans="16:21" ht="13.9" customHeight="1" x14ac:dyDescent="0.2">
      <c r="P859" s="27"/>
      <c r="Q859" s="30"/>
      <c r="R859" s="30"/>
      <c r="S859" s="30">
        <f>ABS(Q859)/'İtme Analizi'!$G$17</f>
        <v>0</v>
      </c>
      <c r="T859" s="30">
        <f>ABS(R859)/'İtme Analizi'!$G$14</f>
        <v>0</v>
      </c>
      <c r="U859" s="30">
        <f t="shared" si="15"/>
        <v>9.2950204584968388E-5</v>
      </c>
    </row>
    <row r="860" spans="16:21" ht="13.9" customHeight="1" x14ac:dyDescent="0.2">
      <c r="P860" s="27"/>
      <c r="Q860" s="30"/>
      <c r="R860" s="30"/>
      <c r="S860" s="30">
        <f>ABS(Q860)/'İtme Analizi'!$G$17</f>
        <v>0</v>
      </c>
      <c r="T860" s="30">
        <f>ABS(R860)/'İtme Analizi'!$G$14</f>
        <v>0</v>
      </c>
      <c r="U860" s="30">
        <f t="shared" si="15"/>
        <v>9.2950204584968388E-5</v>
      </c>
    </row>
    <row r="861" spans="16:21" ht="13.9" customHeight="1" x14ac:dyDescent="0.2">
      <c r="P861" s="27"/>
      <c r="Q861" s="30"/>
      <c r="R861" s="30"/>
      <c r="S861" s="30">
        <f>ABS(Q861)/'İtme Analizi'!$G$17</f>
        <v>0</v>
      </c>
      <c r="T861" s="30">
        <f>ABS(R861)/'İtme Analizi'!$G$14</f>
        <v>0</v>
      </c>
      <c r="U861" s="30">
        <f t="shared" si="15"/>
        <v>9.2950204584968388E-5</v>
      </c>
    </row>
    <row r="862" spans="16:21" ht="13.9" customHeight="1" x14ac:dyDescent="0.2">
      <c r="P862" s="27"/>
      <c r="Q862" s="30"/>
      <c r="R862" s="30"/>
      <c r="S862" s="30">
        <f>ABS(Q862)/'İtme Analizi'!$G$17</f>
        <v>0</v>
      </c>
      <c r="T862" s="30">
        <f>ABS(R862)/'İtme Analizi'!$G$14</f>
        <v>0</v>
      </c>
      <c r="U862" s="30">
        <f t="shared" si="15"/>
        <v>9.2950204584968388E-5</v>
      </c>
    </row>
    <row r="863" spans="16:21" ht="13.9" customHeight="1" x14ac:dyDescent="0.2">
      <c r="P863" s="27"/>
      <c r="Q863" s="30"/>
      <c r="R863" s="30"/>
      <c r="S863" s="30">
        <f>ABS(Q863)/'İtme Analizi'!$G$17</f>
        <v>0</v>
      </c>
      <c r="T863" s="30">
        <f>ABS(R863)/'İtme Analizi'!$G$14</f>
        <v>0</v>
      </c>
      <c r="U863" s="30">
        <f t="shared" si="15"/>
        <v>9.2950204584968388E-5</v>
      </c>
    </row>
    <row r="864" spans="16:21" ht="13.9" customHeight="1" x14ac:dyDescent="0.2">
      <c r="P864" s="27"/>
      <c r="Q864" s="30"/>
      <c r="R864" s="30"/>
      <c r="S864" s="30">
        <f>ABS(Q864)/'İtme Analizi'!$G$17</f>
        <v>0</v>
      </c>
      <c r="T864" s="30">
        <f>ABS(R864)/'İtme Analizi'!$G$14</f>
        <v>0</v>
      </c>
      <c r="U864" s="30">
        <f t="shared" si="15"/>
        <v>9.2950204584968388E-5</v>
      </c>
    </row>
    <row r="865" spans="16:21" ht="13.9" customHeight="1" x14ac:dyDescent="0.2">
      <c r="P865" s="27"/>
      <c r="Q865" s="30"/>
      <c r="R865" s="30"/>
      <c r="S865" s="30">
        <f>ABS(Q865)/'İtme Analizi'!$G$17</f>
        <v>0</v>
      </c>
      <c r="T865" s="30">
        <f>ABS(R865)/'İtme Analizi'!$G$14</f>
        <v>0</v>
      </c>
      <c r="U865" s="30">
        <f t="shared" si="15"/>
        <v>9.2950204584968388E-5</v>
      </c>
    </row>
    <row r="866" spans="16:21" ht="13.9" customHeight="1" x14ac:dyDescent="0.2">
      <c r="P866" s="27"/>
      <c r="Q866" s="30"/>
      <c r="R866" s="30"/>
      <c r="S866" s="30">
        <f>ABS(Q866)/'İtme Analizi'!$G$17</f>
        <v>0</v>
      </c>
      <c r="T866" s="30">
        <f>ABS(R866)/'İtme Analizi'!$G$14</f>
        <v>0</v>
      </c>
      <c r="U866" s="30">
        <f t="shared" si="15"/>
        <v>9.2950204584968388E-5</v>
      </c>
    </row>
    <row r="867" spans="16:21" ht="13.9" customHeight="1" x14ac:dyDescent="0.2">
      <c r="P867" s="27"/>
      <c r="Q867" s="30"/>
      <c r="R867" s="30"/>
      <c r="S867" s="30">
        <f>ABS(Q867)/'İtme Analizi'!$G$17</f>
        <v>0</v>
      </c>
      <c r="T867" s="30">
        <f>ABS(R867)/'İtme Analizi'!$G$14</f>
        <v>0</v>
      </c>
      <c r="U867" s="30">
        <f t="shared" si="15"/>
        <v>9.2950204584968388E-5</v>
      </c>
    </row>
    <row r="868" spans="16:21" ht="13.9" customHeight="1" x14ac:dyDescent="0.2">
      <c r="P868" s="27"/>
      <c r="Q868" s="30"/>
      <c r="R868" s="30"/>
      <c r="S868" s="30">
        <f>ABS(Q868)/'İtme Analizi'!$G$17</f>
        <v>0</v>
      </c>
      <c r="T868" s="30">
        <f>ABS(R868)/'İtme Analizi'!$G$14</f>
        <v>0</v>
      </c>
      <c r="U868" s="30">
        <f t="shared" si="15"/>
        <v>9.2950204584968388E-5</v>
      </c>
    </row>
    <row r="869" spans="16:21" ht="13.9" customHeight="1" x14ac:dyDescent="0.2">
      <c r="P869" s="27"/>
      <c r="Q869" s="30"/>
      <c r="R869" s="30"/>
      <c r="S869" s="30">
        <f>ABS(Q869)/'İtme Analizi'!$G$17</f>
        <v>0</v>
      </c>
      <c r="T869" s="30">
        <f>ABS(R869)/'İtme Analizi'!$G$14</f>
        <v>0</v>
      </c>
      <c r="U869" s="30">
        <f t="shared" si="15"/>
        <v>9.2950204584968388E-5</v>
      </c>
    </row>
    <row r="870" spans="16:21" ht="13.9" customHeight="1" x14ac:dyDescent="0.2">
      <c r="P870" s="27"/>
      <c r="Q870" s="30"/>
      <c r="R870" s="30"/>
      <c r="S870" s="30">
        <f>ABS(Q870)/'İtme Analizi'!$G$17</f>
        <v>0</v>
      </c>
      <c r="T870" s="30">
        <f>ABS(R870)/'İtme Analizi'!$G$14</f>
        <v>0</v>
      </c>
      <c r="U870" s="30">
        <f t="shared" si="15"/>
        <v>9.2950204584968388E-5</v>
      </c>
    </row>
    <row r="871" spans="16:21" ht="13.9" customHeight="1" x14ac:dyDescent="0.2">
      <c r="P871" s="27"/>
      <c r="Q871" s="30"/>
      <c r="R871" s="30"/>
      <c r="S871" s="30">
        <f>ABS(Q871)/'İtme Analizi'!$G$17</f>
        <v>0</v>
      </c>
      <c r="T871" s="30">
        <f>ABS(R871)/'İtme Analizi'!$G$14</f>
        <v>0</v>
      </c>
      <c r="U871" s="30">
        <f t="shared" si="15"/>
        <v>9.2950204584968388E-5</v>
      </c>
    </row>
    <row r="872" spans="16:21" ht="13.9" customHeight="1" x14ac:dyDescent="0.2">
      <c r="P872" s="27"/>
      <c r="Q872" s="30"/>
      <c r="R872" s="30"/>
      <c r="S872" s="30">
        <f>ABS(Q872)/'İtme Analizi'!$G$17</f>
        <v>0</v>
      </c>
      <c r="T872" s="30">
        <f>ABS(R872)/'İtme Analizi'!$G$14</f>
        <v>0</v>
      </c>
      <c r="U872" s="30">
        <f t="shared" si="15"/>
        <v>9.2950204584968388E-5</v>
      </c>
    </row>
    <row r="873" spans="16:21" ht="13.9" customHeight="1" x14ac:dyDescent="0.2">
      <c r="P873" s="27"/>
      <c r="Q873" s="30"/>
      <c r="R873" s="30"/>
      <c r="S873" s="30">
        <f>ABS(Q873)/'İtme Analizi'!$G$17</f>
        <v>0</v>
      </c>
      <c r="T873" s="30">
        <f>ABS(R873)/'İtme Analizi'!$G$14</f>
        <v>0</v>
      </c>
      <c r="U873" s="30">
        <f t="shared" si="15"/>
        <v>9.2950204584968388E-5</v>
      </c>
    </row>
    <row r="874" spans="16:21" ht="13.9" customHeight="1" x14ac:dyDescent="0.2">
      <c r="P874" s="27"/>
      <c r="Q874" s="30"/>
      <c r="R874" s="30"/>
      <c r="S874" s="30">
        <f>ABS(Q874)/'İtme Analizi'!$G$17</f>
        <v>0</v>
      </c>
      <c r="T874" s="30">
        <f>ABS(R874)/'İtme Analizi'!$G$14</f>
        <v>0</v>
      </c>
      <c r="U874" s="30">
        <f t="shared" si="15"/>
        <v>9.2950204584968388E-5</v>
      </c>
    </row>
    <row r="875" spans="16:21" ht="13.9" customHeight="1" x14ac:dyDescent="0.2">
      <c r="P875" s="27"/>
      <c r="Q875" s="30"/>
      <c r="R875" s="30"/>
      <c r="S875" s="30">
        <f>ABS(Q875)/'İtme Analizi'!$G$17</f>
        <v>0</v>
      </c>
      <c r="T875" s="30">
        <f>ABS(R875)/'İtme Analizi'!$G$14</f>
        <v>0</v>
      </c>
      <c r="U875" s="30">
        <f t="shared" si="15"/>
        <v>9.2950204584968388E-5</v>
      </c>
    </row>
    <row r="876" spans="16:21" ht="13.9" customHeight="1" x14ac:dyDescent="0.2">
      <c r="P876" s="27"/>
      <c r="Q876" s="30"/>
      <c r="R876" s="30"/>
      <c r="S876" s="30">
        <f>ABS(Q876)/'İtme Analizi'!$G$17</f>
        <v>0</v>
      </c>
      <c r="T876" s="30">
        <f>ABS(R876)/'İtme Analizi'!$G$14</f>
        <v>0</v>
      </c>
      <c r="U876" s="30">
        <f t="shared" si="15"/>
        <v>9.2950204584968388E-5</v>
      </c>
    </row>
    <row r="877" spans="16:21" ht="13.9" customHeight="1" x14ac:dyDescent="0.2">
      <c r="P877" s="27"/>
      <c r="Q877" s="30"/>
      <c r="R877" s="30"/>
      <c r="S877" s="30">
        <f>ABS(Q877)/'İtme Analizi'!$G$17</f>
        <v>0</v>
      </c>
      <c r="T877" s="30">
        <f>ABS(R877)/'İtme Analizi'!$G$14</f>
        <v>0</v>
      </c>
      <c r="U877" s="30">
        <f t="shared" si="15"/>
        <v>9.2950204584968388E-5</v>
      </c>
    </row>
    <row r="878" spans="16:21" ht="13.9" customHeight="1" x14ac:dyDescent="0.2">
      <c r="P878" s="27"/>
      <c r="Q878" s="30"/>
      <c r="R878" s="30"/>
      <c r="S878" s="30">
        <f>ABS(Q878)/'İtme Analizi'!$G$17</f>
        <v>0</v>
      </c>
      <c r="T878" s="30">
        <f>ABS(R878)/'İtme Analizi'!$G$14</f>
        <v>0</v>
      </c>
      <c r="U878" s="30">
        <f t="shared" si="15"/>
        <v>9.2950204584968388E-5</v>
      </c>
    </row>
    <row r="879" spans="16:21" ht="13.9" customHeight="1" x14ac:dyDescent="0.2">
      <c r="P879" s="27"/>
      <c r="Q879" s="30"/>
      <c r="R879" s="30"/>
      <c r="S879" s="30">
        <f>ABS(Q879)/'İtme Analizi'!$G$17</f>
        <v>0</v>
      </c>
      <c r="T879" s="30">
        <f>ABS(R879)/'İtme Analizi'!$G$14</f>
        <v>0</v>
      </c>
      <c r="U879" s="30">
        <f t="shared" si="15"/>
        <v>9.2950204584968388E-5</v>
      </c>
    </row>
    <row r="880" spans="16:21" ht="13.9" customHeight="1" x14ac:dyDescent="0.2">
      <c r="P880" s="27"/>
      <c r="Q880" s="30"/>
      <c r="R880" s="30"/>
      <c r="S880" s="30">
        <f>ABS(Q880)/'İtme Analizi'!$G$17</f>
        <v>0</v>
      </c>
      <c r="T880" s="30">
        <f>ABS(R880)/'İtme Analizi'!$G$14</f>
        <v>0</v>
      </c>
      <c r="U880" s="30">
        <f t="shared" si="15"/>
        <v>9.2950204584968388E-5</v>
      </c>
    </row>
    <row r="881" spans="16:21" ht="13.9" customHeight="1" x14ac:dyDescent="0.2">
      <c r="P881" s="27"/>
      <c r="Q881" s="30"/>
      <c r="R881" s="30"/>
      <c r="S881" s="30">
        <f>ABS(Q881)/'İtme Analizi'!$G$17</f>
        <v>0</v>
      </c>
      <c r="T881" s="30">
        <f>ABS(R881)/'İtme Analizi'!$G$14</f>
        <v>0</v>
      </c>
      <c r="U881" s="30">
        <f t="shared" si="15"/>
        <v>9.2950204584968388E-5</v>
      </c>
    </row>
    <row r="882" spans="16:21" ht="13.9" customHeight="1" x14ac:dyDescent="0.2">
      <c r="P882" s="27"/>
      <c r="Q882" s="30"/>
      <c r="R882" s="30"/>
      <c r="S882" s="30">
        <f>ABS(Q882)/'İtme Analizi'!$G$17</f>
        <v>0</v>
      </c>
      <c r="T882" s="30">
        <f>ABS(R882)/'İtme Analizi'!$G$14</f>
        <v>0</v>
      </c>
      <c r="U882" s="30">
        <f t="shared" si="15"/>
        <v>9.2950204584968388E-5</v>
      </c>
    </row>
    <row r="883" spans="16:21" ht="13.9" customHeight="1" x14ac:dyDescent="0.2">
      <c r="P883" s="27"/>
      <c r="Q883" s="30"/>
      <c r="R883" s="30"/>
      <c r="S883" s="30">
        <f>ABS(Q883)/'İtme Analizi'!$G$17</f>
        <v>0</v>
      </c>
      <c r="T883" s="30">
        <f>ABS(R883)/'İtme Analizi'!$G$14</f>
        <v>0</v>
      </c>
      <c r="U883" s="30">
        <f t="shared" si="15"/>
        <v>9.2950204584968388E-5</v>
      </c>
    </row>
    <row r="884" spans="16:21" ht="13.9" customHeight="1" x14ac:dyDescent="0.2">
      <c r="P884" s="27"/>
      <c r="Q884" s="30"/>
      <c r="R884" s="30"/>
      <c r="S884" s="30">
        <f>ABS(Q884)/'İtme Analizi'!$G$17</f>
        <v>0</v>
      </c>
      <c r="T884" s="30">
        <f>ABS(R884)/'İtme Analizi'!$G$14</f>
        <v>0</v>
      </c>
      <c r="U884" s="30">
        <f t="shared" si="15"/>
        <v>9.2950204584968388E-5</v>
      </c>
    </row>
    <row r="885" spans="16:21" ht="13.9" customHeight="1" x14ac:dyDescent="0.2">
      <c r="P885" s="27"/>
      <c r="Q885" s="30"/>
      <c r="R885" s="30"/>
      <c r="S885" s="30">
        <f>ABS(Q885)/'İtme Analizi'!$G$17</f>
        <v>0</v>
      </c>
      <c r="T885" s="30">
        <f>ABS(R885)/'İtme Analizi'!$G$14</f>
        <v>0</v>
      </c>
      <c r="U885" s="30">
        <f t="shared" si="15"/>
        <v>9.2950204584968388E-5</v>
      </c>
    </row>
    <row r="886" spans="16:21" ht="13.9" customHeight="1" x14ac:dyDescent="0.2">
      <c r="P886" s="27"/>
      <c r="Q886" s="30"/>
      <c r="R886" s="30"/>
      <c r="S886" s="30">
        <f>ABS(Q886)/'İtme Analizi'!$G$17</f>
        <v>0</v>
      </c>
      <c r="T886" s="30">
        <f>ABS(R886)/'İtme Analizi'!$G$14</f>
        <v>0</v>
      </c>
      <c r="U886" s="30">
        <f t="shared" si="15"/>
        <v>9.2950204584968388E-5</v>
      </c>
    </row>
    <row r="887" spans="16:21" ht="13.9" customHeight="1" x14ac:dyDescent="0.2">
      <c r="P887" s="27"/>
      <c r="Q887" s="30"/>
      <c r="R887" s="30"/>
      <c r="S887" s="30">
        <f>ABS(Q887)/'İtme Analizi'!$G$17</f>
        <v>0</v>
      </c>
      <c r="T887" s="30">
        <f>ABS(R887)/'İtme Analizi'!$G$14</f>
        <v>0</v>
      </c>
      <c r="U887" s="30">
        <f t="shared" si="15"/>
        <v>9.2950204584968388E-5</v>
      </c>
    </row>
    <row r="888" spans="16:21" ht="13.9" customHeight="1" x14ac:dyDescent="0.2">
      <c r="P888" s="27"/>
      <c r="Q888" s="30"/>
      <c r="R888" s="30"/>
      <c r="S888" s="30">
        <f>ABS(Q888)/'İtme Analizi'!$G$17</f>
        <v>0</v>
      </c>
      <c r="T888" s="30">
        <f>ABS(R888)/'İtme Analizi'!$G$14</f>
        <v>0</v>
      </c>
      <c r="U888" s="30">
        <f t="shared" si="15"/>
        <v>9.2950204584968388E-5</v>
      </c>
    </row>
    <row r="889" spans="16:21" ht="13.9" customHeight="1" x14ac:dyDescent="0.2">
      <c r="P889" s="27"/>
      <c r="Q889" s="30"/>
      <c r="R889" s="30"/>
      <c r="S889" s="30">
        <f>ABS(Q889)/'İtme Analizi'!$G$17</f>
        <v>0</v>
      </c>
      <c r="T889" s="30">
        <f>ABS(R889)/'İtme Analizi'!$G$14</f>
        <v>0</v>
      </c>
      <c r="U889" s="30">
        <f t="shared" si="15"/>
        <v>9.2950204584968388E-5</v>
      </c>
    </row>
    <row r="890" spans="16:21" ht="13.9" customHeight="1" x14ac:dyDescent="0.2">
      <c r="P890" s="27"/>
      <c r="Q890" s="30"/>
      <c r="R890" s="30"/>
      <c r="S890" s="30">
        <f>ABS(Q890)/'İtme Analizi'!$G$17</f>
        <v>0</v>
      </c>
      <c r="T890" s="30">
        <f>ABS(R890)/'İtme Analizi'!$G$14</f>
        <v>0</v>
      </c>
      <c r="U890" s="30">
        <f t="shared" si="15"/>
        <v>9.2950204584968388E-5</v>
      </c>
    </row>
    <row r="891" spans="16:21" ht="13.9" customHeight="1" x14ac:dyDescent="0.2">
      <c r="P891" s="27"/>
      <c r="Q891" s="30"/>
      <c r="R891" s="30"/>
      <c r="S891" s="30">
        <f>ABS(Q891)/'İtme Analizi'!$G$17</f>
        <v>0</v>
      </c>
      <c r="T891" s="30">
        <f>ABS(R891)/'İtme Analizi'!$G$14</f>
        <v>0</v>
      </c>
      <c r="U891" s="30">
        <f t="shared" si="15"/>
        <v>9.2950204584968388E-5</v>
      </c>
    </row>
    <row r="892" spans="16:21" ht="13.9" customHeight="1" x14ac:dyDescent="0.2">
      <c r="P892" s="27"/>
      <c r="Q892" s="30"/>
      <c r="R892" s="30"/>
      <c r="S892" s="30">
        <f>ABS(Q892)/'İtme Analizi'!$G$17</f>
        <v>0</v>
      </c>
      <c r="T892" s="30">
        <f>ABS(R892)/'İtme Analizi'!$G$14</f>
        <v>0</v>
      </c>
      <c r="U892" s="30">
        <f t="shared" si="15"/>
        <v>9.2950204584968388E-5</v>
      </c>
    </row>
    <row r="893" spans="16:21" ht="13.9" customHeight="1" x14ac:dyDescent="0.2">
      <c r="P893" s="27"/>
      <c r="Q893" s="30"/>
      <c r="R893" s="30"/>
      <c r="S893" s="30">
        <f>ABS(Q893)/'İtme Analizi'!$G$17</f>
        <v>0</v>
      </c>
      <c r="T893" s="30">
        <f>ABS(R893)/'İtme Analizi'!$G$14</f>
        <v>0</v>
      </c>
      <c r="U893" s="30">
        <f t="shared" si="15"/>
        <v>9.2950204584968388E-5</v>
      </c>
    </row>
    <row r="894" spans="16:21" ht="13.9" customHeight="1" x14ac:dyDescent="0.2">
      <c r="P894" s="27"/>
      <c r="Q894" s="30"/>
      <c r="R894" s="30"/>
      <c r="S894" s="30">
        <f>ABS(Q894)/'İtme Analizi'!$G$17</f>
        <v>0</v>
      </c>
      <c r="T894" s="30">
        <f>ABS(R894)/'İtme Analizi'!$G$14</f>
        <v>0</v>
      </c>
      <c r="U894" s="30">
        <f t="shared" si="15"/>
        <v>9.2950204584968388E-5</v>
      </c>
    </row>
    <row r="895" spans="16:21" ht="13.9" customHeight="1" x14ac:dyDescent="0.2">
      <c r="P895" s="27"/>
      <c r="Q895" s="30"/>
      <c r="R895" s="30"/>
      <c r="S895" s="30">
        <f>ABS(Q895)/'İtme Analizi'!$G$17</f>
        <v>0</v>
      </c>
      <c r="T895" s="30">
        <f>ABS(R895)/'İtme Analizi'!$G$14</f>
        <v>0</v>
      </c>
      <c r="U895" s="30">
        <f t="shared" si="15"/>
        <v>9.2950204584968388E-5</v>
      </c>
    </row>
    <row r="896" spans="16:21" ht="13.9" customHeight="1" x14ac:dyDescent="0.2">
      <c r="P896" s="27"/>
      <c r="Q896" s="30"/>
      <c r="R896" s="30"/>
      <c r="S896" s="30">
        <f>ABS(Q896)/'İtme Analizi'!$G$17</f>
        <v>0</v>
      </c>
      <c r="T896" s="30">
        <f>ABS(R896)/'İtme Analizi'!$G$14</f>
        <v>0</v>
      </c>
      <c r="U896" s="30">
        <f t="shared" si="15"/>
        <v>9.2950204584968388E-5</v>
      </c>
    </row>
    <row r="897" spans="16:21" ht="13.9" customHeight="1" x14ac:dyDescent="0.2">
      <c r="P897" s="27"/>
      <c r="Q897" s="30"/>
      <c r="R897" s="30"/>
      <c r="S897" s="30">
        <f>ABS(Q897)/'İtme Analizi'!$G$17</f>
        <v>0</v>
      </c>
      <c r="T897" s="30">
        <f>ABS(R897)/'İtme Analizi'!$G$14</f>
        <v>0</v>
      </c>
      <c r="U897" s="30">
        <f t="shared" si="15"/>
        <v>9.2950204584968388E-5</v>
      </c>
    </row>
    <row r="898" spans="16:21" ht="13.9" customHeight="1" x14ac:dyDescent="0.2">
      <c r="P898" s="27"/>
      <c r="Q898" s="30"/>
      <c r="R898" s="30"/>
      <c r="S898" s="30">
        <f>ABS(Q898)/'İtme Analizi'!$G$17</f>
        <v>0</v>
      </c>
      <c r="T898" s="30">
        <f>ABS(R898)/'İtme Analizi'!$G$14</f>
        <v>0</v>
      </c>
      <c r="U898" s="30">
        <f t="shared" si="15"/>
        <v>9.2950204584968388E-5</v>
      </c>
    </row>
    <row r="899" spans="16:21" ht="13.9" customHeight="1" x14ac:dyDescent="0.2">
      <c r="P899" s="27"/>
      <c r="Q899" s="30"/>
      <c r="R899" s="30"/>
      <c r="S899" s="30">
        <f>ABS(Q899)/'İtme Analizi'!$G$17</f>
        <v>0</v>
      </c>
      <c r="T899" s="30">
        <f>ABS(R899)/'İtme Analizi'!$G$14</f>
        <v>0</v>
      </c>
      <c r="U899" s="30">
        <f t="shared" si="15"/>
        <v>9.2950204584968388E-5</v>
      </c>
    </row>
    <row r="900" spans="16:21" ht="13.9" customHeight="1" x14ac:dyDescent="0.2">
      <c r="P900" s="27"/>
      <c r="Q900" s="30"/>
      <c r="R900" s="30"/>
      <c r="S900" s="30">
        <f>ABS(Q900)/'İtme Analizi'!$G$17</f>
        <v>0</v>
      </c>
      <c r="T900" s="30">
        <f>ABS(R900)/'İtme Analizi'!$G$14</f>
        <v>0</v>
      </c>
      <c r="U900" s="30">
        <f t="shared" si="15"/>
        <v>9.2950204584968388E-5</v>
      </c>
    </row>
    <row r="901" spans="16:21" ht="13.9" customHeight="1" x14ac:dyDescent="0.2">
      <c r="P901" s="27"/>
      <c r="Q901" s="30"/>
      <c r="R901" s="30"/>
      <c r="S901" s="30">
        <f>ABS(Q901)/'İtme Analizi'!$G$17</f>
        <v>0</v>
      </c>
      <c r="T901" s="30">
        <f>ABS(R901)/'İtme Analizi'!$G$14</f>
        <v>0</v>
      </c>
      <c r="U901" s="30">
        <f t="shared" si="15"/>
        <v>9.2950204584968388E-5</v>
      </c>
    </row>
    <row r="902" spans="16:21" ht="13.9" customHeight="1" x14ac:dyDescent="0.2">
      <c r="P902" s="27"/>
      <c r="Q902" s="30"/>
      <c r="R902" s="30"/>
      <c r="S902" s="30">
        <f>ABS(Q902)/'İtme Analizi'!$G$17</f>
        <v>0</v>
      </c>
      <c r="T902" s="30">
        <f>ABS(R902)/'İtme Analizi'!$G$14</f>
        <v>0</v>
      </c>
      <c r="U902" s="30">
        <f t="shared" si="15"/>
        <v>9.2950204584968388E-5</v>
      </c>
    </row>
    <row r="903" spans="16:21" ht="13.9" customHeight="1" x14ac:dyDescent="0.2">
      <c r="P903" s="27"/>
      <c r="Q903" s="30"/>
      <c r="R903" s="30"/>
      <c r="S903" s="30">
        <f>ABS(Q903)/'İtme Analizi'!$G$17</f>
        <v>0</v>
      </c>
      <c r="T903" s="30">
        <f>ABS(R903)/'İtme Analizi'!$G$14</f>
        <v>0</v>
      </c>
      <c r="U903" s="30">
        <f t="shared" si="15"/>
        <v>9.2950204584968388E-5</v>
      </c>
    </row>
    <row r="904" spans="16:21" ht="13.9" customHeight="1" x14ac:dyDescent="0.2">
      <c r="P904" s="27"/>
      <c r="Q904" s="30"/>
      <c r="R904" s="30"/>
      <c r="S904" s="30">
        <f>ABS(Q904)/'İtme Analizi'!$G$17</f>
        <v>0</v>
      </c>
      <c r="T904" s="30">
        <f>ABS(R904)/'İtme Analizi'!$G$14</f>
        <v>0</v>
      </c>
      <c r="U904" s="30">
        <f t="shared" si="15"/>
        <v>9.2950204584968388E-5</v>
      </c>
    </row>
    <row r="905" spans="16:21" ht="13.9" customHeight="1" x14ac:dyDescent="0.2">
      <c r="P905" s="27"/>
      <c r="Q905" s="30"/>
      <c r="R905" s="30"/>
      <c r="S905" s="30">
        <f>ABS(Q905)/'İtme Analizi'!$G$17</f>
        <v>0</v>
      </c>
      <c r="T905" s="30">
        <f>ABS(R905)/'İtme Analizi'!$G$14</f>
        <v>0</v>
      </c>
      <c r="U905" s="30">
        <f t="shared" ref="U905:U968" si="16">U904+(S905-S904)*((T905+T904)/2)</f>
        <v>9.2950204584968388E-5</v>
      </c>
    </row>
    <row r="906" spans="16:21" ht="13.9" customHeight="1" x14ac:dyDescent="0.2">
      <c r="P906" s="27"/>
      <c r="Q906" s="30"/>
      <c r="R906" s="30"/>
      <c r="S906" s="30">
        <f>ABS(Q906)/'İtme Analizi'!$G$17</f>
        <v>0</v>
      </c>
      <c r="T906" s="30">
        <f>ABS(R906)/'İtme Analizi'!$G$14</f>
        <v>0</v>
      </c>
      <c r="U906" s="30">
        <f t="shared" si="16"/>
        <v>9.2950204584968388E-5</v>
      </c>
    </row>
    <row r="907" spans="16:21" ht="13.9" customHeight="1" x14ac:dyDescent="0.2">
      <c r="P907" s="27"/>
      <c r="Q907" s="30"/>
      <c r="R907" s="30"/>
      <c r="S907" s="30">
        <f>ABS(Q907)/'İtme Analizi'!$G$17</f>
        <v>0</v>
      </c>
      <c r="T907" s="30">
        <f>ABS(R907)/'İtme Analizi'!$G$14</f>
        <v>0</v>
      </c>
      <c r="U907" s="30">
        <f t="shared" si="16"/>
        <v>9.2950204584968388E-5</v>
      </c>
    </row>
    <row r="908" spans="16:21" ht="13.9" customHeight="1" x14ac:dyDescent="0.2">
      <c r="P908" s="27"/>
      <c r="Q908" s="30"/>
      <c r="R908" s="30"/>
      <c r="S908" s="30">
        <f>ABS(Q908)/'İtme Analizi'!$G$17</f>
        <v>0</v>
      </c>
      <c r="T908" s="30">
        <f>ABS(R908)/'İtme Analizi'!$G$14</f>
        <v>0</v>
      </c>
      <c r="U908" s="30">
        <f t="shared" si="16"/>
        <v>9.2950204584968388E-5</v>
      </c>
    </row>
    <row r="909" spans="16:21" ht="13.9" customHeight="1" x14ac:dyDescent="0.2">
      <c r="P909" s="27"/>
      <c r="Q909" s="30"/>
      <c r="R909" s="30"/>
      <c r="S909" s="30">
        <f>ABS(Q909)/'İtme Analizi'!$G$17</f>
        <v>0</v>
      </c>
      <c r="T909" s="30">
        <f>ABS(R909)/'İtme Analizi'!$G$14</f>
        <v>0</v>
      </c>
      <c r="U909" s="30">
        <f t="shared" si="16"/>
        <v>9.2950204584968388E-5</v>
      </c>
    </row>
    <row r="910" spans="16:21" ht="13.9" customHeight="1" x14ac:dyDescent="0.2">
      <c r="P910" s="27"/>
      <c r="Q910" s="30"/>
      <c r="R910" s="30"/>
      <c r="S910" s="30">
        <f>ABS(Q910)/'İtme Analizi'!$G$17</f>
        <v>0</v>
      </c>
      <c r="T910" s="30">
        <f>ABS(R910)/'İtme Analizi'!$G$14</f>
        <v>0</v>
      </c>
      <c r="U910" s="30">
        <f t="shared" si="16"/>
        <v>9.2950204584968388E-5</v>
      </c>
    </row>
    <row r="911" spans="16:21" ht="13.9" customHeight="1" x14ac:dyDescent="0.2">
      <c r="P911" s="27"/>
      <c r="Q911" s="30"/>
      <c r="R911" s="30"/>
      <c r="S911" s="30">
        <f>ABS(Q911)/'İtme Analizi'!$G$17</f>
        <v>0</v>
      </c>
      <c r="T911" s="30">
        <f>ABS(R911)/'İtme Analizi'!$G$14</f>
        <v>0</v>
      </c>
      <c r="U911" s="30">
        <f t="shared" si="16"/>
        <v>9.2950204584968388E-5</v>
      </c>
    </row>
    <row r="912" spans="16:21" ht="13.9" customHeight="1" x14ac:dyDescent="0.2">
      <c r="P912" s="27"/>
      <c r="Q912" s="30"/>
      <c r="R912" s="30"/>
      <c r="S912" s="30">
        <f>ABS(Q912)/'İtme Analizi'!$G$17</f>
        <v>0</v>
      </c>
      <c r="T912" s="30">
        <f>ABS(R912)/'İtme Analizi'!$G$14</f>
        <v>0</v>
      </c>
      <c r="U912" s="30">
        <f t="shared" si="16"/>
        <v>9.2950204584968388E-5</v>
      </c>
    </row>
    <row r="913" spans="16:21" ht="13.9" customHeight="1" x14ac:dyDescent="0.2">
      <c r="P913" s="27"/>
      <c r="Q913" s="30"/>
      <c r="R913" s="30"/>
      <c r="S913" s="30">
        <f>ABS(Q913)/'İtme Analizi'!$G$17</f>
        <v>0</v>
      </c>
      <c r="T913" s="30">
        <f>ABS(R913)/'İtme Analizi'!$G$14</f>
        <v>0</v>
      </c>
      <c r="U913" s="30">
        <f t="shared" si="16"/>
        <v>9.2950204584968388E-5</v>
      </c>
    </row>
    <row r="914" spans="16:21" ht="13.9" customHeight="1" x14ac:dyDescent="0.2">
      <c r="P914" s="27"/>
      <c r="Q914" s="30"/>
      <c r="R914" s="30"/>
      <c r="S914" s="30">
        <f>ABS(Q914)/'İtme Analizi'!$G$17</f>
        <v>0</v>
      </c>
      <c r="T914" s="30">
        <f>ABS(R914)/'İtme Analizi'!$G$14</f>
        <v>0</v>
      </c>
      <c r="U914" s="30">
        <f t="shared" si="16"/>
        <v>9.2950204584968388E-5</v>
      </c>
    </row>
    <row r="915" spans="16:21" ht="13.9" customHeight="1" x14ac:dyDescent="0.2">
      <c r="P915" s="27"/>
      <c r="Q915" s="30"/>
      <c r="R915" s="30"/>
      <c r="S915" s="30">
        <f>ABS(Q915)/'İtme Analizi'!$G$17</f>
        <v>0</v>
      </c>
      <c r="T915" s="30">
        <f>ABS(R915)/'İtme Analizi'!$G$14</f>
        <v>0</v>
      </c>
      <c r="U915" s="30">
        <f t="shared" si="16"/>
        <v>9.2950204584968388E-5</v>
      </c>
    </row>
    <row r="916" spans="16:21" ht="13.9" customHeight="1" x14ac:dyDescent="0.2">
      <c r="P916" s="27"/>
      <c r="Q916" s="30"/>
      <c r="R916" s="30"/>
      <c r="S916" s="30">
        <f>ABS(Q916)/'İtme Analizi'!$G$17</f>
        <v>0</v>
      </c>
      <c r="T916" s="30">
        <f>ABS(R916)/'İtme Analizi'!$G$14</f>
        <v>0</v>
      </c>
      <c r="U916" s="30">
        <f t="shared" si="16"/>
        <v>9.2950204584968388E-5</v>
      </c>
    </row>
    <row r="917" spans="16:21" ht="13.9" customHeight="1" x14ac:dyDescent="0.2">
      <c r="P917" s="27"/>
      <c r="Q917" s="30"/>
      <c r="R917" s="30"/>
      <c r="S917" s="30">
        <f>ABS(Q917)/'İtme Analizi'!$G$17</f>
        <v>0</v>
      </c>
      <c r="T917" s="30">
        <f>ABS(R917)/'İtme Analizi'!$G$14</f>
        <v>0</v>
      </c>
      <c r="U917" s="30">
        <f t="shared" si="16"/>
        <v>9.2950204584968388E-5</v>
      </c>
    </row>
    <row r="918" spans="16:21" ht="13.9" customHeight="1" x14ac:dyDescent="0.2">
      <c r="P918" s="27"/>
      <c r="Q918" s="30"/>
      <c r="R918" s="30"/>
      <c r="S918" s="30">
        <f>ABS(Q918)/'İtme Analizi'!$G$17</f>
        <v>0</v>
      </c>
      <c r="T918" s="30">
        <f>ABS(R918)/'İtme Analizi'!$G$14</f>
        <v>0</v>
      </c>
      <c r="U918" s="30">
        <f t="shared" si="16"/>
        <v>9.2950204584968388E-5</v>
      </c>
    </row>
    <row r="919" spans="16:21" ht="13.9" customHeight="1" x14ac:dyDescent="0.2">
      <c r="P919" s="27"/>
      <c r="Q919" s="30"/>
      <c r="R919" s="30"/>
      <c r="S919" s="30">
        <f>ABS(Q919)/'İtme Analizi'!$G$17</f>
        <v>0</v>
      </c>
      <c r="T919" s="30">
        <f>ABS(R919)/'İtme Analizi'!$G$14</f>
        <v>0</v>
      </c>
      <c r="U919" s="30">
        <f t="shared" si="16"/>
        <v>9.2950204584968388E-5</v>
      </c>
    </row>
    <row r="920" spans="16:21" ht="13.9" customHeight="1" x14ac:dyDescent="0.2">
      <c r="P920" s="27"/>
      <c r="Q920" s="30"/>
      <c r="R920" s="30"/>
      <c r="S920" s="30">
        <f>ABS(Q920)/'İtme Analizi'!$G$17</f>
        <v>0</v>
      </c>
      <c r="T920" s="30">
        <f>ABS(R920)/'İtme Analizi'!$G$14</f>
        <v>0</v>
      </c>
      <c r="U920" s="30">
        <f t="shared" si="16"/>
        <v>9.2950204584968388E-5</v>
      </c>
    </row>
    <row r="921" spans="16:21" ht="13.9" customHeight="1" x14ac:dyDescent="0.2">
      <c r="P921" s="27"/>
      <c r="Q921" s="30"/>
      <c r="R921" s="30"/>
      <c r="S921" s="30">
        <f>ABS(Q921)/'İtme Analizi'!$G$17</f>
        <v>0</v>
      </c>
      <c r="T921" s="30">
        <f>ABS(R921)/'İtme Analizi'!$G$14</f>
        <v>0</v>
      </c>
      <c r="U921" s="30">
        <f t="shared" si="16"/>
        <v>9.2950204584968388E-5</v>
      </c>
    </row>
    <row r="922" spans="16:21" ht="13.9" customHeight="1" x14ac:dyDescent="0.2">
      <c r="P922" s="27"/>
      <c r="Q922" s="30"/>
      <c r="R922" s="30"/>
      <c r="S922" s="30">
        <f>ABS(Q922)/'İtme Analizi'!$G$17</f>
        <v>0</v>
      </c>
      <c r="T922" s="30">
        <f>ABS(R922)/'İtme Analizi'!$G$14</f>
        <v>0</v>
      </c>
      <c r="U922" s="30">
        <f t="shared" si="16"/>
        <v>9.2950204584968388E-5</v>
      </c>
    </row>
    <row r="923" spans="16:21" ht="13.9" customHeight="1" x14ac:dyDescent="0.2">
      <c r="P923" s="27"/>
      <c r="Q923" s="30"/>
      <c r="R923" s="30"/>
      <c r="S923" s="30">
        <f>ABS(Q923)/'İtme Analizi'!$G$17</f>
        <v>0</v>
      </c>
      <c r="T923" s="30">
        <f>ABS(R923)/'İtme Analizi'!$G$14</f>
        <v>0</v>
      </c>
      <c r="U923" s="30">
        <f t="shared" si="16"/>
        <v>9.2950204584968388E-5</v>
      </c>
    </row>
    <row r="924" spans="16:21" ht="13.9" customHeight="1" x14ac:dyDescent="0.2">
      <c r="P924" s="27"/>
      <c r="Q924" s="30"/>
      <c r="R924" s="30"/>
      <c r="S924" s="30">
        <f>ABS(Q924)/'İtme Analizi'!$G$17</f>
        <v>0</v>
      </c>
      <c r="T924" s="30">
        <f>ABS(R924)/'İtme Analizi'!$G$14</f>
        <v>0</v>
      </c>
      <c r="U924" s="30">
        <f t="shared" si="16"/>
        <v>9.2950204584968388E-5</v>
      </c>
    </row>
    <row r="925" spans="16:21" ht="13.9" customHeight="1" x14ac:dyDescent="0.2">
      <c r="P925" s="27"/>
      <c r="Q925" s="30"/>
      <c r="R925" s="30"/>
      <c r="S925" s="30">
        <f>ABS(Q925)/'İtme Analizi'!$G$17</f>
        <v>0</v>
      </c>
      <c r="T925" s="30">
        <f>ABS(R925)/'İtme Analizi'!$G$14</f>
        <v>0</v>
      </c>
      <c r="U925" s="30">
        <f t="shared" si="16"/>
        <v>9.2950204584968388E-5</v>
      </c>
    </row>
    <row r="926" spans="16:21" ht="13.9" customHeight="1" x14ac:dyDescent="0.2">
      <c r="P926" s="27"/>
      <c r="Q926" s="30"/>
      <c r="R926" s="30"/>
      <c r="S926" s="30">
        <f>ABS(Q926)/'İtme Analizi'!$G$17</f>
        <v>0</v>
      </c>
      <c r="T926" s="30">
        <f>ABS(R926)/'İtme Analizi'!$G$14</f>
        <v>0</v>
      </c>
      <c r="U926" s="30">
        <f t="shared" si="16"/>
        <v>9.2950204584968388E-5</v>
      </c>
    </row>
    <row r="927" spans="16:21" ht="13.9" customHeight="1" x14ac:dyDescent="0.2">
      <c r="P927" s="27"/>
      <c r="Q927" s="30"/>
      <c r="R927" s="30"/>
      <c r="S927" s="30">
        <f>ABS(Q927)/'İtme Analizi'!$G$17</f>
        <v>0</v>
      </c>
      <c r="T927" s="30">
        <f>ABS(R927)/'İtme Analizi'!$G$14</f>
        <v>0</v>
      </c>
      <c r="U927" s="30">
        <f t="shared" si="16"/>
        <v>9.2950204584968388E-5</v>
      </c>
    </row>
    <row r="928" spans="16:21" ht="13.9" customHeight="1" x14ac:dyDescent="0.2">
      <c r="P928" s="27"/>
      <c r="Q928" s="30"/>
      <c r="R928" s="30"/>
      <c r="S928" s="30">
        <f>ABS(Q928)/'İtme Analizi'!$G$17</f>
        <v>0</v>
      </c>
      <c r="T928" s="30">
        <f>ABS(R928)/'İtme Analizi'!$G$14</f>
        <v>0</v>
      </c>
      <c r="U928" s="30">
        <f t="shared" si="16"/>
        <v>9.2950204584968388E-5</v>
      </c>
    </row>
    <row r="929" spans="16:21" ht="13.9" customHeight="1" x14ac:dyDescent="0.2">
      <c r="P929" s="27"/>
      <c r="Q929" s="30"/>
      <c r="R929" s="30"/>
      <c r="S929" s="30">
        <f>ABS(Q929)/'İtme Analizi'!$G$17</f>
        <v>0</v>
      </c>
      <c r="T929" s="30">
        <f>ABS(R929)/'İtme Analizi'!$G$14</f>
        <v>0</v>
      </c>
      <c r="U929" s="30">
        <f t="shared" si="16"/>
        <v>9.2950204584968388E-5</v>
      </c>
    </row>
    <row r="930" spans="16:21" ht="13.9" customHeight="1" x14ac:dyDescent="0.2">
      <c r="P930" s="27"/>
      <c r="Q930" s="30"/>
      <c r="R930" s="30"/>
      <c r="S930" s="30">
        <f>ABS(Q930)/'İtme Analizi'!$G$17</f>
        <v>0</v>
      </c>
      <c r="T930" s="30">
        <f>ABS(R930)/'İtme Analizi'!$G$14</f>
        <v>0</v>
      </c>
      <c r="U930" s="30">
        <f t="shared" si="16"/>
        <v>9.2950204584968388E-5</v>
      </c>
    </row>
    <row r="931" spans="16:21" ht="13.9" customHeight="1" x14ac:dyDescent="0.2">
      <c r="P931" s="27"/>
      <c r="Q931" s="30"/>
      <c r="R931" s="30"/>
      <c r="S931" s="30">
        <f>ABS(Q931)/'İtme Analizi'!$G$17</f>
        <v>0</v>
      </c>
      <c r="T931" s="30">
        <f>ABS(R931)/'İtme Analizi'!$G$14</f>
        <v>0</v>
      </c>
      <c r="U931" s="30">
        <f t="shared" si="16"/>
        <v>9.2950204584968388E-5</v>
      </c>
    </row>
    <row r="932" spans="16:21" ht="13.9" customHeight="1" x14ac:dyDescent="0.2">
      <c r="P932" s="27"/>
      <c r="Q932" s="30"/>
      <c r="R932" s="30"/>
      <c r="S932" s="30">
        <f>ABS(Q932)/'İtme Analizi'!$G$17</f>
        <v>0</v>
      </c>
      <c r="T932" s="30">
        <f>ABS(R932)/'İtme Analizi'!$G$14</f>
        <v>0</v>
      </c>
      <c r="U932" s="30">
        <f t="shared" si="16"/>
        <v>9.2950204584968388E-5</v>
      </c>
    </row>
    <row r="933" spans="16:21" ht="13.9" customHeight="1" x14ac:dyDescent="0.2">
      <c r="P933" s="27"/>
      <c r="Q933" s="30"/>
      <c r="R933" s="30"/>
      <c r="S933" s="30">
        <f>ABS(Q933)/'İtme Analizi'!$G$17</f>
        <v>0</v>
      </c>
      <c r="T933" s="30">
        <f>ABS(R933)/'İtme Analizi'!$G$14</f>
        <v>0</v>
      </c>
      <c r="U933" s="30">
        <f t="shared" si="16"/>
        <v>9.2950204584968388E-5</v>
      </c>
    </row>
    <row r="934" spans="16:21" ht="13.9" customHeight="1" x14ac:dyDescent="0.2">
      <c r="P934" s="27"/>
      <c r="Q934" s="30"/>
      <c r="R934" s="30"/>
      <c r="S934" s="30">
        <f>ABS(Q934)/'İtme Analizi'!$G$17</f>
        <v>0</v>
      </c>
      <c r="T934" s="30">
        <f>ABS(R934)/'İtme Analizi'!$G$14</f>
        <v>0</v>
      </c>
      <c r="U934" s="30">
        <f t="shared" si="16"/>
        <v>9.2950204584968388E-5</v>
      </c>
    </row>
    <row r="935" spans="16:21" ht="13.9" customHeight="1" x14ac:dyDescent="0.2">
      <c r="P935" s="27"/>
      <c r="Q935" s="30"/>
      <c r="R935" s="30"/>
      <c r="S935" s="30">
        <f>ABS(Q935)/'İtme Analizi'!$G$17</f>
        <v>0</v>
      </c>
      <c r="T935" s="30">
        <f>ABS(R935)/'İtme Analizi'!$G$14</f>
        <v>0</v>
      </c>
      <c r="U935" s="30">
        <f t="shared" si="16"/>
        <v>9.2950204584968388E-5</v>
      </c>
    </row>
    <row r="936" spans="16:21" ht="13.9" customHeight="1" x14ac:dyDescent="0.2">
      <c r="P936" s="27"/>
      <c r="Q936" s="30"/>
      <c r="R936" s="30"/>
      <c r="S936" s="30">
        <f>ABS(Q936)/'İtme Analizi'!$G$17</f>
        <v>0</v>
      </c>
      <c r="T936" s="30">
        <f>ABS(R936)/'İtme Analizi'!$G$14</f>
        <v>0</v>
      </c>
      <c r="U936" s="30">
        <f t="shared" si="16"/>
        <v>9.2950204584968388E-5</v>
      </c>
    </row>
    <row r="937" spans="16:21" ht="13.9" customHeight="1" x14ac:dyDescent="0.2">
      <c r="P937" s="27"/>
      <c r="Q937" s="30"/>
      <c r="R937" s="30"/>
      <c r="S937" s="30">
        <f>ABS(Q937)/'İtme Analizi'!$G$17</f>
        <v>0</v>
      </c>
      <c r="T937" s="30">
        <f>ABS(R937)/'İtme Analizi'!$G$14</f>
        <v>0</v>
      </c>
      <c r="U937" s="30">
        <f t="shared" si="16"/>
        <v>9.2950204584968388E-5</v>
      </c>
    </row>
    <row r="938" spans="16:21" ht="13.9" customHeight="1" x14ac:dyDescent="0.2">
      <c r="P938" s="27"/>
      <c r="Q938" s="30"/>
      <c r="R938" s="30"/>
      <c r="S938" s="30">
        <f>ABS(Q938)/'İtme Analizi'!$G$17</f>
        <v>0</v>
      </c>
      <c r="T938" s="30">
        <f>ABS(R938)/'İtme Analizi'!$G$14</f>
        <v>0</v>
      </c>
      <c r="U938" s="30">
        <f t="shared" si="16"/>
        <v>9.2950204584968388E-5</v>
      </c>
    </row>
    <row r="939" spans="16:21" ht="13.9" customHeight="1" x14ac:dyDescent="0.2">
      <c r="P939" s="27"/>
      <c r="Q939" s="30"/>
      <c r="R939" s="30"/>
      <c r="S939" s="30">
        <f>ABS(Q939)/'İtme Analizi'!$G$17</f>
        <v>0</v>
      </c>
      <c r="T939" s="30">
        <f>ABS(R939)/'İtme Analizi'!$G$14</f>
        <v>0</v>
      </c>
      <c r="U939" s="30">
        <f t="shared" si="16"/>
        <v>9.2950204584968388E-5</v>
      </c>
    </row>
    <row r="940" spans="16:21" ht="13.9" customHeight="1" x14ac:dyDescent="0.2">
      <c r="P940" s="27"/>
      <c r="Q940" s="30"/>
      <c r="R940" s="30"/>
      <c r="S940" s="30">
        <f>ABS(Q940)/'İtme Analizi'!$G$17</f>
        <v>0</v>
      </c>
      <c r="T940" s="30">
        <f>ABS(R940)/'İtme Analizi'!$G$14</f>
        <v>0</v>
      </c>
      <c r="U940" s="30">
        <f t="shared" si="16"/>
        <v>9.2950204584968388E-5</v>
      </c>
    </row>
    <row r="941" spans="16:21" ht="13.9" customHeight="1" x14ac:dyDescent="0.2">
      <c r="P941" s="27"/>
      <c r="Q941" s="30"/>
      <c r="R941" s="30"/>
      <c r="S941" s="30">
        <f>ABS(Q941)/'İtme Analizi'!$G$17</f>
        <v>0</v>
      </c>
      <c r="T941" s="30">
        <f>ABS(R941)/'İtme Analizi'!$G$14</f>
        <v>0</v>
      </c>
      <c r="U941" s="30">
        <f t="shared" si="16"/>
        <v>9.2950204584968388E-5</v>
      </c>
    </row>
    <row r="942" spans="16:21" ht="13.9" customHeight="1" x14ac:dyDescent="0.2">
      <c r="P942" s="27"/>
      <c r="Q942" s="30"/>
      <c r="R942" s="30"/>
      <c r="S942" s="30">
        <f>ABS(Q942)/'İtme Analizi'!$G$17</f>
        <v>0</v>
      </c>
      <c r="T942" s="30">
        <f>ABS(R942)/'İtme Analizi'!$G$14</f>
        <v>0</v>
      </c>
      <c r="U942" s="30">
        <f t="shared" si="16"/>
        <v>9.2950204584968388E-5</v>
      </c>
    </row>
    <row r="943" spans="16:21" ht="13.9" customHeight="1" x14ac:dyDescent="0.2">
      <c r="P943" s="27"/>
      <c r="Q943" s="30"/>
      <c r="R943" s="30"/>
      <c r="S943" s="30">
        <f>ABS(Q943)/'İtme Analizi'!$G$17</f>
        <v>0</v>
      </c>
      <c r="T943" s="30">
        <f>ABS(R943)/'İtme Analizi'!$G$14</f>
        <v>0</v>
      </c>
      <c r="U943" s="30">
        <f t="shared" si="16"/>
        <v>9.2950204584968388E-5</v>
      </c>
    </row>
    <row r="944" spans="16:21" ht="13.9" customHeight="1" x14ac:dyDescent="0.2">
      <c r="P944" s="27"/>
      <c r="Q944" s="30"/>
      <c r="R944" s="30"/>
      <c r="S944" s="30">
        <f>ABS(Q944)/'İtme Analizi'!$G$17</f>
        <v>0</v>
      </c>
      <c r="T944" s="30">
        <f>ABS(R944)/'İtme Analizi'!$G$14</f>
        <v>0</v>
      </c>
      <c r="U944" s="30">
        <f t="shared" si="16"/>
        <v>9.2950204584968388E-5</v>
      </c>
    </row>
    <row r="945" spans="16:21" ht="13.9" customHeight="1" x14ac:dyDescent="0.2">
      <c r="P945" s="27"/>
      <c r="Q945" s="30"/>
      <c r="R945" s="30"/>
      <c r="S945" s="30">
        <f>ABS(Q945)/'İtme Analizi'!$G$17</f>
        <v>0</v>
      </c>
      <c r="T945" s="30">
        <f>ABS(R945)/'İtme Analizi'!$G$14</f>
        <v>0</v>
      </c>
      <c r="U945" s="30">
        <f t="shared" si="16"/>
        <v>9.2950204584968388E-5</v>
      </c>
    </row>
    <row r="946" spans="16:21" ht="13.9" customHeight="1" x14ac:dyDescent="0.2">
      <c r="P946" s="27"/>
      <c r="Q946" s="30"/>
      <c r="R946" s="30"/>
      <c r="S946" s="30">
        <f>ABS(Q946)/'İtme Analizi'!$G$17</f>
        <v>0</v>
      </c>
      <c r="T946" s="30">
        <f>ABS(R946)/'İtme Analizi'!$G$14</f>
        <v>0</v>
      </c>
      <c r="U946" s="30">
        <f t="shared" si="16"/>
        <v>9.2950204584968388E-5</v>
      </c>
    </row>
    <row r="947" spans="16:21" ht="13.9" customHeight="1" x14ac:dyDescent="0.2">
      <c r="P947" s="27"/>
      <c r="Q947" s="30"/>
      <c r="R947" s="30"/>
      <c r="S947" s="30">
        <f>ABS(Q947)/'İtme Analizi'!$G$17</f>
        <v>0</v>
      </c>
      <c r="T947" s="30">
        <f>ABS(R947)/'İtme Analizi'!$G$14</f>
        <v>0</v>
      </c>
      <c r="U947" s="30">
        <f t="shared" si="16"/>
        <v>9.2950204584968388E-5</v>
      </c>
    </row>
    <row r="948" spans="16:21" ht="13.9" customHeight="1" x14ac:dyDescent="0.2">
      <c r="P948" s="27"/>
      <c r="Q948" s="30"/>
      <c r="R948" s="30"/>
      <c r="S948" s="30">
        <f>ABS(Q948)/'İtme Analizi'!$G$17</f>
        <v>0</v>
      </c>
      <c r="T948" s="30">
        <f>ABS(R948)/'İtme Analizi'!$G$14</f>
        <v>0</v>
      </c>
      <c r="U948" s="30">
        <f t="shared" si="16"/>
        <v>9.2950204584968388E-5</v>
      </c>
    </row>
    <row r="949" spans="16:21" ht="13.9" customHeight="1" x14ac:dyDescent="0.2">
      <c r="P949" s="27"/>
      <c r="Q949" s="30"/>
      <c r="R949" s="30"/>
      <c r="S949" s="30">
        <f>ABS(Q949)/'İtme Analizi'!$G$17</f>
        <v>0</v>
      </c>
      <c r="T949" s="30">
        <f>ABS(R949)/'İtme Analizi'!$G$14</f>
        <v>0</v>
      </c>
      <c r="U949" s="30">
        <f t="shared" si="16"/>
        <v>9.2950204584968388E-5</v>
      </c>
    </row>
    <row r="950" spans="16:21" ht="13.9" customHeight="1" x14ac:dyDescent="0.2">
      <c r="P950" s="27"/>
      <c r="Q950" s="30"/>
      <c r="R950" s="30"/>
      <c r="S950" s="30">
        <f>ABS(Q950)/'İtme Analizi'!$G$17</f>
        <v>0</v>
      </c>
      <c r="T950" s="30">
        <f>ABS(R950)/'İtme Analizi'!$G$14</f>
        <v>0</v>
      </c>
      <c r="U950" s="30">
        <f t="shared" si="16"/>
        <v>9.2950204584968388E-5</v>
      </c>
    </row>
    <row r="951" spans="16:21" ht="13.9" customHeight="1" x14ac:dyDescent="0.2">
      <c r="P951" s="27"/>
      <c r="Q951" s="30"/>
      <c r="R951" s="30"/>
      <c r="S951" s="30">
        <f>ABS(Q951)/'İtme Analizi'!$G$17</f>
        <v>0</v>
      </c>
      <c r="T951" s="30">
        <f>ABS(R951)/'İtme Analizi'!$G$14</f>
        <v>0</v>
      </c>
      <c r="U951" s="30">
        <f t="shared" si="16"/>
        <v>9.2950204584968388E-5</v>
      </c>
    </row>
    <row r="952" spans="16:21" ht="13.9" customHeight="1" x14ac:dyDescent="0.2">
      <c r="P952" s="27"/>
      <c r="Q952" s="30"/>
      <c r="R952" s="30"/>
      <c r="S952" s="30">
        <f>ABS(Q952)/'İtme Analizi'!$G$17</f>
        <v>0</v>
      </c>
      <c r="T952" s="30">
        <f>ABS(R952)/'İtme Analizi'!$G$14</f>
        <v>0</v>
      </c>
      <c r="U952" s="30">
        <f t="shared" si="16"/>
        <v>9.2950204584968388E-5</v>
      </c>
    </row>
    <row r="953" spans="16:21" ht="13.9" customHeight="1" x14ac:dyDescent="0.2">
      <c r="P953" s="27"/>
      <c r="Q953" s="30"/>
      <c r="R953" s="30"/>
      <c r="S953" s="30">
        <f>ABS(Q953)/'İtme Analizi'!$G$17</f>
        <v>0</v>
      </c>
      <c r="T953" s="30">
        <f>ABS(R953)/'İtme Analizi'!$G$14</f>
        <v>0</v>
      </c>
      <c r="U953" s="30">
        <f t="shared" si="16"/>
        <v>9.2950204584968388E-5</v>
      </c>
    </row>
    <row r="954" spans="16:21" ht="13.9" customHeight="1" x14ac:dyDescent="0.2">
      <c r="P954" s="27"/>
      <c r="Q954" s="30"/>
      <c r="R954" s="30"/>
      <c r="S954" s="30">
        <f>ABS(Q954)/'İtme Analizi'!$G$17</f>
        <v>0</v>
      </c>
      <c r="T954" s="30">
        <f>ABS(R954)/'İtme Analizi'!$G$14</f>
        <v>0</v>
      </c>
      <c r="U954" s="30">
        <f t="shared" si="16"/>
        <v>9.2950204584968388E-5</v>
      </c>
    </row>
    <row r="955" spans="16:21" ht="13.9" customHeight="1" x14ac:dyDescent="0.2">
      <c r="P955" s="27"/>
      <c r="Q955" s="30"/>
      <c r="R955" s="30"/>
      <c r="S955" s="30">
        <f>ABS(Q955)/'İtme Analizi'!$G$17</f>
        <v>0</v>
      </c>
      <c r="T955" s="30">
        <f>ABS(R955)/'İtme Analizi'!$G$14</f>
        <v>0</v>
      </c>
      <c r="U955" s="30">
        <f t="shared" si="16"/>
        <v>9.2950204584968388E-5</v>
      </c>
    </row>
    <row r="956" spans="16:21" ht="13.9" customHeight="1" x14ac:dyDescent="0.2">
      <c r="P956" s="27"/>
      <c r="Q956" s="30"/>
      <c r="R956" s="30"/>
      <c r="S956" s="30">
        <f>ABS(Q956)/'İtme Analizi'!$G$17</f>
        <v>0</v>
      </c>
      <c r="T956" s="30">
        <f>ABS(R956)/'İtme Analizi'!$G$14</f>
        <v>0</v>
      </c>
      <c r="U956" s="30">
        <f t="shared" si="16"/>
        <v>9.2950204584968388E-5</v>
      </c>
    </row>
    <row r="957" spans="16:21" ht="13.9" customHeight="1" x14ac:dyDescent="0.2">
      <c r="P957" s="27"/>
      <c r="Q957" s="30"/>
      <c r="R957" s="30"/>
      <c r="S957" s="30">
        <f>ABS(Q957)/'İtme Analizi'!$G$17</f>
        <v>0</v>
      </c>
      <c r="T957" s="30">
        <f>ABS(R957)/'İtme Analizi'!$G$14</f>
        <v>0</v>
      </c>
      <c r="U957" s="30">
        <f t="shared" si="16"/>
        <v>9.2950204584968388E-5</v>
      </c>
    </row>
    <row r="958" spans="16:21" ht="13.9" customHeight="1" x14ac:dyDescent="0.2">
      <c r="P958" s="27"/>
      <c r="Q958" s="30"/>
      <c r="R958" s="30"/>
      <c r="S958" s="30">
        <f>ABS(Q958)/'İtme Analizi'!$G$17</f>
        <v>0</v>
      </c>
      <c r="T958" s="30">
        <f>ABS(R958)/'İtme Analizi'!$G$14</f>
        <v>0</v>
      </c>
      <c r="U958" s="30">
        <f t="shared" si="16"/>
        <v>9.2950204584968388E-5</v>
      </c>
    </row>
    <row r="959" spans="16:21" ht="13.9" customHeight="1" x14ac:dyDescent="0.2">
      <c r="P959" s="27"/>
      <c r="Q959" s="30"/>
      <c r="R959" s="30"/>
      <c r="S959" s="30">
        <f>ABS(Q959)/'İtme Analizi'!$G$17</f>
        <v>0</v>
      </c>
      <c r="T959" s="30">
        <f>ABS(R959)/'İtme Analizi'!$G$14</f>
        <v>0</v>
      </c>
      <c r="U959" s="30">
        <f t="shared" si="16"/>
        <v>9.2950204584968388E-5</v>
      </c>
    </row>
    <row r="960" spans="16:21" ht="13.9" customHeight="1" x14ac:dyDescent="0.2">
      <c r="P960" s="27"/>
      <c r="Q960" s="30"/>
      <c r="R960" s="30"/>
      <c r="S960" s="30">
        <f>ABS(Q960)/'İtme Analizi'!$G$17</f>
        <v>0</v>
      </c>
      <c r="T960" s="30">
        <f>ABS(R960)/'İtme Analizi'!$G$14</f>
        <v>0</v>
      </c>
      <c r="U960" s="30">
        <f t="shared" si="16"/>
        <v>9.2950204584968388E-5</v>
      </c>
    </row>
    <row r="961" spans="16:21" ht="13.9" customHeight="1" x14ac:dyDescent="0.2">
      <c r="P961" s="27"/>
      <c r="Q961" s="30"/>
      <c r="R961" s="30"/>
      <c r="S961" s="30">
        <f>ABS(Q961)/'İtme Analizi'!$G$17</f>
        <v>0</v>
      </c>
      <c r="T961" s="30">
        <f>ABS(R961)/'İtme Analizi'!$G$14</f>
        <v>0</v>
      </c>
      <c r="U961" s="30">
        <f t="shared" si="16"/>
        <v>9.2950204584968388E-5</v>
      </c>
    </row>
    <row r="962" spans="16:21" ht="13.9" customHeight="1" x14ac:dyDescent="0.2">
      <c r="P962" s="27"/>
      <c r="Q962" s="30"/>
      <c r="R962" s="30"/>
      <c r="S962" s="30">
        <f>ABS(Q962)/'İtme Analizi'!$G$17</f>
        <v>0</v>
      </c>
      <c r="T962" s="30">
        <f>ABS(R962)/'İtme Analizi'!$G$14</f>
        <v>0</v>
      </c>
      <c r="U962" s="30">
        <f t="shared" si="16"/>
        <v>9.2950204584968388E-5</v>
      </c>
    </row>
    <row r="963" spans="16:21" ht="13.9" customHeight="1" x14ac:dyDescent="0.2">
      <c r="P963" s="27"/>
      <c r="Q963" s="30"/>
      <c r="R963" s="30"/>
      <c r="S963" s="30">
        <f>ABS(Q963)/'İtme Analizi'!$G$17</f>
        <v>0</v>
      </c>
      <c r="T963" s="30">
        <f>ABS(R963)/'İtme Analizi'!$G$14</f>
        <v>0</v>
      </c>
      <c r="U963" s="30">
        <f t="shared" si="16"/>
        <v>9.2950204584968388E-5</v>
      </c>
    </row>
    <row r="964" spans="16:21" ht="13.9" customHeight="1" x14ac:dyDescent="0.2">
      <c r="P964" s="27"/>
      <c r="Q964" s="30"/>
      <c r="R964" s="30"/>
      <c r="S964" s="30">
        <f>ABS(Q964)/'İtme Analizi'!$G$17</f>
        <v>0</v>
      </c>
      <c r="T964" s="30">
        <f>ABS(R964)/'İtme Analizi'!$G$14</f>
        <v>0</v>
      </c>
      <c r="U964" s="30">
        <f t="shared" si="16"/>
        <v>9.2950204584968388E-5</v>
      </c>
    </row>
    <row r="965" spans="16:21" ht="13.9" customHeight="1" x14ac:dyDescent="0.2">
      <c r="P965" s="27"/>
      <c r="Q965" s="30"/>
      <c r="R965" s="30"/>
      <c r="S965" s="30">
        <f>ABS(Q965)/'İtme Analizi'!$G$17</f>
        <v>0</v>
      </c>
      <c r="T965" s="30">
        <f>ABS(R965)/'İtme Analizi'!$G$14</f>
        <v>0</v>
      </c>
      <c r="U965" s="30">
        <f t="shared" si="16"/>
        <v>9.2950204584968388E-5</v>
      </c>
    </row>
    <row r="966" spans="16:21" ht="13.9" customHeight="1" x14ac:dyDescent="0.2">
      <c r="P966" s="27"/>
      <c r="Q966" s="30"/>
      <c r="R966" s="30"/>
      <c r="S966" s="30">
        <f>ABS(Q966)/'İtme Analizi'!$G$17</f>
        <v>0</v>
      </c>
      <c r="T966" s="30">
        <f>ABS(R966)/'İtme Analizi'!$G$14</f>
        <v>0</v>
      </c>
      <c r="U966" s="30">
        <f t="shared" si="16"/>
        <v>9.2950204584968388E-5</v>
      </c>
    </row>
    <row r="967" spans="16:21" ht="13.9" customHeight="1" x14ac:dyDescent="0.2">
      <c r="P967" s="27"/>
      <c r="Q967" s="30"/>
      <c r="R967" s="30"/>
      <c r="S967" s="30">
        <f>ABS(Q967)/'İtme Analizi'!$G$17</f>
        <v>0</v>
      </c>
      <c r="T967" s="30">
        <f>ABS(R967)/'İtme Analizi'!$G$14</f>
        <v>0</v>
      </c>
      <c r="U967" s="30">
        <f t="shared" si="16"/>
        <v>9.2950204584968388E-5</v>
      </c>
    </row>
    <row r="968" spans="16:21" ht="13.9" customHeight="1" x14ac:dyDescent="0.2">
      <c r="P968" s="27"/>
      <c r="Q968" s="30"/>
      <c r="R968" s="30"/>
      <c r="S968" s="30">
        <f>ABS(Q968)/'İtme Analizi'!$G$17</f>
        <v>0</v>
      </c>
      <c r="T968" s="30">
        <f>ABS(R968)/'İtme Analizi'!$G$14</f>
        <v>0</v>
      </c>
      <c r="U968" s="30">
        <f t="shared" si="16"/>
        <v>9.2950204584968388E-5</v>
      </c>
    </row>
    <row r="969" spans="16:21" ht="13.9" customHeight="1" x14ac:dyDescent="0.2">
      <c r="P969" s="27"/>
      <c r="Q969" s="30"/>
      <c r="R969" s="30"/>
      <c r="S969" s="30">
        <f>ABS(Q969)/'İtme Analizi'!$G$17</f>
        <v>0</v>
      </c>
      <c r="T969" s="30">
        <f>ABS(R969)/'İtme Analizi'!$G$14</f>
        <v>0</v>
      </c>
      <c r="U969" s="30">
        <f t="shared" ref="U969:U1000" si="17">U968+(S969-S968)*((T969+T968)/2)</f>
        <v>9.2950204584968388E-5</v>
      </c>
    </row>
    <row r="970" spans="16:21" ht="13.9" customHeight="1" x14ac:dyDescent="0.2">
      <c r="P970" s="27"/>
      <c r="Q970" s="30"/>
      <c r="R970" s="30"/>
      <c r="S970" s="30">
        <f>ABS(Q970)/'İtme Analizi'!$G$17</f>
        <v>0</v>
      </c>
      <c r="T970" s="30">
        <f>ABS(R970)/'İtme Analizi'!$G$14</f>
        <v>0</v>
      </c>
      <c r="U970" s="30">
        <f t="shared" si="17"/>
        <v>9.2950204584968388E-5</v>
      </c>
    </row>
    <row r="971" spans="16:21" ht="13.9" customHeight="1" x14ac:dyDescent="0.2">
      <c r="P971" s="27"/>
      <c r="Q971" s="30"/>
      <c r="R971" s="30"/>
      <c r="S971" s="30">
        <f>ABS(Q971)/'İtme Analizi'!$G$17</f>
        <v>0</v>
      </c>
      <c r="T971" s="30">
        <f>ABS(R971)/'İtme Analizi'!$G$14</f>
        <v>0</v>
      </c>
      <c r="U971" s="30">
        <f t="shared" si="17"/>
        <v>9.2950204584968388E-5</v>
      </c>
    </row>
    <row r="972" spans="16:21" ht="13.9" customHeight="1" x14ac:dyDescent="0.2">
      <c r="P972" s="27"/>
      <c r="Q972" s="30"/>
      <c r="R972" s="30"/>
      <c r="S972" s="30">
        <f>ABS(Q972)/'İtme Analizi'!$G$17</f>
        <v>0</v>
      </c>
      <c r="T972" s="30">
        <f>ABS(R972)/'İtme Analizi'!$G$14</f>
        <v>0</v>
      </c>
      <c r="U972" s="30">
        <f t="shared" si="17"/>
        <v>9.2950204584968388E-5</v>
      </c>
    </row>
    <row r="973" spans="16:21" ht="13.9" customHeight="1" x14ac:dyDescent="0.2">
      <c r="P973" s="27"/>
      <c r="Q973" s="30"/>
      <c r="R973" s="30"/>
      <c r="S973" s="30">
        <f>ABS(Q973)/'İtme Analizi'!$G$17</f>
        <v>0</v>
      </c>
      <c r="T973" s="30">
        <f>ABS(R973)/'İtme Analizi'!$G$14</f>
        <v>0</v>
      </c>
      <c r="U973" s="30">
        <f t="shared" si="17"/>
        <v>9.2950204584968388E-5</v>
      </c>
    </row>
    <row r="974" spans="16:21" ht="13.9" customHeight="1" x14ac:dyDescent="0.2">
      <c r="P974" s="27"/>
      <c r="Q974" s="30"/>
      <c r="R974" s="30"/>
      <c r="S974" s="30">
        <f>ABS(Q974)/'İtme Analizi'!$G$17</f>
        <v>0</v>
      </c>
      <c r="T974" s="30">
        <f>ABS(R974)/'İtme Analizi'!$G$14</f>
        <v>0</v>
      </c>
      <c r="U974" s="30">
        <f t="shared" si="17"/>
        <v>9.2950204584968388E-5</v>
      </c>
    </row>
    <row r="975" spans="16:21" ht="13.9" customHeight="1" x14ac:dyDescent="0.2">
      <c r="P975" s="27"/>
      <c r="Q975" s="30"/>
      <c r="R975" s="30"/>
      <c r="S975" s="30">
        <f>ABS(Q975)/'İtme Analizi'!$G$17</f>
        <v>0</v>
      </c>
      <c r="T975" s="30">
        <f>ABS(R975)/'İtme Analizi'!$G$14</f>
        <v>0</v>
      </c>
      <c r="U975" s="30">
        <f t="shared" si="17"/>
        <v>9.2950204584968388E-5</v>
      </c>
    </row>
    <row r="976" spans="16:21" ht="13.9" customHeight="1" x14ac:dyDescent="0.2">
      <c r="P976" s="27"/>
      <c r="Q976" s="30"/>
      <c r="R976" s="30"/>
      <c r="S976" s="30">
        <f>ABS(Q976)/'İtme Analizi'!$G$17</f>
        <v>0</v>
      </c>
      <c r="T976" s="30">
        <f>ABS(R976)/'İtme Analizi'!$G$14</f>
        <v>0</v>
      </c>
      <c r="U976" s="30">
        <f t="shared" si="17"/>
        <v>9.2950204584968388E-5</v>
      </c>
    </row>
    <row r="977" spans="16:21" ht="13.9" customHeight="1" x14ac:dyDescent="0.2">
      <c r="P977" s="27"/>
      <c r="Q977" s="30"/>
      <c r="R977" s="30"/>
      <c r="S977" s="30">
        <f>ABS(Q977)/'İtme Analizi'!$G$17</f>
        <v>0</v>
      </c>
      <c r="T977" s="30">
        <f>ABS(R977)/'İtme Analizi'!$G$14</f>
        <v>0</v>
      </c>
      <c r="U977" s="30">
        <f t="shared" si="17"/>
        <v>9.2950204584968388E-5</v>
      </c>
    </row>
    <row r="978" spans="16:21" ht="13.9" customHeight="1" x14ac:dyDescent="0.2">
      <c r="P978" s="27"/>
      <c r="Q978" s="30"/>
      <c r="R978" s="30"/>
      <c r="S978" s="30">
        <f>ABS(Q978)/'İtme Analizi'!$G$17</f>
        <v>0</v>
      </c>
      <c r="T978" s="30">
        <f>ABS(R978)/'İtme Analizi'!$G$14</f>
        <v>0</v>
      </c>
      <c r="U978" s="30">
        <f t="shared" si="17"/>
        <v>9.2950204584968388E-5</v>
      </c>
    </row>
    <row r="979" spans="16:21" ht="13.9" customHeight="1" x14ac:dyDescent="0.2">
      <c r="P979" s="27"/>
      <c r="Q979" s="30"/>
      <c r="R979" s="30"/>
      <c r="S979" s="30">
        <f>ABS(Q979)/'İtme Analizi'!$G$17</f>
        <v>0</v>
      </c>
      <c r="T979" s="30">
        <f>ABS(R979)/'İtme Analizi'!$G$14</f>
        <v>0</v>
      </c>
      <c r="U979" s="30">
        <f t="shared" si="17"/>
        <v>9.2950204584968388E-5</v>
      </c>
    </row>
    <row r="980" spans="16:21" ht="13.9" customHeight="1" x14ac:dyDescent="0.2">
      <c r="P980" s="27"/>
      <c r="Q980" s="30"/>
      <c r="R980" s="30"/>
      <c r="S980" s="30">
        <f>ABS(Q980)/'İtme Analizi'!$G$17</f>
        <v>0</v>
      </c>
      <c r="T980" s="30">
        <f>ABS(R980)/'İtme Analizi'!$G$14</f>
        <v>0</v>
      </c>
      <c r="U980" s="30">
        <f t="shared" si="17"/>
        <v>9.2950204584968388E-5</v>
      </c>
    </row>
    <row r="981" spans="16:21" ht="13.9" customHeight="1" x14ac:dyDescent="0.2">
      <c r="P981" s="27"/>
      <c r="Q981" s="30"/>
      <c r="R981" s="30"/>
      <c r="S981" s="30">
        <f>ABS(Q981)/'İtme Analizi'!$G$17</f>
        <v>0</v>
      </c>
      <c r="T981" s="30">
        <f>ABS(R981)/'İtme Analizi'!$G$14</f>
        <v>0</v>
      </c>
      <c r="U981" s="30">
        <f t="shared" si="17"/>
        <v>9.2950204584968388E-5</v>
      </c>
    </row>
    <row r="982" spans="16:21" ht="13.9" customHeight="1" x14ac:dyDescent="0.2">
      <c r="P982" s="27"/>
      <c r="Q982" s="30"/>
      <c r="R982" s="30"/>
      <c r="S982" s="30">
        <f>ABS(Q982)/'İtme Analizi'!$G$17</f>
        <v>0</v>
      </c>
      <c r="T982" s="30">
        <f>ABS(R982)/'İtme Analizi'!$G$14</f>
        <v>0</v>
      </c>
      <c r="U982" s="30">
        <f t="shared" si="17"/>
        <v>9.2950204584968388E-5</v>
      </c>
    </row>
    <row r="983" spans="16:21" ht="13.9" customHeight="1" x14ac:dyDescent="0.2">
      <c r="P983" s="27"/>
      <c r="Q983" s="30"/>
      <c r="R983" s="30"/>
      <c r="S983" s="30">
        <f>ABS(Q983)/'İtme Analizi'!$G$17</f>
        <v>0</v>
      </c>
      <c r="T983" s="30">
        <f>ABS(R983)/'İtme Analizi'!$G$14</f>
        <v>0</v>
      </c>
      <c r="U983" s="30">
        <f t="shared" si="17"/>
        <v>9.2950204584968388E-5</v>
      </c>
    </row>
    <row r="984" spans="16:21" ht="13.9" customHeight="1" x14ac:dyDescent="0.2">
      <c r="P984" s="27"/>
      <c r="Q984" s="30"/>
      <c r="R984" s="30"/>
      <c r="S984" s="30">
        <f>ABS(Q984)/'İtme Analizi'!$G$17</f>
        <v>0</v>
      </c>
      <c r="T984" s="30">
        <f>ABS(R984)/'İtme Analizi'!$G$14</f>
        <v>0</v>
      </c>
      <c r="U984" s="30">
        <f t="shared" si="17"/>
        <v>9.2950204584968388E-5</v>
      </c>
    </row>
    <row r="985" spans="16:21" ht="13.9" customHeight="1" x14ac:dyDescent="0.2">
      <c r="P985" s="27"/>
      <c r="Q985" s="30"/>
      <c r="R985" s="30"/>
      <c r="S985" s="30">
        <f>ABS(Q985)/'İtme Analizi'!$G$17</f>
        <v>0</v>
      </c>
      <c r="T985" s="30">
        <f>ABS(R985)/'İtme Analizi'!$G$14</f>
        <v>0</v>
      </c>
      <c r="U985" s="30">
        <f t="shared" si="17"/>
        <v>9.2950204584968388E-5</v>
      </c>
    </row>
    <row r="986" spans="16:21" ht="13.9" customHeight="1" x14ac:dyDescent="0.2">
      <c r="P986" s="27"/>
      <c r="Q986" s="30"/>
      <c r="R986" s="30"/>
      <c r="S986" s="30">
        <f>ABS(Q986)/'İtme Analizi'!$G$17</f>
        <v>0</v>
      </c>
      <c r="T986" s="30">
        <f>ABS(R986)/'İtme Analizi'!$G$14</f>
        <v>0</v>
      </c>
      <c r="U986" s="30">
        <f t="shared" si="17"/>
        <v>9.2950204584968388E-5</v>
      </c>
    </row>
    <row r="987" spans="16:21" ht="13.9" customHeight="1" x14ac:dyDescent="0.2">
      <c r="P987" s="27"/>
      <c r="Q987" s="30"/>
      <c r="R987" s="30"/>
      <c r="S987" s="30">
        <f>ABS(Q987)/'İtme Analizi'!$G$17</f>
        <v>0</v>
      </c>
      <c r="T987" s="30">
        <f>ABS(R987)/'İtme Analizi'!$G$14</f>
        <v>0</v>
      </c>
      <c r="U987" s="30">
        <f t="shared" si="17"/>
        <v>9.2950204584968388E-5</v>
      </c>
    </row>
    <row r="988" spans="16:21" ht="13.9" customHeight="1" x14ac:dyDescent="0.2">
      <c r="P988" s="27"/>
      <c r="Q988" s="30"/>
      <c r="R988" s="30"/>
      <c r="S988" s="30">
        <f>ABS(Q988)/'İtme Analizi'!$G$17</f>
        <v>0</v>
      </c>
      <c r="T988" s="30">
        <f>ABS(R988)/'İtme Analizi'!$G$14</f>
        <v>0</v>
      </c>
      <c r="U988" s="30">
        <f t="shared" si="17"/>
        <v>9.2950204584968388E-5</v>
      </c>
    </row>
    <row r="989" spans="16:21" ht="13.9" customHeight="1" x14ac:dyDescent="0.2">
      <c r="P989" s="27"/>
      <c r="Q989" s="30"/>
      <c r="R989" s="30"/>
      <c r="S989" s="30">
        <f>ABS(Q989)/'İtme Analizi'!$G$17</f>
        <v>0</v>
      </c>
      <c r="T989" s="30">
        <f>ABS(R989)/'İtme Analizi'!$G$14</f>
        <v>0</v>
      </c>
      <c r="U989" s="30">
        <f t="shared" si="17"/>
        <v>9.2950204584968388E-5</v>
      </c>
    </row>
    <row r="990" spans="16:21" ht="13.9" customHeight="1" x14ac:dyDescent="0.2">
      <c r="P990" s="27"/>
      <c r="Q990" s="30"/>
      <c r="R990" s="30"/>
      <c r="S990" s="30">
        <f>ABS(Q990)/'İtme Analizi'!$G$17</f>
        <v>0</v>
      </c>
      <c r="T990" s="30">
        <f>ABS(R990)/'İtme Analizi'!$G$14</f>
        <v>0</v>
      </c>
      <c r="U990" s="30">
        <f t="shared" si="17"/>
        <v>9.2950204584968388E-5</v>
      </c>
    </row>
    <row r="991" spans="16:21" ht="13.9" customHeight="1" x14ac:dyDescent="0.2">
      <c r="P991" s="27"/>
      <c r="Q991" s="30"/>
      <c r="R991" s="30"/>
      <c r="S991" s="30">
        <f>ABS(Q991)/'İtme Analizi'!$G$17</f>
        <v>0</v>
      </c>
      <c r="T991" s="30">
        <f>ABS(R991)/'İtme Analizi'!$G$14</f>
        <v>0</v>
      </c>
      <c r="U991" s="30">
        <f t="shared" si="17"/>
        <v>9.2950204584968388E-5</v>
      </c>
    </row>
    <row r="992" spans="16:21" ht="13.9" customHeight="1" x14ac:dyDescent="0.2">
      <c r="P992" s="27"/>
      <c r="Q992" s="30"/>
      <c r="R992" s="30"/>
      <c r="S992" s="30">
        <f>ABS(Q992)/'İtme Analizi'!$G$17</f>
        <v>0</v>
      </c>
      <c r="T992" s="30">
        <f>ABS(R992)/'İtme Analizi'!$G$14</f>
        <v>0</v>
      </c>
      <c r="U992" s="30">
        <f t="shared" si="17"/>
        <v>9.2950204584968388E-5</v>
      </c>
    </row>
    <row r="993" spans="16:21" ht="13.9" customHeight="1" x14ac:dyDescent="0.2">
      <c r="P993" s="27"/>
      <c r="Q993" s="30"/>
      <c r="R993" s="30"/>
      <c r="S993" s="30">
        <f>ABS(Q993)/'İtme Analizi'!$G$17</f>
        <v>0</v>
      </c>
      <c r="T993" s="30">
        <f>ABS(R993)/'İtme Analizi'!$G$14</f>
        <v>0</v>
      </c>
      <c r="U993" s="30">
        <f t="shared" si="17"/>
        <v>9.2950204584968388E-5</v>
      </c>
    </row>
    <row r="994" spans="16:21" ht="13.9" customHeight="1" x14ac:dyDescent="0.2">
      <c r="P994" s="27"/>
      <c r="Q994" s="30"/>
      <c r="R994" s="30"/>
      <c r="S994" s="30">
        <f>ABS(Q994)/'İtme Analizi'!$G$17</f>
        <v>0</v>
      </c>
      <c r="T994" s="30">
        <f>ABS(R994)/'İtme Analizi'!$G$14</f>
        <v>0</v>
      </c>
      <c r="U994" s="30">
        <f t="shared" si="17"/>
        <v>9.2950204584968388E-5</v>
      </c>
    </row>
    <row r="995" spans="16:21" ht="13.9" customHeight="1" x14ac:dyDescent="0.2">
      <c r="P995" s="27"/>
      <c r="Q995" s="30"/>
      <c r="R995" s="30"/>
      <c r="S995" s="30">
        <f>ABS(Q995)/'İtme Analizi'!$G$17</f>
        <v>0</v>
      </c>
      <c r="T995" s="30">
        <f>ABS(R995)/'İtme Analizi'!$G$14</f>
        <v>0</v>
      </c>
      <c r="U995" s="30">
        <f t="shared" si="17"/>
        <v>9.2950204584968388E-5</v>
      </c>
    </row>
    <row r="996" spans="16:21" ht="13.9" customHeight="1" x14ac:dyDescent="0.2">
      <c r="P996" s="27"/>
      <c r="Q996" s="30"/>
      <c r="R996" s="30"/>
      <c r="S996" s="30">
        <f>ABS(Q996)/'İtme Analizi'!$G$17</f>
        <v>0</v>
      </c>
      <c r="T996" s="30">
        <f>ABS(R996)/'İtme Analizi'!$G$14</f>
        <v>0</v>
      </c>
      <c r="U996" s="30">
        <f t="shared" si="17"/>
        <v>9.2950204584968388E-5</v>
      </c>
    </row>
    <row r="997" spans="16:21" ht="13.9" customHeight="1" x14ac:dyDescent="0.2">
      <c r="P997" s="27"/>
      <c r="Q997" s="30"/>
      <c r="R997" s="30"/>
      <c r="S997" s="30">
        <f>ABS(Q997)/'İtme Analizi'!$G$17</f>
        <v>0</v>
      </c>
      <c r="T997" s="30">
        <f>ABS(R997)/'İtme Analizi'!$G$14</f>
        <v>0</v>
      </c>
      <c r="U997" s="30">
        <f t="shared" si="17"/>
        <v>9.2950204584968388E-5</v>
      </c>
    </row>
    <row r="998" spans="16:21" ht="13.9" customHeight="1" x14ac:dyDescent="0.2">
      <c r="P998" s="27"/>
      <c r="Q998" s="30"/>
      <c r="R998" s="30"/>
      <c r="S998" s="30">
        <f>ABS(Q998)/'İtme Analizi'!$G$17</f>
        <v>0</v>
      </c>
      <c r="T998" s="30">
        <f>ABS(R998)/'İtme Analizi'!$G$14</f>
        <v>0</v>
      </c>
      <c r="U998" s="30">
        <f t="shared" si="17"/>
        <v>9.2950204584968388E-5</v>
      </c>
    </row>
    <row r="999" spans="16:21" ht="13.9" customHeight="1" x14ac:dyDescent="0.2">
      <c r="P999" s="27"/>
      <c r="Q999" s="30"/>
      <c r="R999" s="30"/>
      <c r="S999" s="30">
        <f>ABS(Q999)/'İtme Analizi'!$G$17</f>
        <v>0</v>
      </c>
      <c r="T999" s="30">
        <f>ABS(R999)/'İtme Analizi'!$G$14</f>
        <v>0</v>
      </c>
      <c r="U999" s="30">
        <f t="shared" si="17"/>
        <v>9.2950204584968388E-5</v>
      </c>
    </row>
    <row r="1000" spans="16:21" ht="13.9" customHeight="1" x14ac:dyDescent="0.2">
      <c r="P1000" s="27"/>
      <c r="Q1000" s="30"/>
      <c r="R1000" s="30"/>
      <c r="S1000" s="30">
        <f>ABS(Q1000)/'İtme Analizi'!$G$17</f>
        <v>0</v>
      </c>
      <c r="T1000" s="30">
        <f>ABS(R1000)/'İtme Analizi'!$G$14</f>
        <v>0</v>
      </c>
      <c r="U1000" s="30">
        <f t="shared" si="17"/>
        <v>9.2950204584968388E-5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Özcan Yılmaz</cp:lastModifiedBy>
  <dcterms:created xsi:type="dcterms:W3CDTF">2015-06-05T18:19:34Z</dcterms:created>
  <dcterms:modified xsi:type="dcterms:W3CDTF">2023-07-10T20:05:27Z</dcterms:modified>
</cp:coreProperties>
</file>